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hidden" r:id="rId1"/>
    <sheet xmlns:r="http://schemas.openxmlformats.org/officeDocument/2006/relationships" name="CoachRoster" sheetId="2" state="visible" r:id="rId2"/>
    <sheet xmlns:r="http://schemas.openxmlformats.org/officeDocument/2006/relationships" name="XPMenu" sheetId="3" state="hidden" r:id="rId3"/>
    <sheet xmlns:r="http://schemas.openxmlformats.org/officeDocument/2006/relationships" name="RoleTitles" sheetId="4" state="hidden" r:id="rId4"/>
    <sheet xmlns:r="http://schemas.openxmlformats.org/officeDocument/2006/relationships" name="XPBands" sheetId="5" state="hidden" r:id="rId5"/>
    <sheet xmlns:r="http://schemas.openxmlformats.org/officeDocument/2006/relationships" name="XPLog" sheetId="6" state="visible" r:id="rId6"/>
    <sheet xmlns:r="http://schemas.openxmlformats.org/officeDocument/2006/relationships" name="Weekly_Coaching" sheetId="7" state="hidden" r:id="rId7"/>
    <sheet xmlns:r="http://schemas.openxmlformats.org/officeDocument/2006/relationships" name="Monthly_Edu" sheetId="8" state="hidden" r:id="rId8"/>
    <sheet xmlns:r="http://schemas.openxmlformats.org/officeDocument/2006/relationships" name="Monthly_Ops" sheetId="9" state="hidden" r:id="rId9"/>
    <sheet xmlns:r="http://schemas.openxmlformats.org/officeDocument/2006/relationships" name="Monthly_Mentor" sheetId="10" state="hidden" r:id="rId10"/>
    <sheet xmlns:r="http://schemas.openxmlformats.org/officeDocument/2006/relationships" name="Quarterly_Impact" sheetId="11" state="hidden" r:id="rId11"/>
    <sheet xmlns:r="http://schemas.openxmlformats.org/officeDocument/2006/relationships" name="Ledger" sheetId="12" state="visible" r:id="rId12"/>
    <sheet xmlns:r="http://schemas.openxmlformats.org/officeDocument/2006/relationships" name="Trials" sheetId="13" state="visible" r:id="rId13"/>
    <sheet xmlns:r="http://schemas.openxmlformats.org/officeDocument/2006/relationships" name="SeedPlacement" sheetId="14" state="visible" r:id="rId14"/>
    <sheet xmlns:r="http://schemas.openxmlformats.org/officeDocument/2006/relationships" name="Info" sheetId="15" state="visible" r:id="rId1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League Spartan"/>
      <color theme="1"/>
      <sz val="15"/>
    </font>
    <font>
      <name val="Roboto"/>
      <color theme="1"/>
    </font>
    <font>
      <name val="Arial"/>
      <b val="1"/>
      <color theme="1"/>
      <scheme val="minor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001F1F1F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4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pivotButton="0" quotePrefix="0" xfId="0"/>
    <xf numFmtId="0" fontId="1" fillId="0" borderId="8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2" fillId="2" borderId="1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0" pivotButton="0" quotePrefix="0" xfId="0"/>
    <xf numFmtId="0" fontId="5" fillId="4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4" customWidth="1" style="38" min="1" max="1"/>
    <col width="12" customWidth="1" style="38" min="2" max="2"/>
  </cols>
  <sheetData>
    <row r="1">
      <c r="A1" s="39" t="inlineStr">
        <is>
          <t>Name</t>
        </is>
      </c>
      <c r="B1" s="39" t="inlineStr">
        <is>
          <t>Value</t>
        </is>
      </c>
    </row>
    <row r="2">
      <c r="A2" s="2" t="inlineStr">
        <is>
          <t>CoachingWeeklyCapXP</t>
        </is>
      </c>
      <c r="B2" s="2" t="n">
        <v>120</v>
      </c>
    </row>
    <row r="3">
      <c r="A3" s="2" t="inlineStr">
        <is>
          <t>EducationMonthlyCapXP</t>
        </is>
      </c>
      <c r="B3" s="2" t="n">
        <v>150</v>
      </c>
    </row>
    <row r="4">
      <c r="A4" s="2" t="inlineStr">
        <is>
          <t>OpsMonthlyCapXP</t>
        </is>
      </c>
      <c r="B4" s="2" t="n">
        <v>120</v>
      </c>
    </row>
    <row r="5">
      <c r="A5" s="2" t="inlineStr">
        <is>
          <t>MentorshipMonthlyCapXP</t>
        </is>
      </c>
      <c r="B5" s="2" t="n">
        <v>150</v>
      </c>
    </row>
    <row r="6">
      <c r="A6" s="2" t="inlineStr">
        <is>
          <t>ImpactQuarterlyCapXP</t>
        </is>
      </c>
      <c r="B6" s="2" t="n">
        <v>300</v>
      </c>
    </row>
    <row r="7">
      <c r="A7" s="2" t="inlineStr">
        <is>
          <t>WeekStartType</t>
        </is>
      </c>
      <c r="B7" s="2" t="inlineStr">
        <is>
          <t>Mon</t>
        </is>
      </c>
    </row>
    <row r="8">
      <c r="A8" s="2" t="inlineStr">
        <is>
          <t>MaxXP</t>
        </is>
      </c>
      <c r="B8" s="2" t="n">
        <v>20000</v>
      </c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FF00"/>
    <outlinePr summaryBelow="0" summaryRight="0"/>
    <pageSetUpPr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8" min="1" max="1"/>
    <col width="12" customWidth="1" style="38" min="2" max="2"/>
    <col width="14" customWidth="1" style="38" min="3" max="3"/>
    <col width="17" customWidth="1" style="38" min="4" max="4"/>
    <col width="12" customWidth="1" style="38" min="5" max="5"/>
    <col width="12" customWidth="1" style="38" min="6" max="6"/>
    <col width="12" customWidth="1" style="38" min="7" max="7"/>
    <col width="12" customWidth="1" style="38" min="8" max="8"/>
    <col width="12" customWidth="1" style="38" min="9" max="9"/>
    <col width="12" customWidth="1" style="38" min="10" max="10"/>
    <col width="12" customWidth="1" style="38" min="11" max="11"/>
    <col width="12" customWidth="1" style="38" min="12" max="12"/>
    <col width="12" customWidth="1" style="38" min="13" max="13"/>
    <col width="12" customWidth="1" style="38" min="14" max="14"/>
    <col width="12" customWidth="1" style="38" min="15" max="15"/>
    <col width="12" customWidth="1" style="38" min="16" max="16"/>
  </cols>
  <sheetData>
    <row r="1">
      <c r="A1" s="40" t="inlineStr">
        <is>
          <t>CoachID</t>
        </is>
      </c>
      <c r="B1" s="40" t="inlineStr">
        <is>
          <t>CoachName</t>
        </is>
      </c>
      <c r="C1" s="40" t="inlineStr">
        <is>
          <t>IdentityPath</t>
        </is>
      </c>
      <c r="D1" s="40" t="inlineStr">
        <is>
          <t>OperationalRole</t>
        </is>
      </c>
      <c r="E1" s="40" t="inlineStr">
        <is>
          <t>Active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2">
      <c r="A2" s="29" t="n"/>
      <c r="B2" s="29" t="n"/>
      <c r="C2" s="29" t="n"/>
      <c r="D2" s="29" t="n"/>
      <c r="E2" s="29" t="n"/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  <row r="502">
      <c r="A502" s="7" t="n"/>
      <c r="B502" s="7" t="n"/>
      <c r="C502" s="7" t="n"/>
      <c r="D502" s="7" t="n"/>
      <c r="E502" s="7" t="n"/>
    </row>
    <row r="503">
      <c r="A503" s="7" t="n"/>
      <c r="B503" s="7" t="n"/>
      <c r="C503" s="7" t="n"/>
      <c r="D503" s="7" t="n"/>
      <c r="E503" s="7" t="n"/>
    </row>
    <row r="504">
      <c r="A504" s="7" t="n"/>
      <c r="B504" s="7" t="n"/>
      <c r="C504" s="7" t="n"/>
      <c r="D504" s="7" t="n"/>
      <c r="E504" s="7" t="n"/>
    </row>
    <row r="505">
      <c r="A505" s="7" t="n"/>
      <c r="B505" s="7" t="n"/>
      <c r="C505" s="7" t="n"/>
      <c r="D505" s="7" t="n"/>
      <c r="E505" s="7" t="n"/>
    </row>
    <row r="506">
      <c r="A506" s="7" t="n"/>
      <c r="B506" s="7" t="n"/>
      <c r="C506" s="7" t="n"/>
      <c r="D506" s="7" t="n"/>
      <c r="E506" s="7" t="n"/>
    </row>
    <row r="507">
      <c r="A507" s="7" t="n"/>
      <c r="B507" s="7" t="n"/>
      <c r="C507" s="7" t="n"/>
      <c r="D507" s="7" t="n"/>
      <c r="E507" s="7" t="n"/>
    </row>
    <row r="508">
      <c r="A508" s="7" t="n"/>
      <c r="B508" s="7" t="n"/>
      <c r="C508" s="7" t="n"/>
      <c r="D508" s="7" t="n"/>
      <c r="E508" s="7" t="n"/>
    </row>
    <row r="509">
      <c r="A509" s="7" t="n"/>
      <c r="B509" s="7" t="n"/>
      <c r="C509" s="7" t="n"/>
      <c r="D509" s="7" t="n"/>
      <c r="E509" s="7" t="n"/>
    </row>
    <row r="510">
      <c r="A510" s="7" t="n"/>
      <c r="B510" s="7" t="n"/>
      <c r="C510" s="7" t="n"/>
      <c r="D510" s="7" t="n"/>
      <c r="E510" s="7" t="n"/>
    </row>
    <row r="511">
      <c r="A511" s="7" t="n"/>
      <c r="B511" s="7" t="n"/>
      <c r="C511" s="7" t="n"/>
      <c r="D511" s="7" t="n"/>
      <c r="E511" s="7" t="n"/>
    </row>
    <row r="512">
      <c r="A512" s="7" t="n"/>
      <c r="B512" s="7" t="n"/>
      <c r="C512" s="7" t="n"/>
      <c r="D512" s="7" t="n"/>
      <c r="E512" s="7" t="n"/>
    </row>
    <row r="513">
      <c r="A513" s="7" t="n"/>
      <c r="B513" s="7" t="n"/>
      <c r="C513" s="7" t="n"/>
      <c r="D513" s="7" t="n"/>
      <c r="E513" s="7" t="n"/>
    </row>
    <row r="514">
      <c r="A514" s="7" t="n"/>
      <c r="B514" s="7" t="n"/>
      <c r="C514" s="7" t="n"/>
      <c r="D514" s="7" t="n"/>
      <c r="E514" s="7" t="n"/>
    </row>
    <row r="515">
      <c r="A515" s="7" t="n"/>
      <c r="B515" s="7" t="n"/>
      <c r="C515" s="7" t="n"/>
      <c r="D515" s="7" t="n"/>
      <c r="E515" s="7" t="n"/>
    </row>
    <row r="516">
      <c r="A516" s="7" t="n"/>
      <c r="B516" s="7" t="n"/>
      <c r="C516" s="7" t="n"/>
      <c r="D516" s="7" t="n"/>
      <c r="E516" s="7" t="n"/>
    </row>
    <row r="517">
      <c r="A517" s="7" t="n"/>
      <c r="B517" s="7" t="n"/>
      <c r="C517" s="7" t="n"/>
      <c r="D517" s="7" t="n"/>
      <c r="E517" s="7" t="n"/>
    </row>
    <row r="518">
      <c r="A518" s="7" t="n"/>
      <c r="B518" s="7" t="n"/>
      <c r="C518" s="7" t="n"/>
      <c r="D518" s="7" t="n"/>
      <c r="E518" s="7" t="n"/>
    </row>
    <row r="519">
      <c r="A519" s="7" t="n"/>
      <c r="B519" s="7" t="n"/>
      <c r="C519" s="7" t="n"/>
      <c r="D519" s="7" t="n"/>
      <c r="E519" s="7" t="n"/>
    </row>
    <row r="520">
      <c r="A520" s="7" t="n"/>
      <c r="B520" s="7" t="n"/>
      <c r="C520" s="7" t="n"/>
      <c r="D520" s="7" t="n"/>
      <c r="E520" s="7" t="n"/>
    </row>
    <row r="521">
      <c r="A521" s="7" t="n"/>
      <c r="B521" s="7" t="n"/>
      <c r="C521" s="7" t="n"/>
      <c r="D521" s="7" t="n"/>
      <c r="E521" s="7" t="n"/>
    </row>
    <row r="522">
      <c r="A522" s="7" t="n"/>
      <c r="B522" s="7" t="n"/>
      <c r="C522" s="7" t="n"/>
      <c r="D522" s="7" t="n"/>
      <c r="E522" s="7" t="n"/>
    </row>
    <row r="523">
      <c r="A523" s="7" t="n"/>
      <c r="B523" s="7" t="n"/>
      <c r="C523" s="7" t="n"/>
      <c r="D523" s="7" t="n"/>
      <c r="E523" s="7" t="n"/>
    </row>
    <row r="524">
      <c r="A524" s="7" t="n"/>
      <c r="B524" s="7" t="n"/>
      <c r="C524" s="7" t="n"/>
      <c r="D524" s="7" t="n"/>
      <c r="E524" s="7" t="n"/>
    </row>
    <row r="525">
      <c r="A525" s="7" t="n"/>
      <c r="B525" s="7" t="n"/>
      <c r="C525" s="7" t="n"/>
      <c r="D525" s="7" t="n"/>
      <c r="E525" s="7" t="n"/>
    </row>
    <row r="526">
      <c r="A526" s="7" t="n"/>
      <c r="B526" s="7" t="n"/>
      <c r="C526" s="7" t="n"/>
      <c r="D526" s="7" t="n"/>
      <c r="E526" s="7" t="n"/>
    </row>
    <row r="527">
      <c r="A527" s="7" t="n"/>
      <c r="B527" s="7" t="n"/>
      <c r="C527" s="7" t="n"/>
      <c r="D527" s="7" t="n"/>
      <c r="E527" s="7" t="n"/>
    </row>
    <row r="528">
      <c r="A528" s="7" t="n"/>
      <c r="B528" s="7" t="n"/>
      <c r="C528" s="7" t="n"/>
      <c r="D528" s="7" t="n"/>
      <c r="E528" s="7" t="n"/>
    </row>
    <row r="529">
      <c r="A529" s="7" t="n"/>
      <c r="B529" s="7" t="n"/>
      <c r="C529" s="7" t="n"/>
      <c r="D529" s="7" t="n"/>
      <c r="E529" s="7" t="n"/>
    </row>
    <row r="530">
      <c r="A530" s="7" t="n"/>
      <c r="B530" s="7" t="n"/>
      <c r="C530" s="7" t="n"/>
      <c r="D530" s="7" t="n"/>
      <c r="E530" s="7" t="n"/>
    </row>
    <row r="531">
      <c r="A531" s="7" t="n"/>
      <c r="B531" s="7" t="n"/>
      <c r="C531" s="7" t="n"/>
      <c r="D531" s="7" t="n"/>
      <c r="E531" s="7" t="n"/>
    </row>
    <row r="532">
      <c r="A532" s="7" t="n"/>
      <c r="B532" s="7" t="n"/>
      <c r="C532" s="7" t="n"/>
      <c r="D532" s="7" t="n"/>
      <c r="E532" s="7" t="n"/>
    </row>
    <row r="533">
      <c r="A533" s="7" t="n"/>
      <c r="B533" s="7" t="n"/>
      <c r="C533" s="7" t="n"/>
      <c r="D533" s="7" t="n"/>
      <c r="E533" s="7" t="n"/>
    </row>
    <row r="534">
      <c r="A534" s="7" t="n"/>
      <c r="B534" s="7" t="n"/>
      <c r="C534" s="7" t="n"/>
      <c r="D534" s="7" t="n"/>
      <c r="E534" s="7" t="n"/>
    </row>
    <row r="535">
      <c r="A535" s="7" t="n"/>
      <c r="B535" s="7" t="n"/>
      <c r="C535" s="7" t="n"/>
      <c r="D535" s="7" t="n"/>
      <c r="E535" s="7" t="n"/>
    </row>
    <row r="536">
      <c r="A536" s="7" t="n"/>
      <c r="B536" s="7" t="n"/>
      <c r="C536" s="7" t="n"/>
      <c r="D536" s="7" t="n"/>
      <c r="E536" s="7" t="n"/>
    </row>
    <row r="537">
      <c r="A537" s="7" t="n"/>
      <c r="B537" s="7" t="n"/>
      <c r="C537" s="7" t="n"/>
      <c r="D537" s="7" t="n"/>
      <c r="E537" s="7" t="n"/>
    </row>
    <row r="538">
      <c r="A538" s="7" t="n"/>
      <c r="B538" s="7" t="n"/>
      <c r="C538" s="7" t="n"/>
      <c r="D538" s="7" t="n"/>
      <c r="E538" s="7" t="n"/>
    </row>
    <row r="539">
      <c r="A539" s="7" t="n"/>
      <c r="B539" s="7" t="n"/>
      <c r="C539" s="7" t="n"/>
      <c r="D539" s="7" t="n"/>
      <c r="E539" s="7" t="n"/>
    </row>
    <row r="540">
      <c r="A540" s="7" t="n"/>
      <c r="B540" s="7" t="n"/>
      <c r="C540" s="7" t="n"/>
      <c r="D540" s="7" t="n"/>
      <c r="E540" s="7" t="n"/>
    </row>
    <row r="541">
      <c r="A541" s="7" t="n"/>
      <c r="B541" s="7" t="n"/>
      <c r="C541" s="7" t="n"/>
      <c r="D541" s="7" t="n"/>
      <c r="E541" s="7" t="n"/>
    </row>
    <row r="542">
      <c r="A542" s="7" t="n"/>
      <c r="B542" s="7" t="n"/>
      <c r="C542" s="7" t="n"/>
      <c r="D542" s="7" t="n"/>
      <c r="E542" s="7" t="n"/>
    </row>
    <row r="543">
      <c r="A543" s="7" t="n"/>
      <c r="B543" s="7" t="n"/>
      <c r="C543" s="7" t="n"/>
      <c r="D543" s="7" t="n"/>
      <c r="E543" s="7" t="n"/>
    </row>
    <row r="544">
      <c r="A544" s="7" t="n"/>
      <c r="B544" s="7" t="n"/>
      <c r="C544" s="7" t="n"/>
      <c r="D544" s="7" t="n"/>
      <c r="E544" s="7" t="n"/>
    </row>
    <row r="545">
      <c r="A545" s="7" t="n"/>
      <c r="B545" s="7" t="n"/>
      <c r="C545" s="7" t="n"/>
      <c r="D545" s="7" t="n"/>
      <c r="E545" s="7" t="n"/>
    </row>
    <row r="546">
      <c r="A546" s="7" t="n"/>
      <c r="B546" s="7" t="n"/>
      <c r="C546" s="7" t="n"/>
      <c r="D546" s="7" t="n"/>
      <c r="E546" s="7" t="n"/>
    </row>
    <row r="547">
      <c r="A547" s="7" t="n"/>
      <c r="B547" s="7" t="n"/>
      <c r="C547" s="7" t="n"/>
      <c r="D547" s="7" t="n"/>
      <c r="E547" s="7" t="n"/>
    </row>
    <row r="548">
      <c r="A548" s="7" t="n"/>
      <c r="B548" s="7" t="n"/>
      <c r="C548" s="7" t="n"/>
      <c r="D548" s="7" t="n"/>
      <c r="E548" s="7" t="n"/>
    </row>
    <row r="549">
      <c r="A549" s="7" t="n"/>
      <c r="B549" s="7" t="n"/>
      <c r="C549" s="7" t="n"/>
      <c r="D549" s="7" t="n"/>
      <c r="E549" s="7" t="n"/>
    </row>
    <row r="550">
      <c r="A550" s="7" t="n"/>
      <c r="B550" s="7" t="n"/>
      <c r="C550" s="7" t="n"/>
      <c r="D550" s="7" t="n"/>
      <c r="E550" s="7" t="n"/>
    </row>
    <row r="551">
      <c r="A551" s="7" t="n"/>
      <c r="B551" s="7" t="n"/>
      <c r="C551" s="7" t="n"/>
      <c r="D551" s="7" t="n"/>
      <c r="E551" s="7" t="n"/>
    </row>
    <row r="552">
      <c r="A552" s="7" t="n"/>
      <c r="B552" s="7" t="n"/>
      <c r="C552" s="7" t="n"/>
      <c r="D552" s="7" t="n"/>
      <c r="E552" s="7" t="n"/>
    </row>
    <row r="553">
      <c r="A553" s="7" t="n"/>
      <c r="B553" s="7" t="n"/>
      <c r="C553" s="7" t="n"/>
      <c r="D553" s="7" t="n"/>
      <c r="E553" s="7" t="n"/>
    </row>
    <row r="554">
      <c r="A554" s="7" t="n"/>
      <c r="B554" s="7" t="n"/>
      <c r="C554" s="7" t="n"/>
      <c r="D554" s="7" t="n"/>
      <c r="E554" s="7" t="n"/>
    </row>
    <row r="555">
      <c r="A555" s="7" t="n"/>
      <c r="B555" s="7" t="n"/>
      <c r="C555" s="7" t="n"/>
      <c r="D555" s="7" t="n"/>
      <c r="E555" s="7" t="n"/>
    </row>
    <row r="556">
      <c r="A556" s="7" t="n"/>
      <c r="B556" s="7" t="n"/>
      <c r="C556" s="7" t="n"/>
      <c r="D556" s="7" t="n"/>
      <c r="E556" s="7" t="n"/>
    </row>
    <row r="557">
      <c r="A557" s="7" t="n"/>
      <c r="B557" s="7" t="n"/>
      <c r="C557" s="7" t="n"/>
      <c r="D557" s="7" t="n"/>
      <c r="E557" s="7" t="n"/>
    </row>
    <row r="558">
      <c r="A558" s="7" t="n"/>
      <c r="B558" s="7" t="n"/>
      <c r="C558" s="7" t="n"/>
      <c r="D558" s="7" t="n"/>
      <c r="E558" s="7" t="n"/>
    </row>
    <row r="559">
      <c r="A559" s="7" t="n"/>
      <c r="B559" s="7" t="n"/>
      <c r="C559" s="7" t="n"/>
      <c r="D559" s="7" t="n"/>
      <c r="E559" s="7" t="n"/>
    </row>
    <row r="560">
      <c r="A560" s="7" t="n"/>
      <c r="B560" s="7" t="n"/>
      <c r="C560" s="7" t="n"/>
      <c r="D560" s="7" t="n"/>
      <c r="E560" s="7" t="n"/>
    </row>
    <row r="561">
      <c r="A561" s="7" t="n"/>
      <c r="B561" s="7" t="n"/>
      <c r="C561" s="7" t="n"/>
      <c r="D561" s="7" t="n"/>
      <c r="E561" s="7" t="n"/>
    </row>
    <row r="562">
      <c r="A562" s="7" t="n"/>
      <c r="B562" s="7" t="n"/>
      <c r="C562" s="7" t="n"/>
      <c r="D562" s="7" t="n"/>
      <c r="E562" s="7" t="n"/>
    </row>
    <row r="563">
      <c r="A563" s="7" t="n"/>
      <c r="B563" s="7" t="n"/>
      <c r="C563" s="7" t="n"/>
      <c r="D563" s="7" t="n"/>
      <c r="E563" s="7" t="n"/>
    </row>
    <row r="564">
      <c r="A564" s="7" t="n"/>
      <c r="B564" s="7" t="n"/>
      <c r="C564" s="7" t="n"/>
      <c r="D564" s="7" t="n"/>
      <c r="E564" s="7" t="n"/>
    </row>
    <row r="565">
      <c r="A565" s="7" t="n"/>
      <c r="B565" s="7" t="n"/>
      <c r="C565" s="7" t="n"/>
      <c r="D565" s="7" t="n"/>
      <c r="E565" s="7" t="n"/>
    </row>
    <row r="566">
      <c r="A566" s="7" t="n"/>
      <c r="B566" s="7" t="n"/>
      <c r="C566" s="7" t="n"/>
      <c r="D566" s="7" t="n"/>
      <c r="E566" s="7" t="n"/>
    </row>
    <row r="567">
      <c r="A567" s="7" t="n"/>
      <c r="B567" s="7" t="n"/>
      <c r="C567" s="7" t="n"/>
      <c r="D567" s="7" t="n"/>
      <c r="E567" s="7" t="n"/>
    </row>
    <row r="568">
      <c r="A568" s="7" t="n"/>
      <c r="B568" s="7" t="n"/>
      <c r="C568" s="7" t="n"/>
      <c r="D568" s="7" t="n"/>
      <c r="E568" s="7" t="n"/>
    </row>
    <row r="569">
      <c r="A569" s="7" t="n"/>
      <c r="B569" s="7" t="n"/>
      <c r="C569" s="7" t="n"/>
      <c r="D569" s="7" t="n"/>
      <c r="E569" s="7" t="n"/>
    </row>
    <row r="570">
      <c r="A570" s="7" t="n"/>
      <c r="B570" s="7" t="n"/>
      <c r="C570" s="7" t="n"/>
      <c r="D570" s="7" t="n"/>
      <c r="E570" s="7" t="n"/>
    </row>
    <row r="571">
      <c r="A571" s="7" t="n"/>
      <c r="B571" s="7" t="n"/>
      <c r="C571" s="7" t="n"/>
      <c r="D571" s="7" t="n"/>
      <c r="E571" s="7" t="n"/>
    </row>
    <row r="572">
      <c r="A572" s="7" t="n"/>
      <c r="B572" s="7" t="n"/>
      <c r="C572" s="7" t="n"/>
      <c r="D572" s="7" t="n"/>
      <c r="E572" s="7" t="n"/>
    </row>
    <row r="573">
      <c r="A573" s="7" t="n"/>
      <c r="B573" s="7" t="n"/>
      <c r="C573" s="7" t="n"/>
      <c r="D573" s="7" t="n"/>
      <c r="E573" s="7" t="n"/>
    </row>
    <row r="574">
      <c r="A574" s="7" t="n"/>
      <c r="B574" s="7" t="n"/>
      <c r="C574" s="7" t="n"/>
      <c r="D574" s="7" t="n"/>
      <c r="E574" s="7" t="n"/>
    </row>
    <row r="575">
      <c r="A575" s="7" t="n"/>
      <c r="B575" s="7" t="n"/>
      <c r="C575" s="7" t="n"/>
      <c r="D575" s="7" t="n"/>
      <c r="E575" s="7" t="n"/>
    </row>
    <row r="576">
      <c r="A576" s="7" t="n"/>
      <c r="B576" s="7" t="n"/>
      <c r="C576" s="7" t="n"/>
      <c r="D576" s="7" t="n"/>
      <c r="E576" s="7" t="n"/>
    </row>
    <row r="577">
      <c r="A577" s="7" t="n"/>
      <c r="B577" s="7" t="n"/>
      <c r="C577" s="7" t="n"/>
      <c r="D577" s="7" t="n"/>
      <c r="E577" s="7" t="n"/>
    </row>
    <row r="578">
      <c r="A578" s="7" t="n"/>
      <c r="B578" s="7" t="n"/>
      <c r="C578" s="7" t="n"/>
      <c r="D578" s="7" t="n"/>
      <c r="E578" s="7" t="n"/>
    </row>
    <row r="579">
      <c r="A579" s="7" t="n"/>
      <c r="B579" s="7" t="n"/>
      <c r="C579" s="7" t="n"/>
      <c r="D579" s="7" t="n"/>
      <c r="E579" s="7" t="n"/>
    </row>
    <row r="580">
      <c r="A580" s="7" t="n"/>
      <c r="B580" s="7" t="n"/>
      <c r="C580" s="7" t="n"/>
      <c r="D580" s="7" t="n"/>
      <c r="E580" s="7" t="n"/>
    </row>
    <row r="581">
      <c r="A581" s="7" t="n"/>
      <c r="B581" s="7" t="n"/>
      <c r="C581" s="7" t="n"/>
      <c r="D581" s="7" t="n"/>
      <c r="E581" s="7" t="n"/>
    </row>
    <row r="582">
      <c r="A582" s="7" t="n"/>
      <c r="B582" s="7" t="n"/>
      <c r="C582" s="7" t="n"/>
      <c r="D582" s="7" t="n"/>
      <c r="E582" s="7" t="n"/>
    </row>
    <row r="583">
      <c r="A583" s="7" t="n"/>
      <c r="B583" s="7" t="n"/>
      <c r="C583" s="7" t="n"/>
      <c r="D583" s="7" t="n"/>
      <c r="E583" s="7" t="n"/>
    </row>
    <row r="584">
      <c r="A584" s="7" t="n"/>
      <c r="B584" s="7" t="n"/>
      <c r="C584" s="7" t="n"/>
      <c r="D584" s="7" t="n"/>
      <c r="E584" s="7" t="n"/>
    </row>
    <row r="585">
      <c r="A585" s="7" t="n"/>
      <c r="B585" s="7" t="n"/>
      <c r="C585" s="7" t="n"/>
      <c r="D585" s="7" t="n"/>
      <c r="E585" s="7" t="n"/>
    </row>
    <row r="586">
      <c r="A586" s="7" t="n"/>
      <c r="B586" s="7" t="n"/>
      <c r="C586" s="7" t="n"/>
      <c r="D586" s="7" t="n"/>
      <c r="E586" s="7" t="n"/>
    </row>
    <row r="587">
      <c r="A587" s="7" t="n"/>
      <c r="B587" s="7" t="n"/>
      <c r="C587" s="7" t="n"/>
      <c r="D587" s="7" t="n"/>
      <c r="E587" s="7" t="n"/>
    </row>
    <row r="588">
      <c r="A588" s="7" t="n"/>
      <c r="B588" s="7" t="n"/>
      <c r="C588" s="7" t="n"/>
      <c r="D588" s="7" t="n"/>
      <c r="E588" s="7" t="n"/>
    </row>
    <row r="589">
      <c r="A589" s="7" t="n"/>
      <c r="B589" s="7" t="n"/>
      <c r="C589" s="7" t="n"/>
      <c r="D589" s="7" t="n"/>
      <c r="E589" s="7" t="n"/>
    </row>
    <row r="590">
      <c r="A590" s="7" t="n"/>
      <c r="B590" s="7" t="n"/>
      <c r="C590" s="7" t="n"/>
      <c r="D590" s="7" t="n"/>
      <c r="E590" s="7" t="n"/>
    </row>
    <row r="591">
      <c r="A591" s="7" t="n"/>
      <c r="B591" s="7" t="n"/>
      <c r="C591" s="7" t="n"/>
      <c r="D591" s="7" t="n"/>
      <c r="E591" s="7" t="n"/>
    </row>
    <row r="592">
      <c r="A592" s="7" t="n"/>
      <c r="B592" s="7" t="n"/>
      <c r="C592" s="7" t="n"/>
      <c r="D592" s="7" t="n"/>
      <c r="E592" s="7" t="n"/>
    </row>
    <row r="593">
      <c r="A593" s="7" t="n"/>
      <c r="B593" s="7" t="n"/>
      <c r="C593" s="7" t="n"/>
      <c r="D593" s="7" t="n"/>
      <c r="E593" s="7" t="n"/>
    </row>
    <row r="594">
      <c r="A594" s="7" t="n"/>
      <c r="B594" s="7" t="n"/>
      <c r="C594" s="7" t="n"/>
      <c r="D594" s="7" t="n"/>
      <c r="E594" s="7" t="n"/>
    </row>
    <row r="595">
      <c r="A595" s="7" t="n"/>
      <c r="B595" s="7" t="n"/>
      <c r="C595" s="7" t="n"/>
      <c r="D595" s="7" t="n"/>
      <c r="E595" s="7" t="n"/>
    </row>
    <row r="596">
      <c r="A596" s="7" t="n"/>
      <c r="B596" s="7" t="n"/>
      <c r="C596" s="7" t="n"/>
      <c r="D596" s="7" t="n"/>
      <c r="E596" s="7" t="n"/>
    </row>
    <row r="597">
      <c r="A597" s="7" t="n"/>
      <c r="B597" s="7" t="n"/>
      <c r="C597" s="7" t="n"/>
      <c r="D597" s="7" t="n"/>
      <c r="E597" s="7" t="n"/>
    </row>
    <row r="598">
      <c r="A598" s="7" t="n"/>
      <c r="B598" s="7" t="n"/>
      <c r="C598" s="7" t="n"/>
      <c r="D598" s="7" t="n"/>
      <c r="E598" s="7" t="n"/>
    </row>
    <row r="599">
      <c r="A599" s="7" t="n"/>
      <c r="B599" s="7" t="n"/>
      <c r="C599" s="7" t="n"/>
      <c r="D599" s="7" t="n"/>
      <c r="E599" s="7" t="n"/>
    </row>
    <row r="600">
      <c r="A600" s="7" t="n"/>
      <c r="B600" s="7" t="n"/>
      <c r="C600" s="7" t="n"/>
      <c r="D600" s="7" t="n"/>
      <c r="E600" s="7" t="n"/>
    </row>
    <row r="601">
      <c r="A601" s="7" t="n"/>
      <c r="B601" s="7" t="n"/>
      <c r="C601" s="7" t="n"/>
      <c r="D601" s="7" t="n"/>
      <c r="E601" s="7" t="n"/>
    </row>
    <row r="602">
      <c r="A602" s="7" t="n"/>
      <c r="B602" s="7" t="n"/>
      <c r="C602" s="7" t="n"/>
      <c r="D602" s="7" t="n"/>
      <c r="E602" s="7" t="n"/>
    </row>
    <row r="603">
      <c r="A603" s="7" t="n"/>
      <c r="B603" s="7" t="n"/>
      <c r="C603" s="7" t="n"/>
      <c r="D603" s="7" t="n"/>
      <c r="E603" s="7" t="n"/>
    </row>
    <row r="604">
      <c r="A604" s="7" t="n"/>
      <c r="B604" s="7" t="n"/>
      <c r="C604" s="7" t="n"/>
      <c r="D604" s="7" t="n"/>
      <c r="E604" s="7" t="n"/>
    </row>
    <row r="605">
      <c r="A605" s="7" t="n"/>
      <c r="B605" s="7" t="n"/>
      <c r="C605" s="7" t="n"/>
      <c r="D605" s="7" t="n"/>
      <c r="E605" s="7" t="n"/>
    </row>
    <row r="606">
      <c r="A606" s="7" t="n"/>
      <c r="B606" s="7" t="n"/>
      <c r="C606" s="7" t="n"/>
      <c r="D606" s="7" t="n"/>
      <c r="E606" s="7" t="n"/>
    </row>
    <row r="607">
      <c r="A607" s="7" t="n"/>
      <c r="B607" s="7" t="n"/>
      <c r="C607" s="7" t="n"/>
      <c r="D607" s="7" t="n"/>
      <c r="E607" s="7" t="n"/>
    </row>
    <row r="608">
      <c r="A608" s="7" t="n"/>
      <c r="B608" s="7" t="n"/>
      <c r="C608" s="7" t="n"/>
      <c r="D608" s="7" t="n"/>
      <c r="E608" s="7" t="n"/>
    </row>
    <row r="609">
      <c r="A609" s="7" t="n"/>
      <c r="B609" s="7" t="n"/>
      <c r="C609" s="7" t="n"/>
      <c r="D609" s="7" t="n"/>
      <c r="E609" s="7" t="n"/>
    </row>
    <row r="610">
      <c r="A610" s="7" t="n"/>
      <c r="B610" s="7" t="n"/>
      <c r="C610" s="7" t="n"/>
      <c r="D610" s="7" t="n"/>
      <c r="E610" s="7" t="n"/>
    </row>
    <row r="611">
      <c r="A611" s="7" t="n"/>
      <c r="B611" s="7" t="n"/>
      <c r="C611" s="7" t="n"/>
      <c r="D611" s="7" t="n"/>
      <c r="E611" s="7" t="n"/>
    </row>
    <row r="612">
      <c r="A612" s="7" t="n"/>
      <c r="B612" s="7" t="n"/>
      <c r="C612" s="7" t="n"/>
      <c r="D612" s="7" t="n"/>
      <c r="E612" s="7" t="n"/>
    </row>
    <row r="613">
      <c r="A613" s="7" t="n"/>
      <c r="B613" s="7" t="n"/>
      <c r="C613" s="7" t="n"/>
      <c r="D613" s="7" t="n"/>
      <c r="E613" s="7" t="n"/>
    </row>
    <row r="614">
      <c r="A614" s="7" t="n"/>
      <c r="B614" s="7" t="n"/>
      <c r="C614" s="7" t="n"/>
      <c r="D614" s="7" t="n"/>
      <c r="E614" s="7" t="n"/>
    </row>
    <row r="615">
      <c r="A615" s="7" t="n"/>
      <c r="B615" s="7" t="n"/>
      <c r="C615" s="7" t="n"/>
      <c r="D615" s="7" t="n"/>
      <c r="E615" s="7" t="n"/>
    </row>
    <row r="616">
      <c r="A616" s="7" t="n"/>
      <c r="B616" s="7" t="n"/>
      <c r="C616" s="7" t="n"/>
      <c r="D616" s="7" t="n"/>
      <c r="E616" s="7" t="n"/>
    </row>
    <row r="617">
      <c r="A617" s="7" t="n"/>
      <c r="B617" s="7" t="n"/>
      <c r="C617" s="7" t="n"/>
      <c r="D617" s="7" t="n"/>
      <c r="E617" s="7" t="n"/>
    </row>
    <row r="618">
      <c r="A618" s="7" t="n"/>
      <c r="B618" s="7" t="n"/>
      <c r="C618" s="7" t="n"/>
      <c r="D618" s="7" t="n"/>
      <c r="E618" s="7" t="n"/>
    </row>
    <row r="619">
      <c r="A619" s="7" t="n"/>
      <c r="B619" s="7" t="n"/>
      <c r="C619" s="7" t="n"/>
      <c r="D619" s="7" t="n"/>
      <c r="E619" s="7" t="n"/>
    </row>
    <row r="620">
      <c r="A620" s="7" t="n"/>
      <c r="B620" s="7" t="n"/>
      <c r="C620" s="7" t="n"/>
      <c r="D620" s="7" t="n"/>
      <c r="E620" s="7" t="n"/>
    </row>
    <row r="621">
      <c r="A621" s="7" t="n"/>
      <c r="B621" s="7" t="n"/>
      <c r="C621" s="7" t="n"/>
      <c r="D621" s="7" t="n"/>
      <c r="E621" s="7" t="n"/>
    </row>
    <row r="622">
      <c r="A622" s="7" t="n"/>
      <c r="B622" s="7" t="n"/>
      <c r="C622" s="7" t="n"/>
      <c r="D622" s="7" t="n"/>
      <c r="E622" s="7" t="n"/>
    </row>
    <row r="623">
      <c r="A623" s="7" t="n"/>
      <c r="B623" s="7" t="n"/>
      <c r="C623" s="7" t="n"/>
      <c r="D623" s="7" t="n"/>
      <c r="E623" s="7" t="n"/>
    </row>
    <row r="624">
      <c r="A624" s="7" t="n"/>
      <c r="B624" s="7" t="n"/>
      <c r="C624" s="7" t="n"/>
      <c r="D624" s="7" t="n"/>
      <c r="E624" s="7" t="n"/>
    </row>
    <row r="625">
      <c r="A625" s="7" t="n"/>
      <c r="B625" s="7" t="n"/>
      <c r="C625" s="7" t="n"/>
      <c r="D625" s="7" t="n"/>
      <c r="E625" s="7" t="n"/>
    </row>
    <row r="626">
      <c r="A626" s="7" t="n"/>
      <c r="B626" s="7" t="n"/>
      <c r="C626" s="7" t="n"/>
      <c r="D626" s="7" t="n"/>
      <c r="E626" s="7" t="n"/>
    </row>
    <row r="627">
      <c r="A627" s="7" t="n"/>
      <c r="B627" s="7" t="n"/>
      <c r="C627" s="7" t="n"/>
      <c r="D627" s="7" t="n"/>
      <c r="E627" s="7" t="n"/>
    </row>
    <row r="628">
      <c r="A628" s="7" t="n"/>
      <c r="B628" s="7" t="n"/>
      <c r="C628" s="7" t="n"/>
      <c r="D628" s="7" t="n"/>
      <c r="E628" s="7" t="n"/>
    </row>
    <row r="629">
      <c r="A629" s="7" t="n"/>
      <c r="B629" s="7" t="n"/>
      <c r="C629" s="7" t="n"/>
      <c r="D629" s="7" t="n"/>
      <c r="E629" s="7" t="n"/>
    </row>
    <row r="630">
      <c r="A630" s="7" t="n"/>
      <c r="B630" s="7" t="n"/>
      <c r="C630" s="7" t="n"/>
      <c r="D630" s="7" t="n"/>
      <c r="E630" s="7" t="n"/>
    </row>
    <row r="631">
      <c r="A631" s="7" t="n"/>
      <c r="B631" s="7" t="n"/>
      <c r="C631" s="7" t="n"/>
      <c r="D631" s="7" t="n"/>
      <c r="E631" s="7" t="n"/>
    </row>
    <row r="632">
      <c r="A632" s="7" t="n"/>
      <c r="B632" s="7" t="n"/>
      <c r="C632" s="7" t="n"/>
      <c r="D632" s="7" t="n"/>
      <c r="E632" s="7" t="n"/>
    </row>
    <row r="633">
      <c r="A633" s="7" t="n"/>
      <c r="B633" s="7" t="n"/>
      <c r="C633" s="7" t="n"/>
      <c r="D633" s="7" t="n"/>
      <c r="E633" s="7" t="n"/>
    </row>
    <row r="634">
      <c r="A634" s="7" t="n"/>
      <c r="B634" s="7" t="n"/>
      <c r="C634" s="7" t="n"/>
      <c r="D634" s="7" t="n"/>
      <c r="E634" s="7" t="n"/>
    </row>
    <row r="635">
      <c r="A635" s="7" t="n"/>
      <c r="B635" s="7" t="n"/>
      <c r="C635" s="7" t="n"/>
      <c r="D635" s="7" t="n"/>
      <c r="E635" s="7" t="n"/>
    </row>
    <row r="636">
      <c r="A636" s="7" t="n"/>
      <c r="B636" s="7" t="n"/>
      <c r="C636" s="7" t="n"/>
      <c r="D636" s="7" t="n"/>
      <c r="E636" s="7" t="n"/>
    </row>
    <row r="637">
      <c r="A637" s="7" t="n"/>
      <c r="B637" s="7" t="n"/>
      <c r="C637" s="7" t="n"/>
      <c r="D637" s="7" t="n"/>
      <c r="E637" s="7" t="n"/>
    </row>
    <row r="638">
      <c r="A638" s="7" t="n"/>
      <c r="B638" s="7" t="n"/>
      <c r="C638" s="7" t="n"/>
      <c r="D638" s="7" t="n"/>
      <c r="E638" s="7" t="n"/>
    </row>
    <row r="639">
      <c r="A639" s="7" t="n"/>
      <c r="B639" s="7" t="n"/>
      <c r="C639" s="7" t="n"/>
      <c r="D639" s="7" t="n"/>
      <c r="E639" s="7" t="n"/>
    </row>
    <row r="640">
      <c r="A640" s="7" t="n"/>
      <c r="B640" s="7" t="n"/>
      <c r="C640" s="7" t="n"/>
      <c r="D640" s="7" t="n"/>
      <c r="E640" s="7" t="n"/>
    </row>
    <row r="641">
      <c r="A641" s="7" t="n"/>
      <c r="B641" s="7" t="n"/>
      <c r="C641" s="7" t="n"/>
      <c r="D641" s="7" t="n"/>
      <c r="E641" s="7" t="n"/>
    </row>
    <row r="642">
      <c r="A642" s="7" t="n"/>
      <c r="B642" s="7" t="n"/>
      <c r="C642" s="7" t="n"/>
      <c r="D642" s="7" t="n"/>
      <c r="E642" s="7" t="n"/>
    </row>
    <row r="643">
      <c r="A643" s="7" t="n"/>
      <c r="B643" s="7" t="n"/>
      <c r="C643" s="7" t="n"/>
      <c r="D643" s="7" t="n"/>
      <c r="E643" s="7" t="n"/>
    </row>
    <row r="644">
      <c r="A644" s="7" t="n"/>
      <c r="B644" s="7" t="n"/>
      <c r="C644" s="7" t="n"/>
      <c r="D644" s="7" t="n"/>
      <c r="E644" s="7" t="n"/>
    </row>
    <row r="645">
      <c r="A645" s="7" t="n"/>
      <c r="B645" s="7" t="n"/>
      <c r="C645" s="7" t="n"/>
      <c r="D645" s="7" t="n"/>
      <c r="E645" s="7" t="n"/>
    </row>
    <row r="646">
      <c r="A646" s="7" t="n"/>
      <c r="B646" s="7" t="n"/>
      <c r="C646" s="7" t="n"/>
      <c r="D646" s="7" t="n"/>
      <c r="E646" s="7" t="n"/>
    </row>
    <row r="647">
      <c r="A647" s="7" t="n"/>
      <c r="B647" s="7" t="n"/>
      <c r="C647" s="7" t="n"/>
      <c r="D647" s="7" t="n"/>
      <c r="E647" s="7" t="n"/>
    </row>
    <row r="648">
      <c r="A648" s="7" t="n"/>
      <c r="B648" s="7" t="n"/>
      <c r="C648" s="7" t="n"/>
      <c r="D648" s="7" t="n"/>
      <c r="E648" s="7" t="n"/>
    </row>
    <row r="649">
      <c r="A649" s="7" t="n"/>
      <c r="B649" s="7" t="n"/>
      <c r="C649" s="7" t="n"/>
      <c r="D649" s="7" t="n"/>
      <c r="E649" s="7" t="n"/>
    </row>
    <row r="650">
      <c r="A650" s="7" t="n"/>
      <c r="B650" s="7" t="n"/>
      <c r="C650" s="7" t="n"/>
      <c r="D650" s="7" t="n"/>
      <c r="E650" s="7" t="n"/>
    </row>
    <row r="651">
      <c r="A651" s="7" t="n"/>
      <c r="B651" s="7" t="n"/>
      <c r="C651" s="7" t="n"/>
      <c r="D651" s="7" t="n"/>
      <c r="E651" s="7" t="n"/>
    </row>
    <row r="652">
      <c r="A652" s="7" t="n"/>
      <c r="B652" s="7" t="n"/>
      <c r="C652" s="7" t="n"/>
      <c r="D652" s="7" t="n"/>
      <c r="E652" s="7" t="n"/>
    </row>
    <row r="653">
      <c r="A653" s="7" t="n"/>
      <c r="B653" s="7" t="n"/>
      <c r="C653" s="7" t="n"/>
      <c r="D653" s="7" t="n"/>
      <c r="E653" s="7" t="n"/>
    </row>
    <row r="654">
      <c r="A654" s="7" t="n"/>
      <c r="B654" s="7" t="n"/>
      <c r="C654" s="7" t="n"/>
      <c r="D654" s="7" t="n"/>
      <c r="E654" s="7" t="n"/>
    </row>
    <row r="655">
      <c r="A655" s="7" t="n"/>
      <c r="B655" s="7" t="n"/>
      <c r="C655" s="7" t="n"/>
      <c r="D655" s="7" t="n"/>
      <c r="E655" s="7" t="n"/>
    </row>
    <row r="656">
      <c r="A656" s="7" t="n"/>
      <c r="B656" s="7" t="n"/>
      <c r="C656" s="7" t="n"/>
      <c r="D656" s="7" t="n"/>
      <c r="E656" s="7" t="n"/>
    </row>
    <row r="657">
      <c r="A657" s="7" t="n"/>
      <c r="B657" s="7" t="n"/>
      <c r="C657" s="7" t="n"/>
      <c r="D657" s="7" t="n"/>
      <c r="E657" s="7" t="n"/>
    </row>
    <row r="658">
      <c r="A658" s="7" t="n"/>
      <c r="B658" s="7" t="n"/>
      <c r="C658" s="7" t="n"/>
      <c r="D658" s="7" t="n"/>
      <c r="E658" s="7" t="n"/>
    </row>
    <row r="659">
      <c r="A659" s="7" t="n"/>
      <c r="B659" s="7" t="n"/>
      <c r="C659" s="7" t="n"/>
      <c r="D659" s="7" t="n"/>
      <c r="E659" s="7" t="n"/>
    </row>
    <row r="660">
      <c r="A660" s="7" t="n"/>
      <c r="B660" s="7" t="n"/>
      <c r="C660" s="7" t="n"/>
      <c r="D660" s="7" t="n"/>
      <c r="E660" s="7" t="n"/>
    </row>
    <row r="661">
      <c r="A661" s="7" t="n"/>
      <c r="B661" s="7" t="n"/>
      <c r="C661" s="7" t="n"/>
      <c r="D661" s="7" t="n"/>
      <c r="E661" s="7" t="n"/>
    </row>
    <row r="662">
      <c r="A662" s="7" t="n"/>
      <c r="B662" s="7" t="n"/>
      <c r="C662" s="7" t="n"/>
      <c r="D662" s="7" t="n"/>
      <c r="E662" s="7" t="n"/>
    </row>
    <row r="663">
      <c r="A663" s="7" t="n"/>
      <c r="B663" s="7" t="n"/>
      <c r="C663" s="7" t="n"/>
      <c r="D663" s="7" t="n"/>
      <c r="E663" s="7" t="n"/>
    </row>
    <row r="664">
      <c r="A664" s="7" t="n"/>
      <c r="B664" s="7" t="n"/>
      <c r="C664" s="7" t="n"/>
      <c r="D664" s="7" t="n"/>
      <c r="E664" s="7" t="n"/>
    </row>
    <row r="665">
      <c r="A665" s="7" t="n"/>
      <c r="B665" s="7" t="n"/>
      <c r="C665" s="7" t="n"/>
      <c r="D665" s="7" t="n"/>
      <c r="E665" s="7" t="n"/>
    </row>
    <row r="666">
      <c r="A666" s="7" t="n"/>
      <c r="B666" s="7" t="n"/>
      <c r="C666" s="7" t="n"/>
      <c r="D666" s="7" t="n"/>
      <c r="E666" s="7" t="n"/>
    </row>
    <row r="667">
      <c r="A667" s="7" t="n"/>
      <c r="B667" s="7" t="n"/>
      <c r="C667" s="7" t="n"/>
      <c r="D667" s="7" t="n"/>
      <c r="E667" s="7" t="n"/>
    </row>
    <row r="668">
      <c r="A668" s="7" t="n"/>
      <c r="B668" s="7" t="n"/>
      <c r="C668" s="7" t="n"/>
      <c r="D668" s="7" t="n"/>
      <c r="E668" s="7" t="n"/>
    </row>
    <row r="669">
      <c r="A669" s="7" t="n"/>
      <c r="B669" s="7" t="n"/>
      <c r="C669" s="7" t="n"/>
      <c r="D669" s="7" t="n"/>
      <c r="E669" s="7" t="n"/>
    </row>
    <row r="670">
      <c r="A670" s="7" t="n"/>
      <c r="B670" s="7" t="n"/>
      <c r="C670" s="7" t="n"/>
      <c r="D670" s="7" t="n"/>
      <c r="E670" s="7" t="n"/>
    </row>
    <row r="671">
      <c r="A671" s="7" t="n"/>
      <c r="B671" s="7" t="n"/>
      <c r="C671" s="7" t="n"/>
      <c r="D671" s="7" t="n"/>
      <c r="E671" s="7" t="n"/>
    </row>
    <row r="672">
      <c r="A672" s="7" t="n"/>
      <c r="B672" s="7" t="n"/>
      <c r="C672" s="7" t="n"/>
      <c r="D672" s="7" t="n"/>
      <c r="E672" s="7" t="n"/>
    </row>
    <row r="673">
      <c r="A673" s="7" t="n"/>
      <c r="B673" s="7" t="n"/>
      <c r="C673" s="7" t="n"/>
      <c r="D673" s="7" t="n"/>
      <c r="E673" s="7" t="n"/>
    </row>
    <row r="674">
      <c r="A674" s="7" t="n"/>
      <c r="B674" s="7" t="n"/>
      <c r="C674" s="7" t="n"/>
      <c r="D674" s="7" t="n"/>
      <c r="E674" s="7" t="n"/>
    </row>
    <row r="675">
      <c r="A675" s="7" t="n"/>
      <c r="B675" s="7" t="n"/>
      <c r="C675" s="7" t="n"/>
      <c r="D675" s="7" t="n"/>
      <c r="E675" s="7" t="n"/>
    </row>
    <row r="676">
      <c r="A676" s="7" t="n"/>
      <c r="B676" s="7" t="n"/>
      <c r="C676" s="7" t="n"/>
      <c r="D676" s="7" t="n"/>
      <c r="E676" s="7" t="n"/>
    </row>
    <row r="677">
      <c r="A677" s="7" t="n"/>
      <c r="B677" s="7" t="n"/>
      <c r="C677" s="7" t="n"/>
      <c r="D677" s="7" t="n"/>
      <c r="E677" s="7" t="n"/>
    </row>
    <row r="678">
      <c r="A678" s="7" t="n"/>
      <c r="B678" s="7" t="n"/>
      <c r="C678" s="7" t="n"/>
      <c r="D678" s="7" t="n"/>
      <c r="E678" s="7" t="n"/>
    </row>
    <row r="679">
      <c r="A679" s="7" t="n"/>
      <c r="B679" s="7" t="n"/>
      <c r="C679" s="7" t="n"/>
      <c r="D679" s="7" t="n"/>
      <c r="E679" s="7" t="n"/>
    </row>
    <row r="680">
      <c r="A680" s="7" t="n"/>
      <c r="B680" s="7" t="n"/>
      <c r="C680" s="7" t="n"/>
      <c r="D680" s="7" t="n"/>
      <c r="E680" s="7" t="n"/>
    </row>
    <row r="681">
      <c r="A681" s="7" t="n"/>
      <c r="B681" s="7" t="n"/>
      <c r="C681" s="7" t="n"/>
      <c r="D681" s="7" t="n"/>
      <c r="E681" s="7" t="n"/>
    </row>
    <row r="682">
      <c r="A682" s="7" t="n"/>
      <c r="B682" s="7" t="n"/>
      <c r="C682" s="7" t="n"/>
      <c r="D682" s="7" t="n"/>
      <c r="E682" s="7" t="n"/>
    </row>
    <row r="683">
      <c r="A683" s="7" t="n"/>
      <c r="B683" s="7" t="n"/>
      <c r="C683" s="7" t="n"/>
      <c r="D683" s="7" t="n"/>
      <c r="E683" s="7" t="n"/>
    </row>
    <row r="684">
      <c r="A684" s="7" t="n"/>
      <c r="B684" s="7" t="n"/>
      <c r="C684" s="7" t="n"/>
      <c r="D684" s="7" t="n"/>
      <c r="E684" s="7" t="n"/>
    </row>
    <row r="685">
      <c r="A685" s="7" t="n"/>
      <c r="B685" s="7" t="n"/>
      <c r="C685" s="7" t="n"/>
      <c r="D685" s="7" t="n"/>
      <c r="E685" s="7" t="n"/>
    </row>
    <row r="686">
      <c r="A686" s="7" t="n"/>
      <c r="B686" s="7" t="n"/>
      <c r="C686" s="7" t="n"/>
      <c r="D686" s="7" t="n"/>
      <c r="E686" s="7" t="n"/>
    </row>
    <row r="687">
      <c r="A687" s="7" t="n"/>
      <c r="B687" s="7" t="n"/>
      <c r="C687" s="7" t="n"/>
      <c r="D687" s="7" t="n"/>
      <c r="E687" s="7" t="n"/>
    </row>
    <row r="688">
      <c r="A688" s="7" t="n"/>
      <c r="B688" s="7" t="n"/>
      <c r="C688" s="7" t="n"/>
      <c r="D688" s="7" t="n"/>
      <c r="E688" s="7" t="n"/>
    </row>
    <row r="689">
      <c r="A689" s="7" t="n"/>
      <c r="B689" s="7" t="n"/>
      <c r="C689" s="7" t="n"/>
      <c r="D689" s="7" t="n"/>
      <c r="E689" s="7" t="n"/>
    </row>
    <row r="690">
      <c r="A690" s="7" t="n"/>
      <c r="B690" s="7" t="n"/>
      <c r="C690" s="7" t="n"/>
      <c r="D690" s="7" t="n"/>
      <c r="E690" s="7" t="n"/>
    </row>
    <row r="691">
      <c r="A691" s="7" t="n"/>
      <c r="B691" s="7" t="n"/>
      <c r="C691" s="7" t="n"/>
      <c r="D691" s="7" t="n"/>
      <c r="E691" s="7" t="n"/>
    </row>
    <row r="692">
      <c r="A692" s="7" t="n"/>
      <c r="B692" s="7" t="n"/>
      <c r="C692" s="7" t="n"/>
      <c r="D692" s="7" t="n"/>
      <c r="E692" s="7" t="n"/>
    </row>
    <row r="693">
      <c r="A693" s="7" t="n"/>
      <c r="B693" s="7" t="n"/>
      <c r="C693" s="7" t="n"/>
      <c r="D693" s="7" t="n"/>
      <c r="E693" s="7" t="n"/>
    </row>
    <row r="694">
      <c r="A694" s="7" t="n"/>
      <c r="B694" s="7" t="n"/>
      <c r="C694" s="7" t="n"/>
      <c r="D694" s="7" t="n"/>
      <c r="E694" s="7" t="n"/>
    </row>
    <row r="695">
      <c r="A695" s="7" t="n"/>
      <c r="B695" s="7" t="n"/>
      <c r="C695" s="7" t="n"/>
      <c r="D695" s="7" t="n"/>
      <c r="E695" s="7" t="n"/>
    </row>
    <row r="696">
      <c r="A696" s="7" t="n"/>
      <c r="B696" s="7" t="n"/>
      <c r="C696" s="7" t="n"/>
      <c r="D696" s="7" t="n"/>
      <c r="E696" s="7" t="n"/>
    </row>
    <row r="697">
      <c r="A697" s="7" t="n"/>
      <c r="B697" s="7" t="n"/>
      <c r="C697" s="7" t="n"/>
      <c r="D697" s="7" t="n"/>
      <c r="E697" s="7" t="n"/>
    </row>
    <row r="698">
      <c r="A698" s="7" t="n"/>
      <c r="B698" s="7" t="n"/>
      <c r="C698" s="7" t="n"/>
      <c r="D698" s="7" t="n"/>
      <c r="E698" s="7" t="n"/>
    </row>
    <row r="699">
      <c r="A699" s="7" t="n"/>
      <c r="B699" s="7" t="n"/>
      <c r="C699" s="7" t="n"/>
      <c r="D699" s="7" t="n"/>
      <c r="E699" s="7" t="n"/>
    </row>
    <row r="700">
      <c r="A700" s="7" t="n"/>
      <c r="B700" s="7" t="n"/>
      <c r="C700" s="7" t="n"/>
      <c r="D700" s="7" t="n"/>
      <c r="E700" s="7" t="n"/>
    </row>
    <row r="701">
      <c r="A701" s="7" t="n"/>
      <c r="B701" s="7" t="n"/>
      <c r="C701" s="7" t="n"/>
      <c r="D701" s="7" t="n"/>
      <c r="E701" s="7" t="n"/>
    </row>
    <row r="702">
      <c r="A702" s="7" t="n"/>
      <c r="B702" s="7" t="n"/>
      <c r="C702" s="7" t="n"/>
      <c r="D702" s="7" t="n"/>
      <c r="E702" s="7" t="n"/>
    </row>
    <row r="703">
      <c r="A703" s="7" t="n"/>
      <c r="B703" s="7" t="n"/>
      <c r="C703" s="7" t="n"/>
      <c r="D703" s="7" t="n"/>
      <c r="E703" s="7" t="n"/>
    </row>
    <row r="704">
      <c r="A704" s="7" t="n"/>
      <c r="B704" s="7" t="n"/>
      <c r="C704" s="7" t="n"/>
      <c r="D704" s="7" t="n"/>
      <c r="E704" s="7" t="n"/>
    </row>
    <row r="705">
      <c r="A705" s="7" t="n"/>
      <c r="B705" s="7" t="n"/>
      <c r="C705" s="7" t="n"/>
      <c r="D705" s="7" t="n"/>
      <c r="E705" s="7" t="n"/>
    </row>
    <row r="706">
      <c r="A706" s="7" t="n"/>
      <c r="B706" s="7" t="n"/>
      <c r="C706" s="7" t="n"/>
      <c r="D706" s="7" t="n"/>
      <c r="E706" s="7" t="n"/>
    </row>
    <row r="707">
      <c r="A707" s="7" t="n"/>
      <c r="B707" s="7" t="n"/>
      <c r="C707" s="7" t="n"/>
      <c r="D707" s="7" t="n"/>
      <c r="E707" s="7" t="n"/>
    </row>
    <row r="708">
      <c r="A708" s="7" t="n"/>
      <c r="B708" s="7" t="n"/>
      <c r="C708" s="7" t="n"/>
      <c r="D708" s="7" t="n"/>
      <c r="E708" s="7" t="n"/>
    </row>
    <row r="709">
      <c r="A709" s="7" t="n"/>
      <c r="B709" s="7" t="n"/>
      <c r="C709" s="7" t="n"/>
      <c r="D709" s="7" t="n"/>
      <c r="E709" s="7" t="n"/>
    </row>
    <row r="710">
      <c r="A710" s="7" t="n"/>
      <c r="B710" s="7" t="n"/>
      <c r="C710" s="7" t="n"/>
      <c r="D710" s="7" t="n"/>
      <c r="E710" s="7" t="n"/>
    </row>
    <row r="711">
      <c r="A711" s="7" t="n"/>
      <c r="B711" s="7" t="n"/>
      <c r="C711" s="7" t="n"/>
      <c r="D711" s="7" t="n"/>
      <c r="E711" s="7" t="n"/>
    </row>
    <row r="712">
      <c r="A712" s="7" t="n"/>
      <c r="B712" s="7" t="n"/>
      <c r="C712" s="7" t="n"/>
      <c r="D712" s="7" t="n"/>
      <c r="E712" s="7" t="n"/>
    </row>
    <row r="713">
      <c r="A713" s="7" t="n"/>
      <c r="B713" s="7" t="n"/>
      <c r="C713" s="7" t="n"/>
      <c r="D713" s="7" t="n"/>
      <c r="E713" s="7" t="n"/>
    </row>
    <row r="714">
      <c r="A714" s="7" t="n"/>
      <c r="B714" s="7" t="n"/>
      <c r="C714" s="7" t="n"/>
      <c r="D714" s="7" t="n"/>
      <c r="E714" s="7" t="n"/>
    </row>
    <row r="715">
      <c r="A715" s="7" t="n"/>
      <c r="B715" s="7" t="n"/>
      <c r="C715" s="7" t="n"/>
      <c r="D715" s="7" t="n"/>
      <c r="E715" s="7" t="n"/>
    </row>
    <row r="716">
      <c r="A716" s="7" t="n"/>
      <c r="B716" s="7" t="n"/>
      <c r="C716" s="7" t="n"/>
      <c r="D716" s="7" t="n"/>
      <c r="E716" s="7" t="n"/>
    </row>
    <row r="717">
      <c r="A717" s="7" t="n"/>
      <c r="B717" s="7" t="n"/>
      <c r="C717" s="7" t="n"/>
      <c r="D717" s="7" t="n"/>
      <c r="E717" s="7" t="n"/>
    </row>
    <row r="718">
      <c r="A718" s="7" t="n"/>
      <c r="B718" s="7" t="n"/>
      <c r="C718" s="7" t="n"/>
      <c r="D718" s="7" t="n"/>
      <c r="E718" s="7" t="n"/>
    </row>
    <row r="719">
      <c r="A719" s="7" t="n"/>
      <c r="B719" s="7" t="n"/>
      <c r="C719" s="7" t="n"/>
      <c r="D719" s="7" t="n"/>
      <c r="E719" s="7" t="n"/>
    </row>
    <row r="720">
      <c r="A720" s="7" t="n"/>
      <c r="B720" s="7" t="n"/>
      <c r="C720" s="7" t="n"/>
      <c r="D720" s="7" t="n"/>
      <c r="E720" s="7" t="n"/>
    </row>
    <row r="721">
      <c r="A721" s="7" t="n"/>
      <c r="B721" s="7" t="n"/>
      <c r="C721" s="7" t="n"/>
      <c r="D721" s="7" t="n"/>
      <c r="E721" s="7" t="n"/>
    </row>
    <row r="722">
      <c r="A722" s="7" t="n"/>
      <c r="B722" s="7" t="n"/>
      <c r="C722" s="7" t="n"/>
      <c r="D722" s="7" t="n"/>
      <c r="E722" s="7" t="n"/>
    </row>
    <row r="723">
      <c r="A723" s="7" t="n"/>
      <c r="B723" s="7" t="n"/>
      <c r="C723" s="7" t="n"/>
      <c r="D723" s="7" t="n"/>
      <c r="E723" s="7" t="n"/>
    </row>
    <row r="724">
      <c r="A724" s="7" t="n"/>
      <c r="B724" s="7" t="n"/>
      <c r="C724" s="7" t="n"/>
      <c r="D724" s="7" t="n"/>
      <c r="E724" s="7" t="n"/>
    </row>
    <row r="725">
      <c r="A725" s="7" t="n"/>
      <c r="B725" s="7" t="n"/>
      <c r="C725" s="7" t="n"/>
      <c r="D725" s="7" t="n"/>
      <c r="E725" s="7" t="n"/>
    </row>
    <row r="726">
      <c r="A726" s="7" t="n"/>
      <c r="B726" s="7" t="n"/>
      <c r="C726" s="7" t="n"/>
      <c r="D726" s="7" t="n"/>
      <c r="E726" s="7" t="n"/>
    </row>
    <row r="727">
      <c r="A727" s="7" t="n"/>
      <c r="B727" s="7" t="n"/>
      <c r="C727" s="7" t="n"/>
      <c r="D727" s="7" t="n"/>
      <c r="E727" s="7" t="n"/>
    </row>
    <row r="728">
      <c r="A728" s="7" t="n"/>
      <c r="B728" s="7" t="n"/>
      <c r="C728" s="7" t="n"/>
      <c r="D728" s="7" t="n"/>
      <c r="E728" s="7" t="n"/>
    </row>
    <row r="729">
      <c r="A729" s="7" t="n"/>
      <c r="B729" s="7" t="n"/>
      <c r="C729" s="7" t="n"/>
      <c r="D729" s="7" t="n"/>
      <c r="E729" s="7" t="n"/>
    </row>
    <row r="730">
      <c r="A730" s="7" t="n"/>
      <c r="B730" s="7" t="n"/>
      <c r="C730" s="7" t="n"/>
      <c r="D730" s="7" t="n"/>
      <c r="E730" s="7" t="n"/>
    </row>
    <row r="731">
      <c r="A731" s="7" t="n"/>
      <c r="B731" s="7" t="n"/>
      <c r="C731" s="7" t="n"/>
      <c r="D731" s="7" t="n"/>
      <c r="E731" s="7" t="n"/>
    </row>
    <row r="732">
      <c r="A732" s="7" t="n"/>
      <c r="B732" s="7" t="n"/>
      <c r="C732" s="7" t="n"/>
      <c r="D732" s="7" t="n"/>
      <c r="E732" s="7" t="n"/>
    </row>
    <row r="733">
      <c r="A733" s="7" t="n"/>
      <c r="B733" s="7" t="n"/>
      <c r="C733" s="7" t="n"/>
      <c r="D733" s="7" t="n"/>
      <c r="E733" s="7" t="n"/>
    </row>
    <row r="734">
      <c r="A734" s="7" t="n"/>
      <c r="B734" s="7" t="n"/>
      <c r="C734" s="7" t="n"/>
      <c r="D734" s="7" t="n"/>
      <c r="E734" s="7" t="n"/>
    </row>
    <row r="735">
      <c r="A735" s="7" t="n"/>
      <c r="B735" s="7" t="n"/>
      <c r="C735" s="7" t="n"/>
      <c r="D735" s="7" t="n"/>
      <c r="E735" s="7" t="n"/>
    </row>
    <row r="736">
      <c r="A736" s="7" t="n"/>
      <c r="B736" s="7" t="n"/>
      <c r="C736" s="7" t="n"/>
      <c r="D736" s="7" t="n"/>
      <c r="E736" s="7" t="n"/>
    </row>
    <row r="737">
      <c r="A737" s="7" t="n"/>
      <c r="B737" s="7" t="n"/>
      <c r="C737" s="7" t="n"/>
      <c r="D737" s="7" t="n"/>
      <c r="E737" s="7" t="n"/>
    </row>
    <row r="738">
      <c r="A738" s="7" t="n"/>
      <c r="B738" s="7" t="n"/>
      <c r="C738" s="7" t="n"/>
      <c r="D738" s="7" t="n"/>
      <c r="E738" s="7" t="n"/>
    </row>
    <row r="739">
      <c r="A739" s="7" t="n"/>
      <c r="B739" s="7" t="n"/>
      <c r="C739" s="7" t="n"/>
      <c r="D739" s="7" t="n"/>
      <c r="E739" s="7" t="n"/>
    </row>
    <row r="740">
      <c r="A740" s="7" t="n"/>
      <c r="B740" s="7" t="n"/>
      <c r="C740" s="7" t="n"/>
      <c r="D740" s="7" t="n"/>
      <c r="E740" s="7" t="n"/>
    </row>
    <row r="741">
      <c r="A741" s="7" t="n"/>
      <c r="B741" s="7" t="n"/>
      <c r="C741" s="7" t="n"/>
      <c r="D741" s="7" t="n"/>
      <c r="E741" s="7" t="n"/>
    </row>
    <row r="742">
      <c r="A742" s="7" t="n"/>
      <c r="B742" s="7" t="n"/>
      <c r="C742" s="7" t="n"/>
      <c r="D742" s="7" t="n"/>
      <c r="E742" s="7" t="n"/>
    </row>
    <row r="743">
      <c r="A743" s="7" t="n"/>
      <c r="B743" s="7" t="n"/>
      <c r="C743" s="7" t="n"/>
      <c r="D743" s="7" t="n"/>
      <c r="E743" s="7" t="n"/>
    </row>
    <row r="744">
      <c r="A744" s="7" t="n"/>
      <c r="B744" s="7" t="n"/>
      <c r="C744" s="7" t="n"/>
      <c r="D744" s="7" t="n"/>
      <c r="E744" s="7" t="n"/>
    </row>
    <row r="745">
      <c r="A745" s="7" t="n"/>
      <c r="B745" s="7" t="n"/>
      <c r="C745" s="7" t="n"/>
      <c r="D745" s="7" t="n"/>
      <c r="E745" s="7" t="n"/>
    </row>
    <row r="746">
      <c r="A746" s="7" t="n"/>
      <c r="B746" s="7" t="n"/>
      <c r="C746" s="7" t="n"/>
      <c r="D746" s="7" t="n"/>
      <c r="E746" s="7" t="n"/>
    </row>
    <row r="747">
      <c r="A747" s="7" t="n"/>
      <c r="B747" s="7" t="n"/>
      <c r="C747" s="7" t="n"/>
      <c r="D747" s="7" t="n"/>
      <c r="E747" s="7" t="n"/>
    </row>
    <row r="748">
      <c r="A748" s="7" t="n"/>
      <c r="B748" s="7" t="n"/>
      <c r="C748" s="7" t="n"/>
      <c r="D748" s="7" t="n"/>
      <c r="E748" s="7" t="n"/>
    </row>
    <row r="749">
      <c r="A749" s="7" t="n"/>
      <c r="B749" s="7" t="n"/>
      <c r="C749" s="7" t="n"/>
      <c r="D749" s="7" t="n"/>
      <c r="E749" s="7" t="n"/>
    </row>
    <row r="750">
      <c r="A750" s="7" t="n"/>
      <c r="B750" s="7" t="n"/>
      <c r="C750" s="7" t="n"/>
      <c r="D750" s="7" t="n"/>
      <c r="E750" s="7" t="n"/>
    </row>
    <row r="751">
      <c r="A751" s="7" t="n"/>
      <c r="B751" s="7" t="n"/>
      <c r="C751" s="7" t="n"/>
      <c r="D751" s="7" t="n"/>
      <c r="E751" s="7" t="n"/>
    </row>
    <row r="752">
      <c r="A752" s="7" t="n"/>
      <c r="B752" s="7" t="n"/>
      <c r="C752" s="7" t="n"/>
      <c r="D752" s="7" t="n"/>
      <c r="E752" s="7" t="n"/>
    </row>
    <row r="753">
      <c r="A753" s="7" t="n"/>
      <c r="B753" s="7" t="n"/>
      <c r="C753" s="7" t="n"/>
      <c r="D753" s="7" t="n"/>
      <c r="E753" s="7" t="n"/>
    </row>
    <row r="754">
      <c r="A754" s="7" t="n"/>
      <c r="B754" s="7" t="n"/>
      <c r="C754" s="7" t="n"/>
      <c r="D754" s="7" t="n"/>
      <c r="E754" s="7" t="n"/>
    </row>
    <row r="755">
      <c r="A755" s="7" t="n"/>
      <c r="B755" s="7" t="n"/>
      <c r="C755" s="7" t="n"/>
      <c r="D755" s="7" t="n"/>
      <c r="E755" s="7" t="n"/>
    </row>
    <row r="756">
      <c r="A756" s="7" t="n"/>
      <c r="B756" s="7" t="n"/>
      <c r="C756" s="7" t="n"/>
      <c r="D756" s="7" t="n"/>
      <c r="E756" s="7" t="n"/>
    </row>
    <row r="757">
      <c r="A757" s="7" t="n"/>
      <c r="B757" s="7" t="n"/>
      <c r="C757" s="7" t="n"/>
      <c r="D757" s="7" t="n"/>
      <c r="E757" s="7" t="n"/>
    </row>
    <row r="758">
      <c r="A758" s="7" t="n"/>
      <c r="B758" s="7" t="n"/>
      <c r="C758" s="7" t="n"/>
      <c r="D758" s="7" t="n"/>
      <c r="E758" s="7" t="n"/>
    </row>
    <row r="759">
      <c r="A759" s="7" t="n"/>
      <c r="B759" s="7" t="n"/>
      <c r="C759" s="7" t="n"/>
      <c r="D759" s="7" t="n"/>
      <c r="E759" s="7" t="n"/>
    </row>
    <row r="760">
      <c r="A760" s="7" t="n"/>
      <c r="B760" s="7" t="n"/>
      <c r="C760" s="7" t="n"/>
      <c r="D760" s="7" t="n"/>
      <c r="E760" s="7" t="n"/>
    </row>
    <row r="761">
      <c r="A761" s="7" t="n"/>
      <c r="B761" s="7" t="n"/>
      <c r="C761" s="7" t="n"/>
      <c r="D761" s="7" t="n"/>
      <c r="E761" s="7" t="n"/>
    </row>
    <row r="762">
      <c r="A762" s="7" t="n"/>
      <c r="B762" s="7" t="n"/>
      <c r="C762" s="7" t="n"/>
      <c r="D762" s="7" t="n"/>
      <c r="E762" s="7" t="n"/>
    </row>
    <row r="763">
      <c r="A763" s="7" t="n"/>
      <c r="B763" s="7" t="n"/>
      <c r="C763" s="7" t="n"/>
      <c r="D763" s="7" t="n"/>
      <c r="E763" s="7" t="n"/>
    </row>
    <row r="764">
      <c r="A764" s="7" t="n"/>
      <c r="B764" s="7" t="n"/>
      <c r="C764" s="7" t="n"/>
      <c r="D764" s="7" t="n"/>
      <c r="E764" s="7" t="n"/>
    </row>
    <row r="765">
      <c r="A765" s="7" t="n"/>
      <c r="B765" s="7" t="n"/>
      <c r="C765" s="7" t="n"/>
      <c r="D765" s="7" t="n"/>
      <c r="E765" s="7" t="n"/>
    </row>
    <row r="766">
      <c r="A766" s="7" t="n"/>
      <c r="B766" s="7" t="n"/>
      <c r="C766" s="7" t="n"/>
      <c r="D766" s="7" t="n"/>
      <c r="E766" s="7" t="n"/>
    </row>
    <row r="767">
      <c r="A767" s="7" t="n"/>
      <c r="B767" s="7" t="n"/>
      <c r="C767" s="7" t="n"/>
      <c r="D767" s="7" t="n"/>
      <c r="E767" s="7" t="n"/>
    </row>
    <row r="768">
      <c r="A768" s="7" t="n"/>
      <c r="B768" s="7" t="n"/>
      <c r="C768" s="7" t="n"/>
      <c r="D768" s="7" t="n"/>
      <c r="E768" s="7" t="n"/>
    </row>
    <row r="769">
      <c r="A769" s="7" t="n"/>
      <c r="B769" s="7" t="n"/>
      <c r="C769" s="7" t="n"/>
      <c r="D769" s="7" t="n"/>
      <c r="E769" s="7" t="n"/>
    </row>
    <row r="770">
      <c r="A770" s="7" t="n"/>
      <c r="B770" s="7" t="n"/>
      <c r="C770" s="7" t="n"/>
      <c r="D770" s="7" t="n"/>
      <c r="E770" s="7" t="n"/>
    </row>
    <row r="771">
      <c r="A771" s="7" t="n"/>
      <c r="B771" s="7" t="n"/>
      <c r="C771" s="7" t="n"/>
      <c r="D771" s="7" t="n"/>
      <c r="E771" s="7" t="n"/>
    </row>
    <row r="772">
      <c r="A772" s="7" t="n"/>
      <c r="B772" s="7" t="n"/>
      <c r="C772" s="7" t="n"/>
      <c r="D772" s="7" t="n"/>
      <c r="E772" s="7" t="n"/>
    </row>
    <row r="773">
      <c r="A773" s="7" t="n"/>
      <c r="B773" s="7" t="n"/>
      <c r="C773" s="7" t="n"/>
      <c r="D773" s="7" t="n"/>
      <c r="E773" s="7" t="n"/>
    </row>
    <row r="774">
      <c r="A774" s="7" t="n"/>
      <c r="B774" s="7" t="n"/>
      <c r="C774" s="7" t="n"/>
      <c r="D774" s="7" t="n"/>
      <c r="E774" s="7" t="n"/>
    </row>
    <row r="775">
      <c r="A775" s="7" t="n"/>
      <c r="B775" s="7" t="n"/>
      <c r="C775" s="7" t="n"/>
      <c r="D775" s="7" t="n"/>
      <c r="E775" s="7" t="n"/>
    </row>
    <row r="776">
      <c r="A776" s="7" t="n"/>
      <c r="B776" s="7" t="n"/>
      <c r="C776" s="7" t="n"/>
      <c r="D776" s="7" t="n"/>
      <c r="E776" s="7" t="n"/>
    </row>
    <row r="777">
      <c r="A777" s="7" t="n"/>
      <c r="B777" s="7" t="n"/>
      <c r="C777" s="7" t="n"/>
      <c r="D777" s="7" t="n"/>
      <c r="E777" s="7" t="n"/>
    </row>
    <row r="778">
      <c r="A778" s="7" t="n"/>
      <c r="B778" s="7" t="n"/>
      <c r="C778" s="7" t="n"/>
      <c r="D778" s="7" t="n"/>
      <c r="E778" s="7" t="n"/>
    </row>
    <row r="779">
      <c r="A779" s="7" t="n"/>
      <c r="B779" s="7" t="n"/>
      <c r="C779" s="7" t="n"/>
      <c r="D779" s="7" t="n"/>
      <c r="E779" s="7" t="n"/>
    </row>
    <row r="780">
      <c r="A780" s="7" t="n"/>
      <c r="B780" s="7" t="n"/>
      <c r="C780" s="7" t="n"/>
      <c r="D780" s="7" t="n"/>
      <c r="E780" s="7" t="n"/>
    </row>
    <row r="781">
      <c r="A781" s="7" t="n"/>
      <c r="B781" s="7" t="n"/>
      <c r="C781" s="7" t="n"/>
      <c r="D781" s="7" t="n"/>
      <c r="E781" s="7" t="n"/>
    </row>
    <row r="782">
      <c r="A782" s="7" t="n"/>
      <c r="B782" s="7" t="n"/>
      <c r="C782" s="7" t="n"/>
      <c r="D782" s="7" t="n"/>
      <c r="E782" s="7" t="n"/>
    </row>
    <row r="783">
      <c r="A783" s="7" t="n"/>
      <c r="B783" s="7" t="n"/>
      <c r="C783" s="7" t="n"/>
      <c r="D783" s="7" t="n"/>
      <c r="E783" s="7" t="n"/>
    </row>
    <row r="784">
      <c r="A784" s="7" t="n"/>
      <c r="B784" s="7" t="n"/>
      <c r="C784" s="7" t="n"/>
      <c r="D784" s="7" t="n"/>
      <c r="E784" s="7" t="n"/>
    </row>
    <row r="785">
      <c r="A785" s="7" t="n"/>
      <c r="B785" s="7" t="n"/>
      <c r="C785" s="7" t="n"/>
      <c r="D785" s="7" t="n"/>
      <c r="E785" s="7" t="n"/>
    </row>
    <row r="786">
      <c r="A786" s="7" t="n"/>
      <c r="B786" s="7" t="n"/>
      <c r="C786" s="7" t="n"/>
      <c r="D786" s="7" t="n"/>
      <c r="E786" s="7" t="n"/>
    </row>
    <row r="787">
      <c r="A787" s="7" t="n"/>
      <c r="B787" s="7" t="n"/>
      <c r="C787" s="7" t="n"/>
      <c r="D787" s="7" t="n"/>
      <c r="E787" s="7" t="n"/>
    </row>
    <row r="788">
      <c r="A788" s="7" t="n"/>
      <c r="B788" s="7" t="n"/>
      <c r="C788" s="7" t="n"/>
      <c r="D788" s="7" t="n"/>
      <c r="E788" s="7" t="n"/>
    </row>
    <row r="789">
      <c r="A789" s="7" t="n"/>
      <c r="B789" s="7" t="n"/>
      <c r="C789" s="7" t="n"/>
      <c r="D789" s="7" t="n"/>
      <c r="E789" s="7" t="n"/>
    </row>
    <row r="790">
      <c r="A790" s="7" t="n"/>
      <c r="B790" s="7" t="n"/>
      <c r="C790" s="7" t="n"/>
      <c r="D790" s="7" t="n"/>
      <c r="E790" s="7" t="n"/>
    </row>
    <row r="791">
      <c r="A791" s="7" t="n"/>
      <c r="B791" s="7" t="n"/>
      <c r="C791" s="7" t="n"/>
      <c r="D791" s="7" t="n"/>
      <c r="E791" s="7" t="n"/>
    </row>
    <row r="792">
      <c r="A792" s="7" t="n"/>
      <c r="B792" s="7" t="n"/>
      <c r="C792" s="7" t="n"/>
      <c r="D792" s="7" t="n"/>
      <c r="E792" s="7" t="n"/>
    </row>
    <row r="793">
      <c r="A793" s="7" t="n"/>
      <c r="B793" s="7" t="n"/>
      <c r="C793" s="7" t="n"/>
      <c r="D793" s="7" t="n"/>
      <c r="E793" s="7" t="n"/>
    </row>
    <row r="794">
      <c r="A794" s="7" t="n"/>
      <c r="B794" s="7" t="n"/>
      <c r="C794" s="7" t="n"/>
      <c r="D794" s="7" t="n"/>
      <c r="E794" s="7" t="n"/>
    </row>
    <row r="795">
      <c r="A795" s="7" t="n"/>
      <c r="B795" s="7" t="n"/>
      <c r="C795" s="7" t="n"/>
      <c r="D795" s="7" t="n"/>
      <c r="E795" s="7" t="n"/>
    </row>
    <row r="796">
      <c r="A796" s="7" t="n"/>
      <c r="B796" s="7" t="n"/>
      <c r="C796" s="7" t="n"/>
      <c r="D796" s="7" t="n"/>
      <c r="E796" s="7" t="n"/>
    </row>
    <row r="797">
      <c r="A797" s="7" t="n"/>
      <c r="B797" s="7" t="n"/>
      <c r="C797" s="7" t="n"/>
      <c r="D797" s="7" t="n"/>
      <c r="E797" s="7" t="n"/>
    </row>
    <row r="798">
      <c r="A798" s="7" t="n"/>
      <c r="B798" s="7" t="n"/>
      <c r="C798" s="7" t="n"/>
      <c r="D798" s="7" t="n"/>
      <c r="E798" s="7" t="n"/>
    </row>
    <row r="799">
      <c r="A799" s="7" t="n"/>
      <c r="B799" s="7" t="n"/>
      <c r="C799" s="7" t="n"/>
      <c r="D799" s="7" t="n"/>
      <c r="E799" s="7" t="n"/>
    </row>
    <row r="800">
      <c r="A800" s="7" t="n"/>
      <c r="B800" s="7" t="n"/>
      <c r="C800" s="7" t="n"/>
      <c r="D800" s="7" t="n"/>
      <c r="E800" s="7" t="n"/>
    </row>
    <row r="801">
      <c r="A801" s="7" t="n"/>
      <c r="B801" s="7" t="n"/>
      <c r="C801" s="7" t="n"/>
      <c r="D801" s="7" t="n"/>
      <c r="E801" s="7" t="n"/>
    </row>
    <row r="802">
      <c r="A802" s="7" t="n"/>
      <c r="B802" s="7" t="n"/>
      <c r="C802" s="7" t="n"/>
      <c r="D802" s="7" t="n"/>
      <c r="E802" s="7" t="n"/>
    </row>
    <row r="803">
      <c r="A803" s="7" t="n"/>
      <c r="B803" s="7" t="n"/>
      <c r="C803" s="7" t="n"/>
      <c r="D803" s="7" t="n"/>
      <c r="E803" s="7" t="n"/>
    </row>
    <row r="804">
      <c r="A804" s="7" t="n"/>
      <c r="B804" s="7" t="n"/>
      <c r="C804" s="7" t="n"/>
      <c r="D804" s="7" t="n"/>
      <c r="E804" s="7" t="n"/>
    </row>
    <row r="805">
      <c r="A805" s="7" t="n"/>
      <c r="B805" s="7" t="n"/>
      <c r="C805" s="7" t="n"/>
      <c r="D805" s="7" t="n"/>
      <c r="E805" s="7" t="n"/>
    </row>
    <row r="806">
      <c r="A806" s="7" t="n"/>
      <c r="B806" s="7" t="n"/>
      <c r="C806" s="7" t="n"/>
      <c r="D806" s="7" t="n"/>
      <c r="E806" s="7" t="n"/>
    </row>
    <row r="807">
      <c r="A807" s="7" t="n"/>
      <c r="B807" s="7" t="n"/>
      <c r="C807" s="7" t="n"/>
      <c r="D807" s="7" t="n"/>
      <c r="E807" s="7" t="n"/>
    </row>
    <row r="808">
      <c r="A808" s="7" t="n"/>
      <c r="B808" s="7" t="n"/>
      <c r="C808" s="7" t="n"/>
      <c r="D808" s="7" t="n"/>
      <c r="E808" s="7" t="n"/>
    </row>
    <row r="809">
      <c r="A809" s="7" t="n"/>
      <c r="B809" s="7" t="n"/>
      <c r="C809" s="7" t="n"/>
      <c r="D809" s="7" t="n"/>
      <c r="E809" s="7" t="n"/>
    </row>
    <row r="810">
      <c r="A810" s="7" t="n"/>
      <c r="B810" s="7" t="n"/>
      <c r="C810" s="7" t="n"/>
      <c r="D810" s="7" t="n"/>
      <c r="E810" s="7" t="n"/>
    </row>
    <row r="811">
      <c r="A811" s="7" t="n"/>
      <c r="B811" s="7" t="n"/>
      <c r="C811" s="7" t="n"/>
      <c r="D811" s="7" t="n"/>
      <c r="E811" s="7" t="n"/>
    </row>
    <row r="812">
      <c r="A812" s="7" t="n"/>
      <c r="B812" s="7" t="n"/>
      <c r="C812" s="7" t="n"/>
      <c r="D812" s="7" t="n"/>
      <c r="E812" s="7" t="n"/>
    </row>
    <row r="813">
      <c r="A813" s="7" t="n"/>
      <c r="B813" s="7" t="n"/>
      <c r="C813" s="7" t="n"/>
      <c r="D813" s="7" t="n"/>
      <c r="E813" s="7" t="n"/>
    </row>
    <row r="814">
      <c r="A814" s="7" t="n"/>
      <c r="B814" s="7" t="n"/>
      <c r="C814" s="7" t="n"/>
      <c r="D814" s="7" t="n"/>
      <c r="E814" s="7" t="n"/>
    </row>
    <row r="815">
      <c r="A815" s="7" t="n"/>
      <c r="B815" s="7" t="n"/>
      <c r="C815" s="7" t="n"/>
      <c r="D815" s="7" t="n"/>
      <c r="E815" s="7" t="n"/>
    </row>
    <row r="816">
      <c r="A816" s="7" t="n"/>
      <c r="B816" s="7" t="n"/>
      <c r="C816" s="7" t="n"/>
      <c r="D816" s="7" t="n"/>
      <c r="E816" s="7" t="n"/>
    </row>
    <row r="817">
      <c r="A817" s="7" t="n"/>
      <c r="B817" s="7" t="n"/>
      <c r="C817" s="7" t="n"/>
      <c r="D817" s="7" t="n"/>
      <c r="E817" s="7" t="n"/>
    </row>
    <row r="818">
      <c r="A818" s="7" t="n"/>
      <c r="B818" s="7" t="n"/>
      <c r="C818" s="7" t="n"/>
      <c r="D818" s="7" t="n"/>
      <c r="E818" s="7" t="n"/>
    </row>
    <row r="819">
      <c r="A819" s="7" t="n"/>
      <c r="B819" s="7" t="n"/>
      <c r="C819" s="7" t="n"/>
      <c r="D819" s="7" t="n"/>
      <c r="E819" s="7" t="n"/>
    </row>
    <row r="820">
      <c r="A820" s="7" t="n"/>
      <c r="B820" s="7" t="n"/>
      <c r="C820" s="7" t="n"/>
      <c r="D820" s="7" t="n"/>
      <c r="E820" s="7" t="n"/>
    </row>
    <row r="821">
      <c r="A821" s="7" t="n"/>
      <c r="B821" s="7" t="n"/>
      <c r="C821" s="7" t="n"/>
      <c r="D821" s="7" t="n"/>
      <c r="E821" s="7" t="n"/>
    </row>
    <row r="822">
      <c r="A822" s="7" t="n"/>
      <c r="B822" s="7" t="n"/>
      <c r="C822" s="7" t="n"/>
      <c r="D822" s="7" t="n"/>
      <c r="E822" s="7" t="n"/>
    </row>
    <row r="823">
      <c r="A823" s="7" t="n"/>
      <c r="B823" s="7" t="n"/>
      <c r="C823" s="7" t="n"/>
      <c r="D823" s="7" t="n"/>
      <c r="E823" s="7" t="n"/>
    </row>
    <row r="824">
      <c r="A824" s="7" t="n"/>
      <c r="B824" s="7" t="n"/>
      <c r="C824" s="7" t="n"/>
      <c r="D824" s="7" t="n"/>
      <c r="E824" s="7" t="n"/>
    </row>
    <row r="825">
      <c r="A825" s="7" t="n"/>
      <c r="B825" s="7" t="n"/>
      <c r="C825" s="7" t="n"/>
      <c r="D825" s="7" t="n"/>
      <c r="E825" s="7" t="n"/>
    </row>
    <row r="826">
      <c r="A826" s="7" t="n"/>
      <c r="B826" s="7" t="n"/>
      <c r="C826" s="7" t="n"/>
      <c r="D826" s="7" t="n"/>
      <c r="E826" s="7" t="n"/>
    </row>
    <row r="827">
      <c r="A827" s="7" t="n"/>
      <c r="B827" s="7" t="n"/>
      <c r="C827" s="7" t="n"/>
      <c r="D827" s="7" t="n"/>
      <c r="E827" s="7" t="n"/>
    </row>
    <row r="828">
      <c r="A828" s="7" t="n"/>
      <c r="B828" s="7" t="n"/>
      <c r="C828" s="7" t="n"/>
      <c r="D828" s="7" t="n"/>
      <c r="E828" s="7" t="n"/>
    </row>
    <row r="829">
      <c r="A829" s="7" t="n"/>
      <c r="B829" s="7" t="n"/>
      <c r="C829" s="7" t="n"/>
      <c r="D829" s="7" t="n"/>
      <c r="E829" s="7" t="n"/>
    </row>
    <row r="830">
      <c r="A830" s="7" t="n"/>
      <c r="B830" s="7" t="n"/>
      <c r="C830" s="7" t="n"/>
      <c r="D830" s="7" t="n"/>
      <c r="E830" s="7" t="n"/>
    </row>
    <row r="831">
      <c r="A831" s="7" t="n"/>
      <c r="B831" s="7" t="n"/>
      <c r="C831" s="7" t="n"/>
      <c r="D831" s="7" t="n"/>
      <c r="E831" s="7" t="n"/>
    </row>
    <row r="832">
      <c r="A832" s="7" t="n"/>
      <c r="B832" s="7" t="n"/>
      <c r="C832" s="7" t="n"/>
      <c r="D832" s="7" t="n"/>
      <c r="E832" s="7" t="n"/>
    </row>
    <row r="833">
      <c r="A833" s="7" t="n"/>
      <c r="B833" s="7" t="n"/>
      <c r="C833" s="7" t="n"/>
      <c r="D833" s="7" t="n"/>
      <c r="E833" s="7" t="n"/>
    </row>
    <row r="834">
      <c r="A834" s="7" t="n"/>
      <c r="B834" s="7" t="n"/>
      <c r="C834" s="7" t="n"/>
      <c r="D834" s="7" t="n"/>
      <c r="E834" s="7" t="n"/>
    </row>
    <row r="835">
      <c r="A835" s="7" t="n"/>
      <c r="B835" s="7" t="n"/>
      <c r="C835" s="7" t="n"/>
      <c r="D835" s="7" t="n"/>
      <c r="E835" s="7" t="n"/>
    </row>
    <row r="836">
      <c r="A836" s="7" t="n"/>
      <c r="B836" s="7" t="n"/>
      <c r="C836" s="7" t="n"/>
      <c r="D836" s="7" t="n"/>
      <c r="E836" s="7" t="n"/>
    </row>
    <row r="837">
      <c r="A837" s="7" t="n"/>
      <c r="B837" s="7" t="n"/>
      <c r="C837" s="7" t="n"/>
      <c r="D837" s="7" t="n"/>
      <c r="E837" s="7" t="n"/>
    </row>
    <row r="838">
      <c r="A838" s="7" t="n"/>
      <c r="B838" s="7" t="n"/>
      <c r="C838" s="7" t="n"/>
      <c r="D838" s="7" t="n"/>
      <c r="E838" s="7" t="n"/>
    </row>
    <row r="839">
      <c r="A839" s="7" t="n"/>
      <c r="B839" s="7" t="n"/>
      <c r="C839" s="7" t="n"/>
      <c r="D839" s="7" t="n"/>
      <c r="E839" s="7" t="n"/>
    </row>
    <row r="840">
      <c r="A840" s="7" t="n"/>
      <c r="B840" s="7" t="n"/>
      <c r="C840" s="7" t="n"/>
      <c r="D840" s="7" t="n"/>
      <c r="E840" s="7" t="n"/>
    </row>
    <row r="841">
      <c r="A841" s="7" t="n"/>
      <c r="B841" s="7" t="n"/>
      <c r="C841" s="7" t="n"/>
      <c r="D841" s="7" t="n"/>
      <c r="E841" s="7" t="n"/>
    </row>
    <row r="842">
      <c r="A842" s="7" t="n"/>
      <c r="B842" s="7" t="n"/>
      <c r="C842" s="7" t="n"/>
      <c r="D842" s="7" t="n"/>
      <c r="E842" s="7" t="n"/>
    </row>
    <row r="843">
      <c r="A843" s="7" t="n"/>
      <c r="B843" s="7" t="n"/>
      <c r="C843" s="7" t="n"/>
      <c r="D843" s="7" t="n"/>
      <c r="E843" s="7" t="n"/>
    </row>
    <row r="844">
      <c r="A844" s="7" t="n"/>
      <c r="B844" s="7" t="n"/>
      <c r="C844" s="7" t="n"/>
      <c r="D844" s="7" t="n"/>
      <c r="E844" s="7" t="n"/>
    </row>
    <row r="845">
      <c r="A845" s="7" t="n"/>
      <c r="B845" s="7" t="n"/>
      <c r="C845" s="7" t="n"/>
      <c r="D845" s="7" t="n"/>
      <c r="E845" s="7" t="n"/>
    </row>
    <row r="846">
      <c r="A846" s="7" t="n"/>
      <c r="B846" s="7" t="n"/>
      <c r="C846" s="7" t="n"/>
      <c r="D846" s="7" t="n"/>
      <c r="E846" s="7" t="n"/>
    </row>
    <row r="847">
      <c r="A847" s="7" t="n"/>
      <c r="B847" s="7" t="n"/>
      <c r="C847" s="7" t="n"/>
      <c r="D847" s="7" t="n"/>
      <c r="E847" s="7" t="n"/>
    </row>
    <row r="848">
      <c r="A848" s="7" t="n"/>
      <c r="B848" s="7" t="n"/>
      <c r="C848" s="7" t="n"/>
      <c r="D848" s="7" t="n"/>
      <c r="E848" s="7" t="n"/>
    </row>
    <row r="849">
      <c r="A849" s="7" t="n"/>
      <c r="B849" s="7" t="n"/>
      <c r="C849" s="7" t="n"/>
      <c r="D849" s="7" t="n"/>
      <c r="E849" s="7" t="n"/>
    </row>
    <row r="850">
      <c r="A850" s="7" t="n"/>
      <c r="B850" s="7" t="n"/>
      <c r="C850" s="7" t="n"/>
      <c r="D850" s="7" t="n"/>
      <c r="E850" s="7" t="n"/>
    </row>
    <row r="851">
      <c r="A851" s="7" t="n"/>
      <c r="B851" s="7" t="n"/>
      <c r="C851" s="7" t="n"/>
      <c r="D851" s="7" t="n"/>
      <c r="E851" s="7" t="n"/>
    </row>
    <row r="852">
      <c r="A852" s="7" t="n"/>
      <c r="B852" s="7" t="n"/>
      <c r="C852" s="7" t="n"/>
      <c r="D852" s="7" t="n"/>
      <c r="E852" s="7" t="n"/>
    </row>
    <row r="853">
      <c r="A853" s="7" t="n"/>
      <c r="B853" s="7" t="n"/>
      <c r="C853" s="7" t="n"/>
      <c r="D853" s="7" t="n"/>
      <c r="E853" s="7" t="n"/>
    </row>
    <row r="854">
      <c r="A854" s="7" t="n"/>
      <c r="B854" s="7" t="n"/>
      <c r="C854" s="7" t="n"/>
      <c r="D854" s="7" t="n"/>
      <c r="E854" s="7" t="n"/>
    </row>
    <row r="855">
      <c r="A855" s="7" t="n"/>
      <c r="B855" s="7" t="n"/>
      <c r="C855" s="7" t="n"/>
      <c r="D855" s="7" t="n"/>
      <c r="E855" s="7" t="n"/>
    </row>
    <row r="856">
      <c r="A856" s="7" t="n"/>
      <c r="B856" s="7" t="n"/>
      <c r="C856" s="7" t="n"/>
      <c r="D856" s="7" t="n"/>
      <c r="E856" s="7" t="n"/>
    </row>
    <row r="857">
      <c r="A857" s="7" t="n"/>
      <c r="B857" s="7" t="n"/>
      <c r="C857" s="7" t="n"/>
      <c r="D857" s="7" t="n"/>
      <c r="E857" s="7" t="n"/>
    </row>
    <row r="858">
      <c r="A858" s="7" t="n"/>
      <c r="B858" s="7" t="n"/>
      <c r="C858" s="7" t="n"/>
      <c r="D858" s="7" t="n"/>
      <c r="E858" s="7" t="n"/>
    </row>
    <row r="859">
      <c r="A859" s="7" t="n"/>
      <c r="B859" s="7" t="n"/>
      <c r="C859" s="7" t="n"/>
      <c r="D859" s="7" t="n"/>
      <c r="E859" s="7" t="n"/>
    </row>
    <row r="860">
      <c r="A860" s="7" t="n"/>
      <c r="B860" s="7" t="n"/>
      <c r="C860" s="7" t="n"/>
      <c r="D860" s="7" t="n"/>
      <c r="E860" s="7" t="n"/>
    </row>
    <row r="861">
      <c r="A861" s="7" t="n"/>
      <c r="B861" s="7" t="n"/>
      <c r="C861" s="7" t="n"/>
      <c r="D861" s="7" t="n"/>
      <c r="E861" s="7" t="n"/>
    </row>
    <row r="862">
      <c r="A862" s="7" t="n"/>
      <c r="B862" s="7" t="n"/>
      <c r="C862" s="7" t="n"/>
      <c r="D862" s="7" t="n"/>
      <c r="E862" s="7" t="n"/>
    </row>
    <row r="863">
      <c r="A863" s="7" t="n"/>
      <c r="B863" s="7" t="n"/>
      <c r="C863" s="7" t="n"/>
      <c r="D863" s="7" t="n"/>
      <c r="E863" s="7" t="n"/>
    </row>
    <row r="864">
      <c r="A864" s="7" t="n"/>
      <c r="B864" s="7" t="n"/>
      <c r="C864" s="7" t="n"/>
      <c r="D864" s="7" t="n"/>
      <c r="E864" s="7" t="n"/>
    </row>
    <row r="865">
      <c r="A865" s="7" t="n"/>
      <c r="B865" s="7" t="n"/>
      <c r="C865" s="7" t="n"/>
      <c r="D865" s="7" t="n"/>
      <c r="E865" s="7" t="n"/>
    </row>
    <row r="866">
      <c r="A866" s="7" t="n"/>
      <c r="B866" s="7" t="n"/>
      <c r="C866" s="7" t="n"/>
      <c r="D866" s="7" t="n"/>
      <c r="E866" s="7" t="n"/>
    </row>
    <row r="867">
      <c r="A867" s="7" t="n"/>
      <c r="B867" s="7" t="n"/>
      <c r="C867" s="7" t="n"/>
      <c r="D867" s="7" t="n"/>
      <c r="E867" s="7" t="n"/>
    </row>
    <row r="868">
      <c r="A868" s="7" t="n"/>
      <c r="B868" s="7" t="n"/>
      <c r="C868" s="7" t="n"/>
      <c r="D868" s="7" t="n"/>
      <c r="E868" s="7" t="n"/>
    </row>
    <row r="869">
      <c r="A869" s="7" t="n"/>
      <c r="B869" s="7" t="n"/>
      <c r="C869" s="7" t="n"/>
      <c r="D869" s="7" t="n"/>
      <c r="E869" s="7" t="n"/>
    </row>
    <row r="870">
      <c r="A870" s="7" t="n"/>
      <c r="B870" s="7" t="n"/>
      <c r="C870" s="7" t="n"/>
      <c r="D870" s="7" t="n"/>
      <c r="E870" s="7" t="n"/>
    </row>
    <row r="871">
      <c r="A871" s="7" t="n"/>
      <c r="B871" s="7" t="n"/>
      <c r="C871" s="7" t="n"/>
      <c r="D871" s="7" t="n"/>
      <c r="E871" s="7" t="n"/>
    </row>
    <row r="872">
      <c r="A872" s="7" t="n"/>
      <c r="B872" s="7" t="n"/>
      <c r="C872" s="7" t="n"/>
      <c r="D872" s="7" t="n"/>
      <c r="E872" s="7" t="n"/>
    </row>
    <row r="873">
      <c r="A873" s="7" t="n"/>
      <c r="B873" s="7" t="n"/>
      <c r="C873" s="7" t="n"/>
      <c r="D873" s="7" t="n"/>
      <c r="E873" s="7" t="n"/>
    </row>
    <row r="874">
      <c r="A874" s="7" t="n"/>
      <c r="B874" s="7" t="n"/>
      <c r="C874" s="7" t="n"/>
      <c r="D874" s="7" t="n"/>
      <c r="E874" s="7" t="n"/>
    </row>
    <row r="875">
      <c r="A875" s="7" t="n"/>
      <c r="B875" s="7" t="n"/>
      <c r="C875" s="7" t="n"/>
      <c r="D875" s="7" t="n"/>
      <c r="E875" s="7" t="n"/>
    </row>
    <row r="876">
      <c r="A876" s="7" t="n"/>
      <c r="B876" s="7" t="n"/>
      <c r="C876" s="7" t="n"/>
      <c r="D876" s="7" t="n"/>
      <c r="E876" s="7" t="n"/>
    </row>
    <row r="877">
      <c r="A877" s="7" t="n"/>
      <c r="B877" s="7" t="n"/>
      <c r="C877" s="7" t="n"/>
      <c r="D877" s="7" t="n"/>
      <c r="E877" s="7" t="n"/>
    </row>
    <row r="878">
      <c r="A878" s="7" t="n"/>
      <c r="B878" s="7" t="n"/>
      <c r="C878" s="7" t="n"/>
      <c r="D878" s="7" t="n"/>
      <c r="E878" s="7" t="n"/>
    </row>
    <row r="879">
      <c r="A879" s="7" t="n"/>
      <c r="B879" s="7" t="n"/>
      <c r="C879" s="7" t="n"/>
      <c r="D879" s="7" t="n"/>
      <c r="E879" s="7" t="n"/>
    </row>
    <row r="880">
      <c r="A880" s="7" t="n"/>
      <c r="B880" s="7" t="n"/>
      <c r="C880" s="7" t="n"/>
      <c r="D880" s="7" t="n"/>
      <c r="E880" s="7" t="n"/>
    </row>
    <row r="881">
      <c r="A881" s="7" t="n"/>
      <c r="B881" s="7" t="n"/>
      <c r="C881" s="7" t="n"/>
      <c r="D881" s="7" t="n"/>
      <c r="E881" s="7" t="n"/>
    </row>
    <row r="882">
      <c r="A882" s="7" t="n"/>
      <c r="B882" s="7" t="n"/>
      <c r="C882" s="7" t="n"/>
      <c r="D882" s="7" t="n"/>
      <c r="E882" s="7" t="n"/>
    </row>
    <row r="883">
      <c r="A883" s="7" t="n"/>
      <c r="B883" s="7" t="n"/>
      <c r="C883" s="7" t="n"/>
      <c r="D883" s="7" t="n"/>
      <c r="E883" s="7" t="n"/>
    </row>
    <row r="884">
      <c r="A884" s="7" t="n"/>
      <c r="B884" s="7" t="n"/>
      <c r="C884" s="7" t="n"/>
      <c r="D884" s="7" t="n"/>
      <c r="E884" s="7" t="n"/>
    </row>
    <row r="885">
      <c r="A885" s="7" t="n"/>
      <c r="B885" s="7" t="n"/>
      <c r="C885" s="7" t="n"/>
      <c r="D885" s="7" t="n"/>
      <c r="E885" s="7" t="n"/>
    </row>
    <row r="886">
      <c r="A886" s="7" t="n"/>
      <c r="B886" s="7" t="n"/>
      <c r="C886" s="7" t="n"/>
      <c r="D886" s="7" t="n"/>
      <c r="E886" s="7" t="n"/>
    </row>
    <row r="887">
      <c r="A887" s="7" t="n"/>
      <c r="B887" s="7" t="n"/>
      <c r="C887" s="7" t="n"/>
      <c r="D887" s="7" t="n"/>
      <c r="E887" s="7" t="n"/>
    </row>
    <row r="888">
      <c r="A888" s="7" t="n"/>
      <c r="B888" s="7" t="n"/>
      <c r="C888" s="7" t="n"/>
      <c r="D888" s="7" t="n"/>
      <c r="E888" s="7" t="n"/>
    </row>
    <row r="889">
      <c r="A889" s="7" t="n"/>
      <c r="B889" s="7" t="n"/>
      <c r="C889" s="7" t="n"/>
      <c r="D889" s="7" t="n"/>
      <c r="E889" s="7" t="n"/>
    </row>
    <row r="890">
      <c r="A890" s="7" t="n"/>
      <c r="B890" s="7" t="n"/>
      <c r="C890" s="7" t="n"/>
      <c r="D890" s="7" t="n"/>
      <c r="E890" s="7" t="n"/>
    </row>
    <row r="891">
      <c r="A891" s="7" t="n"/>
      <c r="B891" s="7" t="n"/>
      <c r="C891" s="7" t="n"/>
      <c r="D891" s="7" t="n"/>
      <c r="E891" s="7" t="n"/>
    </row>
    <row r="892">
      <c r="A892" s="7" t="n"/>
      <c r="B892" s="7" t="n"/>
      <c r="C892" s="7" t="n"/>
      <c r="D892" s="7" t="n"/>
      <c r="E892" s="7" t="n"/>
    </row>
    <row r="893">
      <c r="A893" s="7" t="n"/>
      <c r="B893" s="7" t="n"/>
      <c r="C893" s="7" t="n"/>
      <c r="D893" s="7" t="n"/>
      <c r="E893" s="7" t="n"/>
    </row>
    <row r="894">
      <c r="A894" s="7" t="n"/>
      <c r="B894" s="7" t="n"/>
      <c r="C894" s="7" t="n"/>
      <c r="D894" s="7" t="n"/>
      <c r="E894" s="7" t="n"/>
    </row>
    <row r="895">
      <c r="A895" s="7" t="n"/>
      <c r="B895" s="7" t="n"/>
      <c r="C895" s="7" t="n"/>
      <c r="D895" s="7" t="n"/>
      <c r="E895" s="7" t="n"/>
    </row>
    <row r="896">
      <c r="A896" s="7" t="n"/>
      <c r="B896" s="7" t="n"/>
      <c r="C896" s="7" t="n"/>
      <c r="D896" s="7" t="n"/>
      <c r="E896" s="7" t="n"/>
    </row>
    <row r="897">
      <c r="A897" s="7" t="n"/>
      <c r="B897" s="7" t="n"/>
      <c r="C897" s="7" t="n"/>
      <c r="D897" s="7" t="n"/>
      <c r="E897" s="7" t="n"/>
    </row>
    <row r="898">
      <c r="A898" s="7" t="n"/>
      <c r="B898" s="7" t="n"/>
      <c r="C898" s="7" t="n"/>
      <c r="D898" s="7" t="n"/>
      <c r="E898" s="7" t="n"/>
    </row>
    <row r="899">
      <c r="A899" s="7" t="n"/>
      <c r="B899" s="7" t="n"/>
      <c r="C899" s="7" t="n"/>
      <c r="D899" s="7" t="n"/>
      <c r="E899" s="7" t="n"/>
    </row>
    <row r="900">
      <c r="A900" s="7" t="n"/>
      <c r="B900" s="7" t="n"/>
      <c r="C900" s="7" t="n"/>
      <c r="D900" s="7" t="n"/>
      <c r="E900" s="7" t="n"/>
    </row>
    <row r="901">
      <c r="A901" s="7" t="n"/>
      <c r="B901" s="7" t="n"/>
      <c r="C901" s="7" t="n"/>
      <c r="D901" s="7" t="n"/>
      <c r="E901" s="7" t="n"/>
    </row>
    <row r="902">
      <c r="A902" s="7" t="n"/>
      <c r="B902" s="7" t="n"/>
      <c r="C902" s="7" t="n"/>
      <c r="D902" s="7" t="n"/>
      <c r="E902" s="7" t="n"/>
    </row>
    <row r="903">
      <c r="A903" s="7" t="n"/>
      <c r="B903" s="7" t="n"/>
      <c r="C903" s="7" t="n"/>
      <c r="D903" s="7" t="n"/>
      <c r="E903" s="7" t="n"/>
    </row>
    <row r="904">
      <c r="A904" s="7" t="n"/>
      <c r="B904" s="7" t="n"/>
      <c r="C904" s="7" t="n"/>
      <c r="D904" s="7" t="n"/>
      <c r="E904" s="7" t="n"/>
    </row>
    <row r="905">
      <c r="A905" s="7" t="n"/>
      <c r="B905" s="7" t="n"/>
      <c r="C905" s="7" t="n"/>
      <c r="D905" s="7" t="n"/>
      <c r="E905" s="7" t="n"/>
    </row>
    <row r="906">
      <c r="A906" s="7" t="n"/>
      <c r="B906" s="7" t="n"/>
      <c r="C906" s="7" t="n"/>
      <c r="D906" s="7" t="n"/>
      <c r="E906" s="7" t="n"/>
    </row>
    <row r="907">
      <c r="A907" s="7" t="n"/>
      <c r="B907" s="7" t="n"/>
      <c r="C907" s="7" t="n"/>
      <c r="D907" s="7" t="n"/>
      <c r="E907" s="7" t="n"/>
    </row>
    <row r="908">
      <c r="A908" s="7" t="n"/>
      <c r="B908" s="7" t="n"/>
      <c r="C908" s="7" t="n"/>
      <c r="D908" s="7" t="n"/>
      <c r="E908" s="7" t="n"/>
    </row>
    <row r="909">
      <c r="A909" s="7" t="n"/>
      <c r="B909" s="7" t="n"/>
      <c r="C909" s="7" t="n"/>
      <c r="D909" s="7" t="n"/>
      <c r="E909" s="7" t="n"/>
    </row>
    <row r="910">
      <c r="A910" s="7" t="n"/>
      <c r="B910" s="7" t="n"/>
      <c r="C910" s="7" t="n"/>
      <c r="D910" s="7" t="n"/>
      <c r="E910" s="7" t="n"/>
    </row>
    <row r="911">
      <c r="A911" s="7" t="n"/>
      <c r="B911" s="7" t="n"/>
      <c r="C911" s="7" t="n"/>
      <c r="D911" s="7" t="n"/>
      <c r="E911" s="7" t="n"/>
    </row>
    <row r="912">
      <c r="A912" s="7" t="n"/>
      <c r="B912" s="7" t="n"/>
      <c r="C912" s="7" t="n"/>
      <c r="D912" s="7" t="n"/>
      <c r="E912" s="7" t="n"/>
    </row>
    <row r="913">
      <c r="A913" s="7" t="n"/>
      <c r="B913" s="7" t="n"/>
      <c r="C913" s="7" t="n"/>
      <c r="D913" s="7" t="n"/>
      <c r="E913" s="7" t="n"/>
    </row>
    <row r="914">
      <c r="A914" s="7" t="n"/>
      <c r="B914" s="7" t="n"/>
      <c r="C914" s="7" t="n"/>
      <c r="D914" s="7" t="n"/>
      <c r="E914" s="7" t="n"/>
    </row>
    <row r="915">
      <c r="A915" s="7" t="n"/>
      <c r="B915" s="7" t="n"/>
      <c r="C915" s="7" t="n"/>
      <c r="D915" s="7" t="n"/>
      <c r="E915" s="7" t="n"/>
    </row>
    <row r="916">
      <c r="A916" s="7" t="n"/>
      <c r="B916" s="7" t="n"/>
      <c r="C916" s="7" t="n"/>
      <c r="D916" s="7" t="n"/>
      <c r="E916" s="7" t="n"/>
    </row>
    <row r="917">
      <c r="A917" s="7" t="n"/>
      <c r="B917" s="7" t="n"/>
      <c r="C917" s="7" t="n"/>
      <c r="D917" s="7" t="n"/>
      <c r="E917" s="7" t="n"/>
    </row>
    <row r="918">
      <c r="A918" s="7" t="n"/>
      <c r="B918" s="7" t="n"/>
      <c r="C918" s="7" t="n"/>
      <c r="D918" s="7" t="n"/>
      <c r="E918" s="7" t="n"/>
    </row>
    <row r="919">
      <c r="A919" s="7" t="n"/>
      <c r="B919" s="7" t="n"/>
      <c r="C919" s="7" t="n"/>
      <c r="D919" s="7" t="n"/>
      <c r="E919" s="7" t="n"/>
    </row>
    <row r="920">
      <c r="A920" s="7" t="n"/>
      <c r="B920" s="7" t="n"/>
      <c r="C920" s="7" t="n"/>
      <c r="D920" s="7" t="n"/>
      <c r="E920" s="7" t="n"/>
    </row>
    <row r="921">
      <c r="A921" s="7" t="n"/>
      <c r="B921" s="7" t="n"/>
      <c r="C921" s="7" t="n"/>
      <c r="D921" s="7" t="n"/>
      <c r="E921" s="7" t="n"/>
    </row>
    <row r="922">
      <c r="A922" s="7" t="n"/>
      <c r="B922" s="7" t="n"/>
      <c r="C922" s="7" t="n"/>
      <c r="D922" s="7" t="n"/>
      <c r="E922" s="7" t="n"/>
    </row>
    <row r="923">
      <c r="A923" s="7" t="n"/>
      <c r="B923" s="7" t="n"/>
      <c r="C923" s="7" t="n"/>
      <c r="D923" s="7" t="n"/>
      <c r="E923" s="7" t="n"/>
    </row>
    <row r="924">
      <c r="A924" s="7" t="n"/>
      <c r="B924" s="7" t="n"/>
      <c r="C924" s="7" t="n"/>
      <c r="D924" s="7" t="n"/>
      <c r="E924" s="7" t="n"/>
    </row>
    <row r="925">
      <c r="A925" s="7" t="n"/>
      <c r="B925" s="7" t="n"/>
      <c r="C925" s="7" t="n"/>
      <c r="D925" s="7" t="n"/>
      <c r="E925" s="7" t="n"/>
    </row>
    <row r="926">
      <c r="A926" s="7" t="n"/>
      <c r="B926" s="7" t="n"/>
      <c r="C926" s="7" t="n"/>
      <c r="D926" s="7" t="n"/>
      <c r="E926" s="7" t="n"/>
    </row>
    <row r="927">
      <c r="A927" s="7" t="n"/>
      <c r="B927" s="7" t="n"/>
      <c r="C927" s="7" t="n"/>
      <c r="D927" s="7" t="n"/>
      <c r="E927" s="7" t="n"/>
    </row>
    <row r="928">
      <c r="A928" s="7" t="n"/>
      <c r="B928" s="7" t="n"/>
      <c r="C928" s="7" t="n"/>
      <c r="D928" s="7" t="n"/>
      <c r="E928" s="7" t="n"/>
    </row>
    <row r="929">
      <c r="A929" s="7" t="n"/>
      <c r="B929" s="7" t="n"/>
      <c r="C929" s="7" t="n"/>
      <c r="D929" s="7" t="n"/>
      <c r="E929" s="7" t="n"/>
    </row>
    <row r="930">
      <c r="A930" s="7" t="n"/>
      <c r="B930" s="7" t="n"/>
      <c r="C930" s="7" t="n"/>
      <c r="D930" s="7" t="n"/>
      <c r="E930" s="7" t="n"/>
    </row>
    <row r="931">
      <c r="A931" s="7" t="n"/>
      <c r="B931" s="7" t="n"/>
      <c r="C931" s="7" t="n"/>
      <c r="D931" s="7" t="n"/>
      <c r="E931" s="7" t="n"/>
    </row>
    <row r="932">
      <c r="A932" s="7" t="n"/>
      <c r="B932" s="7" t="n"/>
      <c r="C932" s="7" t="n"/>
      <c r="D932" s="7" t="n"/>
      <c r="E932" s="7" t="n"/>
    </row>
    <row r="933">
      <c r="A933" s="7" t="n"/>
      <c r="B933" s="7" t="n"/>
      <c r="C933" s="7" t="n"/>
      <c r="D933" s="7" t="n"/>
      <c r="E933" s="7" t="n"/>
    </row>
    <row r="934">
      <c r="A934" s="7" t="n"/>
      <c r="B934" s="7" t="n"/>
      <c r="C934" s="7" t="n"/>
      <c r="D934" s="7" t="n"/>
      <c r="E934" s="7" t="n"/>
    </row>
    <row r="935">
      <c r="A935" s="7" t="n"/>
      <c r="B935" s="7" t="n"/>
      <c r="C935" s="7" t="n"/>
      <c r="D935" s="7" t="n"/>
      <c r="E935" s="7" t="n"/>
    </row>
    <row r="936">
      <c r="A936" s="7" t="n"/>
      <c r="B936" s="7" t="n"/>
      <c r="C936" s="7" t="n"/>
      <c r="D936" s="7" t="n"/>
      <c r="E936" s="7" t="n"/>
    </row>
    <row r="937">
      <c r="A937" s="7" t="n"/>
      <c r="B937" s="7" t="n"/>
      <c r="C937" s="7" t="n"/>
      <c r="D937" s="7" t="n"/>
      <c r="E937" s="7" t="n"/>
    </row>
    <row r="938">
      <c r="A938" s="7" t="n"/>
      <c r="B938" s="7" t="n"/>
      <c r="C938" s="7" t="n"/>
      <c r="D938" s="7" t="n"/>
      <c r="E938" s="7" t="n"/>
    </row>
    <row r="939">
      <c r="A939" s="7" t="n"/>
      <c r="B939" s="7" t="n"/>
      <c r="C939" s="7" t="n"/>
      <c r="D939" s="7" t="n"/>
      <c r="E939" s="7" t="n"/>
    </row>
    <row r="940">
      <c r="A940" s="7" t="n"/>
      <c r="B940" s="7" t="n"/>
      <c r="C940" s="7" t="n"/>
      <c r="D940" s="7" t="n"/>
      <c r="E940" s="7" t="n"/>
    </row>
    <row r="941">
      <c r="A941" s="7" t="n"/>
      <c r="B941" s="7" t="n"/>
      <c r="C941" s="7" t="n"/>
      <c r="D941" s="7" t="n"/>
      <c r="E941" s="7" t="n"/>
    </row>
    <row r="942">
      <c r="A942" s="7" t="n"/>
      <c r="B942" s="7" t="n"/>
      <c r="C942" s="7" t="n"/>
      <c r="D942" s="7" t="n"/>
      <c r="E942" s="7" t="n"/>
    </row>
    <row r="943">
      <c r="A943" s="7" t="n"/>
      <c r="B943" s="7" t="n"/>
      <c r="C943" s="7" t="n"/>
      <c r="D943" s="7" t="n"/>
      <c r="E943" s="7" t="n"/>
    </row>
    <row r="944">
      <c r="A944" s="7" t="n"/>
      <c r="B944" s="7" t="n"/>
      <c r="C944" s="7" t="n"/>
      <c r="D944" s="7" t="n"/>
      <c r="E944" s="7" t="n"/>
    </row>
    <row r="945">
      <c r="A945" s="7" t="n"/>
      <c r="B945" s="7" t="n"/>
      <c r="C945" s="7" t="n"/>
      <c r="D945" s="7" t="n"/>
      <c r="E945" s="7" t="n"/>
    </row>
    <row r="946">
      <c r="A946" s="7" t="n"/>
      <c r="B946" s="7" t="n"/>
      <c r="C946" s="7" t="n"/>
      <c r="D946" s="7" t="n"/>
      <c r="E946" s="7" t="n"/>
    </row>
    <row r="947">
      <c r="A947" s="7" t="n"/>
      <c r="B947" s="7" t="n"/>
      <c r="C947" s="7" t="n"/>
      <c r="D947" s="7" t="n"/>
      <c r="E947" s="7" t="n"/>
    </row>
    <row r="948">
      <c r="A948" s="7" t="n"/>
      <c r="B948" s="7" t="n"/>
      <c r="C948" s="7" t="n"/>
      <c r="D948" s="7" t="n"/>
      <c r="E948" s="7" t="n"/>
    </row>
    <row r="949">
      <c r="A949" s="7" t="n"/>
      <c r="B949" s="7" t="n"/>
      <c r="C949" s="7" t="n"/>
      <c r="D949" s="7" t="n"/>
      <c r="E949" s="7" t="n"/>
    </row>
    <row r="950">
      <c r="A950" s="7" t="n"/>
      <c r="B950" s="7" t="n"/>
      <c r="C950" s="7" t="n"/>
      <c r="D950" s="7" t="n"/>
      <c r="E950" s="7" t="n"/>
    </row>
    <row r="951">
      <c r="A951" s="7" t="n"/>
      <c r="B951" s="7" t="n"/>
      <c r="C951" s="7" t="n"/>
      <c r="D951" s="7" t="n"/>
      <c r="E951" s="7" t="n"/>
    </row>
    <row r="952">
      <c r="A952" s="7" t="n"/>
      <c r="B952" s="7" t="n"/>
      <c r="C952" s="7" t="n"/>
      <c r="D952" s="7" t="n"/>
      <c r="E952" s="7" t="n"/>
    </row>
    <row r="953">
      <c r="A953" s="7" t="n"/>
      <c r="B953" s="7" t="n"/>
      <c r="C953" s="7" t="n"/>
      <c r="D953" s="7" t="n"/>
      <c r="E953" s="7" t="n"/>
    </row>
    <row r="954">
      <c r="A954" s="7" t="n"/>
      <c r="B954" s="7" t="n"/>
      <c r="C954" s="7" t="n"/>
      <c r="D954" s="7" t="n"/>
      <c r="E954" s="7" t="n"/>
    </row>
    <row r="955">
      <c r="A955" s="7" t="n"/>
      <c r="B955" s="7" t="n"/>
      <c r="C955" s="7" t="n"/>
      <c r="D955" s="7" t="n"/>
      <c r="E955" s="7" t="n"/>
    </row>
    <row r="956">
      <c r="A956" s="7" t="n"/>
      <c r="B956" s="7" t="n"/>
      <c r="C956" s="7" t="n"/>
      <c r="D956" s="7" t="n"/>
      <c r="E956" s="7" t="n"/>
    </row>
    <row r="957">
      <c r="A957" s="7" t="n"/>
      <c r="B957" s="7" t="n"/>
      <c r="C957" s="7" t="n"/>
      <c r="D957" s="7" t="n"/>
      <c r="E957" s="7" t="n"/>
    </row>
    <row r="958">
      <c r="A958" s="7" t="n"/>
      <c r="B958" s="7" t="n"/>
      <c r="C958" s="7" t="n"/>
      <c r="D958" s="7" t="n"/>
      <c r="E958" s="7" t="n"/>
    </row>
    <row r="959">
      <c r="A959" s="7" t="n"/>
      <c r="B959" s="7" t="n"/>
      <c r="C959" s="7" t="n"/>
      <c r="D959" s="7" t="n"/>
      <c r="E959" s="7" t="n"/>
    </row>
    <row r="960">
      <c r="A960" s="7" t="n"/>
      <c r="B960" s="7" t="n"/>
      <c r="C960" s="7" t="n"/>
      <c r="D960" s="7" t="n"/>
      <c r="E960" s="7" t="n"/>
    </row>
    <row r="961">
      <c r="A961" s="7" t="n"/>
      <c r="B961" s="7" t="n"/>
      <c r="C961" s="7" t="n"/>
      <c r="D961" s="7" t="n"/>
      <c r="E961" s="7" t="n"/>
    </row>
    <row r="962">
      <c r="A962" s="7" t="n"/>
      <c r="B962" s="7" t="n"/>
      <c r="C962" s="7" t="n"/>
      <c r="D962" s="7" t="n"/>
      <c r="E962" s="7" t="n"/>
    </row>
    <row r="963">
      <c r="A963" s="7" t="n"/>
      <c r="B963" s="7" t="n"/>
      <c r="C963" s="7" t="n"/>
      <c r="D963" s="7" t="n"/>
      <c r="E963" s="7" t="n"/>
    </row>
    <row r="964">
      <c r="A964" s="7" t="n"/>
      <c r="B964" s="7" t="n"/>
      <c r="C964" s="7" t="n"/>
      <c r="D964" s="7" t="n"/>
      <c r="E964" s="7" t="n"/>
    </row>
    <row r="965">
      <c r="A965" s="7" t="n"/>
      <c r="B965" s="7" t="n"/>
      <c r="C965" s="7" t="n"/>
      <c r="D965" s="7" t="n"/>
      <c r="E965" s="7" t="n"/>
    </row>
    <row r="966">
      <c r="A966" s="7" t="n"/>
      <c r="B966" s="7" t="n"/>
      <c r="C966" s="7" t="n"/>
      <c r="D966" s="7" t="n"/>
      <c r="E966" s="7" t="n"/>
    </row>
    <row r="967">
      <c r="A967" s="7" t="n"/>
      <c r="B967" s="7" t="n"/>
      <c r="C967" s="7" t="n"/>
      <c r="D967" s="7" t="n"/>
      <c r="E967" s="7" t="n"/>
    </row>
    <row r="968">
      <c r="A968" s="7" t="n"/>
      <c r="B968" s="7" t="n"/>
      <c r="C968" s="7" t="n"/>
      <c r="D968" s="7" t="n"/>
      <c r="E968" s="7" t="n"/>
    </row>
    <row r="969">
      <c r="A969" s="7" t="n"/>
      <c r="B969" s="7" t="n"/>
      <c r="C969" s="7" t="n"/>
      <c r="D969" s="7" t="n"/>
      <c r="E969" s="7" t="n"/>
    </row>
    <row r="970">
      <c r="A970" s="7" t="n"/>
      <c r="B970" s="7" t="n"/>
      <c r="C970" s="7" t="n"/>
      <c r="D970" s="7" t="n"/>
      <c r="E970" s="7" t="n"/>
    </row>
    <row r="971">
      <c r="A971" s="7" t="n"/>
      <c r="B971" s="7" t="n"/>
      <c r="C971" s="7" t="n"/>
      <c r="D971" s="7" t="n"/>
      <c r="E971" s="7" t="n"/>
    </row>
    <row r="972">
      <c r="A972" s="7" t="n"/>
      <c r="B972" s="7" t="n"/>
      <c r="C972" s="7" t="n"/>
      <c r="D972" s="7" t="n"/>
      <c r="E972" s="7" t="n"/>
    </row>
    <row r="973">
      <c r="A973" s="7" t="n"/>
      <c r="B973" s="7" t="n"/>
      <c r="C973" s="7" t="n"/>
      <c r="D973" s="7" t="n"/>
      <c r="E973" s="7" t="n"/>
    </row>
    <row r="974">
      <c r="A974" s="7" t="n"/>
      <c r="B974" s="7" t="n"/>
      <c r="C974" s="7" t="n"/>
      <c r="D974" s="7" t="n"/>
      <c r="E974" s="7" t="n"/>
    </row>
    <row r="975">
      <c r="A975" s="7" t="n"/>
      <c r="B975" s="7" t="n"/>
      <c r="C975" s="7" t="n"/>
      <c r="D975" s="7" t="n"/>
      <c r="E975" s="7" t="n"/>
    </row>
    <row r="976">
      <c r="A976" s="7" t="n"/>
      <c r="B976" s="7" t="n"/>
      <c r="C976" s="7" t="n"/>
      <c r="D976" s="7" t="n"/>
      <c r="E976" s="7" t="n"/>
    </row>
    <row r="977">
      <c r="A977" s="7" t="n"/>
      <c r="B977" s="7" t="n"/>
      <c r="C977" s="7" t="n"/>
      <c r="D977" s="7" t="n"/>
      <c r="E977" s="7" t="n"/>
    </row>
    <row r="978">
      <c r="A978" s="7" t="n"/>
      <c r="B978" s="7" t="n"/>
      <c r="C978" s="7" t="n"/>
      <c r="D978" s="7" t="n"/>
      <c r="E978" s="7" t="n"/>
    </row>
    <row r="979">
      <c r="A979" s="7" t="n"/>
      <c r="B979" s="7" t="n"/>
      <c r="C979" s="7" t="n"/>
      <c r="D979" s="7" t="n"/>
      <c r="E979" s="7" t="n"/>
    </row>
    <row r="980">
      <c r="A980" s="7" t="n"/>
      <c r="B980" s="7" t="n"/>
      <c r="C980" s="7" t="n"/>
      <c r="D980" s="7" t="n"/>
      <c r="E980" s="7" t="n"/>
    </row>
    <row r="981">
      <c r="A981" s="7" t="n"/>
      <c r="B981" s="7" t="n"/>
      <c r="C981" s="7" t="n"/>
      <c r="D981" s="7" t="n"/>
      <c r="E981" s="7" t="n"/>
    </row>
    <row r="982">
      <c r="A982" s="7" t="n"/>
      <c r="B982" s="7" t="n"/>
      <c r="C982" s="7" t="n"/>
      <c r="D982" s="7" t="n"/>
      <c r="E982" s="7" t="n"/>
    </row>
    <row r="983">
      <c r="A983" s="7" t="n"/>
      <c r="B983" s="7" t="n"/>
      <c r="C983" s="7" t="n"/>
      <c r="D983" s="7" t="n"/>
      <c r="E983" s="7" t="n"/>
    </row>
    <row r="984">
      <c r="A984" s="7" t="n"/>
      <c r="B984" s="7" t="n"/>
      <c r="C984" s="7" t="n"/>
      <c r="D984" s="7" t="n"/>
      <c r="E984" s="7" t="n"/>
    </row>
    <row r="985">
      <c r="A985" s="7" t="n"/>
      <c r="B985" s="7" t="n"/>
      <c r="C985" s="7" t="n"/>
      <c r="D985" s="7" t="n"/>
      <c r="E985" s="7" t="n"/>
    </row>
    <row r="986">
      <c r="A986" s="7" t="n"/>
      <c r="B986" s="7" t="n"/>
      <c r="C986" s="7" t="n"/>
      <c r="D986" s="7" t="n"/>
      <c r="E986" s="7" t="n"/>
    </row>
    <row r="987">
      <c r="A987" s="7" t="n"/>
      <c r="B987" s="7" t="n"/>
      <c r="C987" s="7" t="n"/>
      <c r="D987" s="7" t="n"/>
      <c r="E987" s="7" t="n"/>
    </row>
    <row r="988">
      <c r="A988" s="7" t="n"/>
      <c r="B988" s="7" t="n"/>
      <c r="C988" s="7" t="n"/>
      <c r="D988" s="7" t="n"/>
      <c r="E988" s="7" t="n"/>
    </row>
    <row r="989">
      <c r="A989" s="7" t="n"/>
      <c r="B989" s="7" t="n"/>
      <c r="C989" s="7" t="n"/>
      <c r="D989" s="7" t="n"/>
      <c r="E989" s="7" t="n"/>
    </row>
    <row r="990">
      <c r="A990" s="7" t="n"/>
      <c r="B990" s="7" t="n"/>
      <c r="C990" s="7" t="n"/>
      <c r="D990" s="7" t="n"/>
      <c r="E990" s="7" t="n"/>
    </row>
    <row r="991">
      <c r="A991" s="7" t="n"/>
      <c r="B991" s="7" t="n"/>
      <c r="C991" s="7" t="n"/>
      <c r="D991" s="7" t="n"/>
      <c r="E991" s="7" t="n"/>
    </row>
    <row r="992">
      <c r="A992" s="7" t="n"/>
      <c r="B992" s="7" t="n"/>
      <c r="C992" s="7" t="n"/>
      <c r="D992" s="7" t="n"/>
      <c r="E992" s="7" t="n"/>
    </row>
    <row r="993">
      <c r="A993" s="7" t="n"/>
      <c r="B993" s="7" t="n"/>
      <c r="C993" s="7" t="n"/>
      <c r="D993" s="7" t="n"/>
      <c r="E993" s="7" t="n"/>
    </row>
    <row r="994">
      <c r="A994" s="7" t="n"/>
      <c r="B994" s="7" t="n"/>
      <c r="C994" s="7" t="n"/>
      <c r="D994" s="7" t="n"/>
      <c r="E994" s="7" t="n"/>
    </row>
    <row r="995">
      <c r="A995" s="7" t="n"/>
      <c r="B995" s="7" t="n"/>
      <c r="C995" s="7" t="n"/>
      <c r="D995" s="7" t="n"/>
      <c r="E995" s="7" t="n"/>
    </row>
    <row r="996">
      <c r="A996" s="7" t="n"/>
      <c r="B996" s="7" t="n"/>
      <c r="C996" s="7" t="n"/>
      <c r="D996" s="7" t="n"/>
      <c r="E996" s="7" t="n"/>
    </row>
    <row r="997">
      <c r="A997" s="7" t="n"/>
      <c r="B997" s="7" t="n"/>
      <c r="C997" s="7" t="n"/>
      <c r="D997" s="7" t="n"/>
      <c r="E997" s="7" t="n"/>
    </row>
    <row r="998">
      <c r="A998" s="7" t="n"/>
      <c r="B998" s="7" t="n"/>
      <c r="C998" s="7" t="n"/>
      <c r="D998" s="7" t="n"/>
      <c r="E998" s="7" t="n"/>
    </row>
    <row r="999">
      <c r="A999" s="7" t="n"/>
      <c r="B999" s="7" t="n"/>
      <c r="C999" s="7" t="n"/>
      <c r="D999" s="7" t="n"/>
      <c r="E999" s="7" t="n"/>
    </row>
    <row r="1000">
      <c r="A1000" s="8" t="n"/>
      <c r="B1000" s="8" t="n"/>
      <c r="C1000" s="8" t="n"/>
      <c r="D1000" s="8" t="n"/>
      <c r="E1000" s="8" t="n"/>
    </row>
  </sheetData>
  <dataValidations count="3">
    <dataValidation sqref="C2:C1000" showDropDown="0" showInputMessage="0" showErrorMessage="0" allowBlank="1" type="list">
      <formula1>"Greek,Aesir,Neutral"</formula1>
    </dataValidation>
    <dataValidation sqref="D2:D1000" showDropDown="0" showInputMessage="0" showErrorMessage="0" allowBlank="1" type="list">
      <formula1>RoleTitles!$A$2:$A$10</formula1>
    </dataValidation>
    <dataValidation sqref="E2:E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98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3" customWidth="1" style="38" min="1" max="1"/>
    <col width="37" customWidth="1" style="38" min="2" max="2"/>
    <col width="14" customWidth="1" style="38" min="3" max="3"/>
    <col width="12" customWidth="1" style="38" min="4" max="4"/>
    <col width="12" customWidth="1" style="38" min="5" max="5"/>
    <col width="21" customWidth="1" style="38" min="6" max="6"/>
    <col width="12" customWidth="1" style="38" min="7" max="7"/>
  </cols>
  <sheetData>
    <row r="1">
      <c r="A1" s="2" t="inlineStr">
        <is>
          <t>ActionID</t>
        </is>
      </c>
      <c r="B1" s="2" t="inlineStr">
        <is>
          <t>ActionName</t>
        </is>
      </c>
      <c r="C1" s="2" t="inlineStr">
        <is>
          <t>Bucket</t>
        </is>
      </c>
      <c r="D1" s="2" t="inlineStr">
        <is>
          <t>XPper</t>
        </is>
      </c>
      <c r="E1" s="2" t="inlineStr">
        <is>
          <t>CapPeriod</t>
        </is>
      </c>
      <c r="F1" s="2" t="inlineStr">
        <is>
          <t>Verification</t>
        </is>
      </c>
      <c r="G1" s="2" t="n"/>
    </row>
    <row r="2">
      <c r="A2" s="2" t="inlineStr">
        <is>
          <t>COA-SESS</t>
        </is>
      </c>
      <c r="B2" s="2" t="inlineStr">
        <is>
          <t>Coaching Session Logged Properly</t>
        </is>
      </c>
      <c r="C2" s="2" t="inlineStr">
        <is>
          <t>Coaching</t>
        </is>
      </c>
      <c r="D2" s="2" t="n">
        <v>5</v>
      </c>
      <c r="E2" s="2" t="inlineStr">
        <is>
          <t>Weekly</t>
        </is>
      </c>
      <c r="F2" s="2" t="inlineStr">
        <is>
          <t>Session logged</t>
        </is>
      </c>
      <c r="G2" s="2" t="n"/>
    </row>
    <row r="3">
      <c r="A3" s="2" t="inlineStr">
        <is>
          <t>COA-NOTE</t>
        </is>
      </c>
      <c r="B3" s="2" t="inlineStr">
        <is>
          <t>Session Notes + Next Step &lt;24h</t>
        </is>
      </c>
      <c r="C3" s="2" t="inlineStr">
        <is>
          <t>Coaching</t>
        </is>
      </c>
      <c r="D3" s="2" t="n">
        <v>3</v>
      </c>
      <c r="E3" s="2" t="inlineStr">
        <is>
          <t>Weekly</t>
        </is>
      </c>
      <c r="F3" s="2" t="inlineStr">
        <is>
          <t>Notes reviewed</t>
        </is>
      </c>
      <c r="G3" s="2" t="n"/>
    </row>
    <row r="4">
      <c r="A4" s="2" t="inlineStr">
        <is>
          <t>COA-CHK</t>
        </is>
      </c>
      <c r="B4" s="2" t="inlineStr">
        <is>
          <t>Client Check-In On Time</t>
        </is>
      </c>
      <c r="C4" s="2" t="inlineStr">
        <is>
          <t>Coaching</t>
        </is>
      </c>
      <c r="D4" s="2" t="n">
        <v>5</v>
      </c>
      <c r="E4" s="2" t="inlineStr">
        <is>
          <t>Weekly</t>
        </is>
      </c>
      <c r="F4" s="2" t="inlineStr">
        <is>
          <t>Check-in record</t>
        </is>
      </c>
      <c r="G4" s="2" t="n"/>
    </row>
    <row r="5">
      <c r="A5" s="2" t="inlineStr">
        <is>
          <t>COA-ADJ</t>
        </is>
      </c>
      <c r="B5" s="2" t="inlineStr">
        <is>
          <t>Intelligent Session Adjustment</t>
        </is>
      </c>
      <c r="C5" s="2" t="inlineStr">
        <is>
          <t>Coaching</t>
        </is>
      </c>
      <c r="D5" s="2" t="n">
        <v>5</v>
      </c>
      <c r="E5" s="2" t="inlineStr">
        <is>
          <t>Weekly</t>
        </is>
      </c>
      <c r="F5" s="2" t="inlineStr">
        <is>
          <t>Coach notes</t>
        </is>
      </c>
      <c r="G5" s="2" t="n"/>
    </row>
    <row r="6">
      <c r="A6" s="2" t="inlineStr">
        <is>
          <t>COA-CUE</t>
        </is>
      </c>
      <c r="B6" s="2" t="inlineStr">
        <is>
          <t>Technique Issue Corrected</t>
        </is>
      </c>
      <c r="C6" s="2" t="inlineStr">
        <is>
          <t>Coaching</t>
        </is>
      </c>
      <c r="D6" s="2" t="n">
        <v>3</v>
      </c>
      <c r="E6" s="2" t="inlineStr">
        <is>
          <t>Weekly</t>
        </is>
      </c>
      <c r="F6" s="2" t="inlineStr">
        <is>
          <t>Coach notes</t>
        </is>
      </c>
      <c r="G6" s="2" t="n"/>
    </row>
    <row r="7">
      <c r="A7" s="2" t="inlineStr">
        <is>
          <t>COA-SAFE</t>
        </is>
      </c>
      <c r="B7" s="2" t="inlineStr">
        <is>
          <t>Safety-First Decision Logged</t>
        </is>
      </c>
      <c r="C7" s="2" t="inlineStr">
        <is>
          <t>Coaching</t>
        </is>
      </c>
      <c r="D7" s="2" t="n">
        <v>5</v>
      </c>
      <c r="E7" s="2" t="inlineStr">
        <is>
          <t>Weekly</t>
        </is>
      </c>
      <c r="F7" s="2" t="inlineStr">
        <is>
          <t>Incident note</t>
        </is>
      </c>
      <c r="G7" s="2" t="n"/>
    </row>
    <row r="8">
      <c r="A8" s="2" t="inlineStr">
        <is>
          <t>PRO-ONTM</t>
        </is>
      </c>
      <c r="B8" s="2" t="inlineStr">
        <is>
          <t>Perfect Punctuality (Week)</t>
        </is>
      </c>
      <c r="C8" s="2" t="inlineStr">
        <is>
          <t>Professional</t>
        </is>
      </c>
      <c r="D8" s="2" t="n">
        <v>5</v>
      </c>
      <c r="E8" s="2" t="inlineStr">
        <is>
          <t>Weekly</t>
        </is>
      </c>
      <c r="F8" s="2" t="inlineStr">
        <is>
          <t>Attendance record</t>
        </is>
      </c>
      <c r="G8" s="2" t="n"/>
    </row>
    <row r="9">
      <c r="A9" s="2" t="inlineStr">
        <is>
          <t>PRO-COMM</t>
        </is>
      </c>
      <c r="B9" s="2" t="inlineStr">
        <is>
          <t>Clear Client Communication</t>
        </is>
      </c>
      <c r="C9" s="2" t="inlineStr">
        <is>
          <t>Professional</t>
        </is>
      </c>
      <c r="D9" s="2" t="n">
        <v>5</v>
      </c>
      <c r="E9" s="2" t="inlineStr">
        <is>
          <t>Weekly</t>
        </is>
      </c>
      <c r="F9" s="2" t="inlineStr">
        <is>
          <t>Message log</t>
        </is>
      </c>
      <c r="G9" s="2" t="n"/>
    </row>
    <row r="10">
      <c r="A10" s="2" t="inlineStr">
        <is>
          <t>PRO-PREP</t>
        </is>
      </c>
      <c r="B10" s="2" t="inlineStr">
        <is>
          <t>Sessions Pre-Planned</t>
        </is>
      </c>
      <c r="C10" s="2" t="inlineStr">
        <is>
          <t>Professional</t>
        </is>
      </c>
      <c r="D10" s="2" t="n">
        <v>5</v>
      </c>
      <c r="E10" s="2" t="inlineStr">
        <is>
          <t>Weekly</t>
        </is>
      </c>
      <c r="F10" s="2" t="inlineStr">
        <is>
          <t>Program check</t>
        </is>
      </c>
      <c r="G10" s="2" t="n"/>
    </row>
    <row r="11">
      <c r="A11" s="2" t="inlineStr">
        <is>
          <t>PRO-CALM</t>
        </is>
      </c>
      <c r="B11" s="2" t="inlineStr">
        <is>
          <t>De-escalated Client Issue</t>
        </is>
      </c>
      <c r="C11" s="2" t="inlineStr">
        <is>
          <t>Professional</t>
        </is>
      </c>
      <c r="D11" s="2" t="n">
        <v>8</v>
      </c>
      <c r="E11" s="2" t="inlineStr">
        <is>
          <t>Weekly</t>
        </is>
      </c>
      <c r="F11" s="2" t="inlineStr">
        <is>
          <t>Manager note</t>
        </is>
      </c>
      <c r="G11" s="2" t="n"/>
    </row>
    <row r="12">
      <c r="A12" s="2" t="inlineStr">
        <is>
          <t>SYS-NOTE100</t>
        </is>
      </c>
      <c r="B12" s="2" t="inlineStr">
        <is>
          <t>100% Documentation Rate</t>
        </is>
      </c>
      <c r="C12" s="2" t="inlineStr">
        <is>
          <t>Systems</t>
        </is>
      </c>
      <c r="D12" s="2" t="n">
        <v>8</v>
      </c>
      <c r="E12" s="2" t="inlineStr">
        <is>
          <t>Weekly</t>
        </is>
      </c>
      <c r="F12" s="2" t="inlineStr">
        <is>
          <t>CRM audit</t>
        </is>
      </c>
      <c r="G12" s="2" t="n"/>
    </row>
    <row r="13">
      <c r="A13" s="2" t="inlineStr">
        <is>
          <t>SYS-CRM</t>
        </is>
      </c>
      <c r="B13" s="2" t="inlineStr">
        <is>
          <t>CRM Updated Cleanly</t>
        </is>
      </c>
      <c r="C13" s="2" t="inlineStr">
        <is>
          <t>Systems</t>
        </is>
      </c>
      <c r="D13" s="2" t="n">
        <v>5</v>
      </c>
      <c r="E13" s="2" t="inlineStr">
        <is>
          <t>Weekly</t>
        </is>
      </c>
      <c r="F13" s="2" t="inlineStr">
        <is>
          <t>CRM audit</t>
        </is>
      </c>
      <c r="G13" s="2" t="n"/>
    </row>
    <row r="14">
      <c r="A14" s="2" t="inlineStr">
        <is>
          <t>SYS-FLOW</t>
        </is>
      </c>
      <c r="B14" s="2" t="inlineStr">
        <is>
          <t>SOP Followed Consistently</t>
        </is>
      </c>
      <c r="C14" s="2" t="inlineStr">
        <is>
          <t>Systems</t>
        </is>
      </c>
      <c r="D14" s="2" t="n">
        <v>5</v>
      </c>
      <c r="E14" s="2" t="inlineStr">
        <is>
          <t>Weekly</t>
        </is>
      </c>
      <c r="F14" s="2" t="inlineStr">
        <is>
          <t>Manager review</t>
        </is>
      </c>
      <c r="G14" s="2" t="n"/>
    </row>
    <row r="15">
      <c r="A15" s="2" t="inlineStr">
        <is>
          <t>EDU-MOD</t>
        </is>
      </c>
      <c r="B15" s="2" t="inlineStr">
        <is>
          <t>Internal Education Module Completed</t>
        </is>
      </c>
      <c r="C15" s="2" t="inlineStr">
        <is>
          <t>Education</t>
        </is>
      </c>
      <c r="D15" s="2" t="n">
        <v>30</v>
      </c>
      <c r="E15" s="2" t="inlineStr">
        <is>
          <t>Monthly</t>
        </is>
      </c>
      <c r="F15" s="2" t="inlineStr">
        <is>
          <t>Module completion</t>
        </is>
      </c>
      <c r="G15" s="2" t="n"/>
    </row>
    <row r="16">
      <c r="A16" s="2" t="inlineStr">
        <is>
          <t>EDU-EXAM</t>
        </is>
      </c>
      <c r="B16" s="2" t="inlineStr">
        <is>
          <t>Passed Module Exam</t>
        </is>
      </c>
      <c r="C16" s="2" t="inlineStr">
        <is>
          <t>Education</t>
        </is>
      </c>
      <c r="D16" s="2" t="n">
        <v>50</v>
      </c>
      <c r="E16" s="2" t="inlineStr">
        <is>
          <t>Monthly</t>
        </is>
      </c>
      <c r="F16" s="2" t="inlineStr">
        <is>
          <t>Exam result</t>
        </is>
      </c>
      <c r="G16" s="2" t="n"/>
    </row>
    <row r="17">
      <c r="A17" s="2" t="inlineStr">
        <is>
          <t>EDU-CASE</t>
        </is>
      </c>
      <c r="B17" s="2" t="inlineStr">
        <is>
          <t>Client Case Study Submitted</t>
        </is>
      </c>
      <c r="C17" s="2" t="inlineStr">
        <is>
          <t>Education</t>
        </is>
      </c>
      <c r="D17" s="2" t="n">
        <v>40</v>
      </c>
      <c r="E17" s="2" t="inlineStr">
        <is>
          <t>Monthly</t>
        </is>
      </c>
      <c r="F17" s="2" t="inlineStr">
        <is>
          <t>Case review</t>
        </is>
      </c>
      <c r="G17" s="2" t="n"/>
    </row>
    <row r="18">
      <c r="A18" s="2" t="inlineStr">
        <is>
          <t>EDU-JCLB</t>
        </is>
      </c>
      <c r="B18" s="2" t="inlineStr">
        <is>
          <t>Journal Club Presentation</t>
        </is>
      </c>
      <c r="C18" s="2" t="inlineStr">
        <is>
          <t>Education</t>
        </is>
      </c>
      <c r="D18" s="2" t="n">
        <v>40</v>
      </c>
      <c r="E18" s="2" t="inlineStr">
        <is>
          <t>Monthly</t>
        </is>
      </c>
      <c r="F18" s="2" t="inlineStr">
        <is>
          <t>Presentation record</t>
        </is>
      </c>
      <c r="G18" s="2" t="n"/>
    </row>
    <row r="19">
      <c r="A19" s="2" t="inlineStr">
        <is>
          <t>EDU-APPL</t>
        </is>
      </c>
      <c r="B19" s="2" t="inlineStr">
        <is>
          <t>Evidence Applied to Client</t>
        </is>
      </c>
      <c r="C19" s="2" t="inlineStr">
        <is>
          <t>Education</t>
        </is>
      </c>
      <c r="D19" s="2" t="n">
        <v>30</v>
      </c>
      <c r="E19" s="2" t="inlineStr">
        <is>
          <t>Monthly</t>
        </is>
      </c>
      <c r="F19" s="2" t="inlineStr">
        <is>
          <t>Coach notes</t>
        </is>
      </c>
      <c r="G19" s="2" t="n"/>
    </row>
    <row r="20">
      <c r="A20" s="2" t="inlineStr">
        <is>
          <t>PRG-BLOCK</t>
        </is>
      </c>
      <c r="B20" s="2" t="inlineStr">
        <is>
          <t>Training Block Designed</t>
        </is>
      </c>
      <c r="C20" s="2" t="inlineStr">
        <is>
          <t>Programming</t>
        </is>
      </c>
      <c r="D20" s="2" t="n">
        <v>40</v>
      </c>
      <c r="E20" s="2" t="inlineStr">
        <is>
          <t>Monthly</t>
        </is>
      </c>
      <c r="F20" s="2" t="inlineStr">
        <is>
          <t>Program review</t>
        </is>
      </c>
      <c r="G20" s="2" t="n"/>
    </row>
    <row r="21">
      <c r="A21" s="2" t="inlineStr">
        <is>
          <t>PRG-ADPT</t>
        </is>
      </c>
      <c r="B21" s="2" t="inlineStr">
        <is>
          <t>Intelligent Program Adaptation</t>
        </is>
      </c>
      <c r="C21" s="2" t="inlineStr">
        <is>
          <t>Programming</t>
        </is>
      </c>
      <c r="D21" s="2" t="n">
        <v>30</v>
      </c>
      <c r="E21" s="2" t="inlineStr">
        <is>
          <t>Monthly</t>
        </is>
      </c>
      <c r="F21" s="2" t="inlineStr">
        <is>
          <t>Program notes</t>
        </is>
      </c>
      <c r="G21" s="2" t="n"/>
    </row>
    <row r="22">
      <c r="A22" s="2" t="inlineStr">
        <is>
          <t>PRG-AUDT</t>
        </is>
      </c>
      <c r="B22" s="2" t="inlineStr">
        <is>
          <t>Program Audit for Coach</t>
        </is>
      </c>
      <c r="C22" s="2" t="inlineStr">
        <is>
          <t>Programming</t>
        </is>
      </c>
      <c r="D22" s="2" t="n">
        <v>30</v>
      </c>
      <c r="E22" s="2" t="inlineStr">
        <is>
          <t>Monthly</t>
        </is>
      </c>
      <c r="F22" s="2" t="inlineStr">
        <is>
          <t>Audit form</t>
        </is>
      </c>
      <c r="G22" s="2" t="n"/>
    </row>
    <row r="23">
      <c r="A23" s="2" t="inlineStr">
        <is>
          <t>EXP-CHECK</t>
        </is>
      </c>
      <c r="B23" s="2" t="inlineStr">
        <is>
          <t>Client Experience Review</t>
        </is>
      </c>
      <c r="C23" s="2" t="inlineStr">
        <is>
          <t>Experience</t>
        </is>
      </c>
      <c r="D23" s="2" t="n">
        <v>30</v>
      </c>
      <c r="E23" s="2" t="inlineStr">
        <is>
          <t>Monthly</t>
        </is>
      </c>
      <c r="F23" s="2" t="inlineStr">
        <is>
          <t>Review form</t>
        </is>
      </c>
      <c r="G23" s="2" t="n"/>
    </row>
    <row r="24">
      <c r="A24" s="2" t="inlineStr">
        <is>
          <t>EXP-CARE</t>
        </is>
      </c>
      <c r="B24" s="2" t="inlineStr">
        <is>
          <t>Above-Baseline Client Support</t>
        </is>
      </c>
      <c r="C24" s="2" t="inlineStr">
        <is>
          <t>Experience</t>
        </is>
      </c>
      <c r="D24" s="2" t="n">
        <v>20</v>
      </c>
      <c r="E24" s="2" t="inlineStr">
        <is>
          <t>Monthly</t>
        </is>
      </c>
      <c r="F24" s="2" t="inlineStr">
        <is>
          <t>Coach notes</t>
        </is>
      </c>
      <c r="G24" s="2" t="n"/>
    </row>
    <row r="25">
      <c r="A25" s="2" t="inlineStr">
        <is>
          <t>EXP-EDU</t>
        </is>
      </c>
      <c r="B25" s="2" t="inlineStr">
        <is>
          <t>Client Education Session Delivered</t>
        </is>
      </c>
      <c r="C25" s="2" t="inlineStr">
        <is>
          <t>Experience</t>
        </is>
      </c>
      <c r="D25" s="2" t="n">
        <v>20</v>
      </c>
      <c r="E25" s="2" t="inlineStr">
        <is>
          <t>Monthly</t>
        </is>
      </c>
      <c r="F25" s="2" t="inlineStr">
        <is>
          <t>Education log</t>
        </is>
      </c>
      <c r="G25" s="2" t="n"/>
    </row>
    <row r="26">
      <c r="A26" s="2" t="inlineStr">
        <is>
          <t>OPS-COVR</t>
        </is>
      </c>
      <c r="B26" s="2" t="inlineStr">
        <is>
          <t>Covered Shift Responsibly</t>
        </is>
      </c>
      <c r="C26" s="2" t="inlineStr">
        <is>
          <t>Ops</t>
        </is>
      </c>
      <c r="D26" s="2" t="n">
        <v>20</v>
      </c>
      <c r="E26" s="2" t="inlineStr">
        <is>
          <t>Monthly</t>
        </is>
      </c>
      <c r="F26" s="2" t="inlineStr">
        <is>
          <t>Schedule record</t>
        </is>
      </c>
      <c r="G26" s="2" t="n"/>
    </row>
    <row r="27">
      <c r="A27" s="2" t="inlineStr">
        <is>
          <t>OPS-INCD</t>
        </is>
      </c>
      <c r="B27" s="2" t="inlineStr">
        <is>
          <t>Incident Handled &amp; Documented</t>
        </is>
      </c>
      <c r="C27" s="2" t="inlineStr">
        <is>
          <t>Ops</t>
        </is>
      </c>
      <c r="D27" s="2" t="n">
        <v>40</v>
      </c>
      <c r="E27" s="2" t="inlineStr">
        <is>
          <t>Monthly</t>
        </is>
      </c>
      <c r="F27" s="2" t="inlineStr">
        <is>
          <t>Incident log</t>
        </is>
      </c>
      <c r="G27" s="2" t="n"/>
    </row>
    <row r="28">
      <c r="A28" s="2" t="inlineStr">
        <is>
          <t>OPS-SOPAD</t>
        </is>
      </c>
      <c r="B28" s="2" t="inlineStr">
        <is>
          <t>SOP Improvement Adopted</t>
        </is>
      </c>
      <c r="C28" s="2" t="inlineStr">
        <is>
          <t>Ops</t>
        </is>
      </c>
      <c r="D28" s="2" t="n">
        <v>80</v>
      </c>
      <c r="E28" s="2" t="inlineStr">
        <is>
          <t>Monthly</t>
        </is>
      </c>
      <c r="F28" s="2" t="inlineStr">
        <is>
          <t>SOP approval</t>
        </is>
      </c>
      <c r="G28" s="2" t="n"/>
    </row>
    <row r="29">
      <c r="A29" s="2" t="inlineStr">
        <is>
          <t>OPS-QA</t>
        </is>
      </c>
      <c r="B29" s="2" t="inlineStr">
        <is>
          <t>Passed Monthly QA Audit</t>
        </is>
      </c>
      <c r="C29" s="2" t="inlineStr">
        <is>
          <t>Ops</t>
        </is>
      </c>
      <c r="D29" s="2" t="n">
        <v>40</v>
      </c>
      <c r="E29" s="2" t="inlineStr">
        <is>
          <t>Monthly</t>
        </is>
      </c>
      <c r="F29" s="2" t="inlineStr">
        <is>
          <t>QA record</t>
        </is>
      </c>
      <c r="G29" s="2" t="n"/>
    </row>
    <row r="30">
      <c r="A30" s="2" t="inlineStr">
        <is>
          <t>IMP-RETQ</t>
        </is>
      </c>
      <c r="B30" s="2" t="inlineStr">
        <is>
          <t>Quarterly Retention Benchmark</t>
        </is>
      </c>
      <c r="C30" s="2" t="inlineStr">
        <is>
          <t>Impact</t>
        </is>
      </c>
      <c r="D30" s="2" t="n">
        <v>150</v>
      </c>
      <c r="E30" s="2" t="inlineStr">
        <is>
          <t>Quarterly</t>
        </is>
      </c>
      <c r="F30" s="2" t="inlineStr">
        <is>
          <t>Retention report</t>
        </is>
      </c>
      <c r="G30" s="2" t="n"/>
    </row>
    <row r="31">
      <c r="A31" s="2" t="inlineStr">
        <is>
          <t>IMP-NPSQ</t>
        </is>
      </c>
      <c r="B31" s="2" t="inlineStr">
        <is>
          <t>Client Satisfaction Benchmark</t>
        </is>
      </c>
      <c r="C31" s="2" t="inlineStr">
        <is>
          <t>Impact</t>
        </is>
      </c>
      <c r="D31" s="2" t="n">
        <v>150</v>
      </c>
      <c r="E31" s="2" t="inlineStr">
        <is>
          <t>Quarterly</t>
        </is>
      </c>
      <c r="F31" s="2" t="inlineStr">
        <is>
          <t>NPS report</t>
        </is>
      </c>
      <c r="G31" s="2" t="n"/>
    </row>
    <row r="32">
      <c r="A32" s="2" t="inlineStr">
        <is>
          <t>IMP-SAVE</t>
        </is>
      </c>
      <c r="B32" s="2" t="inlineStr">
        <is>
          <t>Client Saved from Churn</t>
        </is>
      </c>
      <c r="C32" s="2" t="inlineStr">
        <is>
          <t>Impact</t>
        </is>
      </c>
      <c r="D32" s="2" t="n">
        <v>60</v>
      </c>
      <c r="E32" s="2" t="inlineStr">
        <is>
          <t>Quarterly</t>
        </is>
      </c>
      <c r="F32" s="2" t="inlineStr">
        <is>
          <t>Manager approval</t>
        </is>
      </c>
      <c r="G32" s="2" t="n"/>
    </row>
    <row r="33">
      <c r="A33" s="2" t="inlineStr">
        <is>
          <t>IMP-TRANS</t>
        </is>
      </c>
      <c r="B33" s="2" t="inlineStr">
        <is>
          <t>Documented Client Transformation</t>
        </is>
      </c>
      <c r="C33" s="2" t="inlineStr">
        <is>
          <t>Impact</t>
        </is>
      </c>
      <c r="D33" s="2" t="n">
        <v>80</v>
      </c>
      <c r="E33" s="2" t="inlineStr">
        <is>
          <t>Quarterly</t>
        </is>
      </c>
      <c r="F33" s="2" t="inlineStr">
        <is>
          <t>Case proof</t>
        </is>
      </c>
      <c r="G33" s="2" t="n"/>
    </row>
    <row r="34">
      <c r="A34" s="2" t="inlineStr">
        <is>
          <t>MNT-MENT</t>
        </is>
      </c>
      <c r="B34" s="2" t="inlineStr">
        <is>
          <t>Mentoring Session Logged</t>
        </is>
      </c>
      <c r="C34" s="2" t="inlineStr">
        <is>
          <t>Mentorship</t>
        </is>
      </c>
      <c r="D34" s="2" t="n">
        <v>20</v>
      </c>
      <c r="E34" s="2" t="inlineStr">
        <is>
          <t>Quarterly</t>
        </is>
      </c>
      <c r="F34" s="2" t="inlineStr">
        <is>
          <t>Mentorship log</t>
        </is>
      </c>
      <c r="G34" s="2" t="n"/>
    </row>
    <row r="35">
      <c r="A35" s="2" t="inlineStr">
        <is>
          <t>MNT-SHAD</t>
        </is>
      </c>
      <c r="B35" s="2" t="inlineStr">
        <is>
          <t>Shadow Evaluation Completed</t>
        </is>
      </c>
      <c r="C35" s="2" t="inlineStr">
        <is>
          <t>Mentorship</t>
        </is>
      </c>
      <c r="D35" s="2" t="n">
        <v>25</v>
      </c>
      <c r="E35" s="2" t="inlineStr">
        <is>
          <t>Quarterly</t>
        </is>
      </c>
      <c r="F35" s="2" t="inlineStr">
        <is>
          <t>Evaluation form</t>
        </is>
      </c>
      <c r="G35" s="2" t="n"/>
    </row>
    <row r="36">
      <c r="A36" s="2" t="inlineStr">
        <is>
          <t>MNT-DEV</t>
        </is>
      </c>
      <c r="B36" s="2" t="inlineStr">
        <is>
          <t>Development Plan Created</t>
        </is>
      </c>
      <c r="C36" s="2" t="inlineStr">
        <is>
          <t>Mentorship</t>
        </is>
      </c>
      <c r="D36" s="2" t="n">
        <v>40</v>
      </c>
      <c r="E36" s="2" t="inlineStr">
        <is>
          <t>Quarterly</t>
        </is>
      </c>
      <c r="F36" s="2" t="inlineStr">
        <is>
          <t>Plan review</t>
        </is>
      </c>
      <c r="G36" s="2" t="n"/>
    </row>
    <row r="37">
      <c r="A37" s="2" t="inlineStr">
        <is>
          <t>MNT-WORK</t>
        </is>
      </c>
      <c r="B37" s="2" t="inlineStr">
        <is>
          <t>Ran Coach Development Workshop</t>
        </is>
      </c>
      <c r="C37" s="2" t="inlineStr">
        <is>
          <t>Mentorship</t>
        </is>
      </c>
      <c r="D37" s="2" t="n">
        <v>80</v>
      </c>
      <c r="E37" s="2" t="inlineStr">
        <is>
          <t>Quarterly</t>
        </is>
      </c>
      <c r="F37" s="2" t="inlineStr">
        <is>
          <t>Session record</t>
        </is>
      </c>
      <c r="G37" s="2" t="n"/>
    </row>
    <row r="38">
      <c r="A38" s="2" t="inlineStr">
        <is>
          <t>SYS-BUILD</t>
        </is>
      </c>
      <c r="B38" s="2" t="inlineStr">
        <is>
          <t>System Built for Team Use</t>
        </is>
      </c>
      <c r="C38" s="2" t="inlineStr">
        <is>
          <t>Systems</t>
        </is>
      </c>
      <c r="D38" s="2" t="n">
        <v>120</v>
      </c>
      <c r="E38" s="2" t="inlineStr">
        <is>
          <t>Quarterly</t>
        </is>
      </c>
      <c r="F38" s="2" t="inlineStr">
        <is>
          <t>System adopted</t>
        </is>
      </c>
      <c r="G38" s="2" t="n"/>
    </row>
    <row r="39">
      <c r="A39" s="2" t="inlineStr">
        <is>
          <t>SYS-SCALE</t>
        </is>
      </c>
      <c r="B39" s="2" t="inlineStr">
        <is>
          <t>System Scaled Across Coaches</t>
        </is>
      </c>
      <c r="C39" s="2" t="inlineStr">
        <is>
          <t>Systems</t>
        </is>
      </c>
      <c r="D39" s="2" t="n">
        <v>150</v>
      </c>
      <c r="E39" s="2" t="inlineStr">
        <is>
          <t>Quarterly</t>
        </is>
      </c>
      <c r="F39" s="2" t="inlineStr">
        <is>
          <t>Usage proof</t>
        </is>
      </c>
      <c r="G39" s="2" t="n"/>
    </row>
    <row r="40">
      <c r="A40" s="2" t="inlineStr">
        <is>
          <t>SYS-FIX</t>
        </is>
      </c>
      <c r="B40" s="2" t="inlineStr">
        <is>
          <t>Recurring Ops Issue Resolved</t>
        </is>
      </c>
      <c r="C40" s="2" t="inlineStr">
        <is>
          <t>Systems</t>
        </is>
      </c>
      <c r="D40" s="2" t="n">
        <v>100</v>
      </c>
      <c r="E40" s="2" t="inlineStr">
        <is>
          <t>Quarterly</t>
        </is>
      </c>
      <c r="F40" s="2" t="inlineStr">
        <is>
          <t>Manager note</t>
        </is>
      </c>
      <c r="G40" s="2" t="n"/>
    </row>
    <row r="41">
      <c r="A41" s="2" t="inlineStr">
        <is>
          <t>REP-STND</t>
        </is>
      </c>
      <c r="B41" s="2" t="inlineStr">
        <is>
          <t>Standard Bearer Nomination</t>
        </is>
      </c>
      <c r="C41" s="2" t="inlineStr">
        <is>
          <t>Reputation</t>
        </is>
      </c>
      <c r="D41" s="2" t="n">
        <v>150</v>
      </c>
      <c r="E41" s="2" t="inlineStr">
        <is>
          <t>Quarterly</t>
        </is>
      </c>
      <c r="F41" s="2" t="inlineStr">
        <is>
          <t>Panel approval</t>
        </is>
      </c>
      <c r="G41" s="2" t="n"/>
    </row>
    <row r="42">
      <c r="A42" s="2" t="inlineStr">
        <is>
          <t>REP-ETHC</t>
        </is>
      </c>
      <c r="B42" s="2" t="inlineStr">
        <is>
          <t>Ethical Leadership Shown</t>
        </is>
      </c>
      <c r="C42" s="2" t="inlineStr">
        <is>
          <t>Reputation</t>
        </is>
      </c>
      <c r="D42" s="2" t="n">
        <v>120</v>
      </c>
      <c r="E42" s="2" t="inlineStr">
        <is>
          <t>Quarterly</t>
        </is>
      </c>
      <c r="F42" s="2" t="inlineStr">
        <is>
          <t>Director approval</t>
        </is>
      </c>
      <c r="G42" s="2" t="n"/>
    </row>
    <row r="43">
      <c r="A43" s="2" t="inlineStr">
        <is>
          <t>REP-CULT</t>
        </is>
      </c>
      <c r="B43" s="2" t="inlineStr">
        <is>
          <t>Culture Carrier Recognition</t>
        </is>
      </c>
      <c r="C43" s="2" t="inlineStr">
        <is>
          <t>Reputation</t>
        </is>
      </c>
      <c r="D43" s="2" t="n">
        <v>100</v>
      </c>
      <c r="E43" s="2" t="inlineStr">
        <is>
          <t>Quarterly</t>
        </is>
      </c>
      <c r="F43" s="2" t="inlineStr">
        <is>
          <t>Peer + manager</t>
        </is>
      </c>
      <c r="G43" s="2" t="n"/>
    </row>
    <row r="44">
      <c r="A44" s="2" t="inlineStr">
        <is>
          <t>SEED-INIT</t>
        </is>
      </c>
      <c r="B44" s="2" t="inlineStr">
        <is>
          <t>Initial Seed Placement</t>
        </is>
      </c>
      <c r="C44" s="2" t="inlineStr">
        <is>
          <t>Seeding</t>
        </is>
      </c>
      <c r="D44" s="2" t="n">
        <v>0</v>
      </c>
      <c r="E44" s="2" t="inlineStr">
        <is>
          <t>One-Time</t>
        </is>
      </c>
      <c r="F44" s="2" t="inlineStr">
        <is>
          <t>SeedPlacement approved</t>
        </is>
      </c>
      <c r="G44" s="2" t="n"/>
    </row>
    <row r="45">
      <c r="A45" s="2" t="inlineStr">
        <is>
          <t>SEED-ADJ</t>
        </is>
      </c>
      <c r="B45" s="2" t="inlineStr">
        <is>
          <t>Director Seed Adjustment</t>
        </is>
      </c>
      <c r="C45" s="2" t="inlineStr">
        <is>
          <t>Seeding</t>
        </is>
      </c>
      <c r="D45" s="2" t="n">
        <v>0</v>
      </c>
      <c r="E45" s="2" t="inlineStr">
        <is>
          <t>One-Time</t>
        </is>
      </c>
      <c r="F45" s="2" t="inlineStr">
        <is>
          <t>Director approval</t>
        </is>
      </c>
      <c r="G45" s="2" t="n"/>
    </row>
    <row r="46">
      <c r="A46" s="2" t="inlineStr">
        <is>
          <t>DIR-BONUS</t>
        </is>
      </c>
      <c r="B46" s="2" t="inlineStr">
        <is>
          <t>Director Exceptional Bonus</t>
        </is>
      </c>
      <c r="C46" s="2" t="inlineStr">
        <is>
          <t>Admin</t>
        </is>
      </c>
      <c r="D46" s="2" t="n">
        <v>0</v>
      </c>
      <c r="E46" s="2" t="inlineStr">
        <is>
          <t>Adhoc</t>
        </is>
      </c>
      <c r="F46" s="2" t="inlineStr">
        <is>
          <t>Director approval</t>
        </is>
      </c>
      <c r="G46" s="2" t="n"/>
    </row>
    <row r="47">
      <c r="A47" s="2" t="inlineStr">
        <is>
          <t>FREEZE-XP</t>
        </is>
      </c>
      <c r="B47" s="2" t="inlineStr">
        <is>
          <t>XP Freeze (Disciplinary)</t>
        </is>
      </c>
      <c r="C47" s="2" t="inlineStr">
        <is>
          <t>Admin</t>
        </is>
      </c>
      <c r="D47" s="2" t="n">
        <v>0</v>
      </c>
      <c r="E47" s="2" t="inlineStr">
        <is>
          <t>Adhoc</t>
        </is>
      </c>
      <c r="F47" s="2" t="inlineStr">
        <is>
          <t>Director decision</t>
        </is>
      </c>
      <c r="G47" s="2" t="n"/>
    </row>
    <row r="48">
      <c r="A48" s="2" t="inlineStr">
        <is>
          <t>CMP-GOLD</t>
        </is>
      </c>
      <c r="B48" s="2" t="inlineStr">
        <is>
          <t>Competition – 1st Place / Gold Medal</t>
        </is>
      </c>
      <c r="C48" s="2" t="inlineStr">
        <is>
          <t>Competition</t>
        </is>
      </c>
      <c r="D48" s="2" t="n">
        <v>300</v>
      </c>
      <c r="E48" s="2" t="inlineStr">
        <is>
          <t>Quarterly</t>
        </is>
      </c>
      <c r="F48" s="2" t="inlineStr">
        <is>
          <t>Official results + media proof</t>
        </is>
      </c>
      <c r="G48" s="2" t="n"/>
    </row>
    <row r="49">
      <c r="A49" s="2" t="inlineStr">
        <is>
          <t>CMP-SILV</t>
        </is>
      </c>
      <c r="B49" s="2" t="inlineStr">
        <is>
          <t>Competition – 2nd Place / Silver Medal</t>
        </is>
      </c>
      <c r="C49" s="2" t="inlineStr">
        <is>
          <t>Competition</t>
        </is>
      </c>
      <c r="D49" s="2" t="n">
        <v>200</v>
      </c>
      <c r="E49" s="2" t="inlineStr">
        <is>
          <t>Quarterly</t>
        </is>
      </c>
      <c r="F49" s="2" t="inlineStr">
        <is>
          <t>Official results + media proof</t>
        </is>
      </c>
      <c r="G49" s="2" t="n"/>
    </row>
    <row r="50">
      <c r="A50" s="2" t="inlineStr">
        <is>
          <t>CMP-BRON</t>
        </is>
      </c>
      <c r="B50" s="2" t="inlineStr">
        <is>
          <t>Competition – 3rd Place / Bronze Medal</t>
        </is>
      </c>
      <c r="C50" s="2" t="inlineStr">
        <is>
          <t>Competition</t>
        </is>
      </c>
      <c r="D50" s="2" t="n">
        <v>150</v>
      </c>
      <c r="E50" s="2" t="inlineStr">
        <is>
          <t>Quarterly</t>
        </is>
      </c>
      <c r="F50" s="2" t="inlineStr">
        <is>
          <t>Official results + media proof</t>
        </is>
      </c>
      <c r="G50" s="2" t="n"/>
    </row>
    <row r="51">
      <c r="A51" s="2" t="inlineStr">
        <is>
          <t>CMP-PODI</t>
        </is>
      </c>
      <c r="B51" s="2" t="inlineStr">
        <is>
          <t>Competition – Podium Finish (Any)</t>
        </is>
      </c>
      <c r="C51" s="2" t="inlineStr">
        <is>
          <t>Competition</t>
        </is>
      </c>
      <c r="D51" s="2" t="n">
        <v>120</v>
      </c>
      <c r="E51" s="2" t="inlineStr">
        <is>
          <t>Quarterly</t>
        </is>
      </c>
      <c r="F51" s="2" t="inlineStr">
        <is>
          <t>Official results</t>
        </is>
      </c>
      <c r="G51" s="2" t="n"/>
    </row>
    <row r="52">
      <c r="A52" s="2" t="inlineStr">
        <is>
          <t>CMP-FINA</t>
        </is>
      </c>
      <c r="B52" s="2" t="inlineStr">
        <is>
          <t>Competition – Finals Qualification</t>
        </is>
      </c>
      <c r="C52" s="2" t="inlineStr">
        <is>
          <t>Competition</t>
        </is>
      </c>
      <c r="D52" s="2" t="n">
        <v>80</v>
      </c>
      <c r="E52" s="2" t="inlineStr">
        <is>
          <t>Quarterly</t>
        </is>
      </c>
      <c r="F52" s="2" t="inlineStr">
        <is>
          <t>Official results</t>
        </is>
      </c>
      <c r="G52" s="2" t="n"/>
    </row>
    <row r="53">
      <c r="A53" s="2" t="inlineStr">
        <is>
          <t>CMP-COMP</t>
        </is>
      </c>
      <c r="B53" s="2" t="inlineStr">
        <is>
          <t>Competition – Competed (Represented Brand)</t>
        </is>
      </c>
      <c r="C53" s="2" t="inlineStr">
        <is>
          <t>Competition</t>
        </is>
      </c>
      <c r="D53" s="2" t="n">
        <v>50</v>
      </c>
      <c r="E53" s="2" t="inlineStr">
        <is>
          <t>Quarterly</t>
        </is>
      </c>
      <c r="F53" s="2" t="inlineStr">
        <is>
          <t>Event registration + proof</t>
        </is>
      </c>
      <c r="G53" s="2" t="n"/>
    </row>
    <row r="54">
      <c r="A54" s="2" t="inlineStr">
        <is>
          <t>CMP-TEAM</t>
        </is>
      </c>
      <c r="B54" s="2" t="inlineStr">
        <is>
          <t>Team Competition Representation</t>
        </is>
      </c>
      <c r="C54" s="2" t="inlineStr">
        <is>
          <t>Competition</t>
        </is>
      </c>
      <c r="D54" s="2" t="n">
        <v>60</v>
      </c>
      <c r="E54" s="2" t="inlineStr">
        <is>
          <t>Quarterly</t>
        </is>
      </c>
      <c r="F54" s="2" t="inlineStr">
        <is>
          <t>Team roster + results</t>
        </is>
      </c>
      <c r="G54" s="2" t="n"/>
    </row>
    <row r="55">
      <c r="A55" s="2" t="inlineStr">
        <is>
          <t>CMP-INTL</t>
        </is>
      </c>
      <c r="B55" s="2" t="inlineStr">
        <is>
          <t>International Competition Representation</t>
        </is>
      </c>
      <c r="C55" s="2" t="inlineStr">
        <is>
          <t>Competition</t>
        </is>
      </c>
      <c r="D55" s="2" t="n">
        <v>120</v>
      </c>
      <c r="E55" s="2" t="inlineStr">
        <is>
          <t>Quarterly</t>
        </is>
      </c>
      <c r="F55" s="2" t="inlineStr">
        <is>
          <t>Event sanctioning proof</t>
        </is>
      </c>
      <c r="G55" s="2" t="n"/>
    </row>
    <row r="56">
      <c r="A56" s="2" t="inlineStr">
        <is>
          <t>CMP-NATL</t>
        </is>
      </c>
      <c r="B56" s="2" t="inlineStr">
        <is>
          <t>National-Level Competition Representation</t>
        </is>
      </c>
      <c r="C56" s="2" t="inlineStr">
        <is>
          <t>Competition</t>
        </is>
      </c>
      <c r="D56" s="2" t="n">
        <v>100</v>
      </c>
      <c r="E56" s="2" t="inlineStr">
        <is>
          <t>Quarterly</t>
        </is>
      </c>
      <c r="F56" s="2" t="inlineStr">
        <is>
          <t>Event sanctioning proof</t>
        </is>
      </c>
      <c r="G56" s="2" t="n"/>
    </row>
    <row r="57">
      <c r="A57" s="2" t="inlineStr">
        <is>
          <t>CMP-REGN</t>
        </is>
      </c>
      <c r="B57" s="2" t="inlineStr">
        <is>
          <t>Regional/State Competition Representation</t>
        </is>
      </c>
      <c r="C57" s="2" t="inlineStr">
        <is>
          <t>Competition</t>
        </is>
      </c>
      <c r="D57" s="2" t="n">
        <v>70</v>
      </c>
      <c r="E57" s="2" t="inlineStr">
        <is>
          <t>Quarterly</t>
        </is>
      </c>
      <c r="F57" s="2" t="inlineStr">
        <is>
          <t>Event sanctioning proof</t>
        </is>
      </c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7" customWidth="1" style="38" min="1" max="1"/>
    <col width="15" customWidth="1" style="38" min="2" max="2"/>
    <col width="34" customWidth="1" style="38" min="3" max="3"/>
    <col width="12" customWidth="1" style="38" min="4" max="4"/>
    <col width="14" customWidth="1" style="38" min="5" max="5"/>
  </cols>
  <sheetData>
    <row r="1">
      <c r="A1" s="39" t="inlineStr">
        <is>
          <t>OperationalRole</t>
        </is>
      </c>
      <c r="B1" s="39" t="inlineStr">
        <is>
          <t>MinXPEligible</t>
        </is>
      </c>
      <c r="C1" s="39" t="inlineStr">
        <is>
          <t>OperationalTitle</t>
        </is>
      </c>
      <c r="D1" s="39" t="inlineStr">
        <is>
          <t>GreekTitle</t>
        </is>
      </c>
      <c r="E1" s="39" t="inlineStr">
        <is>
          <t>AesirTitle</t>
        </is>
      </c>
    </row>
    <row r="2">
      <c r="A2" s="23" t="inlineStr">
        <is>
          <t>T1</t>
        </is>
      </c>
      <c r="B2" s="23" t="n">
        <v>0</v>
      </c>
      <c r="C2" s="23" t="inlineStr">
        <is>
          <t>Apprentice Coach</t>
        </is>
      </c>
      <c r="D2" s="23" t="inlineStr">
        <is>
          <t>Apprentice</t>
        </is>
      </c>
      <c r="E2" s="23" t="inlineStr">
        <is>
          <t>First Breath</t>
        </is>
      </c>
    </row>
    <row r="3">
      <c r="A3" s="23" t="inlineStr">
        <is>
          <t>T2</t>
        </is>
      </c>
      <c r="B3" s="23" t="n">
        <v>500</v>
      </c>
      <c r="C3" s="23" t="inlineStr">
        <is>
          <t>Coach</t>
        </is>
      </c>
      <c r="D3" s="23" t="inlineStr">
        <is>
          <t>Pathfinder</t>
        </is>
      </c>
      <c r="E3" s="23" t="inlineStr">
        <is>
          <t>Steady</t>
        </is>
      </c>
    </row>
    <row r="4">
      <c r="A4" s="23" t="inlineStr">
        <is>
          <t>T3</t>
        </is>
      </c>
      <c r="B4" s="23" t="n">
        <v>1500</v>
      </c>
      <c r="C4" s="23" t="inlineStr">
        <is>
          <t>Performance Coach</t>
        </is>
      </c>
      <c r="D4" s="23" t="inlineStr">
        <is>
          <t>Champion</t>
        </is>
      </c>
      <c r="E4" s="23" t="inlineStr">
        <is>
          <t>Shieldmaiden</t>
        </is>
      </c>
    </row>
    <row r="5">
      <c r="A5" s="23" t="inlineStr">
        <is>
          <t>T4</t>
        </is>
      </c>
      <c r="B5" s="23" t="n">
        <v>3000</v>
      </c>
      <c r="C5" s="23" t="inlineStr">
        <is>
          <t>Specialist</t>
        </is>
      </c>
      <c r="D5" s="23" t="inlineStr">
        <is>
          <t>Mentor</t>
        </is>
      </c>
      <c r="E5" s="23" t="inlineStr">
        <is>
          <t>Healer</t>
        </is>
      </c>
    </row>
    <row r="6">
      <c r="A6" s="23" t="inlineStr">
        <is>
          <t>T5</t>
        </is>
      </c>
      <c r="B6" s="23" t="n">
        <v>5000</v>
      </c>
      <c r="C6" s="23" t="inlineStr">
        <is>
          <t>Lead Coach</t>
        </is>
      </c>
      <c r="D6" s="23" t="inlineStr">
        <is>
          <t>Strategist</t>
        </is>
      </c>
      <c r="E6" s="23" t="inlineStr">
        <is>
          <t>Rune Teacher</t>
        </is>
      </c>
    </row>
    <row r="7">
      <c r="A7" s="23" t="inlineStr">
        <is>
          <t>T6</t>
        </is>
      </c>
      <c r="B7" s="23" t="n">
        <v>7500</v>
      </c>
      <c r="C7" s="23" t="inlineStr">
        <is>
          <t>Head Coach / Studio Manager</t>
        </is>
      </c>
      <c r="D7" s="23" t="inlineStr">
        <is>
          <t>Elder</t>
        </is>
      </c>
      <c r="E7" s="23" t="inlineStr">
        <is>
          <t>Seer</t>
        </is>
      </c>
    </row>
    <row r="8">
      <c r="A8" s="23" t="inlineStr">
        <is>
          <t>T7</t>
        </is>
      </c>
      <c r="B8" s="23" t="n">
        <v>10000</v>
      </c>
      <c r="C8" s="23" t="inlineStr">
        <is>
          <t>Area Performance Manager</t>
        </is>
      </c>
      <c r="D8" s="23" t="inlineStr">
        <is>
          <t>Founder</t>
        </is>
      </c>
      <c r="E8" s="23" t="inlineStr">
        <is>
          <t>Wayfinder</t>
        </is>
      </c>
    </row>
    <row r="9">
      <c r="A9" s="23" t="inlineStr">
        <is>
          <t>T8</t>
        </is>
      </c>
      <c r="B9" s="23" t="n">
        <v>13000</v>
      </c>
      <c r="C9" s="23" t="inlineStr">
        <is>
          <t>Director of Coaching &amp; Education</t>
        </is>
      </c>
      <c r="D9" s="23" t="inlineStr">
        <is>
          <t>Demigod</t>
        </is>
      </c>
      <c r="E9" s="23" t="inlineStr">
        <is>
          <t>Valkyrie</t>
        </is>
      </c>
    </row>
    <row r="10">
      <c r="A10" s="23" t="inlineStr">
        <is>
          <t>T9</t>
        </is>
      </c>
      <c r="B10" s="23" t="n">
        <v>15000</v>
      </c>
      <c r="C10" s="23" t="inlineStr">
        <is>
          <t>C-Level</t>
        </is>
      </c>
      <c r="D10" s="23" t="inlineStr">
        <is>
          <t>Olympus</t>
        </is>
      </c>
      <c r="E10" s="23" t="inlineStr">
        <is>
          <t>Aesir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38" min="1" max="1"/>
    <col width="12" customWidth="1" style="38" min="2" max="2"/>
    <col width="12" customWidth="1" style="38" min="3" max="3"/>
    <col width="12" customWidth="1" style="38" min="4" max="4"/>
    <col width="12" customWidth="1" style="38" min="5" max="5"/>
    <col width="12" customWidth="1" style="38" min="6" max="6"/>
    <col width="18" customWidth="1" style="38" min="7" max="7"/>
  </cols>
  <sheetData>
    <row r="1">
      <c r="A1" s="39" t="inlineStr">
        <is>
          <t>Tier</t>
        </is>
      </c>
      <c r="B1" s="39" t="inlineStr">
        <is>
          <t>MinXP</t>
        </is>
      </c>
      <c r="C1" s="39" t="inlineStr">
        <is>
          <t>MaxXP</t>
        </is>
      </c>
      <c r="D1" s="39" t="inlineStr">
        <is>
          <t>LevelStart</t>
        </is>
      </c>
      <c r="E1" s="39" t="inlineStr">
        <is>
          <t>LevelEnd</t>
        </is>
      </c>
      <c r="F1" s="39" t="inlineStr">
        <is>
          <t>LevelCount</t>
        </is>
      </c>
      <c r="G1" s="39" t="inlineStr">
        <is>
          <t>StepXP</t>
        </is>
      </c>
    </row>
    <row r="2">
      <c r="A2" s="23" t="inlineStr">
        <is>
          <t>T1</t>
        </is>
      </c>
      <c r="B2" s="14" t="n">
        <v>0</v>
      </c>
      <c r="C2" s="14" t="n">
        <v>499</v>
      </c>
      <c r="D2" s="14" t="n">
        <v>0</v>
      </c>
      <c r="E2" s="14" t="n">
        <v>10</v>
      </c>
      <c r="F2" s="14" t="n">
        <v>11</v>
      </c>
      <c r="G2" s="14">
        <f>(C2-B2+1)/F2</f>
        <v/>
      </c>
    </row>
    <row r="3">
      <c r="A3" s="23" t="inlineStr">
        <is>
          <t>T2</t>
        </is>
      </c>
      <c r="B3" s="14" t="n">
        <v>500</v>
      </c>
      <c r="C3" s="14" t="n">
        <v>1499</v>
      </c>
      <c r="D3" s="14" t="n">
        <v>11</v>
      </c>
      <c r="E3" s="14" t="n">
        <v>20</v>
      </c>
      <c r="F3" s="14" t="n">
        <v>10</v>
      </c>
      <c r="G3" s="14">
        <f>(C3-B3+1)/F3</f>
        <v/>
      </c>
    </row>
    <row r="4">
      <c r="A4" s="23" t="inlineStr">
        <is>
          <t>T3</t>
        </is>
      </c>
      <c r="B4" s="14" t="n">
        <v>1500</v>
      </c>
      <c r="C4" s="14" t="n">
        <v>2999</v>
      </c>
      <c r="D4" s="14" t="n">
        <v>21</v>
      </c>
      <c r="E4" s="14" t="n">
        <v>30</v>
      </c>
      <c r="F4" s="14" t="n">
        <v>10</v>
      </c>
      <c r="G4" s="14">
        <f>(C4-B4+1)/F4</f>
        <v/>
      </c>
    </row>
    <row r="5">
      <c r="A5" s="23" t="inlineStr">
        <is>
          <t>T4</t>
        </is>
      </c>
      <c r="B5" s="14" t="n">
        <v>3000</v>
      </c>
      <c r="C5" s="14" t="n">
        <v>4999</v>
      </c>
      <c r="D5" s="14" t="n">
        <v>31</v>
      </c>
      <c r="E5" s="14" t="n">
        <v>40</v>
      </c>
      <c r="F5" s="14" t="n">
        <v>10</v>
      </c>
      <c r="G5" s="14">
        <f>(C5-B5+1)/F5</f>
        <v/>
      </c>
    </row>
    <row r="6">
      <c r="A6" s="23" t="inlineStr">
        <is>
          <t>T5</t>
        </is>
      </c>
      <c r="B6" s="14" t="n">
        <v>5000</v>
      </c>
      <c r="C6" s="14" t="n">
        <v>7499</v>
      </c>
      <c r="D6" s="14" t="n">
        <v>41</v>
      </c>
      <c r="E6" s="14" t="n">
        <v>50</v>
      </c>
      <c r="F6" s="14" t="n">
        <v>10</v>
      </c>
      <c r="G6" s="14">
        <f>(C6-B6+1)/F6</f>
        <v/>
      </c>
    </row>
    <row r="7">
      <c r="A7" s="23" t="inlineStr">
        <is>
          <t>T6</t>
        </is>
      </c>
      <c r="B7" s="14" t="n">
        <v>7500</v>
      </c>
      <c r="C7" s="14" t="n">
        <v>9999</v>
      </c>
      <c r="D7" s="14" t="n">
        <v>51</v>
      </c>
      <c r="E7" s="14" t="n">
        <v>60</v>
      </c>
      <c r="F7" s="14" t="n">
        <v>10</v>
      </c>
      <c r="G7" s="14">
        <f>(C7-B7+1)/F7</f>
        <v/>
      </c>
    </row>
    <row r="8">
      <c r="A8" s="23" t="inlineStr">
        <is>
          <t>T7</t>
        </is>
      </c>
      <c r="B8" s="14" t="n">
        <v>10000</v>
      </c>
      <c r="C8" s="14" t="n">
        <v>12999</v>
      </c>
      <c r="D8" s="14" t="n">
        <v>61</v>
      </c>
      <c r="E8" s="14" t="n">
        <v>70</v>
      </c>
      <c r="F8" s="14" t="n">
        <v>10</v>
      </c>
      <c r="G8" s="14">
        <f>(C8-B8+1)/F8</f>
        <v/>
      </c>
    </row>
    <row r="9">
      <c r="A9" s="23" t="inlineStr">
        <is>
          <t>T8</t>
        </is>
      </c>
      <c r="B9" s="14" t="n">
        <v>13000</v>
      </c>
      <c r="C9" s="14" t="n">
        <v>14999</v>
      </c>
      <c r="D9" s="14" t="n">
        <v>71</v>
      </c>
      <c r="E9" s="14" t="n">
        <v>80</v>
      </c>
      <c r="F9" s="14" t="n">
        <v>10</v>
      </c>
      <c r="G9" s="14">
        <f>(C9-B9+1)/F9</f>
        <v/>
      </c>
    </row>
    <row r="10">
      <c r="A10" s="23" t="inlineStr">
        <is>
          <t>T9</t>
        </is>
      </c>
      <c r="B10" s="14" t="n">
        <v>15000</v>
      </c>
      <c r="C10" s="14" t="n">
        <v>20000</v>
      </c>
      <c r="D10" s="14" t="n">
        <v>81</v>
      </c>
      <c r="E10" s="14" t="n">
        <v>100</v>
      </c>
      <c r="F10" s="14" t="n">
        <v>20</v>
      </c>
      <c r="G10" s="14">
        <f>(C10-B10+1)/F10</f>
        <v/>
      </c>
    </row>
    <row r="11">
      <c r="B11" s="14" t="n"/>
      <c r="C11" s="14" t="n"/>
      <c r="D11" s="14" t="n"/>
      <c r="E11" s="14" t="n"/>
      <c r="F11" s="14" t="n"/>
      <c r="G11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FF00"/>
    <outlinePr summaryBelow="0" summaryRight="0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38" min="1" max="1"/>
    <col width="12" customWidth="1" style="38" min="2" max="2"/>
    <col width="14" customWidth="1" style="38" min="3" max="3"/>
    <col hidden="1" width="40" customWidth="1" style="38" min="4" max="4"/>
    <col width="12" customWidth="1" style="38" min="5" max="5"/>
    <col width="12" customWidth="1" style="38" min="6" max="6"/>
    <col width="12" customWidth="1" style="38" min="7" max="7"/>
    <col width="12" customWidth="1" style="38" min="8" max="8"/>
    <col hidden="1" width="40" customWidth="1" style="38" min="9" max="9"/>
    <col width="40" customWidth="1" style="38" min="10" max="10"/>
    <col width="40" customWidth="1" style="38" min="11" max="11"/>
    <col width="12" customWidth="1" style="38" min="12" max="12"/>
    <col width="40" customWidth="1" style="38" min="13" max="13"/>
    <col width="40" customWidth="1" style="38" min="14" max="14"/>
    <col width="38" customWidth="1" style="38" min="15" max="15"/>
    <col width="40" customWidth="1" style="38" min="16" max="16"/>
  </cols>
  <sheetData>
    <row r="1">
      <c r="A1" s="40" t="inlineStr">
        <is>
          <t>Date</t>
        </is>
      </c>
      <c r="B1" s="40" t="inlineStr">
        <is>
          <t>CoachID</t>
        </is>
      </c>
      <c r="C1" s="40" t="inlineStr">
        <is>
          <t>ActionSelect</t>
        </is>
      </c>
      <c r="D1" s="40" t="inlineStr">
        <is>
          <t>ActionID</t>
        </is>
      </c>
      <c r="E1" s="40" t="inlineStr">
        <is>
          <t>Qty</t>
        </is>
      </c>
      <c r="F1" s="40" t="inlineStr">
        <is>
          <t>Verified</t>
        </is>
      </c>
      <c r="G1" s="40" t="inlineStr">
        <is>
          <t>Evidence</t>
        </is>
      </c>
      <c r="H1" s="40" t="inlineStr">
        <is>
          <t>Notes</t>
        </is>
      </c>
      <c r="I1" s="40" t="inlineStr">
        <is>
          <t>ActionName</t>
        </is>
      </c>
      <c r="J1" s="40" t="inlineStr">
        <is>
          <t>Bucket</t>
        </is>
      </c>
      <c r="K1" s="40" t="inlineStr">
        <is>
          <t>XPper</t>
        </is>
      </c>
      <c r="L1" s="40" t="inlineStr">
        <is>
          <t>XPOverride</t>
        </is>
      </c>
      <c r="M1" s="40" t="inlineStr">
        <is>
          <t>XPRaw</t>
        </is>
      </c>
      <c r="N1" s="40" t="inlineStr">
        <is>
          <t>WeekKey</t>
        </is>
      </c>
      <c r="O1" s="40" t="inlineStr">
        <is>
          <t>MonthKey</t>
        </is>
      </c>
      <c r="P1" s="40" t="inlineStr">
        <is>
          <t>QuarterKey</t>
        </is>
      </c>
    </row>
    <row r="2">
      <c r="A2" s="18" t="n"/>
      <c r="B2" s="20" t="n"/>
      <c r="C2" s="20" t="n"/>
      <c r="D2" s="20">
        <f>IFERROR(INDEX(XPMenu!$A$2:$A$1000, MATCH(C2, XPMenu!$B$2:$B$1000, 0)), "")</f>
        <v/>
      </c>
      <c r="E2" s="20" t="n"/>
      <c r="F2" s="20" t="n"/>
      <c r="G2" s="20" t="n"/>
      <c r="H2" s="20" t="n"/>
      <c r="I2" s="20">
        <f>IFERROR(VLOOKUP(D2,XPMenu!$A:$F,2,FALSE),"")</f>
        <v/>
      </c>
      <c r="J2" s="20">
        <f>IFERROR(VLOOKUP(D2,XPMenu!$A:$F,3,FALSE),"")</f>
        <v/>
      </c>
      <c r="K2" s="20">
        <f>IFERROR(VLOOKUP(D2,XPMenu!$A:$F,4,FALSE),"")</f>
        <v/>
      </c>
      <c r="L2" s="20" t="n"/>
      <c r="M2" s="20">
        <f>IF(A2="","",IF(F2&lt;&gt;"Yes",0,IF(L2&lt;&gt;"",L2,E2*K2)))</f>
        <v/>
      </c>
      <c r="N2" s="20">
        <f>IF($A2="","",$A2-WEEKDAY($A2,2)+1)</f>
        <v/>
      </c>
      <c r="O2" s="20">
        <f>IF($A2="","",TEXT($A2,"yyyy-mm"))</f>
        <v/>
      </c>
      <c r="P2" s="21">
        <f>IF($A2="","",TEXT(YEAR($A2),"0000")&amp;"-Q"&amp;ROUNDUP(MONTH($A2)/3,0))</f>
        <v/>
      </c>
    </row>
    <row r="3">
      <c r="A3" s="18" t="n"/>
      <c r="B3" s="20" t="n"/>
      <c r="C3" s="20" t="n"/>
      <c r="D3" s="20">
        <f>IFERROR(INDEX(XPMenu!$A$2:$A$1000, MATCH(C3, XPMenu!$B$2:$B$1000, 0)), "")</f>
        <v/>
      </c>
      <c r="E3" s="20" t="n"/>
      <c r="F3" s="20" t="n"/>
      <c r="G3" s="20" t="n"/>
      <c r="H3" s="20" t="n"/>
      <c r="I3" s="20">
        <f>IFERROR(VLOOKUP(D3,XPMenu!$A:$F,2,FALSE),"")</f>
        <v/>
      </c>
      <c r="J3" s="20">
        <f>IFERROR(VLOOKUP(D3,XPMenu!$A:$F,3,FALSE),"")</f>
        <v/>
      </c>
      <c r="K3" s="20">
        <f>IFERROR(VLOOKUP(D3,XPMenu!$A:$F,4,FALSE),"")</f>
        <v/>
      </c>
      <c r="L3" s="20" t="n"/>
      <c r="M3" s="20">
        <f>IF(A3="","",IF(F3&lt;&gt;"Yes",0,IF(L3&lt;&gt;"",L3,E3*K3)))</f>
        <v/>
      </c>
      <c r="N3" s="20">
        <f>IF($A3="","",$A3-WEEKDAY($A3,2)+1)</f>
        <v/>
      </c>
      <c r="O3" s="20">
        <f>IF($A3="","",TEXT($A3,"yyyy-mm"))</f>
        <v/>
      </c>
      <c r="P3" s="21">
        <f>IF($A3="","",TEXT(YEAR($A3),"0000")&amp;"-Q"&amp;ROUNDUP(MONTH($A3)/3,0))</f>
        <v/>
      </c>
    </row>
    <row r="4">
      <c r="A4" s="18" t="n"/>
      <c r="B4" s="20" t="n"/>
      <c r="C4" s="20" t="n"/>
      <c r="D4" s="20">
        <f>IFERROR(INDEX(XPMenu!$A$2:$A$1000, MATCH(C4, XPMenu!$B$2:$B$1000, 0)), "")</f>
        <v/>
      </c>
      <c r="E4" s="20" t="n"/>
      <c r="F4" s="20" t="n"/>
      <c r="G4" s="20" t="n"/>
      <c r="H4" s="20" t="n"/>
      <c r="I4" s="20">
        <f>IFERROR(VLOOKUP(D4,XPMenu!$A:$F,2,FALSE),"")</f>
        <v/>
      </c>
      <c r="J4" s="20">
        <f>IFERROR(VLOOKUP(D4,XPMenu!$A:$F,3,FALSE),"")</f>
        <v/>
      </c>
      <c r="K4" s="20">
        <f>IFERROR(VLOOKUP(D4,XPMenu!$A:$F,4,FALSE),"")</f>
        <v/>
      </c>
      <c r="L4" s="20" t="n"/>
      <c r="M4" s="20">
        <f>IF(A4="","",IF(F4&lt;&gt;"Yes",0,IF(L4&lt;&gt;"",L4,E4*K4)))</f>
        <v/>
      </c>
      <c r="N4" s="20">
        <f>IF($A4="","",$A4-WEEKDAY($A4,2)+1)</f>
        <v/>
      </c>
      <c r="O4" s="20">
        <f>IF($A4="","",TEXT($A4,"yyyy-mm"))</f>
        <v/>
      </c>
      <c r="P4" s="21">
        <f>IF($A4="","",TEXT(YEAR($A4),"0000")&amp;"-Q"&amp;ROUNDUP(MONTH($A4)/3,0))</f>
        <v/>
      </c>
    </row>
    <row r="5">
      <c r="A5" s="18" t="n"/>
      <c r="B5" s="20" t="n"/>
      <c r="C5" s="20" t="n"/>
      <c r="D5" s="20">
        <f>IFERROR(INDEX(XPMenu!$A$2:$A$1000, MATCH(C5, XPMenu!$B$2:$B$1000, 0)), "")</f>
        <v/>
      </c>
      <c r="E5" s="20" t="n"/>
      <c r="F5" s="20" t="n"/>
      <c r="G5" s="20" t="n"/>
      <c r="H5" s="20" t="n"/>
      <c r="I5" s="20">
        <f>IFERROR(VLOOKUP(D5,XPMenu!$A:$F,2,FALSE),"")</f>
        <v/>
      </c>
      <c r="J5" s="20">
        <f>IFERROR(VLOOKUP(D5,XPMenu!$A:$F,3,FALSE),"")</f>
        <v/>
      </c>
      <c r="K5" s="20">
        <f>IFERROR(VLOOKUP(D5,XPMenu!$A:$F,4,FALSE),"")</f>
        <v/>
      </c>
      <c r="L5" s="20" t="n"/>
      <c r="M5" s="20">
        <f>IF(A5="","",IF(F5&lt;&gt;"Yes",0,IF(L5&lt;&gt;"",L5,E5*K5)))</f>
        <v/>
      </c>
      <c r="N5" s="20">
        <f>IF($A5="","",$A5-WEEKDAY($A5,2)+1)</f>
        <v/>
      </c>
      <c r="O5" s="20">
        <f>IF($A5="","",TEXT($A5,"yyyy-mm"))</f>
        <v/>
      </c>
      <c r="P5" s="21">
        <f>IF($A5="","",TEXT(YEAR($A5),"0000")&amp;"-Q"&amp;ROUNDUP(MONTH($A5)/3,0))</f>
        <v/>
      </c>
    </row>
    <row r="6">
      <c r="A6" s="18" t="n"/>
      <c r="B6" s="20" t="n"/>
      <c r="C6" s="20" t="n"/>
      <c r="D6" s="20">
        <f>IFERROR(INDEX(XPMenu!$A$2:$A$1000, MATCH(C6, XPMenu!$B$2:$B$1000, 0)), "")</f>
        <v/>
      </c>
      <c r="E6" s="20" t="n"/>
      <c r="F6" s="20" t="n"/>
      <c r="G6" s="20" t="n"/>
      <c r="H6" s="20" t="n"/>
      <c r="I6" s="20">
        <f>IFERROR(VLOOKUP(D6,XPMenu!$A:$F,2,FALSE),"")</f>
        <v/>
      </c>
      <c r="J6" s="20">
        <f>IFERROR(VLOOKUP(D6,XPMenu!$A:$F,3,FALSE),"")</f>
        <v/>
      </c>
      <c r="K6" s="20">
        <f>IFERROR(VLOOKUP(D6,XPMenu!$A:$F,4,FALSE),"")</f>
        <v/>
      </c>
      <c r="L6" s="20" t="n"/>
      <c r="M6" s="20">
        <f>IF(A6="","",IF(F6&lt;&gt;"Yes",0,IF(L6&lt;&gt;"",L6,E6*K6)))</f>
        <v/>
      </c>
      <c r="N6" s="20">
        <f>IF($A6="","",$A6-WEEKDAY($A6,2)+1)</f>
        <v/>
      </c>
      <c r="O6" s="20">
        <f>IF($A6="","",TEXT($A6,"yyyy-mm"))</f>
        <v/>
      </c>
      <c r="P6" s="21">
        <f>IF($A6="","",TEXT(YEAR($A6),"0000")&amp;"-Q"&amp;ROUNDUP(MONTH($A6)/3,0))</f>
        <v/>
      </c>
    </row>
    <row r="7">
      <c r="A7" s="18" t="n"/>
      <c r="B7" s="20" t="n"/>
      <c r="C7" s="20" t="n"/>
      <c r="D7" s="20">
        <f>IFERROR(INDEX(XPMenu!$A$2:$A$1000, MATCH(C7, XPMenu!$B$2:$B$1000, 0)), "")</f>
        <v/>
      </c>
      <c r="E7" s="20" t="n"/>
      <c r="F7" s="20" t="n"/>
      <c r="G7" s="20" t="n"/>
      <c r="H7" s="20" t="n"/>
      <c r="I7" s="20">
        <f>IFERROR(VLOOKUP(D7,XPMenu!$A:$F,2,FALSE),"")</f>
        <v/>
      </c>
      <c r="J7" s="20">
        <f>IFERROR(VLOOKUP(D7,XPMenu!$A:$F,3,FALSE),"")</f>
        <v/>
      </c>
      <c r="K7" s="20">
        <f>IFERROR(VLOOKUP(D7,XPMenu!$A:$F,4,FALSE),"")</f>
        <v/>
      </c>
      <c r="L7" s="20" t="n"/>
      <c r="M7" s="20">
        <f>IF(A7="","",IF(F7&lt;&gt;"Yes",0,IF(L7&lt;&gt;"",L7,E7*K7)))</f>
        <v/>
      </c>
      <c r="N7" s="20">
        <f>IF($A7="","",$A7-WEEKDAY($A7,2)+1)</f>
        <v/>
      </c>
      <c r="O7" s="20">
        <f>IF($A7="","",TEXT($A7,"yyyy-mm"))</f>
        <v/>
      </c>
      <c r="P7" s="21">
        <f>IF($A7="","",TEXT(YEAR($A7),"0000")&amp;"-Q"&amp;ROUNDUP(MONTH($A7)/3,0))</f>
        <v/>
      </c>
    </row>
    <row r="8">
      <c r="A8" s="18" t="n"/>
      <c r="B8" s="20" t="n"/>
      <c r="C8" s="20" t="n"/>
      <c r="D8" s="20">
        <f>IFERROR(INDEX(XPMenu!$A$2:$A$1000, MATCH(C8, XPMenu!$B$2:$B$1000, 0)), "")</f>
        <v/>
      </c>
      <c r="E8" s="20" t="n"/>
      <c r="F8" s="20" t="n"/>
      <c r="G8" s="20" t="n"/>
      <c r="H8" s="20" t="n"/>
      <c r="I8" s="20">
        <f>IFERROR(VLOOKUP(D8,XPMenu!$A:$F,2,FALSE),"")</f>
        <v/>
      </c>
      <c r="J8" s="20">
        <f>IFERROR(VLOOKUP(D8,XPMenu!$A:$F,3,FALSE),"")</f>
        <v/>
      </c>
      <c r="K8" s="20">
        <f>IFERROR(VLOOKUP(D8,XPMenu!$A:$F,4,FALSE),"")</f>
        <v/>
      </c>
      <c r="L8" s="20" t="n"/>
      <c r="M8" s="20">
        <f>IF(A8="","",IF(F8&lt;&gt;"Yes",0,IF(L8&lt;&gt;"",L8,E8*K8)))</f>
        <v/>
      </c>
      <c r="N8" s="20">
        <f>IF($A8="","",$A8-WEEKDAY($A8,2)+1)</f>
        <v/>
      </c>
      <c r="O8" s="20">
        <f>IF($A8="","",TEXT($A8,"yyyy-mm"))</f>
        <v/>
      </c>
      <c r="P8" s="21">
        <f>IF($A8="","",TEXT(YEAR($A8),"0000")&amp;"-Q"&amp;ROUNDUP(MONTH($A8)/3,0))</f>
        <v/>
      </c>
    </row>
    <row r="9">
      <c r="A9" s="18" t="n"/>
      <c r="B9" s="20" t="n"/>
      <c r="C9" s="20" t="n"/>
      <c r="D9" s="20">
        <f>IFERROR(INDEX(XPMenu!$A$2:$A$1000, MATCH(C9, XPMenu!$B$2:$B$1000, 0)), "")</f>
        <v/>
      </c>
      <c r="E9" s="20" t="n"/>
      <c r="F9" s="20" t="n"/>
      <c r="G9" s="20" t="n"/>
      <c r="H9" s="20" t="n"/>
      <c r="I9" s="20">
        <f>IFERROR(VLOOKUP(D9,XPMenu!$A:$F,2,FALSE),"")</f>
        <v/>
      </c>
      <c r="J9" s="20">
        <f>IFERROR(VLOOKUP(D9,XPMenu!$A:$F,3,FALSE),"")</f>
        <v/>
      </c>
      <c r="K9" s="20">
        <f>IFERROR(VLOOKUP(D9,XPMenu!$A:$F,4,FALSE),"")</f>
        <v/>
      </c>
      <c r="L9" s="20" t="n"/>
      <c r="M9" s="20">
        <f>IF(A9="","",IF(F9&lt;&gt;"Yes",0,IF(L9&lt;&gt;"",L9,E9*K9)))</f>
        <v/>
      </c>
      <c r="N9" s="20">
        <f>IF($A9="","",$A9-WEEKDAY($A9,2)+1)</f>
        <v/>
      </c>
      <c r="O9" s="20">
        <f>IF($A9="","",TEXT($A9,"yyyy-mm"))</f>
        <v/>
      </c>
      <c r="P9" s="21">
        <f>IF($A9="","",TEXT(YEAR($A9),"0000")&amp;"-Q"&amp;ROUNDUP(MONTH($A9)/3,0))</f>
        <v/>
      </c>
    </row>
    <row r="10">
      <c r="A10" s="18" t="n"/>
      <c r="B10" s="20" t="n"/>
      <c r="C10" s="20" t="n"/>
      <c r="D10" s="20">
        <f>IFERROR(INDEX(XPMenu!$A$2:$A$1000, MATCH(C10, XPMenu!$B$2:$B$1000, 0)), "")</f>
        <v/>
      </c>
      <c r="E10" s="20" t="n"/>
      <c r="F10" s="20" t="n"/>
      <c r="G10" s="20" t="n"/>
      <c r="H10" s="20" t="n"/>
      <c r="I10" s="20">
        <f>IFERROR(VLOOKUP(D10,XPMenu!$A:$F,2,FALSE),"")</f>
        <v/>
      </c>
      <c r="J10" s="20">
        <f>IFERROR(VLOOKUP(D10,XPMenu!$A:$F,3,FALSE),"")</f>
        <v/>
      </c>
      <c r="K10" s="20">
        <f>IFERROR(VLOOKUP(D10,XPMenu!$A:$F,4,FALSE),"")</f>
        <v/>
      </c>
      <c r="L10" s="20" t="n"/>
      <c r="M10" s="20">
        <f>IF(A10="","",IF(F10&lt;&gt;"Yes",0,IF(L10&lt;&gt;"",L10,E10*K10)))</f>
        <v/>
      </c>
      <c r="N10" s="20">
        <f>IF($A10="","",$A10-WEEKDAY($A10,2)+1)</f>
        <v/>
      </c>
      <c r="O10" s="20">
        <f>IF($A10="","",TEXT($A10,"yyyy-mm"))</f>
        <v/>
      </c>
      <c r="P10" s="21">
        <f>IF($A10="","",TEXT(YEAR($A10),"0000")&amp;"-Q"&amp;ROUNDUP(MONTH($A10)/3,0))</f>
        <v/>
      </c>
    </row>
    <row r="11">
      <c r="A11" s="18" t="n"/>
      <c r="B11" s="20" t="n"/>
      <c r="C11" s="20" t="n"/>
      <c r="D11" s="20">
        <f>IFERROR(INDEX(XPMenu!$A$2:$A$1000, MATCH(C11, XPMenu!$B$2:$B$1000, 0)), "")</f>
        <v/>
      </c>
      <c r="E11" s="20" t="n"/>
      <c r="F11" s="20" t="n"/>
      <c r="G11" s="20" t="n"/>
      <c r="H11" s="20" t="n"/>
      <c r="I11" s="20">
        <f>IFERROR(VLOOKUP(D11,XPMenu!$A:$F,2,FALSE),"")</f>
        <v/>
      </c>
      <c r="J11" s="20">
        <f>IFERROR(VLOOKUP(D11,XPMenu!$A:$F,3,FALSE),"")</f>
        <v/>
      </c>
      <c r="K11" s="20">
        <f>IFERROR(VLOOKUP(D11,XPMenu!$A:$F,4,FALSE),"")</f>
        <v/>
      </c>
      <c r="L11" s="20" t="n"/>
      <c r="M11" s="20">
        <f>IF(A11="","",IF(F11&lt;&gt;"Yes",0,IF(L11&lt;&gt;"",L11,E11*K11)))</f>
        <v/>
      </c>
      <c r="N11" s="20">
        <f>IF($A11="","",$A11-WEEKDAY($A11,2)+1)</f>
        <v/>
      </c>
      <c r="O11" s="20">
        <f>IF($A11="","",TEXT($A11,"yyyy-mm"))</f>
        <v/>
      </c>
      <c r="P11" s="21">
        <f>IF($A11="","",TEXT(YEAR($A11),"0000")&amp;"-Q"&amp;ROUNDUP(MONTH($A11)/3,0))</f>
        <v/>
      </c>
    </row>
    <row r="12">
      <c r="A12" s="18" t="n"/>
      <c r="B12" s="20" t="n"/>
      <c r="C12" s="20" t="n"/>
      <c r="D12" s="20">
        <f>IFERROR(INDEX(XPMenu!$A$2:$A$1000, MATCH(C12, XPMenu!$B$2:$B$1000, 0)), "")</f>
        <v/>
      </c>
      <c r="E12" s="20" t="n"/>
      <c r="F12" s="20" t="n"/>
      <c r="G12" s="20" t="n"/>
      <c r="H12" s="20" t="n"/>
      <c r="I12" s="20">
        <f>IFERROR(VLOOKUP(D12,XPMenu!$A:$F,2,FALSE),"")</f>
        <v/>
      </c>
      <c r="J12" s="20">
        <f>IFERROR(VLOOKUP(D12,XPMenu!$A:$F,3,FALSE),"")</f>
        <v/>
      </c>
      <c r="K12" s="20">
        <f>IFERROR(VLOOKUP(D12,XPMenu!$A:$F,4,FALSE),"")</f>
        <v/>
      </c>
      <c r="L12" s="20" t="n"/>
      <c r="M12" s="20">
        <f>IF(A12="","",IF(F12&lt;&gt;"Yes",0,IF(L12&lt;&gt;"",L12,E12*K12)))</f>
        <v/>
      </c>
      <c r="N12" s="20">
        <f>IF($A12="","",$A12-WEEKDAY($A12,2)+1)</f>
        <v/>
      </c>
      <c r="O12" s="20">
        <f>IF($A12="","",TEXT($A12,"yyyy-mm"))</f>
        <v/>
      </c>
      <c r="P12" s="21">
        <f>IF($A12="","",TEXT(YEAR($A12),"0000")&amp;"-Q"&amp;ROUNDUP(MONTH($A12)/3,0))</f>
        <v/>
      </c>
    </row>
    <row r="13">
      <c r="A13" s="18" t="n"/>
      <c r="B13" s="20" t="n"/>
      <c r="C13" s="20" t="n"/>
      <c r="D13" s="20">
        <f>IFERROR(INDEX(XPMenu!$A$2:$A$1000, MATCH(C13, XPMenu!$B$2:$B$1000, 0)), "")</f>
        <v/>
      </c>
      <c r="E13" s="20" t="n"/>
      <c r="F13" s="20" t="n"/>
      <c r="G13" s="20" t="n"/>
      <c r="H13" s="20" t="n"/>
      <c r="I13" s="20">
        <f>IFERROR(VLOOKUP(D13,XPMenu!$A:$F,2,FALSE),"")</f>
        <v/>
      </c>
      <c r="J13" s="20">
        <f>IFERROR(VLOOKUP(D13,XPMenu!$A:$F,3,FALSE),"")</f>
        <v/>
      </c>
      <c r="K13" s="20">
        <f>IFERROR(VLOOKUP(D13,XPMenu!$A:$F,4,FALSE),"")</f>
        <v/>
      </c>
      <c r="L13" s="20" t="n"/>
      <c r="M13" s="20">
        <f>IF(A13="","",IF(F13&lt;&gt;"Yes",0,IF(L13&lt;&gt;"",L13,E13*K13)))</f>
        <v/>
      </c>
      <c r="N13" s="20">
        <f>IF($A13="","",$A13-WEEKDAY($A13,2)+1)</f>
        <v/>
      </c>
      <c r="O13" s="20">
        <f>IF($A13="","",TEXT($A13,"yyyy-mm"))</f>
        <v/>
      </c>
      <c r="P13" s="21">
        <f>IF($A13="","",TEXT(YEAR($A13),"0000")&amp;"-Q"&amp;ROUNDUP(MONTH($A13)/3,0))</f>
        <v/>
      </c>
    </row>
    <row r="14">
      <c r="A14" s="18" t="n"/>
      <c r="B14" s="20" t="n"/>
      <c r="C14" s="20" t="n"/>
      <c r="D14" s="20">
        <f>IFERROR(INDEX(XPMenu!$A$2:$A$1000, MATCH(C14, XPMenu!$B$2:$B$1000, 0)), "")</f>
        <v/>
      </c>
      <c r="E14" s="20" t="n"/>
      <c r="F14" s="20" t="n"/>
      <c r="G14" s="20" t="n"/>
      <c r="H14" s="20" t="n"/>
      <c r="I14" s="20">
        <f>IFERROR(VLOOKUP(D14,XPMenu!$A:$F,2,FALSE),"")</f>
        <v/>
      </c>
      <c r="J14" s="20">
        <f>IFERROR(VLOOKUP(D14,XPMenu!$A:$F,3,FALSE),"")</f>
        <v/>
      </c>
      <c r="K14" s="20">
        <f>IFERROR(VLOOKUP(D14,XPMenu!$A:$F,4,FALSE),"")</f>
        <v/>
      </c>
      <c r="L14" s="20" t="n"/>
      <c r="M14" s="20">
        <f>IF(A14="","",IF(F14&lt;&gt;"Yes",0,IF(L14&lt;&gt;"",L14,E14*K14)))</f>
        <v/>
      </c>
      <c r="N14" s="20">
        <f>IF($A14="","",$A14-WEEKDAY($A14,2)+1)</f>
        <v/>
      </c>
      <c r="O14" s="20">
        <f>IF($A14="","",TEXT($A14,"yyyy-mm"))</f>
        <v/>
      </c>
      <c r="P14" s="21">
        <f>IF($A14="","",TEXT(YEAR($A14),"0000")&amp;"-Q"&amp;ROUNDUP(MONTH($A14)/3,0))</f>
        <v/>
      </c>
    </row>
    <row r="15">
      <c r="A15" s="18" t="n"/>
      <c r="B15" s="20" t="n"/>
      <c r="C15" s="20" t="n"/>
      <c r="D15" s="20">
        <f>IFERROR(INDEX(XPMenu!$A$2:$A$1000, MATCH(C15, XPMenu!$B$2:$B$1000, 0)), "")</f>
        <v/>
      </c>
      <c r="E15" s="20" t="n"/>
      <c r="F15" s="20" t="n"/>
      <c r="G15" s="20" t="n"/>
      <c r="H15" s="20" t="n"/>
      <c r="I15" s="20">
        <f>IFERROR(VLOOKUP(D15,XPMenu!$A:$F,2,FALSE),"")</f>
        <v/>
      </c>
      <c r="J15" s="20">
        <f>IFERROR(VLOOKUP(D15,XPMenu!$A:$F,3,FALSE),"")</f>
        <v/>
      </c>
      <c r="K15" s="20">
        <f>IFERROR(VLOOKUP(D15,XPMenu!$A:$F,4,FALSE),"")</f>
        <v/>
      </c>
      <c r="L15" s="20" t="n"/>
      <c r="M15" s="20">
        <f>IF(A15="","",IF(F15&lt;&gt;"Yes",0,IF(L15&lt;&gt;"",L15,E15*K15)))</f>
        <v/>
      </c>
      <c r="N15" s="20">
        <f>IF($A15="","",$A15-WEEKDAY($A15,2)+1)</f>
        <v/>
      </c>
      <c r="O15" s="20">
        <f>IF($A15="","",TEXT($A15,"yyyy-mm"))</f>
        <v/>
      </c>
      <c r="P15" s="21">
        <f>IF($A15="","",TEXT(YEAR($A15),"0000")&amp;"-Q"&amp;ROUNDUP(MONTH($A15)/3,0))</f>
        <v/>
      </c>
    </row>
    <row r="16">
      <c r="A16" s="18" t="n"/>
      <c r="B16" s="20" t="n"/>
      <c r="C16" s="20" t="n"/>
      <c r="D16" s="20">
        <f>IFERROR(INDEX(XPMenu!$A$2:$A$1000, MATCH(C16, XPMenu!$B$2:$B$1000, 0)), "")</f>
        <v/>
      </c>
      <c r="E16" s="20" t="n"/>
      <c r="F16" s="20" t="n"/>
      <c r="G16" s="20" t="n"/>
      <c r="H16" s="20" t="n"/>
      <c r="I16" s="20">
        <f>IFERROR(VLOOKUP(D16,XPMenu!$A:$F,2,FALSE),"")</f>
        <v/>
      </c>
      <c r="J16" s="20">
        <f>IFERROR(VLOOKUP(D16,XPMenu!$A:$F,3,FALSE),"")</f>
        <v/>
      </c>
      <c r="K16" s="20">
        <f>IFERROR(VLOOKUP(D16,XPMenu!$A:$F,4,FALSE),"")</f>
        <v/>
      </c>
      <c r="L16" s="20" t="n"/>
      <c r="M16" s="20">
        <f>IF(A16="","",IF(F16&lt;&gt;"Yes",0,IF(L16&lt;&gt;"",L16,E16*K16)))</f>
        <v/>
      </c>
      <c r="N16" s="20">
        <f>IF($A16="","",$A16-WEEKDAY($A16,2)+1)</f>
        <v/>
      </c>
      <c r="O16" s="20">
        <f>IF($A16="","",TEXT($A16,"yyyy-mm"))</f>
        <v/>
      </c>
      <c r="P16" s="21">
        <f>IF($A16="","",TEXT(YEAR($A16),"0000")&amp;"-Q"&amp;ROUNDUP(MONTH($A16)/3,0))</f>
        <v/>
      </c>
    </row>
    <row r="17">
      <c r="A17" s="18" t="n"/>
      <c r="B17" s="20" t="n"/>
      <c r="C17" s="20" t="n"/>
      <c r="D17" s="20">
        <f>IFERROR(INDEX(XPMenu!$A$2:$A$1000, MATCH(C17, XPMenu!$B$2:$B$1000, 0)), "")</f>
        <v/>
      </c>
      <c r="E17" s="20" t="n"/>
      <c r="F17" s="20" t="n"/>
      <c r="G17" s="20" t="n"/>
      <c r="H17" s="20" t="n"/>
      <c r="I17" s="20">
        <f>IFERROR(VLOOKUP(D17,XPMenu!$A:$F,2,FALSE),"")</f>
        <v/>
      </c>
      <c r="J17" s="20">
        <f>IFERROR(VLOOKUP(D17,XPMenu!$A:$F,3,FALSE),"")</f>
        <v/>
      </c>
      <c r="K17" s="20">
        <f>IFERROR(VLOOKUP(D17,XPMenu!$A:$F,4,FALSE),"")</f>
        <v/>
      </c>
      <c r="L17" s="20" t="n"/>
      <c r="M17" s="20">
        <f>IF(A17="","",IF(F17&lt;&gt;"Yes",0,IF(L17&lt;&gt;"",L17,E17*K17)))</f>
        <v/>
      </c>
      <c r="N17" s="20">
        <f>IF($A17="","",$A17-WEEKDAY($A17,2)+1)</f>
        <v/>
      </c>
      <c r="O17" s="20">
        <f>IF($A17="","",TEXT($A17,"yyyy-mm"))</f>
        <v/>
      </c>
      <c r="P17" s="21">
        <f>IF($A17="","",TEXT(YEAR($A17),"0000")&amp;"-Q"&amp;ROUNDUP(MONTH($A17)/3,0))</f>
        <v/>
      </c>
    </row>
    <row r="18">
      <c r="A18" s="18" t="n"/>
      <c r="B18" s="20" t="n"/>
      <c r="C18" s="20" t="n"/>
      <c r="D18" s="20">
        <f>IFERROR(INDEX(XPMenu!$A$2:$A$1000, MATCH(C18, XPMenu!$B$2:$B$1000, 0)), "")</f>
        <v/>
      </c>
      <c r="E18" s="20" t="n"/>
      <c r="F18" s="20" t="n"/>
      <c r="G18" s="20" t="n"/>
      <c r="H18" s="20" t="n"/>
      <c r="I18" s="20">
        <f>IFERROR(VLOOKUP(D18,XPMenu!$A:$F,2,FALSE),"")</f>
        <v/>
      </c>
      <c r="J18" s="20">
        <f>IFERROR(VLOOKUP(D18,XPMenu!$A:$F,3,FALSE),"")</f>
        <v/>
      </c>
      <c r="K18" s="20">
        <f>IFERROR(VLOOKUP(D18,XPMenu!$A:$F,4,FALSE),"")</f>
        <v/>
      </c>
      <c r="L18" s="20" t="n"/>
      <c r="M18" s="20">
        <f>IF(A18="","",IF(F18&lt;&gt;"Yes",0,IF(L18&lt;&gt;"",L18,E18*K18)))</f>
        <v/>
      </c>
      <c r="N18" s="20">
        <f>IF($A18="","",$A18-WEEKDAY($A18,2)+1)</f>
        <v/>
      </c>
      <c r="O18" s="20">
        <f>IF($A18="","",TEXT($A18,"yyyy-mm"))</f>
        <v/>
      </c>
      <c r="P18" s="21">
        <f>IF($A18="","",TEXT(YEAR($A18),"0000")&amp;"-Q"&amp;ROUNDUP(MONTH($A18)/3,0))</f>
        <v/>
      </c>
    </row>
    <row r="19">
      <c r="A19" s="18" t="n"/>
      <c r="B19" s="20" t="n"/>
      <c r="C19" s="20" t="n"/>
      <c r="D19" s="20">
        <f>IFERROR(INDEX(XPMenu!$A$2:$A$1000, MATCH(C19, XPMenu!$B$2:$B$1000, 0)), "")</f>
        <v/>
      </c>
      <c r="E19" s="20" t="n"/>
      <c r="F19" s="20" t="n"/>
      <c r="G19" s="20" t="n"/>
      <c r="H19" s="20" t="n"/>
      <c r="I19" s="20">
        <f>IFERROR(VLOOKUP(D19,XPMenu!$A:$F,2,FALSE),"")</f>
        <v/>
      </c>
      <c r="J19" s="20">
        <f>IFERROR(VLOOKUP(D19,XPMenu!$A:$F,3,FALSE),"")</f>
        <v/>
      </c>
      <c r="K19" s="20">
        <f>IFERROR(VLOOKUP(D19,XPMenu!$A:$F,4,FALSE),"")</f>
        <v/>
      </c>
      <c r="L19" s="20" t="n"/>
      <c r="M19" s="20">
        <f>IF(A19="","",IF(F19&lt;&gt;"Yes",0,IF(L19&lt;&gt;"",L19,E19*K19)))</f>
        <v/>
      </c>
      <c r="N19" s="20">
        <f>IF($A19="","",$A19-WEEKDAY($A19,2)+1)</f>
        <v/>
      </c>
      <c r="O19" s="20">
        <f>IF($A19="","",TEXT($A19,"yyyy-mm"))</f>
        <v/>
      </c>
      <c r="P19" s="21">
        <f>IF($A19="","",TEXT(YEAR($A19),"0000")&amp;"-Q"&amp;ROUNDUP(MONTH($A19)/3,0))</f>
        <v/>
      </c>
    </row>
    <row r="20">
      <c r="A20" s="18" t="n"/>
      <c r="B20" s="20" t="n"/>
      <c r="C20" s="20" t="n"/>
      <c r="D20" s="20">
        <f>IFERROR(INDEX(XPMenu!$A$2:$A$1000, MATCH(C20, XPMenu!$B$2:$B$1000, 0)), "")</f>
        <v/>
      </c>
      <c r="E20" s="20" t="n"/>
      <c r="F20" s="20" t="n"/>
      <c r="G20" s="20" t="n"/>
      <c r="H20" s="20" t="n"/>
      <c r="I20" s="20">
        <f>IFERROR(VLOOKUP(D20,XPMenu!$A:$F,2,FALSE),"")</f>
        <v/>
      </c>
      <c r="J20" s="20">
        <f>IFERROR(VLOOKUP(D20,XPMenu!$A:$F,3,FALSE),"")</f>
        <v/>
      </c>
      <c r="K20" s="20">
        <f>IFERROR(VLOOKUP(D20,XPMenu!$A:$F,4,FALSE),"")</f>
        <v/>
      </c>
      <c r="L20" s="20" t="n"/>
      <c r="M20" s="20">
        <f>IF(A20="","",IF(F20&lt;&gt;"Yes",0,IF(L20&lt;&gt;"",L20,E20*K20)))</f>
        <v/>
      </c>
      <c r="N20" s="20">
        <f>IF($A20="","",$A20-WEEKDAY($A20,2)+1)</f>
        <v/>
      </c>
      <c r="O20" s="20">
        <f>IF($A20="","",TEXT($A20,"yyyy-mm"))</f>
        <v/>
      </c>
      <c r="P20" s="21">
        <f>IF($A20="","",TEXT(YEAR($A20),"0000")&amp;"-Q"&amp;ROUNDUP(MONTH($A20)/3,0))</f>
        <v/>
      </c>
    </row>
    <row r="21">
      <c r="A21" s="18" t="n"/>
      <c r="B21" s="20" t="n"/>
      <c r="C21" s="20" t="n"/>
      <c r="D21" s="20">
        <f>IFERROR(INDEX(XPMenu!$A$2:$A$1000, MATCH(C21, XPMenu!$B$2:$B$1000, 0)), "")</f>
        <v/>
      </c>
      <c r="E21" s="20" t="n"/>
      <c r="F21" s="20" t="n"/>
      <c r="G21" s="20" t="n"/>
      <c r="H21" s="20" t="n"/>
      <c r="I21" s="20">
        <f>IFERROR(VLOOKUP(D21,XPMenu!$A:$F,2,FALSE),"")</f>
        <v/>
      </c>
      <c r="J21" s="20">
        <f>IFERROR(VLOOKUP(D21,XPMenu!$A:$F,3,FALSE),"")</f>
        <v/>
      </c>
      <c r="K21" s="20">
        <f>IFERROR(VLOOKUP(D21,XPMenu!$A:$F,4,FALSE),"")</f>
        <v/>
      </c>
      <c r="L21" s="20" t="n"/>
      <c r="M21" s="20">
        <f>IF(A21="","",IF(F21&lt;&gt;"Yes",0,IF(L21&lt;&gt;"",L21,E21*K21)))</f>
        <v/>
      </c>
      <c r="N21" s="20">
        <f>IF($A21="","",$A21-WEEKDAY($A21,2)+1)</f>
        <v/>
      </c>
      <c r="O21" s="20">
        <f>IF($A21="","",TEXT($A21,"yyyy-mm"))</f>
        <v/>
      </c>
      <c r="P21" s="21">
        <f>IF($A21="","",TEXT(YEAR($A21),"0000")&amp;"-Q"&amp;ROUNDUP(MONTH($A21)/3,0))</f>
        <v/>
      </c>
    </row>
    <row r="22">
      <c r="A22" s="18" t="n"/>
      <c r="B22" s="20" t="n"/>
      <c r="C22" s="20" t="n"/>
      <c r="D22" s="20">
        <f>IFERROR(INDEX(XPMenu!$A$2:$A$1000, MATCH(C22, XPMenu!$B$2:$B$1000, 0)), "")</f>
        <v/>
      </c>
      <c r="E22" s="20" t="n"/>
      <c r="F22" s="20" t="n"/>
      <c r="G22" s="20" t="n"/>
      <c r="H22" s="20" t="n"/>
      <c r="I22" s="20">
        <f>IFERROR(VLOOKUP(D22,XPMenu!$A:$F,2,FALSE),"")</f>
        <v/>
      </c>
      <c r="J22" s="20">
        <f>IFERROR(VLOOKUP(D22,XPMenu!$A:$F,3,FALSE),"")</f>
        <v/>
      </c>
      <c r="K22" s="20">
        <f>IFERROR(VLOOKUP(D22,XPMenu!$A:$F,4,FALSE),"")</f>
        <v/>
      </c>
      <c r="L22" s="20" t="n"/>
      <c r="M22" s="20">
        <f>IF(A22="","",IF(F22&lt;&gt;"Yes",0,IF(L22&lt;&gt;"",L22,E22*K22)))</f>
        <v/>
      </c>
      <c r="N22" s="20">
        <f>IF($A22="","",$A22-WEEKDAY($A22,2)+1)</f>
        <v/>
      </c>
      <c r="O22" s="20">
        <f>IF($A22="","",TEXT($A22,"yyyy-mm"))</f>
        <v/>
      </c>
      <c r="P22" s="21">
        <f>IF($A22="","",TEXT(YEAR($A22),"0000")&amp;"-Q"&amp;ROUNDUP(MONTH($A22)/3,0))</f>
        <v/>
      </c>
    </row>
    <row r="23">
      <c r="A23" s="18" t="n"/>
      <c r="B23" s="20" t="n"/>
      <c r="C23" s="20" t="n"/>
      <c r="D23" s="20">
        <f>IFERROR(INDEX(XPMenu!$A$2:$A$1000, MATCH(C23, XPMenu!$B$2:$B$1000, 0)), "")</f>
        <v/>
      </c>
      <c r="E23" s="20" t="n"/>
      <c r="F23" s="20" t="n"/>
      <c r="G23" s="20" t="n"/>
      <c r="H23" s="20" t="n"/>
      <c r="I23" s="20">
        <f>IFERROR(VLOOKUP(D23,XPMenu!$A:$F,2,FALSE),"")</f>
        <v/>
      </c>
      <c r="J23" s="20">
        <f>IFERROR(VLOOKUP(D23,XPMenu!$A:$F,3,FALSE),"")</f>
        <v/>
      </c>
      <c r="K23" s="20">
        <f>IFERROR(VLOOKUP(D23,XPMenu!$A:$F,4,FALSE),"")</f>
        <v/>
      </c>
      <c r="L23" s="20" t="n"/>
      <c r="M23" s="20">
        <f>IF(A23="","",IF(F23&lt;&gt;"Yes",0,IF(L23&lt;&gt;"",L23,E23*K23)))</f>
        <v/>
      </c>
      <c r="N23" s="20">
        <f>IF($A23="","",$A23-WEEKDAY($A23,2)+1)</f>
        <v/>
      </c>
      <c r="O23" s="20">
        <f>IF($A23="","",TEXT($A23,"yyyy-mm"))</f>
        <v/>
      </c>
      <c r="P23" s="21">
        <f>IF($A23="","",TEXT(YEAR($A23),"0000")&amp;"-Q"&amp;ROUNDUP(MONTH($A23)/3,0))</f>
        <v/>
      </c>
    </row>
    <row r="24">
      <c r="A24" s="18" t="n"/>
      <c r="B24" s="20" t="n"/>
      <c r="C24" s="20" t="n"/>
      <c r="D24" s="20">
        <f>IFERROR(INDEX(XPMenu!$A$2:$A$1000, MATCH(C24, XPMenu!$B$2:$B$1000, 0)), "")</f>
        <v/>
      </c>
      <c r="E24" s="20" t="n"/>
      <c r="F24" s="20" t="n"/>
      <c r="G24" s="20" t="n"/>
      <c r="H24" s="20" t="n"/>
      <c r="I24" s="20">
        <f>IFERROR(VLOOKUP(D24,XPMenu!$A:$F,2,FALSE),"")</f>
        <v/>
      </c>
      <c r="J24" s="20">
        <f>IFERROR(VLOOKUP(D24,XPMenu!$A:$F,3,FALSE),"")</f>
        <v/>
      </c>
      <c r="K24" s="20">
        <f>IFERROR(VLOOKUP(D24,XPMenu!$A:$F,4,FALSE),"")</f>
        <v/>
      </c>
      <c r="L24" s="20" t="n"/>
      <c r="M24" s="20">
        <f>IF(A24="","",IF(F24&lt;&gt;"Yes",0,IF(L24&lt;&gt;"",L24,E24*K24)))</f>
        <v/>
      </c>
      <c r="N24" s="20">
        <f>IF($A24="","",$A24-WEEKDAY($A24,2)+1)</f>
        <v/>
      </c>
      <c r="O24" s="20">
        <f>IF($A24="","",TEXT($A24,"yyyy-mm"))</f>
        <v/>
      </c>
      <c r="P24" s="21">
        <f>IF($A24="","",TEXT(YEAR($A24),"0000")&amp;"-Q"&amp;ROUNDUP(MONTH($A24)/3,0))</f>
        <v/>
      </c>
    </row>
    <row r="25">
      <c r="A25" s="18" t="n"/>
      <c r="B25" s="20" t="n"/>
      <c r="C25" s="20" t="n"/>
      <c r="D25" s="20">
        <f>IFERROR(INDEX(XPMenu!$A$2:$A$1000, MATCH(C25, XPMenu!$B$2:$B$1000, 0)), "")</f>
        <v/>
      </c>
      <c r="E25" s="20" t="n"/>
      <c r="F25" s="20" t="n"/>
      <c r="G25" s="20" t="n"/>
      <c r="H25" s="20" t="n"/>
      <c r="I25" s="20">
        <f>IFERROR(VLOOKUP(D25,XPMenu!$A:$F,2,FALSE),"")</f>
        <v/>
      </c>
      <c r="J25" s="20">
        <f>IFERROR(VLOOKUP(D25,XPMenu!$A:$F,3,FALSE),"")</f>
        <v/>
      </c>
      <c r="K25" s="20">
        <f>IFERROR(VLOOKUP(D25,XPMenu!$A:$F,4,FALSE),"")</f>
        <v/>
      </c>
      <c r="L25" s="20" t="n"/>
      <c r="M25" s="20">
        <f>IF(A25="","",IF(F25&lt;&gt;"Yes",0,IF(L25&lt;&gt;"",L25,E25*K25)))</f>
        <v/>
      </c>
      <c r="N25" s="20">
        <f>IF($A25="","",$A25-WEEKDAY($A25,2)+1)</f>
        <v/>
      </c>
      <c r="O25" s="20">
        <f>IF($A25="","",TEXT($A25,"yyyy-mm"))</f>
        <v/>
      </c>
      <c r="P25" s="21">
        <f>IF($A25="","",TEXT(YEAR($A25),"0000")&amp;"-Q"&amp;ROUNDUP(MONTH($A25)/3,0))</f>
        <v/>
      </c>
    </row>
    <row r="26">
      <c r="A26" s="18" t="n"/>
      <c r="B26" s="20" t="n"/>
      <c r="C26" s="20" t="n"/>
      <c r="D26" s="20">
        <f>IFERROR(INDEX(XPMenu!$A$2:$A$1000, MATCH(C26, XPMenu!$B$2:$B$1000, 0)), "")</f>
        <v/>
      </c>
      <c r="E26" s="20" t="n"/>
      <c r="F26" s="20" t="n"/>
      <c r="G26" s="20" t="n"/>
      <c r="H26" s="20" t="n"/>
      <c r="I26" s="20">
        <f>IFERROR(VLOOKUP(D26,XPMenu!$A:$F,2,FALSE),"")</f>
        <v/>
      </c>
      <c r="J26" s="20">
        <f>IFERROR(VLOOKUP(D26,XPMenu!$A:$F,3,FALSE),"")</f>
        <v/>
      </c>
      <c r="K26" s="20">
        <f>IFERROR(VLOOKUP(D26,XPMenu!$A:$F,4,FALSE),"")</f>
        <v/>
      </c>
      <c r="L26" s="20" t="n"/>
      <c r="M26" s="20">
        <f>IF(A26="","",IF(F26&lt;&gt;"Yes",0,IF(L26&lt;&gt;"",L26,E26*K26)))</f>
        <v/>
      </c>
      <c r="N26" s="20">
        <f>IF($A26="","",$A26-WEEKDAY($A26,2)+1)</f>
        <v/>
      </c>
      <c r="O26" s="20">
        <f>IF($A26="","",TEXT($A26,"yyyy-mm"))</f>
        <v/>
      </c>
      <c r="P26" s="21">
        <f>IF($A26="","",TEXT(YEAR($A26),"0000")&amp;"-Q"&amp;ROUNDUP(MONTH($A26)/3,0))</f>
        <v/>
      </c>
    </row>
    <row r="27">
      <c r="A27" s="18" t="n"/>
      <c r="B27" s="20" t="n"/>
      <c r="C27" s="20" t="n"/>
      <c r="D27" s="20">
        <f>IFERROR(INDEX(XPMenu!$A$2:$A$1000, MATCH(C27, XPMenu!$B$2:$B$1000, 0)), "")</f>
        <v/>
      </c>
      <c r="E27" s="20" t="n"/>
      <c r="F27" s="20" t="n"/>
      <c r="G27" s="20" t="n"/>
      <c r="H27" s="20" t="n"/>
      <c r="I27" s="20">
        <f>IFERROR(VLOOKUP(D27,XPMenu!$A:$F,2,FALSE),"")</f>
        <v/>
      </c>
      <c r="J27" s="20">
        <f>IFERROR(VLOOKUP(D27,XPMenu!$A:$F,3,FALSE),"")</f>
        <v/>
      </c>
      <c r="K27" s="20">
        <f>IFERROR(VLOOKUP(D27,XPMenu!$A:$F,4,FALSE),"")</f>
        <v/>
      </c>
      <c r="L27" s="20" t="n"/>
      <c r="M27" s="20">
        <f>IF(A27="","",IF(F27&lt;&gt;"Yes",0,IF(L27&lt;&gt;"",L27,E27*K27)))</f>
        <v/>
      </c>
      <c r="N27" s="20">
        <f>IF($A27="","",$A27-WEEKDAY($A27,2)+1)</f>
        <v/>
      </c>
      <c r="O27" s="20">
        <f>IF($A27="","",TEXT($A27,"yyyy-mm"))</f>
        <v/>
      </c>
      <c r="P27" s="21">
        <f>IF($A27="","",TEXT(YEAR($A27),"0000")&amp;"-Q"&amp;ROUNDUP(MONTH($A27)/3,0))</f>
        <v/>
      </c>
    </row>
    <row r="28">
      <c r="A28" s="18" t="n"/>
      <c r="B28" s="20" t="n"/>
      <c r="C28" s="20" t="n"/>
      <c r="D28" s="20">
        <f>IFERROR(INDEX(XPMenu!$A$2:$A$1000, MATCH(C28, XPMenu!$B$2:$B$1000, 0)), "")</f>
        <v/>
      </c>
      <c r="E28" s="20" t="n"/>
      <c r="F28" s="20" t="n"/>
      <c r="G28" s="20" t="n"/>
      <c r="H28" s="20" t="n"/>
      <c r="I28" s="20">
        <f>IFERROR(VLOOKUP(D28,XPMenu!$A:$F,2,FALSE),"")</f>
        <v/>
      </c>
      <c r="J28" s="20">
        <f>IFERROR(VLOOKUP(D28,XPMenu!$A:$F,3,FALSE),"")</f>
        <v/>
      </c>
      <c r="K28" s="20">
        <f>IFERROR(VLOOKUP(D28,XPMenu!$A:$F,4,FALSE),"")</f>
        <v/>
      </c>
      <c r="L28" s="20" t="n"/>
      <c r="M28" s="20">
        <f>IF(A28="","",IF(F28&lt;&gt;"Yes",0,IF(L28&lt;&gt;"",L28,E28*K28)))</f>
        <v/>
      </c>
      <c r="N28" s="20">
        <f>IF($A28="","",$A28-WEEKDAY($A28,2)+1)</f>
        <v/>
      </c>
      <c r="O28" s="20">
        <f>IF($A28="","",TEXT($A28,"yyyy-mm"))</f>
        <v/>
      </c>
      <c r="P28" s="21">
        <f>IF($A28="","",TEXT(YEAR($A28),"0000")&amp;"-Q"&amp;ROUNDUP(MONTH($A28)/3,0))</f>
        <v/>
      </c>
    </row>
    <row r="29">
      <c r="A29" s="18" t="n"/>
      <c r="B29" s="20" t="n"/>
      <c r="C29" s="20" t="n"/>
      <c r="D29" s="20">
        <f>IFERROR(INDEX(XPMenu!$A$2:$A$1000, MATCH(C29, XPMenu!$B$2:$B$1000, 0)), "")</f>
        <v/>
      </c>
      <c r="E29" s="20" t="n"/>
      <c r="F29" s="20" t="n"/>
      <c r="G29" s="20" t="n"/>
      <c r="H29" s="20" t="n"/>
      <c r="I29" s="20">
        <f>IFERROR(VLOOKUP(D29,XPMenu!$A:$F,2,FALSE),"")</f>
        <v/>
      </c>
      <c r="J29" s="20">
        <f>IFERROR(VLOOKUP(D29,XPMenu!$A:$F,3,FALSE),"")</f>
        <v/>
      </c>
      <c r="K29" s="20">
        <f>IFERROR(VLOOKUP(D29,XPMenu!$A:$F,4,FALSE),"")</f>
        <v/>
      </c>
      <c r="L29" s="20" t="n"/>
      <c r="M29" s="20">
        <f>IF(A29="","",IF(F29&lt;&gt;"Yes",0,IF(L29&lt;&gt;"",L29,E29*K29)))</f>
        <v/>
      </c>
      <c r="N29" s="20">
        <f>IF($A29="","",$A29-WEEKDAY($A29,2)+1)</f>
        <v/>
      </c>
      <c r="O29" s="20">
        <f>IF($A29="","",TEXT($A29,"yyyy-mm"))</f>
        <v/>
      </c>
      <c r="P29" s="21">
        <f>IF($A29="","",TEXT(YEAR($A29),"0000")&amp;"-Q"&amp;ROUNDUP(MONTH($A29)/3,0))</f>
        <v/>
      </c>
    </row>
    <row r="30">
      <c r="A30" s="18" t="n"/>
      <c r="B30" s="20" t="n"/>
      <c r="C30" s="20" t="n"/>
      <c r="D30" s="20">
        <f>IFERROR(INDEX(XPMenu!$A$2:$A$1000, MATCH(C30, XPMenu!$B$2:$B$1000, 0)), "")</f>
        <v/>
      </c>
      <c r="E30" s="20" t="n"/>
      <c r="F30" s="20" t="n"/>
      <c r="G30" s="20" t="n"/>
      <c r="H30" s="20" t="n"/>
      <c r="I30" s="20">
        <f>IFERROR(VLOOKUP(D30,XPMenu!$A:$F,2,FALSE),"")</f>
        <v/>
      </c>
      <c r="J30" s="20">
        <f>IFERROR(VLOOKUP(D30,XPMenu!$A:$F,3,FALSE),"")</f>
        <v/>
      </c>
      <c r="K30" s="20">
        <f>IFERROR(VLOOKUP(D30,XPMenu!$A:$F,4,FALSE),"")</f>
        <v/>
      </c>
      <c r="L30" s="20" t="n"/>
      <c r="M30" s="20">
        <f>IF(A30="","",IF(F30&lt;&gt;"Yes",0,IF(L30&lt;&gt;"",L30,E30*K30)))</f>
        <v/>
      </c>
      <c r="N30" s="20">
        <f>IF($A30="","",$A30-WEEKDAY($A30,2)+1)</f>
        <v/>
      </c>
      <c r="O30" s="20">
        <f>IF($A30="","",TEXT($A30,"yyyy-mm"))</f>
        <v/>
      </c>
      <c r="P30" s="21">
        <f>IF($A30="","",TEXT(YEAR($A30),"0000")&amp;"-Q"&amp;ROUNDUP(MONTH($A30)/3,0))</f>
        <v/>
      </c>
    </row>
    <row r="31">
      <c r="A31" s="18" t="n"/>
      <c r="B31" s="20" t="n"/>
      <c r="C31" s="20" t="n"/>
      <c r="D31" s="20">
        <f>IFERROR(INDEX(XPMenu!$A$2:$A$1000, MATCH(C31, XPMenu!$B$2:$B$1000, 0)), "")</f>
        <v/>
      </c>
      <c r="E31" s="20" t="n"/>
      <c r="F31" s="20" t="n"/>
      <c r="G31" s="20" t="n"/>
      <c r="H31" s="20" t="n"/>
      <c r="I31" s="20">
        <f>IFERROR(VLOOKUP(D31,XPMenu!$A:$F,2,FALSE),"")</f>
        <v/>
      </c>
      <c r="J31" s="20">
        <f>IFERROR(VLOOKUP(D31,XPMenu!$A:$F,3,FALSE),"")</f>
        <v/>
      </c>
      <c r="K31" s="20">
        <f>IFERROR(VLOOKUP(D31,XPMenu!$A:$F,4,FALSE),"")</f>
        <v/>
      </c>
      <c r="L31" s="20" t="n"/>
      <c r="M31" s="20">
        <f>IF(A31="","",IF(F31&lt;&gt;"Yes",0,IF(L31&lt;&gt;"",L31,E31*K31)))</f>
        <v/>
      </c>
      <c r="N31" s="20">
        <f>IF($A31="","",$A31-WEEKDAY($A31,2)+1)</f>
        <v/>
      </c>
      <c r="O31" s="20">
        <f>IF($A31="","",TEXT($A31,"yyyy-mm"))</f>
        <v/>
      </c>
      <c r="P31" s="21">
        <f>IF($A31="","",TEXT(YEAR($A31),"0000")&amp;"-Q"&amp;ROUNDUP(MONTH($A31)/3,0))</f>
        <v/>
      </c>
    </row>
    <row r="32">
      <c r="A32" s="18" t="n"/>
      <c r="B32" s="20" t="n"/>
      <c r="C32" s="20" t="n"/>
      <c r="D32" s="20">
        <f>IFERROR(INDEX(XPMenu!$A$2:$A$1000, MATCH(C32, XPMenu!$B$2:$B$1000, 0)), "")</f>
        <v/>
      </c>
      <c r="E32" s="20" t="n"/>
      <c r="F32" s="20" t="n"/>
      <c r="G32" s="20" t="n"/>
      <c r="H32" s="20" t="n"/>
      <c r="I32" s="20">
        <f>IFERROR(VLOOKUP(D32,XPMenu!$A:$F,2,FALSE),"")</f>
        <v/>
      </c>
      <c r="J32" s="20">
        <f>IFERROR(VLOOKUP(D32,XPMenu!$A:$F,3,FALSE),"")</f>
        <v/>
      </c>
      <c r="K32" s="20">
        <f>IFERROR(VLOOKUP(D32,XPMenu!$A:$F,4,FALSE),"")</f>
        <v/>
      </c>
      <c r="L32" s="20" t="n"/>
      <c r="M32" s="20">
        <f>IF(A32="","",IF(F32&lt;&gt;"Yes",0,IF(L32&lt;&gt;"",L32,E32*K32)))</f>
        <v/>
      </c>
      <c r="N32" s="20">
        <f>IF($A32="","",$A32-WEEKDAY($A32,2)+1)</f>
        <v/>
      </c>
      <c r="O32" s="20">
        <f>IF($A32="","",TEXT($A32,"yyyy-mm"))</f>
        <v/>
      </c>
      <c r="P32" s="21">
        <f>IF($A32="","",TEXT(YEAR($A32),"0000")&amp;"-Q"&amp;ROUNDUP(MONTH($A32)/3,0))</f>
        <v/>
      </c>
    </row>
    <row r="33">
      <c r="A33" s="18" t="n"/>
      <c r="B33" s="20" t="n"/>
      <c r="C33" s="20" t="n"/>
      <c r="D33" s="20">
        <f>IFERROR(INDEX(XPMenu!$A$2:$A$1000, MATCH(C33, XPMenu!$B$2:$B$1000, 0)), "")</f>
        <v/>
      </c>
      <c r="E33" s="20" t="n"/>
      <c r="F33" s="20" t="n"/>
      <c r="G33" s="20" t="n"/>
      <c r="H33" s="20" t="n"/>
      <c r="I33" s="20">
        <f>IFERROR(VLOOKUP(D33,XPMenu!$A:$F,2,FALSE),"")</f>
        <v/>
      </c>
      <c r="J33" s="20">
        <f>IFERROR(VLOOKUP(D33,XPMenu!$A:$F,3,FALSE),"")</f>
        <v/>
      </c>
      <c r="K33" s="20">
        <f>IFERROR(VLOOKUP(D33,XPMenu!$A:$F,4,FALSE),"")</f>
        <v/>
      </c>
      <c r="L33" s="20" t="n"/>
      <c r="M33" s="20">
        <f>IF(A33="","",IF(F33&lt;&gt;"Yes",0,IF(L33&lt;&gt;"",L33,E33*K33)))</f>
        <v/>
      </c>
      <c r="N33" s="20">
        <f>IF($A33="","",$A33-WEEKDAY($A33,2)+1)</f>
        <v/>
      </c>
      <c r="O33" s="20">
        <f>IF($A33="","",TEXT($A33,"yyyy-mm"))</f>
        <v/>
      </c>
      <c r="P33" s="21">
        <f>IF($A33="","",TEXT(YEAR($A33),"0000")&amp;"-Q"&amp;ROUNDUP(MONTH($A33)/3,0))</f>
        <v/>
      </c>
    </row>
    <row r="34">
      <c r="A34" s="18" t="n"/>
      <c r="B34" s="20" t="n"/>
      <c r="C34" s="20" t="n"/>
      <c r="D34" s="20">
        <f>IFERROR(INDEX(XPMenu!$A$2:$A$1000, MATCH(C34, XPMenu!$B$2:$B$1000, 0)), "")</f>
        <v/>
      </c>
      <c r="E34" s="20" t="n"/>
      <c r="F34" s="20" t="n"/>
      <c r="G34" s="20" t="n"/>
      <c r="H34" s="20" t="n"/>
      <c r="I34" s="20">
        <f>IFERROR(VLOOKUP(D34,XPMenu!$A:$F,2,FALSE),"")</f>
        <v/>
      </c>
      <c r="J34" s="20">
        <f>IFERROR(VLOOKUP(D34,XPMenu!$A:$F,3,FALSE),"")</f>
        <v/>
      </c>
      <c r="K34" s="20">
        <f>IFERROR(VLOOKUP(D34,XPMenu!$A:$F,4,FALSE),"")</f>
        <v/>
      </c>
      <c r="L34" s="20" t="n"/>
      <c r="M34" s="20">
        <f>IF(A34="","",IF(F34&lt;&gt;"Yes",0,IF(L34&lt;&gt;"",L34,E34*K34)))</f>
        <v/>
      </c>
      <c r="N34" s="20">
        <f>IF($A34="","",$A34-WEEKDAY($A34,2)+1)</f>
        <v/>
      </c>
      <c r="O34" s="20">
        <f>IF($A34="","",TEXT($A34,"yyyy-mm"))</f>
        <v/>
      </c>
      <c r="P34" s="21">
        <f>IF($A34="","",TEXT(YEAR($A34),"0000")&amp;"-Q"&amp;ROUNDUP(MONTH($A34)/3,0))</f>
        <v/>
      </c>
    </row>
    <row r="35">
      <c r="A35" s="18" t="n"/>
      <c r="B35" s="20" t="n"/>
      <c r="C35" s="20" t="n"/>
      <c r="D35" s="20">
        <f>IFERROR(INDEX(XPMenu!$A$2:$A$1000, MATCH(C35, XPMenu!$B$2:$B$1000, 0)), "")</f>
        <v/>
      </c>
      <c r="E35" s="20" t="n"/>
      <c r="F35" s="20" t="n"/>
      <c r="G35" s="20" t="n"/>
      <c r="H35" s="20" t="n"/>
      <c r="I35" s="20">
        <f>IFERROR(VLOOKUP(D35,XPMenu!$A:$F,2,FALSE),"")</f>
        <v/>
      </c>
      <c r="J35" s="20">
        <f>IFERROR(VLOOKUP(D35,XPMenu!$A:$F,3,FALSE),"")</f>
        <v/>
      </c>
      <c r="K35" s="20">
        <f>IFERROR(VLOOKUP(D35,XPMenu!$A:$F,4,FALSE),"")</f>
        <v/>
      </c>
      <c r="L35" s="20" t="n"/>
      <c r="M35" s="20">
        <f>IF(A35="","",IF(F35&lt;&gt;"Yes",0,IF(L35&lt;&gt;"",L35,E35*K35)))</f>
        <v/>
      </c>
      <c r="N35" s="20">
        <f>IF($A35="","",$A35-WEEKDAY($A35,2)+1)</f>
        <v/>
      </c>
      <c r="O35" s="20">
        <f>IF($A35="","",TEXT($A35,"yyyy-mm"))</f>
        <v/>
      </c>
      <c r="P35" s="21">
        <f>IF($A35="","",TEXT(YEAR($A35),"0000")&amp;"-Q"&amp;ROUNDUP(MONTH($A35)/3,0))</f>
        <v/>
      </c>
    </row>
    <row r="36">
      <c r="A36" s="18" t="n"/>
      <c r="B36" s="20" t="n"/>
      <c r="C36" s="20" t="n"/>
      <c r="D36" s="20">
        <f>IFERROR(INDEX(XPMenu!$A$2:$A$1000, MATCH(C36, XPMenu!$B$2:$B$1000, 0)), "")</f>
        <v/>
      </c>
      <c r="E36" s="20" t="n"/>
      <c r="F36" s="20" t="n"/>
      <c r="G36" s="20" t="n"/>
      <c r="H36" s="20" t="n"/>
      <c r="I36" s="20">
        <f>IFERROR(VLOOKUP(D36,XPMenu!$A:$F,2,FALSE),"")</f>
        <v/>
      </c>
      <c r="J36" s="20">
        <f>IFERROR(VLOOKUP(D36,XPMenu!$A:$F,3,FALSE),"")</f>
        <v/>
      </c>
      <c r="K36" s="20">
        <f>IFERROR(VLOOKUP(D36,XPMenu!$A:$F,4,FALSE),"")</f>
        <v/>
      </c>
      <c r="L36" s="20" t="n"/>
      <c r="M36" s="20">
        <f>IF(A36="","",IF(F36&lt;&gt;"Yes",0,IF(L36&lt;&gt;"",L36,E36*K36)))</f>
        <v/>
      </c>
      <c r="N36" s="20">
        <f>IF($A36="","",$A36-WEEKDAY($A36,2)+1)</f>
        <v/>
      </c>
      <c r="O36" s="20">
        <f>IF($A36="","",TEXT($A36,"yyyy-mm"))</f>
        <v/>
      </c>
      <c r="P36" s="21">
        <f>IF($A36="","",TEXT(YEAR($A36),"0000")&amp;"-Q"&amp;ROUNDUP(MONTH($A36)/3,0))</f>
        <v/>
      </c>
    </row>
    <row r="37">
      <c r="A37" s="18" t="n"/>
      <c r="B37" s="20" t="n"/>
      <c r="C37" s="20" t="n"/>
      <c r="D37" s="20">
        <f>IFERROR(INDEX(XPMenu!$A$2:$A$1000, MATCH(C37, XPMenu!$B$2:$B$1000, 0)), "")</f>
        <v/>
      </c>
      <c r="E37" s="20" t="n"/>
      <c r="F37" s="20" t="n"/>
      <c r="G37" s="20" t="n"/>
      <c r="H37" s="20" t="n"/>
      <c r="I37" s="20">
        <f>IFERROR(VLOOKUP(D37,XPMenu!$A:$F,2,FALSE),"")</f>
        <v/>
      </c>
      <c r="J37" s="20">
        <f>IFERROR(VLOOKUP(D37,XPMenu!$A:$F,3,FALSE),"")</f>
        <v/>
      </c>
      <c r="K37" s="20">
        <f>IFERROR(VLOOKUP(D37,XPMenu!$A:$F,4,FALSE),"")</f>
        <v/>
      </c>
      <c r="L37" s="20" t="n"/>
      <c r="M37" s="20">
        <f>IF(A37="","",IF(F37&lt;&gt;"Yes",0,IF(L37&lt;&gt;"",L37,E37*K37)))</f>
        <v/>
      </c>
      <c r="N37" s="20">
        <f>IF($A37="","",$A37-WEEKDAY($A37,2)+1)</f>
        <v/>
      </c>
      <c r="O37" s="20">
        <f>IF($A37="","",TEXT($A37,"yyyy-mm"))</f>
        <v/>
      </c>
      <c r="P37" s="21">
        <f>IF($A37="","",TEXT(YEAR($A37),"0000")&amp;"-Q"&amp;ROUNDUP(MONTH($A37)/3,0))</f>
        <v/>
      </c>
    </row>
    <row r="38">
      <c r="A38" s="18" t="n"/>
      <c r="B38" s="20" t="n"/>
      <c r="C38" s="20" t="n"/>
      <c r="D38" s="20">
        <f>IFERROR(INDEX(XPMenu!$A$2:$A$1000, MATCH(C38, XPMenu!$B$2:$B$1000, 0)), "")</f>
        <v/>
      </c>
      <c r="E38" s="20" t="n"/>
      <c r="F38" s="20" t="n"/>
      <c r="G38" s="20" t="n"/>
      <c r="H38" s="20" t="n"/>
      <c r="I38" s="20">
        <f>IFERROR(VLOOKUP(D38,XPMenu!$A:$F,2,FALSE),"")</f>
        <v/>
      </c>
      <c r="J38" s="20">
        <f>IFERROR(VLOOKUP(D38,XPMenu!$A:$F,3,FALSE),"")</f>
        <v/>
      </c>
      <c r="K38" s="20">
        <f>IFERROR(VLOOKUP(D38,XPMenu!$A:$F,4,FALSE),"")</f>
        <v/>
      </c>
      <c r="L38" s="20" t="n"/>
      <c r="M38" s="20">
        <f>IF(A38="","",IF(F38&lt;&gt;"Yes",0,IF(L38&lt;&gt;"",L38,E38*K38)))</f>
        <v/>
      </c>
      <c r="N38" s="20">
        <f>IF($A38="","",$A38-WEEKDAY($A38,2)+1)</f>
        <v/>
      </c>
      <c r="O38" s="20">
        <f>IF($A38="","",TEXT($A38,"yyyy-mm"))</f>
        <v/>
      </c>
      <c r="P38" s="21">
        <f>IF($A38="","",TEXT(YEAR($A38),"0000")&amp;"-Q"&amp;ROUNDUP(MONTH($A38)/3,0))</f>
        <v/>
      </c>
    </row>
    <row r="39">
      <c r="A39" s="18" t="n"/>
      <c r="B39" s="20" t="n"/>
      <c r="C39" s="20" t="n"/>
      <c r="D39" s="20">
        <f>IFERROR(INDEX(XPMenu!$A$2:$A$1000, MATCH(C39, XPMenu!$B$2:$B$1000, 0)), "")</f>
        <v/>
      </c>
      <c r="E39" s="20" t="n"/>
      <c r="F39" s="20" t="n"/>
      <c r="G39" s="20" t="n"/>
      <c r="H39" s="20" t="n"/>
      <c r="I39" s="20">
        <f>IFERROR(VLOOKUP(D39,XPMenu!$A:$F,2,FALSE),"")</f>
        <v/>
      </c>
      <c r="J39" s="20">
        <f>IFERROR(VLOOKUP(D39,XPMenu!$A:$F,3,FALSE),"")</f>
        <v/>
      </c>
      <c r="K39" s="20">
        <f>IFERROR(VLOOKUP(D39,XPMenu!$A:$F,4,FALSE),"")</f>
        <v/>
      </c>
      <c r="L39" s="20" t="n"/>
      <c r="M39" s="20">
        <f>IF(A39="","",IF(F39&lt;&gt;"Yes",0,IF(L39&lt;&gt;"",L39,E39*K39)))</f>
        <v/>
      </c>
      <c r="N39" s="20">
        <f>IF($A39="","",$A39-WEEKDAY($A39,2)+1)</f>
        <v/>
      </c>
      <c r="O39" s="20">
        <f>IF($A39="","",TEXT($A39,"yyyy-mm"))</f>
        <v/>
      </c>
      <c r="P39" s="21">
        <f>IF($A39="","",TEXT(YEAR($A39),"0000")&amp;"-Q"&amp;ROUNDUP(MONTH($A39)/3,0))</f>
        <v/>
      </c>
    </row>
    <row r="40">
      <c r="A40" s="18" t="n"/>
      <c r="B40" s="20" t="n"/>
      <c r="C40" s="20" t="n"/>
      <c r="D40" s="20">
        <f>IFERROR(INDEX(XPMenu!$A$2:$A$1000, MATCH(C40, XPMenu!$B$2:$B$1000, 0)), "")</f>
        <v/>
      </c>
      <c r="E40" s="20" t="n"/>
      <c r="F40" s="20" t="n"/>
      <c r="G40" s="20" t="n"/>
      <c r="H40" s="20" t="n"/>
      <c r="I40" s="20">
        <f>IFERROR(VLOOKUP(D40,XPMenu!$A:$F,2,FALSE),"")</f>
        <v/>
      </c>
      <c r="J40" s="20">
        <f>IFERROR(VLOOKUP(D40,XPMenu!$A:$F,3,FALSE),"")</f>
        <v/>
      </c>
      <c r="K40" s="20">
        <f>IFERROR(VLOOKUP(D40,XPMenu!$A:$F,4,FALSE),"")</f>
        <v/>
      </c>
      <c r="L40" s="20" t="n"/>
      <c r="M40" s="20">
        <f>IF(A40="","",IF(F40&lt;&gt;"Yes",0,IF(L40&lt;&gt;"",L40,E40*K40)))</f>
        <v/>
      </c>
      <c r="N40" s="20">
        <f>IF($A40="","",$A40-WEEKDAY($A40,2)+1)</f>
        <v/>
      </c>
      <c r="O40" s="20">
        <f>IF($A40="","",TEXT($A40,"yyyy-mm"))</f>
        <v/>
      </c>
      <c r="P40" s="21">
        <f>IF($A40="","",TEXT(YEAR($A40),"0000")&amp;"-Q"&amp;ROUNDUP(MONTH($A40)/3,0))</f>
        <v/>
      </c>
    </row>
    <row r="41">
      <c r="A41" s="18" t="n"/>
      <c r="B41" s="20" t="n"/>
      <c r="C41" s="20" t="n"/>
      <c r="D41" s="20">
        <f>IFERROR(INDEX(XPMenu!$A$2:$A$1000, MATCH(C41, XPMenu!$B$2:$B$1000, 0)), "")</f>
        <v/>
      </c>
      <c r="E41" s="20" t="n"/>
      <c r="F41" s="20" t="n"/>
      <c r="G41" s="20" t="n"/>
      <c r="H41" s="20" t="n"/>
      <c r="I41" s="20">
        <f>IFERROR(VLOOKUP(D41,XPMenu!$A:$F,2,FALSE),"")</f>
        <v/>
      </c>
      <c r="J41" s="20">
        <f>IFERROR(VLOOKUP(D41,XPMenu!$A:$F,3,FALSE),"")</f>
        <v/>
      </c>
      <c r="K41" s="20">
        <f>IFERROR(VLOOKUP(D41,XPMenu!$A:$F,4,FALSE),"")</f>
        <v/>
      </c>
      <c r="L41" s="20" t="n"/>
      <c r="M41" s="20">
        <f>IF(A41="","",IF(F41&lt;&gt;"Yes",0,IF(L41&lt;&gt;"",L41,E41*K41)))</f>
        <v/>
      </c>
      <c r="N41" s="20">
        <f>IF($A41="","",$A41-WEEKDAY($A41,2)+1)</f>
        <v/>
      </c>
      <c r="O41" s="20">
        <f>IF($A41="","",TEXT($A41,"yyyy-mm"))</f>
        <v/>
      </c>
      <c r="P41" s="21">
        <f>IF($A41="","",TEXT(YEAR($A41),"0000")&amp;"-Q"&amp;ROUNDUP(MONTH($A41)/3,0))</f>
        <v/>
      </c>
    </row>
    <row r="42">
      <c r="A42" s="18" t="n"/>
      <c r="B42" s="20" t="n"/>
      <c r="C42" s="20" t="n"/>
      <c r="D42" s="20">
        <f>IFERROR(INDEX(XPMenu!$A$2:$A$1000, MATCH(C42, XPMenu!$B$2:$B$1000, 0)), "")</f>
        <v/>
      </c>
      <c r="E42" s="20" t="n"/>
      <c r="F42" s="20" t="n"/>
      <c r="G42" s="20" t="n"/>
      <c r="H42" s="20" t="n"/>
      <c r="I42" s="20">
        <f>IFERROR(VLOOKUP(D42,XPMenu!$A:$F,2,FALSE),"")</f>
        <v/>
      </c>
      <c r="J42" s="20">
        <f>IFERROR(VLOOKUP(D42,XPMenu!$A:$F,3,FALSE),"")</f>
        <v/>
      </c>
      <c r="K42" s="20">
        <f>IFERROR(VLOOKUP(D42,XPMenu!$A:$F,4,FALSE),"")</f>
        <v/>
      </c>
      <c r="L42" s="20" t="n"/>
      <c r="M42" s="20">
        <f>IF(A42="","",IF(F42&lt;&gt;"Yes",0,IF(L42&lt;&gt;"",L42,E42*K42)))</f>
        <v/>
      </c>
      <c r="N42" s="20">
        <f>IF($A42="","",$A42-WEEKDAY($A42,2)+1)</f>
        <v/>
      </c>
      <c r="O42" s="20">
        <f>IF($A42="","",TEXT($A42,"yyyy-mm"))</f>
        <v/>
      </c>
      <c r="P42" s="21">
        <f>IF($A42="","",TEXT(YEAR($A42),"0000")&amp;"-Q"&amp;ROUNDUP(MONTH($A42)/3,0))</f>
        <v/>
      </c>
    </row>
    <row r="43">
      <c r="A43" s="18" t="n"/>
      <c r="B43" s="20" t="n"/>
      <c r="C43" s="20" t="n"/>
      <c r="D43" s="20">
        <f>IFERROR(INDEX(XPMenu!$A$2:$A$1000, MATCH(C43, XPMenu!$B$2:$B$1000, 0)), "")</f>
        <v/>
      </c>
      <c r="E43" s="20" t="n"/>
      <c r="F43" s="20" t="n"/>
      <c r="G43" s="20" t="n"/>
      <c r="H43" s="20" t="n"/>
      <c r="I43" s="20">
        <f>IFERROR(VLOOKUP(D43,XPMenu!$A:$F,2,FALSE),"")</f>
        <v/>
      </c>
      <c r="J43" s="20">
        <f>IFERROR(VLOOKUP(D43,XPMenu!$A:$F,3,FALSE),"")</f>
        <v/>
      </c>
      <c r="K43" s="20">
        <f>IFERROR(VLOOKUP(D43,XPMenu!$A:$F,4,FALSE),"")</f>
        <v/>
      </c>
      <c r="L43" s="20" t="n"/>
      <c r="M43" s="20">
        <f>IF(A43="","",IF(F43&lt;&gt;"Yes",0,IF(L43&lt;&gt;"",L43,E43*K43)))</f>
        <v/>
      </c>
      <c r="N43" s="20">
        <f>IF($A43="","",$A43-WEEKDAY($A43,2)+1)</f>
        <v/>
      </c>
      <c r="O43" s="20">
        <f>IF($A43="","",TEXT($A43,"yyyy-mm"))</f>
        <v/>
      </c>
      <c r="P43" s="21">
        <f>IF($A43="","",TEXT(YEAR($A43),"0000")&amp;"-Q"&amp;ROUNDUP(MONTH($A43)/3,0))</f>
        <v/>
      </c>
    </row>
    <row r="44">
      <c r="A44" s="18" t="n"/>
      <c r="B44" s="20" t="n"/>
      <c r="C44" s="20" t="n"/>
      <c r="D44" s="20">
        <f>IFERROR(INDEX(XPMenu!$A$2:$A$1000, MATCH(C44, XPMenu!$B$2:$B$1000, 0)), "")</f>
        <v/>
      </c>
      <c r="E44" s="20" t="n"/>
      <c r="F44" s="20" t="n"/>
      <c r="G44" s="20" t="n"/>
      <c r="H44" s="20" t="n"/>
      <c r="I44" s="20">
        <f>IFERROR(VLOOKUP(D44,XPMenu!$A:$F,2,FALSE),"")</f>
        <v/>
      </c>
      <c r="J44" s="20">
        <f>IFERROR(VLOOKUP(D44,XPMenu!$A:$F,3,FALSE),"")</f>
        <v/>
      </c>
      <c r="K44" s="20">
        <f>IFERROR(VLOOKUP(D44,XPMenu!$A:$F,4,FALSE),"")</f>
        <v/>
      </c>
      <c r="L44" s="20" t="n"/>
      <c r="M44" s="20">
        <f>IF(A44="","",IF(F44&lt;&gt;"Yes",0,IF(L44&lt;&gt;"",L44,E44*K44)))</f>
        <v/>
      </c>
      <c r="N44" s="20">
        <f>IF($A44="","",$A44-WEEKDAY($A44,2)+1)</f>
        <v/>
      </c>
      <c r="O44" s="20">
        <f>IF($A44="","",TEXT($A44,"yyyy-mm"))</f>
        <v/>
      </c>
      <c r="P44" s="21">
        <f>IF($A44="","",TEXT(YEAR($A44),"0000")&amp;"-Q"&amp;ROUNDUP(MONTH($A44)/3,0))</f>
        <v/>
      </c>
    </row>
    <row r="45">
      <c r="A45" s="18" t="n"/>
      <c r="B45" s="20" t="n"/>
      <c r="C45" s="20" t="n"/>
      <c r="D45" s="20">
        <f>IFERROR(INDEX(XPMenu!$A$2:$A$1000, MATCH(C45, XPMenu!$B$2:$B$1000, 0)), "")</f>
        <v/>
      </c>
      <c r="E45" s="20" t="n"/>
      <c r="F45" s="20" t="n"/>
      <c r="G45" s="20" t="n"/>
      <c r="H45" s="20" t="n"/>
      <c r="I45" s="20">
        <f>IFERROR(VLOOKUP(D45,XPMenu!$A:$F,2,FALSE),"")</f>
        <v/>
      </c>
      <c r="J45" s="20">
        <f>IFERROR(VLOOKUP(D45,XPMenu!$A:$F,3,FALSE),"")</f>
        <v/>
      </c>
      <c r="K45" s="20">
        <f>IFERROR(VLOOKUP(D45,XPMenu!$A:$F,4,FALSE),"")</f>
        <v/>
      </c>
      <c r="L45" s="20" t="n"/>
      <c r="M45" s="20">
        <f>IF(A45="","",IF(F45&lt;&gt;"Yes",0,IF(L45&lt;&gt;"",L45,E45*K45)))</f>
        <v/>
      </c>
      <c r="N45" s="20">
        <f>IF($A45="","",$A45-WEEKDAY($A45,2)+1)</f>
        <v/>
      </c>
      <c r="O45" s="20">
        <f>IF($A45="","",TEXT($A45,"yyyy-mm"))</f>
        <v/>
      </c>
      <c r="P45" s="21">
        <f>IF($A45="","",TEXT(YEAR($A45),"0000")&amp;"-Q"&amp;ROUNDUP(MONTH($A45)/3,0))</f>
        <v/>
      </c>
    </row>
    <row r="46">
      <c r="A46" s="18" t="n"/>
      <c r="B46" s="20" t="n"/>
      <c r="C46" s="20" t="n"/>
      <c r="D46" s="20">
        <f>IFERROR(INDEX(XPMenu!$A$2:$A$1000, MATCH(C46, XPMenu!$B$2:$B$1000, 0)), "")</f>
        <v/>
      </c>
      <c r="E46" s="20" t="n"/>
      <c r="F46" s="20" t="n"/>
      <c r="G46" s="20" t="n"/>
      <c r="H46" s="20" t="n"/>
      <c r="I46" s="20">
        <f>IFERROR(VLOOKUP(D46,XPMenu!$A:$F,2,FALSE),"")</f>
        <v/>
      </c>
      <c r="J46" s="20">
        <f>IFERROR(VLOOKUP(D46,XPMenu!$A:$F,3,FALSE),"")</f>
        <v/>
      </c>
      <c r="K46" s="20">
        <f>IFERROR(VLOOKUP(D46,XPMenu!$A:$F,4,FALSE),"")</f>
        <v/>
      </c>
      <c r="L46" s="20" t="n"/>
      <c r="M46" s="20">
        <f>IF(A46="","",IF(F46&lt;&gt;"Yes",0,IF(L46&lt;&gt;"",L46,E46*K46)))</f>
        <v/>
      </c>
      <c r="N46" s="20">
        <f>IF($A46="","",$A46-WEEKDAY($A46,2)+1)</f>
        <v/>
      </c>
      <c r="O46" s="20">
        <f>IF($A46="","",TEXT($A46,"yyyy-mm"))</f>
        <v/>
      </c>
      <c r="P46" s="21">
        <f>IF($A46="","",TEXT(YEAR($A46),"0000")&amp;"-Q"&amp;ROUNDUP(MONTH($A46)/3,0))</f>
        <v/>
      </c>
    </row>
    <row r="47">
      <c r="A47" s="18" t="n"/>
      <c r="B47" s="20" t="n"/>
      <c r="C47" s="20" t="n"/>
      <c r="D47" s="20">
        <f>IFERROR(INDEX(XPMenu!$A$2:$A$1000, MATCH(C47, XPMenu!$B$2:$B$1000, 0)), "")</f>
        <v/>
      </c>
      <c r="E47" s="20" t="n"/>
      <c r="F47" s="20" t="n"/>
      <c r="G47" s="20" t="n"/>
      <c r="H47" s="20" t="n"/>
      <c r="I47" s="20">
        <f>IFERROR(VLOOKUP(D47,XPMenu!$A:$F,2,FALSE),"")</f>
        <v/>
      </c>
      <c r="J47" s="20">
        <f>IFERROR(VLOOKUP(D47,XPMenu!$A:$F,3,FALSE),"")</f>
        <v/>
      </c>
      <c r="K47" s="20">
        <f>IFERROR(VLOOKUP(D47,XPMenu!$A:$F,4,FALSE),"")</f>
        <v/>
      </c>
      <c r="L47" s="20" t="n"/>
      <c r="M47" s="20">
        <f>IF(A47="","",IF(F47&lt;&gt;"Yes",0,IF(L47&lt;&gt;"",L47,E47*K47)))</f>
        <v/>
      </c>
      <c r="N47" s="20">
        <f>IF($A47="","",$A47-WEEKDAY($A47,2)+1)</f>
        <v/>
      </c>
      <c r="O47" s="20">
        <f>IF($A47="","",TEXT($A47,"yyyy-mm"))</f>
        <v/>
      </c>
      <c r="P47" s="21">
        <f>IF($A47="","",TEXT(YEAR($A47),"0000")&amp;"-Q"&amp;ROUNDUP(MONTH($A47)/3,0))</f>
        <v/>
      </c>
    </row>
    <row r="48">
      <c r="A48" s="18" t="n"/>
      <c r="B48" s="20" t="n"/>
      <c r="C48" s="20" t="n"/>
      <c r="D48" s="20">
        <f>IFERROR(INDEX(XPMenu!$A$2:$A$1000, MATCH(C48, XPMenu!$B$2:$B$1000, 0)), "")</f>
        <v/>
      </c>
      <c r="E48" s="20" t="n"/>
      <c r="F48" s="20" t="n"/>
      <c r="G48" s="20" t="n"/>
      <c r="H48" s="20" t="n"/>
      <c r="I48" s="20">
        <f>IFERROR(VLOOKUP(D48,XPMenu!$A:$F,2,FALSE),"")</f>
        <v/>
      </c>
      <c r="J48" s="20">
        <f>IFERROR(VLOOKUP(D48,XPMenu!$A:$F,3,FALSE),"")</f>
        <v/>
      </c>
      <c r="K48" s="20">
        <f>IFERROR(VLOOKUP(D48,XPMenu!$A:$F,4,FALSE),"")</f>
        <v/>
      </c>
      <c r="L48" s="20" t="n"/>
      <c r="M48" s="20">
        <f>IF(A48="","",IF(F48&lt;&gt;"Yes",0,IF(L48&lt;&gt;"",L48,E48*K48)))</f>
        <v/>
      </c>
      <c r="N48" s="20">
        <f>IF($A48="","",$A48-WEEKDAY($A48,2)+1)</f>
        <v/>
      </c>
      <c r="O48" s="20">
        <f>IF($A48="","",TEXT($A48,"yyyy-mm"))</f>
        <v/>
      </c>
      <c r="P48" s="21">
        <f>IF($A48="","",TEXT(YEAR($A48),"0000")&amp;"-Q"&amp;ROUNDUP(MONTH($A48)/3,0))</f>
        <v/>
      </c>
    </row>
    <row r="49">
      <c r="A49" s="18" t="n"/>
      <c r="B49" s="20" t="n"/>
      <c r="C49" s="20" t="n"/>
      <c r="D49" s="20">
        <f>IFERROR(INDEX(XPMenu!$A$2:$A$1000, MATCH(C49, XPMenu!$B$2:$B$1000, 0)), "")</f>
        <v/>
      </c>
      <c r="E49" s="20" t="n"/>
      <c r="F49" s="20" t="n"/>
      <c r="G49" s="20" t="n"/>
      <c r="H49" s="20" t="n"/>
      <c r="I49" s="20">
        <f>IFERROR(VLOOKUP(D49,XPMenu!$A:$F,2,FALSE),"")</f>
        <v/>
      </c>
      <c r="J49" s="20">
        <f>IFERROR(VLOOKUP(D49,XPMenu!$A:$F,3,FALSE),"")</f>
        <v/>
      </c>
      <c r="K49" s="20">
        <f>IFERROR(VLOOKUP(D49,XPMenu!$A:$F,4,FALSE),"")</f>
        <v/>
      </c>
      <c r="L49" s="20" t="n"/>
      <c r="M49" s="20">
        <f>IF(A49="","",IF(F49&lt;&gt;"Yes",0,IF(L49&lt;&gt;"",L49,E49*K49)))</f>
        <v/>
      </c>
      <c r="N49" s="20">
        <f>IF($A49="","",$A49-WEEKDAY($A49,2)+1)</f>
        <v/>
      </c>
      <c r="O49" s="20">
        <f>IF($A49="","",TEXT($A49,"yyyy-mm"))</f>
        <v/>
      </c>
      <c r="P49" s="21">
        <f>IF($A49="","",TEXT(YEAR($A49),"0000")&amp;"-Q"&amp;ROUNDUP(MONTH($A49)/3,0))</f>
        <v/>
      </c>
    </row>
    <row r="50">
      <c r="A50" s="18" t="n"/>
      <c r="B50" s="20" t="n"/>
      <c r="C50" s="20" t="n"/>
      <c r="D50" s="20">
        <f>IFERROR(INDEX(XPMenu!$A$2:$A$1000, MATCH(C50, XPMenu!$B$2:$B$1000, 0)), "")</f>
        <v/>
      </c>
      <c r="E50" s="20" t="n"/>
      <c r="F50" s="20" t="n"/>
      <c r="G50" s="20" t="n"/>
      <c r="H50" s="20" t="n"/>
      <c r="I50" s="20">
        <f>IFERROR(VLOOKUP(D50,XPMenu!$A:$F,2,FALSE),"")</f>
        <v/>
      </c>
      <c r="J50" s="20">
        <f>IFERROR(VLOOKUP(D50,XPMenu!$A:$F,3,FALSE),"")</f>
        <v/>
      </c>
      <c r="K50" s="20">
        <f>IFERROR(VLOOKUP(D50,XPMenu!$A:$F,4,FALSE),"")</f>
        <v/>
      </c>
      <c r="L50" s="20" t="n"/>
      <c r="M50" s="20">
        <f>IF(A50="","",IF(F50&lt;&gt;"Yes",0,IF(L50&lt;&gt;"",L50,E50*K50)))</f>
        <v/>
      </c>
      <c r="N50" s="20">
        <f>IF($A50="","",$A50-WEEKDAY($A50,2)+1)</f>
        <v/>
      </c>
      <c r="O50" s="20">
        <f>IF($A50="","",TEXT($A50,"yyyy-mm"))</f>
        <v/>
      </c>
      <c r="P50" s="21">
        <f>IF($A50="","",TEXT(YEAR($A50),"0000")&amp;"-Q"&amp;ROUNDUP(MONTH($A50)/3,0))</f>
        <v/>
      </c>
    </row>
    <row r="51">
      <c r="A51" s="18" t="n"/>
      <c r="B51" s="20" t="n"/>
      <c r="C51" s="20" t="n"/>
      <c r="D51" s="20">
        <f>IFERROR(INDEX(XPMenu!$A$2:$A$1000, MATCH(C51, XPMenu!$B$2:$B$1000, 0)), "")</f>
        <v/>
      </c>
      <c r="E51" s="20" t="n"/>
      <c r="F51" s="20" t="n"/>
      <c r="G51" s="20" t="n"/>
      <c r="H51" s="20" t="n"/>
      <c r="I51" s="20">
        <f>IFERROR(VLOOKUP(D51,XPMenu!$A:$F,2,FALSE),"")</f>
        <v/>
      </c>
      <c r="J51" s="20">
        <f>IFERROR(VLOOKUP(D51,XPMenu!$A:$F,3,FALSE),"")</f>
        <v/>
      </c>
      <c r="K51" s="20">
        <f>IFERROR(VLOOKUP(D51,XPMenu!$A:$F,4,FALSE),"")</f>
        <v/>
      </c>
      <c r="L51" s="20" t="n"/>
      <c r="M51" s="20">
        <f>IF(A51="","",IF(F51&lt;&gt;"Yes",0,IF(L51&lt;&gt;"",L51,E51*K51)))</f>
        <v/>
      </c>
      <c r="N51" s="20">
        <f>IF($A51="","",$A51-WEEKDAY($A51,2)+1)</f>
        <v/>
      </c>
      <c r="O51" s="20">
        <f>IF($A51="","",TEXT($A51,"yyyy-mm"))</f>
        <v/>
      </c>
      <c r="P51" s="21">
        <f>IF($A51="","",TEXT(YEAR($A51),"0000")&amp;"-Q"&amp;ROUNDUP(MONTH($A51)/3,0))</f>
        <v/>
      </c>
    </row>
    <row r="52">
      <c r="A52" s="22" t="n"/>
      <c r="B52" s="20" t="n"/>
      <c r="C52" s="20" t="n"/>
      <c r="D52" s="20">
        <f>IFERROR(INDEX(XPMenu!$A$2:$A$1000, MATCH(C52, XPMenu!$B$2:$B$1000, 0)), "")</f>
        <v/>
      </c>
      <c r="E52" s="20" t="n"/>
      <c r="F52" s="20" t="n"/>
      <c r="G52" s="20" t="n"/>
      <c r="H52" s="20" t="n"/>
      <c r="I52" s="20">
        <f>IFERROR(VLOOKUP(D52,XPMenu!$A:$F,2,FALSE),"")</f>
        <v/>
      </c>
      <c r="J52" s="20">
        <f>IFERROR(VLOOKUP(D52,XPMenu!$A:$F,3,FALSE),"")</f>
        <v/>
      </c>
      <c r="K52" s="20">
        <f>IFERROR(VLOOKUP(D52,XPMenu!$A:$F,4,FALSE),"")</f>
        <v/>
      </c>
      <c r="L52" s="20" t="n"/>
      <c r="M52" s="20">
        <f>IF(A52="","",IF(F52&lt;&gt;"Yes",0,IF(L52&lt;&gt;"",L52,E52*K52)))</f>
        <v/>
      </c>
      <c r="N52" s="20">
        <f>IF($A52="","",$A52-WEEKDAY($A52,2)+1)</f>
        <v/>
      </c>
      <c r="O52" s="20">
        <f>IF($A52="","",TEXT($A52,"yyyy-mm"))</f>
        <v/>
      </c>
      <c r="P52" s="21">
        <f>IF($A52="","",TEXT(YEAR($A52),"0000")&amp;"-Q"&amp;ROUNDUP(MONTH($A52)/3,0))</f>
        <v/>
      </c>
    </row>
    <row r="53">
      <c r="A53" s="22" t="n"/>
      <c r="B53" s="20" t="n"/>
      <c r="C53" s="20" t="n"/>
      <c r="D53" s="20">
        <f>IFERROR(INDEX(XPMenu!$A$2:$A$1000, MATCH(C53, XPMenu!$B$2:$B$1000, 0)), "")</f>
        <v/>
      </c>
      <c r="E53" s="20" t="n"/>
      <c r="F53" s="20" t="n"/>
      <c r="G53" s="20" t="n"/>
      <c r="H53" s="20" t="n"/>
      <c r="I53" s="20">
        <f>IFERROR(VLOOKUP(D53,XPMenu!$A:$F,2,FALSE),"")</f>
        <v/>
      </c>
      <c r="J53" s="20">
        <f>IFERROR(VLOOKUP(D53,XPMenu!$A:$F,3,FALSE),"")</f>
        <v/>
      </c>
      <c r="K53" s="20">
        <f>IFERROR(VLOOKUP(D53,XPMenu!$A:$F,4,FALSE),"")</f>
        <v/>
      </c>
      <c r="L53" s="20" t="n"/>
      <c r="M53" s="20">
        <f>IF(A53="","",IF(F53&lt;&gt;"Yes",0,IF(L53&lt;&gt;"",L53,E53*K53)))</f>
        <v/>
      </c>
      <c r="N53" s="20">
        <f>IF($A53="","",$A53-WEEKDAY($A53,2)+1)</f>
        <v/>
      </c>
      <c r="O53" s="20">
        <f>IF($A53="","",TEXT($A53,"yyyy-mm"))</f>
        <v/>
      </c>
      <c r="P53" s="21">
        <f>IF($A53="","",TEXT(YEAR($A53),"0000")&amp;"-Q"&amp;ROUNDUP(MONTH($A53)/3,0))</f>
        <v/>
      </c>
    </row>
    <row r="54">
      <c r="A54" s="22" t="n"/>
      <c r="B54" s="20" t="n"/>
      <c r="C54" s="20" t="n"/>
      <c r="D54" s="20">
        <f>IFERROR(INDEX(XPMenu!$A$2:$A$1000, MATCH(C54, XPMenu!$B$2:$B$1000, 0)), "")</f>
        <v/>
      </c>
      <c r="E54" s="20" t="n"/>
      <c r="F54" s="20" t="n"/>
      <c r="G54" s="20" t="n"/>
      <c r="H54" s="20" t="n"/>
      <c r="I54" s="20">
        <f>IFERROR(VLOOKUP(D54,XPMenu!$A:$F,2,FALSE),"")</f>
        <v/>
      </c>
      <c r="J54" s="20">
        <f>IFERROR(VLOOKUP(D54,XPMenu!$A:$F,3,FALSE),"")</f>
        <v/>
      </c>
      <c r="K54" s="20">
        <f>IFERROR(VLOOKUP(D54,XPMenu!$A:$F,4,FALSE),"")</f>
        <v/>
      </c>
      <c r="L54" s="20" t="n"/>
      <c r="M54" s="20">
        <f>IF(A54="","",IF(F54&lt;&gt;"Yes",0,IF(L54&lt;&gt;"",L54,E54*K54)))</f>
        <v/>
      </c>
      <c r="N54" s="20">
        <f>IF($A54="","",$A54-WEEKDAY($A54,2)+1)</f>
        <v/>
      </c>
      <c r="O54" s="20">
        <f>IF($A54="","",TEXT($A54,"yyyy-mm"))</f>
        <v/>
      </c>
      <c r="P54" s="21">
        <f>IF($A54="","",TEXT(YEAR($A54),"0000")&amp;"-Q"&amp;ROUNDUP(MONTH($A54)/3,0))</f>
        <v/>
      </c>
    </row>
    <row r="55">
      <c r="A55" s="22" t="n"/>
      <c r="B55" s="20" t="n"/>
      <c r="C55" s="20" t="n"/>
      <c r="D55" s="20">
        <f>IFERROR(INDEX(XPMenu!$A$2:$A$1000, MATCH(C55, XPMenu!$B$2:$B$1000, 0)), "")</f>
        <v/>
      </c>
      <c r="E55" s="20" t="n"/>
      <c r="F55" s="20" t="n"/>
      <c r="G55" s="20" t="n"/>
      <c r="H55" s="20" t="n"/>
      <c r="I55" s="20">
        <f>IFERROR(VLOOKUP(D55,XPMenu!$A:$F,2,FALSE),"")</f>
        <v/>
      </c>
      <c r="J55" s="20">
        <f>IFERROR(VLOOKUP(D55,XPMenu!$A:$F,3,FALSE),"")</f>
        <v/>
      </c>
      <c r="K55" s="20">
        <f>IFERROR(VLOOKUP(D55,XPMenu!$A:$F,4,FALSE),"")</f>
        <v/>
      </c>
      <c r="L55" s="20" t="n"/>
      <c r="M55" s="20">
        <f>IF(A55="","",IF(F55&lt;&gt;"Yes",0,IF(L55&lt;&gt;"",L55,E55*K55)))</f>
        <v/>
      </c>
      <c r="N55" s="20">
        <f>IF($A55="","",$A55-WEEKDAY($A55,2)+1)</f>
        <v/>
      </c>
      <c r="O55" s="20">
        <f>IF($A55="","",TEXT($A55,"yyyy-mm"))</f>
        <v/>
      </c>
      <c r="P55" s="21">
        <f>IF($A55="","",TEXT(YEAR($A55),"0000")&amp;"-Q"&amp;ROUNDUP(MONTH($A55)/3,0))</f>
        <v/>
      </c>
    </row>
    <row r="56">
      <c r="A56" s="22" t="n"/>
      <c r="B56" s="20" t="n"/>
      <c r="C56" s="20" t="n"/>
      <c r="D56" s="20">
        <f>IFERROR(INDEX(XPMenu!$A$2:$A$1000, MATCH(C56, XPMenu!$B$2:$B$1000, 0)), "")</f>
        <v/>
      </c>
      <c r="E56" s="20" t="n"/>
      <c r="F56" s="20" t="n"/>
      <c r="G56" s="20" t="n"/>
      <c r="H56" s="20" t="n"/>
      <c r="I56" s="20">
        <f>IFERROR(VLOOKUP(D56,XPMenu!$A:$F,2,FALSE),"")</f>
        <v/>
      </c>
      <c r="J56" s="20">
        <f>IFERROR(VLOOKUP(D56,XPMenu!$A:$F,3,FALSE),"")</f>
        <v/>
      </c>
      <c r="K56" s="20">
        <f>IFERROR(VLOOKUP(D56,XPMenu!$A:$F,4,FALSE),"")</f>
        <v/>
      </c>
      <c r="L56" s="20" t="n"/>
      <c r="M56" s="20">
        <f>IF(A56="","",IF(F56&lt;&gt;"Yes",0,IF(L56&lt;&gt;"",L56,E56*K56)))</f>
        <v/>
      </c>
      <c r="N56" s="20">
        <f>IF($A56="","",$A56-WEEKDAY($A56,2)+1)</f>
        <v/>
      </c>
      <c r="O56" s="20">
        <f>IF($A56="","",TEXT($A56,"yyyy-mm"))</f>
        <v/>
      </c>
      <c r="P56" s="21">
        <f>IF($A56="","",TEXT(YEAR($A56),"0000")&amp;"-Q"&amp;ROUNDUP(MONTH($A56)/3,0))</f>
        <v/>
      </c>
    </row>
    <row r="57">
      <c r="A57" s="22" t="n"/>
      <c r="B57" s="20" t="n"/>
      <c r="C57" s="20" t="n"/>
      <c r="D57" s="20">
        <f>IFERROR(INDEX(XPMenu!$A$2:$A$1000, MATCH(C57, XPMenu!$B$2:$B$1000, 0)), "")</f>
        <v/>
      </c>
      <c r="E57" s="20" t="n"/>
      <c r="F57" s="20" t="n"/>
      <c r="G57" s="20" t="n"/>
      <c r="H57" s="20" t="n"/>
      <c r="I57" s="20">
        <f>IFERROR(VLOOKUP(D57,XPMenu!$A:$F,2,FALSE),"")</f>
        <v/>
      </c>
      <c r="J57" s="20">
        <f>IFERROR(VLOOKUP(D57,XPMenu!$A:$F,3,FALSE),"")</f>
        <v/>
      </c>
      <c r="K57" s="20">
        <f>IFERROR(VLOOKUP(D57,XPMenu!$A:$F,4,FALSE),"")</f>
        <v/>
      </c>
      <c r="L57" s="20" t="n"/>
      <c r="M57" s="20">
        <f>IF(A57="","",IF(F57&lt;&gt;"Yes",0,IF(L57&lt;&gt;"",L57,E57*K57)))</f>
        <v/>
      </c>
      <c r="N57" s="20">
        <f>IF($A57="","",$A57-WEEKDAY($A57,2)+1)</f>
        <v/>
      </c>
      <c r="O57" s="20">
        <f>IF($A57="","",TEXT($A57,"yyyy-mm"))</f>
        <v/>
      </c>
      <c r="P57" s="21">
        <f>IF($A57="","",TEXT(YEAR($A57),"0000")&amp;"-Q"&amp;ROUNDUP(MONTH($A57)/3,0))</f>
        <v/>
      </c>
    </row>
    <row r="58">
      <c r="A58" s="22" t="n"/>
      <c r="B58" s="20" t="n"/>
      <c r="C58" s="20" t="n"/>
      <c r="D58" s="20">
        <f>IFERROR(INDEX(XPMenu!$A$2:$A$1000, MATCH(C58, XPMenu!$B$2:$B$1000, 0)), "")</f>
        <v/>
      </c>
      <c r="E58" s="20" t="n"/>
      <c r="F58" s="20" t="n"/>
      <c r="G58" s="20" t="n"/>
      <c r="H58" s="20" t="n"/>
      <c r="I58" s="20">
        <f>IFERROR(VLOOKUP(D58,XPMenu!$A:$F,2,FALSE),"")</f>
        <v/>
      </c>
      <c r="J58" s="20">
        <f>IFERROR(VLOOKUP(D58,XPMenu!$A:$F,3,FALSE),"")</f>
        <v/>
      </c>
      <c r="K58" s="20">
        <f>IFERROR(VLOOKUP(D58,XPMenu!$A:$F,4,FALSE),"")</f>
        <v/>
      </c>
      <c r="L58" s="20" t="n"/>
      <c r="M58" s="20">
        <f>IF(A58="","",IF(F58&lt;&gt;"Yes",0,IF(L58&lt;&gt;"",L58,E58*K58)))</f>
        <v/>
      </c>
      <c r="N58" s="20">
        <f>IF($A58="","",$A58-WEEKDAY($A58,2)+1)</f>
        <v/>
      </c>
      <c r="O58" s="20">
        <f>IF($A58="","",TEXT($A58,"yyyy-mm"))</f>
        <v/>
      </c>
      <c r="P58" s="21">
        <f>IF($A58="","",TEXT(YEAR($A58),"0000")&amp;"-Q"&amp;ROUNDUP(MONTH($A58)/3,0))</f>
        <v/>
      </c>
    </row>
    <row r="59">
      <c r="A59" s="22" t="n"/>
      <c r="B59" s="20" t="n"/>
      <c r="C59" s="20" t="n"/>
      <c r="D59" s="20">
        <f>IFERROR(INDEX(XPMenu!$A$2:$A$1000, MATCH(C59, XPMenu!$B$2:$B$1000, 0)), "")</f>
        <v/>
      </c>
      <c r="E59" s="20" t="n"/>
      <c r="F59" s="20" t="n"/>
      <c r="G59" s="20" t="n"/>
      <c r="H59" s="20" t="n"/>
      <c r="I59" s="20">
        <f>IFERROR(VLOOKUP(D59,XPMenu!$A:$F,2,FALSE),"")</f>
        <v/>
      </c>
      <c r="J59" s="20">
        <f>IFERROR(VLOOKUP(D59,XPMenu!$A:$F,3,FALSE),"")</f>
        <v/>
      </c>
      <c r="K59" s="20">
        <f>IFERROR(VLOOKUP(D59,XPMenu!$A:$F,4,FALSE),"")</f>
        <v/>
      </c>
      <c r="L59" s="20" t="n"/>
      <c r="M59" s="20">
        <f>IF(A59="","",IF(F59&lt;&gt;"Yes",0,IF(L59&lt;&gt;"",L59,E59*K59)))</f>
        <v/>
      </c>
      <c r="N59" s="20">
        <f>IF($A59="","",$A59-WEEKDAY($A59,2)+1)</f>
        <v/>
      </c>
      <c r="O59" s="20">
        <f>IF($A59="","",TEXT($A59,"yyyy-mm"))</f>
        <v/>
      </c>
      <c r="P59" s="21">
        <f>IF($A59="","",TEXT(YEAR($A59),"0000")&amp;"-Q"&amp;ROUNDUP(MONTH($A59)/3,0))</f>
        <v/>
      </c>
    </row>
    <row r="60">
      <c r="A60" s="22" t="n"/>
      <c r="B60" s="20" t="n"/>
      <c r="C60" s="20" t="n"/>
      <c r="D60" s="20">
        <f>IFERROR(INDEX(XPMenu!$A$2:$A$1000, MATCH(C60, XPMenu!$B$2:$B$1000, 0)), "")</f>
        <v/>
      </c>
      <c r="E60" s="20" t="n"/>
      <c r="F60" s="20" t="n"/>
      <c r="G60" s="20" t="n"/>
      <c r="H60" s="20" t="n"/>
      <c r="I60" s="20">
        <f>IFERROR(VLOOKUP(D60,XPMenu!$A:$F,2,FALSE),"")</f>
        <v/>
      </c>
      <c r="J60" s="20">
        <f>IFERROR(VLOOKUP(D60,XPMenu!$A:$F,3,FALSE),"")</f>
        <v/>
      </c>
      <c r="K60" s="20">
        <f>IFERROR(VLOOKUP(D60,XPMenu!$A:$F,4,FALSE),"")</f>
        <v/>
      </c>
      <c r="L60" s="20" t="n"/>
      <c r="M60" s="20">
        <f>IF(A60="","",IF(F60&lt;&gt;"Yes",0,IF(L60&lt;&gt;"",L60,E60*K60)))</f>
        <v/>
      </c>
      <c r="N60" s="20">
        <f>IF($A60="","",$A60-WEEKDAY($A60,2)+1)</f>
        <v/>
      </c>
      <c r="O60" s="20">
        <f>IF($A60="","",TEXT($A60,"yyyy-mm"))</f>
        <v/>
      </c>
      <c r="P60" s="21">
        <f>IF($A60="","",TEXT(YEAR($A60),"0000")&amp;"-Q"&amp;ROUNDUP(MONTH($A60)/3,0))</f>
        <v/>
      </c>
    </row>
    <row r="61">
      <c r="A61" s="22" t="n"/>
      <c r="B61" s="20" t="n"/>
      <c r="C61" s="20" t="n"/>
      <c r="D61" s="20">
        <f>IFERROR(INDEX(XPMenu!$A$2:$A$1000, MATCH(C61, XPMenu!$B$2:$B$1000, 0)), "")</f>
        <v/>
      </c>
      <c r="E61" s="20" t="n"/>
      <c r="F61" s="20" t="n"/>
      <c r="G61" s="20" t="n"/>
      <c r="H61" s="20" t="n"/>
      <c r="I61" s="20">
        <f>IFERROR(VLOOKUP(D61,XPMenu!$A:$F,2,FALSE),"")</f>
        <v/>
      </c>
      <c r="J61" s="20">
        <f>IFERROR(VLOOKUP(D61,XPMenu!$A:$F,3,FALSE),"")</f>
        <v/>
      </c>
      <c r="K61" s="20">
        <f>IFERROR(VLOOKUP(D61,XPMenu!$A:$F,4,FALSE),"")</f>
        <v/>
      </c>
      <c r="L61" s="20" t="n"/>
      <c r="M61" s="20">
        <f>IF(A61="","",IF(F61&lt;&gt;"Yes",0,IF(L61&lt;&gt;"",L61,E61*K61)))</f>
        <v/>
      </c>
      <c r="N61" s="20">
        <f>IF($A61="","",$A61-WEEKDAY($A61,2)+1)</f>
        <v/>
      </c>
      <c r="O61" s="20">
        <f>IF($A61="","",TEXT($A61,"yyyy-mm"))</f>
        <v/>
      </c>
      <c r="P61" s="21">
        <f>IF($A61="","",TEXT(YEAR($A61),"0000")&amp;"-Q"&amp;ROUNDUP(MONTH($A61)/3,0))</f>
        <v/>
      </c>
    </row>
    <row r="62">
      <c r="A62" s="22" t="n"/>
      <c r="B62" s="20" t="n"/>
      <c r="C62" s="20" t="n"/>
      <c r="D62" s="20">
        <f>IFERROR(INDEX(XPMenu!$A$2:$A$1000, MATCH(C62, XPMenu!$B$2:$B$1000, 0)), "")</f>
        <v/>
      </c>
      <c r="E62" s="20" t="n"/>
      <c r="F62" s="20" t="n"/>
      <c r="G62" s="20" t="n"/>
      <c r="H62" s="20" t="n"/>
      <c r="I62" s="20">
        <f>IFERROR(VLOOKUP(D62,XPMenu!$A:$F,2,FALSE),"")</f>
        <v/>
      </c>
      <c r="J62" s="20">
        <f>IFERROR(VLOOKUP(D62,XPMenu!$A:$F,3,FALSE),"")</f>
        <v/>
      </c>
      <c r="K62" s="20">
        <f>IFERROR(VLOOKUP(D62,XPMenu!$A:$F,4,FALSE),"")</f>
        <v/>
      </c>
      <c r="L62" s="20" t="n"/>
      <c r="M62" s="20">
        <f>IF(A62="","",IF(F62&lt;&gt;"Yes",0,IF(L62&lt;&gt;"",L62,E62*K62)))</f>
        <v/>
      </c>
      <c r="N62" s="20">
        <f>IF($A62="","",$A62-WEEKDAY($A62,2)+1)</f>
        <v/>
      </c>
      <c r="O62" s="20">
        <f>IF($A62="","",TEXT($A62,"yyyy-mm"))</f>
        <v/>
      </c>
      <c r="P62" s="21">
        <f>IF($A62="","",TEXT(YEAR($A62),"0000")&amp;"-Q"&amp;ROUNDUP(MONTH($A62)/3,0))</f>
        <v/>
      </c>
    </row>
    <row r="63">
      <c r="A63" s="22" t="n"/>
      <c r="B63" s="20" t="n"/>
      <c r="C63" s="20" t="n"/>
      <c r="D63" s="20">
        <f>IFERROR(INDEX(XPMenu!$A$2:$A$1000, MATCH(C63, XPMenu!$B$2:$B$1000, 0)), "")</f>
        <v/>
      </c>
      <c r="E63" s="20" t="n"/>
      <c r="F63" s="20" t="n"/>
      <c r="G63" s="20" t="n"/>
      <c r="H63" s="20" t="n"/>
      <c r="I63" s="20">
        <f>IFERROR(VLOOKUP(D63,XPMenu!$A:$F,2,FALSE),"")</f>
        <v/>
      </c>
      <c r="J63" s="20">
        <f>IFERROR(VLOOKUP(D63,XPMenu!$A:$F,3,FALSE),"")</f>
        <v/>
      </c>
      <c r="K63" s="20">
        <f>IFERROR(VLOOKUP(D63,XPMenu!$A:$F,4,FALSE),"")</f>
        <v/>
      </c>
      <c r="L63" s="20" t="n"/>
      <c r="M63" s="20">
        <f>IF(A63="","",IF(F63&lt;&gt;"Yes",0,IF(L63&lt;&gt;"",L63,E63*K63)))</f>
        <v/>
      </c>
      <c r="N63" s="20">
        <f>IF($A63="","",$A63-WEEKDAY($A63,2)+1)</f>
        <v/>
      </c>
      <c r="O63" s="20">
        <f>IF($A63="","",TEXT($A63,"yyyy-mm"))</f>
        <v/>
      </c>
      <c r="P63" s="21">
        <f>IF($A63="","",TEXT(YEAR($A63),"0000")&amp;"-Q"&amp;ROUNDUP(MONTH($A63)/3,0))</f>
        <v/>
      </c>
    </row>
    <row r="64">
      <c r="A64" s="22" t="n"/>
      <c r="B64" s="20" t="n"/>
      <c r="C64" s="20" t="n"/>
      <c r="D64" s="20">
        <f>IFERROR(INDEX(XPMenu!$A$2:$A$1000, MATCH(C64, XPMenu!$B$2:$B$1000, 0)), "")</f>
        <v/>
      </c>
      <c r="E64" s="20" t="n"/>
      <c r="F64" s="20" t="n"/>
      <c r="G64" s="20" t="n"/>
      <c r="H64" s="20" t="n"/>
      <c r="I64" s="20">
        <f>IFERROR(VLOOKUP(D64,XPMenu!$A:$F,2,FALSE),"")</f>
        <v/>
      </c>
      <c r="J64" s="20">
        <f>IFERROR(VLOOKUP(D64,XPMenu!$A:$F,3,FALSE),"")</f>
        <v/>
      </c>
      <c r="K64" s="20">
        <f>IFERROR(VLOOKUP(D64,XPMenu!$A:$F,4,FALSE),"")</f>
        <v/>
      </c>
      <c r="L64" s="20" t="n"/>
      <c r="M64" s="20">
        <f>IF(A64="","",IF(F64&lt;&gt;"Yes",0,IF(L64&lt;&gt;"",L64,E64*K64)))</f>
        <v/>
      </c>
      <c r="N64" s="20">
        <f>IF($A64="","",$A64-WEEKDAY($A64,2)+1)</f>
        <v/>
      </c>
      <c r="O64" s="20">
        <f>IF($A64="","",TEXT($A64,"yyyy-mm"))</f>
        <v/>
      </c>
      <c r="P64" s="21">
        <f>IF($A64="","",TEXT(YEAR($A64),"0000")&amp;"-Q"&amp;ROUNDUP(MONTH($A64)/3,0))</f>
        <v/>
      </c>
    </row>
    <row r="65">
      <c r="A65" s="22" t="n"/>
      <c r="B65" s="20" t="n"/>
      <c r="C65" s="20" t="n"/>
      <c r="D65" s="20">
        <f>IFERROR(INDEX(XPMenu!$A$2:$A$1000, MATCH(C65, XPMenu!$B$2:$B$1000, 0)), "")</f>
        <v/>
      </c>
      <c r="E65" s="20" t="n"/>
      <c r="F65" s="20" t="n"/>
      <c r="G65" s="20" t="n"/>
      <c r="H65" s="20" t="n"/>
      <c r="I65" s="20">
        <f>IFERROR(VLOOKUP(D65,XPMenu!$A:$F,2,FALSE),"")</f>
        <v/>
      </c>
      <c r="J65" s="20">
        <f>IFERROR(VLOOKUP(D65,XPMenu!$A:$F,3,FALSE),"")</f>
        <v/>
      </c>
      <c r="K65" s="20">
        <f>IFERROR(VLOOKUP(D65,XPMenu!$A:$F,4,FALSE),"")</f>
        <v/>
      </c>
      <c r="L65" s="20" t="n"/>
      <c r="M65" s="20">
        <f>IF(A65="","",IF(F65&lt;&gt;"Yes",0,IF(L65&lt;&gt;"",L65,E65*K65)))</f>
        <v/>
      </c>
      <c r="N65" s="20">
        <f>IF($A65="","",$A65-WEEKDAY($A65,2)+1)</f>
        <v/>
      </c>
      <c r="O65" s="20">
        <f>IF($A65="","",TEXT($A65,"yyyy-mm"))</f>
        <v/>
      </c>
      <c r="P65" s="21">
        <f>IF($A65="","",TEXT(YEAR($A65),"0000")&amp;"-Q"&amp;ROUNDUP(MONTH($A65)/3,0))</f>
        <v/>
      </c>
    </row>
    <row r="66">
      <c r="A66" s="22" t="n"/>
      <c r="B66" s="20" t="n"/>
      <c r="C66" s="20" t="n"/>
      <c r="D66" s="20">
        <f>IFERROR(INDEX(XPMenu!$A$2:$A$1000, MATCH(C66, XPMenu!$B$2:$B$1000, 0)), "")</f>
        <v/>
      </c>
      <c r="E66" s="20" t="n"/>
      <c r="F66" s="20" t="n"/>
      <c r="G66" s="20" t="n"/>
      <c r="H66" s="20" t="n"/>
      <c r="I66" s="20">
        <f>IFERROR(VLOOKUP(D66,XPMenu!$A:$F,2,FALSE),"")</f>
        <v/>
      </c>
      <c r="J66" s="20">
        <f>IFERROR(VLOOKUP(D66,XPMenu!$A:$F,3,FALSE),"")</f>
        <v/>
      </c>
      <c r="K66" s="20">
        <f>IFERROR(VLOOKUP(D66,XPMenu!$A:$F,4,FALSE),"")</f>
        <v/>
      </c>
      <c r="L66" s="20" t="n"/>
      <c r="M66" s="20">
        <f>IF(A66="","",IF(F66&lt;&gt;"Yes",0,IF(L66&lt;&gt;"",L66,E66*K66)))</f>
        <v/>
      </c>
      <c r="N66" s="20">
        <f>IF($A66="","",$A66-WEEKDAY($A66,2)+1)</f>
        <v/>
      </c>
      <c r="O66" s="20">
        <f>IF($A66="","",TEXT($A66,"yyyy-mm"))</f>
        <v/>
      </c>
      <c r="P66" s="21">
        <f>IF($A66="","",TEXT(YEAR($A66),"0000")&amp;"-Q"&amp;ROUNDUP(MONTH($A66)/3,0))</f>
        <v/>
      </c>
    </row>
    <row r="67">
      <c r="A67" s="22" t="n"/>
      <c r="B67" s="20" t="n"/>
      <c r="C67" s="20" t="n"/>
      <c r="D67" s="20">
        <f>IFERROR(INDEX(XPMenu!$A$2:$A$1000, MATCH(C67, XPMenu!$B$2:$B$1000, 0)), "")</f>
        <v/>
      </c>
      <c r="E67" s="20" t="n"/>
      <c r="F67" s="20" t="n"/>
      <c r="G67" s="20" t="n"/>
      <c r="H67" s="20" t="n"/>
      <c r="I67" s="20">
        <f>IFERROR(VLOOKUP(D67,XPMenu!$A:$F,2,FALSE),"")</f>
        <v/>
      </c>
      <c r="J67" s="20">
        <f>IFERROR(VLOOKUP(D67,XPMenu!$A:$F,3,FALSE),"")</f>
        <v/>
      </c>
      <c r="K67" s="20">
        <f>IFERROR(VLOOKUP(D67,XPMenu!$A:$F,4,FALSE),"")</f>
        <v/>
      </c>
      <c r="L67" s="20" t="n"/>
      <c r="M67" s="20">
        <f>IF(A67="","",IF(F67&lt;&gt;"Yes",0,IF(L67&lt;&gt;"",L67,E67*K67)))</f>
        <v/>
      </c>
      <c r="N67" s="20">
        <f>IF($A67="","",$A67-WEEKDAY($A67,2)+1)</f>
        <v/>
      </c>
      <c r="O67" s="20">
        <f>IF($A67="","",TEXT($A67,"yyyy-mm"))</f>
        <v/>
      </c>
      <c r="P67" s="21">
        <f>IF($A67="","",TEXT(YEAR($A67),"0000")&amp;"-Q"&amp;ROUNDUP(MONTH($A67)/3,0))</f>
        <v/>
      </c>
    </row>
    <row r="68">
      <c r="A68" s="22" t="n"/>
      <c r="B68" s="20" t="n"/>
      <c r="C68" s="20" t="n"/>
      <c r="D68" s="20">
        <f>IFERROR(INDEX(XPMenu!$A$2:$A$1000, MATCH(C68, XPMenu!$B$2:$B$1000, 0)), "")</f>
        <v/>
      </c>
      <c r="E68" s="20" t="n"/>
      <c r="F68" s="20" t="n"/>
      <c r="G68" s="20" t="n"/>
      <c r="H68" s="20" t="n"/>
      <c r="I68" s="20">
        <f>IFERROR(VLOOKUP(D68,XPMenu!$A:$F,2,FALSE),"")</f>
        <v/>
      </c>
      <c r="J68" s="20">
        <f>IFERROR(VLOOKUP(D68,XPMenu!$A:$F,3,FALSE),"")</f>
        <v/>
      </c>
      <c r="K68" s="20">
        <f>IFERROR(VLOOKUP(D68,XPMenu!$A:$F,4,FALSE),"")</f>
        <v/>
      </c>
      <c r="L68" s="20" t="n"/>
      <c r="M68" s="20">
        <f>IF(A68="","",IF(F68&lt;&gt;"Yes",0,IF(L68&lt;&gt;"",L68,E68*K68)))</f>
        <v/>
      </c>
      <c r="N68" s="20">
        <f>IF($A68="","",$A68-WEEKDAY($A68,2)+1)</f>
        <v/>
      </c>
      <c r="O68" s="20">
        <f>IF($A68="","",TEXT($A68,"yyyy-mm"))</f>
        <v/>
      </c>
      <c r="P68" s="21">
        <f>IF($A68="","",TEXT(YEAR($A68),"0000")&amp;"-Q"&amp;ROUNDUP(MONTH($A68)/3,0))</f>
        <v/>
      </c>
    </row>
    <row r="69">
      <c r="A69" s="22" t="n"/>
      <c r="B69" s="20" t="n"/>
      <c r="C69" s="20" t="n"/>
      <c r="D69" s="20">
        <f>IFERROR(INDEX(XPMenu!$A$2:$A$1000, MATCH(C69, XPMenu!$B$2:$B$1000, 0)), "")</f>
        <v/>
      </c>
      <c r="E69" s="20" t="n"/>
      <c r="F69" s="20" t="n"/>
      <c r="G69" s="20" t="n"/>
      <c r="H69" s="20" t="n"/>
      <c r="I69" s="20">
        <f>IFERROR(VLOOKUP(D69,XPMenu!$A:$F,2,FALSE),"")</f>
        <v/>
      </c>
      <c r="J69" s="20">
        <f>IFERROR(VLOOKUP(D69,XPMenu!$A:$F,3,FALSE),"")</f>
        <v/>
      </c>
      <c r="K69" s="20">
        <f>IFERROR(VLOOKUP(D69,XPMenu!$A:$F,4,FALSE),"")</f>
        <v/>
      </c>
      <c r="L69" s="20" t="n"/>
      <c r="M69" s="20">
        <f>IF(A69="","",IF(F69&lt;&gt;"Yes",0,IF(L69&lt;&gt;"",L69,E69*K69)))</f>
        <v/>
      </c>
      <c r="N69" s="20">
        <f>IF($A69="","",$A69-WEEKDAY($A69,2)+1)</f>
        <v/>
      </c>
      <c r="O69" s="20">
        <f>IF($A69="","",TEXT($A69,"yyyy-mm"))</f>
        <v/>
      </c>
      <c r="P69" s="21">
        <f>IF($A69="","",TEXT(YEAR($A69),"0000")&amp;"-Q"&amp;ROUNDUP(MONTH($A69)/3,0))</f>
        <v/>
      </c>
    </row>
    <row r="70">
      <c r="A70" s="22" t="n"/>
      <c r="B70" s="20" t="n"/>
      <c r="C70" s="20" t="n"/>
      <c r="D70" s="20">
        <f>IFERROR(INDEX(XPMenu!$A$2:$A$1000, MATCH(C70, XPMenu!$B$2:$B$1000, 0)), "")</f>
        <v/>
      </c>
      <c r="E70" s="20" t="n"/>
      <c r="F70" s="20" t="n"/>
      <c r="G70" s="20" t="n"/>
      <c r="H70" s="20" t="n"/>
      <c r="I70" s="20">
        <f>IFERROR(VLOOKUP(D70,XPMenu!$A:$F,2,FALSE),"")</f>
        <v/>
      </c>
      <c r="J70" s="20">
        <f>IFERROR(VLOOKUP(D70,XPMenu!$A:$F,3,FALSE),"")</f>
        <v/>
      </c>
      <c r="K70" s="20">
        <f>IFERROR(VLOOKUP(D70,XPMenu!$A:$F,4,FALSE),"")</f>
        <v/>
      </c>
      <c r="L70" s="20" t="n"/>
      <c r="M70" s="20">
        <f>IF(A70="","",IF(F70&lt;&gt;"Yes",0,IF(L70&lt;&gt;"",L70,E70*K70)))</f>
        <v/>
      </c>
      <c r="N70" s="20">
        <f>IF($A70="","",$A70-WEEKDAY($A70,2)+1)</f>
        <v/>
      </c>
      <c r="O70" s="20">
        <f>IF($A70="","",TEXT($A70,"yyyy-mm"))</f>
        <v/>
      </c>
      <c r="P70" s="21">
        <f>IF($A70="","",TEXT(YEAR($A70),"0000")&amp;"-Q"&amp;ROUNDUP(MONTH($A70)/3,0))</f>
        <v/>
      </c>
    </row>
    <row r="71">
      <c r="A71" s="22" t="n"/>
      <c r="B71" s="20" t="n"/>
      <c r="C71" s="20" t="n"/>
      <c r="D71" s="20">
        <f>IFERROR(INDEX(XPMenu!$A$2:$A$1000, MATCH(C71, XPMenu!$B$2:$B$1000, 0)), "")</f>
        <v/>
      </c>
      <c r="E71" s="20" t="n"/>
      <c r="F71" s="20" t="n"/>
      <c r="G71" s="20" t="n"/>
      <c r="H71" s="20" t="n"/>
      <c r="I71" s="20">
        <f>IFERROR(VLOOKUP(D71,XPMenu!$A:$F,2,FALSE),"")</f>
        <v/>
      </c>
      <c r="J71" s="20">
        <f>IFERROR(VLOOKUP(D71,XPMenu!$A:$F,3,FALSE),"")</f>
        <v/>
      </c>
      <c r="K71" s="20">
        <f>IFERROR(VLOOKUP(D71,XPMenu!$A:$F,4,FALSE),"")</f>
        <v/>
      </c>
      <c r="L71" s="20" t="n"/>
      <c r="M71" s="20">
        <f>IF(A71="","",IF(F71&lt;&gt;"Yes",0,IF(L71&lt;&gt;"",L71,E71*K71)))</f>
        <v/>
      </c>
      <c r="N71" s="20">
        <f>IF($A71="","",$A71-WEEKDAY($A71,2)+1)</f>
        <v/>
      </c>
      <c r="O71" s="20">
        <f>IF($A71="","",TEXT($A71,"yyyy-mm"))</f>
        <v/>
      </c>
      <c r="P71" s="21">
        <f>IF($A71="","",TEXT(YEAR($A71),"0000")&amp;"-Q"&amp;ROUNDUP(MONTH($A71)/3,0))</f>
        <v/>
      </c>
    </row>
    <row r="72">
      <c r="A72" s="22" t="n"/>
      <c r="B72" s="20" t="n"/>
      <c r="C72" s="20" t="n"/>
      <c r="D72" s="20">
        <f>IFERROR(INDEX(XPMenu!$A$2:$A$1000, MATCH(C72, XPMenu!$B$2:$B$1000, 0)), "")</f>
        <v/>
      </c>
      <c r="E72" s="20" t="n"/>
      <c r="F72" s="20" t="n"/>
      <c r="G72" s="20" t="n"/>
      <c r="H72" s="20" t="n"/>
      <c r="I72" s="20">
        <f>IFERROR(VLOOKUP(D72,XPMenu!$A:$F,2,FALSE),"")</f>
        <v/>
      </c>
      <c r="J72" s="20">
        <f>IFERROR(VLOOKUP(D72,XPMenu!$A:$F,3,FALSE),"")</f>
        <v/>
      </c>
      <c r="K72" s="20">
        <f>IFERROR(VLOOKUP(D72,XPMenu!$A:$F,4,FALSE),"")</f>
        <v/>
      </c>
      <c r="L72" s="20" t="n"/>
      <c r="M72" s="20">
        <f>IF(A72="","",IF(F72&lt;&gt;"Yes",0,IF(L72&lt;&gt;"",L72,E72*K72)))</f>
        <v/>
      </c>
      <c r="N72" s="20">
        <f>IF($A72="","",$A72-WEEKDAY($A72,2)+1)</f>
        <v/>
      </c>
      <c r="O72" s="20">
        <f>IF($A72="","",TEXT($A72,"yyyy-mm"))</f>
        <v/>
      </c>
      <c r="P72" s="21">
        <f>IF($A72="","",TEXT(YEAR($A72),"0000")&amp;"-Q"&amp;ROUNDUP(MONTH($A72)/3,0))</f>
        <v/>
      </c>
    </row>
    <row r="73">
      <c r="A73" s="22" t="n"/>
      <c r="B73" s="20" t="n"/>
      <c r="C73" s="20" t="n"/>
      <c r="D73" s="20">
        <f>IFERROR(INDEX(XPMenu!$A$2:$A$1000, MATCH(C73, XPMenu!$B$2:$B$1000, 0)), "")</f>
        <v/>
      </c>
      <c r="E73" s="20" t="n"/>
      <c r="F73" s="20" t="n"/>
      <c r="G73" s="20" t="n"/>
      <c r="H73" s="20" t="n"/>
      <c r="I73" s="20">
        <f>IFERROR(VLOOKUP(D73,XPMenu!$A:$F,2,FALSE),"")</f>
        <v/>
      </c>
      <c r="J73" s="20">
        <f>IFERROR(VLOOKUP(D73,XPMenu!$A:$F,3,FALSE),"")</f>
        <v/>
      </c>
      <c r="K73" s="20">
        <f>IFERROR(VLOOKUP(D73,XPMenu!$A:$F,4,FALSE),"")</f>
        <v/>
      </c>
      <c r="L73" s="20" t="n"/>
      <c r="M73" s="20">
        <f>IF(A73="","",IF(F73&lt;&gt;"Yes",0,IF(L73&lt;&gt;"",L73,E73*K73)))</f>
        <v/>
      </c>
      <c r="N73" s="20">
        <f>IF($A73="","",$A73-WEEKDAY($A73,2)+1)</f>
        <v/>
      </c>
      <c r="O73" s="20">
        <f>IF($A73="","",TEXT($A73,"yyyy-mm"))</f>
        <v/>
      </c>
      <c r="P73" s="21">
        <f>IF($A73="","",TEXT(YEAR($A73),"0000")&amp;"-Q"&amp;ROUNDUP(MONTH($A73)/3,0))</f>
        <v/>
      </c>
    </row>
    <row r="74">
      <c r="A74" s="22" t="n"/>
      <c r="B74" s="20" t="n"/>
      <c r="C74" s="20" t="n"/>
      <c r="D74" s="20">
        <f>IFERROR(INDEX(XPMenu!$A$2:$A$1000, MATCH(C74, XPMenu!$B$2:$B$1000, 0)), "")</f>
        <v/>
      </c>
      <c r="E74" s="20" t="n"/>
      <c r="F74" s="20" t="n"/>
      <c r="G74" s="20" t="n"/>
      <c r="H74" s="20" t="n"/>
      <c r="I74" s="20">
        <f>IFERROR(VLOOKUP(D74,XPMenu!$A:$F,2,FALSE),"")</f>
        <v/>
      </c>
      <c r="J74" s="20">
        <f>IFERROR(VLOOKUP(D74,XPMenu!$A:$F,3,FALSE),"")</f>
        <v/>
      </c>
      <c r="K74" s="20">
        <f>IFERROR(VLOOKUP(D74,XPMenu!$A:$F,4,FALSE),"")</f>
        <v/>
      </c>
      <c r="L74" s="20" t="n"/>
      <c r="M74" s="20">
        <f>IF(A74="","",IF(F74&lt;&gt;"Yes",0,IF(L74&lt;&gt;"",L74,E74*K74)))</f>
        <v/>
      </c>
      <c r="N74" s="20">
        <f>IF($A74="","",$A74-WEEKDAY($A74,2)+1)</f>
        <v/>
      </c>
      <c r="O74" s="20">
        <f>IF($A74="","",TEXT($A74,"yyyy-mm"))</f>
        <v/>
      </c>
      <c r="P74" s="21">
        <f>IF($A74="","",TEXT(YEAR($A74),"0000")&amp;"-Q"&amp;ROUNDUP(MONTH($A74)/3,0))</f>
        <v/>
      </c>
    </row>
    <row r="75">
      <c r="A75" s="22" t="n"/>
      <c r="B75" s="20" t="n"/>
      <c r="C75" s="20" t="n"/>
      <c r="D75" s="20">
        <f>IFERROR(INDEX(XPMenu!$A$2:$A$1000, MATCH(C75, XPMenu!$B$2:$B$1000, 0)), "")</f>
        <v/>
      </c>
      <c r="E75" s="20" t="n"/>
      <c r="F75" s="20" t="n"/>
      <c r="G75" s="20" t="n"/>
      <c r="H75" s="20" t="n"/>
      <c r="I75" s="20">
        <f>IFERROR(VLOOKUP(D75,XPMenu!$A:$F,2,FALSE),"")</f>
        <v/>
      </c>
      <c r="J75" s="20">
        <f>IFERROR(VLOOKUP(D75,XPMenu!$A:$F,3,FALSE),"")</f>
        <v/>
      </c>
      <c r="K75" s="20">
        <f>IFERROR(VLOOKUP(D75,XPMenu!$A:$F,4,FALSE),"")</f>
        <v/>
      </c>
      <c r="L75" s="20" t="n"/>
      <c r="M75" s="20">
        <f>IF(A75="","",IF(F75&lt;&gt;"Yes",0,IF(L75&lt;&gt;"",L75,E75*K75)))</f>
        <v/>
      </c>
      <c r="N75" s="20">
        <f>IF($A75="","",$A75-WEEKDAY($A75,2)+1)</f>
        <v/>
      </c>
      <c r="O75" s="20">
        <f>IF($A75="","",TEXT($A75,"yyyy-mm"))</f>
        <v/>
      </c>
      <c r="P75" s="21">
        <f>IF($A75="","",TEXT(YEAR($A75),"0000")&amp;"-Q"&amp;ROUNDUP(MONTH($A75)/3,0))</f>
        <v/>
      </c>
    </row>
    <row r="76">
      <c r="A76" s="22" t="n"/>
      <c r="B76" s="20" t="n"/>
      <c r="C76" s="20" t="n"/>
      <c r="D76" s="20">
        <f>IFERROR(INDEX(XPMenu!$A$2:$A$1000, MATCH(C76, XPMenu!$B$2:$B$1000, 0)), "")</f>
        <v/>
      </c>
      <c r="E76" s="20" t="n"/>
      <c r="F76" s="20" t="n"/>
      <c r="G76" s="20" t="n"/>
      <c r="H76" s="20" t="n"/>
      <c r="I76" s="20">
        <f>IFERROR(VLOOKUP(D76,XPMenu!$A:$F,2,FALSE),"")</f>
        <v/>
      </c>
      <c r="J76" s="20">
        <f>IFERROR(VLOOKUP(D76,XPMenu!$A:$F,3,FALSE),"")</f>
        <v/>
      </c>
      <c r="K76" s="20">
        <f>IFERROR(VLOOKUP(D76,XPMenu!$A:$F,4,FALSE),"")</f>
        <v/>
      </c>
      <c r="L76" s="20" t="n"/>
      <c r="M76" s="20">
        <f>IF(A76="","",IF(F76&lt;&gt;"Yes",0,IF(L76&lt;&gt;"",L76,E76*K76)))</f>
        <v/>
      </c>
      <c r="N76" s="20">
        <f>IF($A76="","",$A76-WEEKDAY($A76,2)+1)</f>
        <v/>
      </c>
      <c r="O76" s="20">
        <f>IF($A76="","",TEXT($A76,"yyyy-mm"))</f>
        <v/>
      </c>
      <c r="P76" s="21">
        <f>IF($A76="","",TEXT(YEAR($A76),"0000")&amp;"-Q"&amp;ROUNDUP(MONTH($A76)/3,0))</f>
        <v/>
      </c>
    </row>
    <row r="77">
      <c r="A77" s="22" t="n"/>
      <c r="B77" s="20" t="n"/>
      <c r="C77" s="20" t="n"/>
      <c r="D77" s="20">
        <f>IFERROR(INDEX(XPMenu!$A$2:$A$1000, MATCH(C77, XPMenu!$B$2:$B$1000, 0)), "")</f>
        <v/>
      </c>
      <c r="E77" s="20" t="n"/>
      <c r="F77" s="20" t="n"/>
      <c r="G77" s="20" t="n"/>
      <c r="H77" s="20" t="n"/>
      <c r="I77" s="20">
        <f>IFERROR(VLOOKUP(D77,XPMenu!$A:$F,2,FALSE),"")</f>
        <v/>
      </c>
      <c r="J77" s="20">
        <f>IFERROR(VLOOKUP(D77,XPMenu!$A:$F,3,FALSE),"")</f>
        <v/>
      </c>
      <c r="K77" s="20">
        <f>IFERROR(VLOOKUP(D77,XPMenu!$A:$F,4,FALSE),"")</f>
        <v/>
      </c>
      <c r="L77" s="20" t="n"/>
      <c r="M77" s="20">
        <f>IF(A77="","",IF(F77&lt;&gt;"Yes",0,IF(L77&lt;&gt;"",L77,E77*K77)))</f>
        <v/>
      </c>
      <c r="N77" s="20">
        <f>IF($A77="","",$A77-WEEKDAY($A77,2)+1)</f>
        <v/>
      </c>
      <c r="O77" s="20">
        <f>IF($A77="","",TEXT($A77,"yyyy-mm"))</f>
        <v/>
      </c>
      <c r="P77" s="21">
        <f>IF($A77="","",TEXT(YEAR($A77),"0000")&amp;"-Q"&amp;ROUNDUP(MONTH($A77)/3,0))</f>
        <v/>
      </c>
    </row>
    <row r="78">
      <c r="A78" s="22" t="n"/>
      <c r="B78" s="20" t="n"/>
      <c r="C78" s="20" t="n"/>
      <c r="D78" s="20">
        <f>IFERROR(INDEX(XPMenu!$A$2:$A$1000, MATCH(C78, XPMenu!$B$2:$B$1000, 0)), "")</f>
        <v/>
      </c>
      <c r="E78" s="20" t="n"/>
      <c r="F78" s="20" t="n"/>
      <c r="G78" s="20" t="n"/>
      <c r="H78" s="20" t="n"/>
      <c r="I78" s="20">
        <f>IFERROR(VLOOKUP(D78,XPMenu!$A:$F,2,FALSE),"")</f>
        <v/>
      </c>
      <c r="J78" s="20">
        <f>IFERROR(VLOOKUP(D78,XPMenu!$A:$F,3,FALSE),"")</f>
        <v/>
      </c>
      <c r="K78" s="20">
        <f>IFERROR(VLOOKUP(D78,XPMenu!$A:$F,4,FALSE),"")</f>
        <v/>
      </c>
      <c r="L78" s="20" t="n"/>
      <c r="M78" s="20">
        <f>IF(A78="","",IF(F78&lt;&gt;"Yes",0,IF(L78&lt;&gt;"",L78,E78*K78)))</f>
        <v/>
      </c>
      <c r="N78" s="20">
        <f>IF($A78="","",$A78-WEEKDAY($A78,2)+1)</f>
        <v/>
      </c>
      <c r="O78" s="20">
        <f>IF($A78="","",TEXT($A78,"yyyy-mm"))</f>
        <v/>
      </c>
      <c r="P78" s="21">
        <f>IF($A78="","",TEXT(YEAR($A78),"0000")&amp;"-Q"&amp;ROUNDUP(MONTH($A78)/3,0))</f>
        <v/>
      </c>
    </row>
    <row r="79">
      <c r="A79" s="22" t="n"/>
      <c r="B79" s="20" t="n"/>
      <c r="C79" s="20" t="n"/>
      <c r="D79" s="20">
        <f>IFERROR(INDEX(XPMenu!$A$2:$A$1000, MATCH(C79, XPMenu!$B$2:$B$1000, 0)), "")</f>
        <v/>
      </c>
      <c r="E79" s="20" t="n"/>
      <c r="F79" s="20" t="n"/>
      <c r="G79" s="20" t="n"/>
      <c r="H79" s="20" t="n"/>
      <c r="I79" s="20">
        <f>IFERROR(VLOOKUP(D79,XPMenu!$A:$F,2,FALSE),"")</f>
        <v/>
      </c>
      <c r="J79" s="20">
        <f>IFERROR(VLOOKUP(D79,XPMenu!$A:$F,3,FALSE),"")</f>
        <v/>
      </c>
      <c r="K79" s="20">
        <f>IFERROR(VLOOKUP(D79,XPMenu!$A:$F,4,FALSE),"")</f>
        <v/>
      </c>
      <c r="L79" s="20" t="n"/>
      <c r="M79" s="20">
        <f>IF(A79="","",IF(F79&lt;&gt;"Yes",0,IF(L79&lt;&gt;"",L79,E79*K79)))</f>
        <v/>
      </c>
      <c r="N79" s="20">
        <f>IF($A79="","",$A79-WEEKDAY($A79,2)+1)</f>
        <v/>
      </c>
      <c r="O79" s="20">
        <f>IF($A79="","",TEXT($A79,"yyyy-mm"))</f>
        <v/>
      </c>
      <c r="P79" s="21">
        <f>IF($A79="","",TEXT(YEAR($A79),"0000")&amp;"-Q"&amp;ROUNDUP(MONTH($A79)/3,0))</f>
        <v/>
      </c>
    </row>
    <row r="80">
      <c r="A80" s="22" t="n"/>
      <c r="B80" s="20" t="n"/>
      <c r="C80" s="20" t="n"/>
      <c r="D80" s="20">
        <f>IFERROR(INDEX(XPMenu!$A$2:$A$1000, MATCH(C80, XPMenu!$B$2:$B$1000, 0)), "")</f>
        <v/>
      </c>
      <c r="E80" s="20" t="n"/>
      <c r="F80" s="20" t="n"/>
      <c r="G80" s="20" t="n"/>
      <c r="H80" s="20" t="n"/>
      <c r="I80" s="20">
        <f>IFERROR(VLOOKUP(D80,XPMenu!$A:$F,2,FALSE),"")</f>
        <v/>
      </c>
      <c r="J80" s="20">
        <f>IFERROR(VLOOKUP(D80,XPMenu!$A:$F,3,FALSE),"")</f>
        <v/>
      </c>
      <c r="K80" s="20">
        <f>IFERROR(VLOOKUP(D80,XPMenu!$A:$F,4,FALSE),"")</f>
        <v/>
      </c>
      <c r="L80" s="20" t="n"/>
      <c r="M80" s="20">
        <f>IF(A80="","",IF(F80&lt;&gt;"Yes",0,IF(L80&lt;&gt;"",L80,E80*K80)))</f>
        <v/>
      </c>
      <c r="N80" s="20">
        <f>IF($A80="","",$A80-WEEKDAY($A80,2)+1)</f>
        <v/>
      </c>
      <c r="O80" s="20">
        <f>IF($A80="","",TEXT($A80,"yyyy-mm"))</f>
        <v/>
      </c>
      <c r="P80" s="21">
        <f>IF($A80="","",TEXT(YEAR($A80),"0000")&amp;"-Q"&amp;ROUNDUP(MONTH($A80)/3,0))</f>
        <v/>
      </c>
    </row>
    <row r="81">
      <c r="A81" s="22" t="n"/>
      <c r="B81" s="20" t="n"/>
      <c r="C81" s="20" t="n"/>
      <c r="D81" s="20">
        <f>IFERROR(INDEX(XPMenu!$A$2:$A$1000, MATCH(C81, XPMenu!$B$2:$B$1000, 0)), "")</f>
        <v/>
      </c>
      <c r="E81" s="20" t="n"/>
      <c r="F81" s="20" t="n"/>
      <c r="G81" s="20" t="n"/>
      <c r="H81" s="20" t="n"/>
      <c r="I81" s="20">
        <f>IFERROR(VLOOKUP(D81,XPMenu!$A:$F,2,FALSE),"")</f>
        <v/>
      </c>
      <c r="J81" s="20">
        <f>IFERROR(VLOOKUP(D81,XPMenu!$A:$F,3,FALSE),"")</f>
        <v/>
      </c>
      <c r="K81" s="20">
        <f>IFERROR(VLOOKUP(D81,XPMenu!$A:$F,4,FALSE),"")</f>
        <v/>
      </c>
      <c r="L81" s="20" t="n"/>
      <c r="M81" s="20">
        <f>IF(A81="","",IF(F81&lt;&gt;"Yes",0,IF(L81&lt;&gt;"",L81,E81*K81)))</f>
        <v/>
      </c>
      <c r="N81" s="20">
        <f>IF($A81="","",$A81-WEEKDAY($A81,2)+1)</f>
        <v/>
      </c>
      <c r="O81" s="20">
        <f>IF($A81="","",TEXT($A81,"yyyy-mm"))</f>
        <v/>
      </c>
      <c r="P81" s="21">
        <f>IF($A81="","",TEXT(YEAR($A81),"0000")&amp;"-Q"&amp;ROUNDUP(MONTH($A81)/3,0))</f>
        <v/>
      </c>
    </row>
    <row r="82">
      <c r="A82" s="22" t="n"/>
      <c r="B82" s="20" t="n"/>
      <c r="C82" s="20" t="n"/>
      <c r="D82" s="20">
        <f>IFERROR(INDEX(XPMenu!$A$2:$A$1000, MATCH(C82, XPMenu!$B$2:$B$1000, 0)), "")</f>
        <v/>
      </c>
      <c r="E82" s="20" t="n"/>
      <c r="F82" s="20" t="n"/>
      <c r="G82" s="20" t="n"/>
      <c r="H82" s="20" t="n"/>
      <c r="I82" s="20">
        <f>IFERROR(VLOOKUP(D82,XPMenu!$A:$F,2,FALSE),"")</f>
        <v/>
      </c>
      <c r="J82" s="20">
        <f>IFERROR(VLOOKUP(D82,XPMenu!$A:$F,3,FALSE),"")</f>
        <v/>
      </c>
      <c r="K82" s="20">
        <f>IFERROR(VLOOKUP(D82,XPMenu!$A:$F,4,FALSE),"")</f>
        <v/>
      </c>
      <c r="L82" s="20" t="n"/>
      <c r="M82" s="20">
        <f>IF(A82="","",IF(F82&lt;&gt;"Yes",0,IF(L82&lt;&gt;"",L82,E82*K82)))</f>
        <v/>
      </c>
      <c r="N82" s="20">
        <f>IF($A82="","",$A82-WEEKDAY($A82,2)+1)</f>
        <v/>
      </c>
      <c r="O82" s="20">
        <f>IF($A82="","",TEXT($A82,"yyyy-mm"))</f>
        <v/>
      </c>
      <c r="P82" s="21">
        <f>IF($A82="","",TEXT(YEAR($A82),"0000")&amp;"-Q"&amp;ROUNDUP(MONTH($A82)/3,0))</f>
        <v/>
      </c>
    </row>
    <row r="83">
      <c r="A83" s="22" t="n"/>
      <c r="B83" s="20" t="n"/>
      <c r="C83" s="20" t="n"/>
      <c r="D83" s="20">
        <f>IFERROR(INDEX(XPMenu!$A$2:$A$1000, MATCH(C83, XPMenu!$B$2:$B$1000, 0)), "")</f>
        <v/>
      </c>
      <c r="E83" s="20" t="n"/>
      <c r="F83" s="20" t="n"/>
      <c r="G83" s="20" t="n"/>
      <c r="H83" s="20" t="n"/>
      <c r="I83" s="20">
        <f>IFERROR(VLOOKUP(D83,XPMenu!$A:$F,2,FALSE),"")</f>
        <v/>
      </c>
      <c r="J83" s="20">
        <f>IFERROR(VLOOKUP(D83,XPMenu!$A:$F,3,FALSE),"")</f>
        <v/>
      </c>
      <c r="K83" s="20">
        <f>IFERROR(VLOOKUP(D83,XPMenu!$A:$F,4,FALSE),"")</f>
        <v/>
      </c>
      <c r="L83" s="20" t="n"/>
      <c r="M83" s="20">
        <f>IF(A83="","",IF(F83&lt;&gt;"Yes",0,IF(L83&lt;&gt;"",L83,E83*K83)))</f>
        <v/>
      </c>
      <c r="N83" s="20">
        <f>IF($A83="","",$A83-WEEKDAY($A83,2)+1)</f>
        <v/>
      </c>
      <c r="O83" s="20">
        <f>IF($A83="","",TEXT($A83,"yyyy-mm"))</f>
        <v/>
      </c>
      <c r="P83" s="21">
        <f>IF($A83="","",TEXT(YEAR($A83),"0000")&amp;"-Q"&amp;ROUNDUP(MONTH($A83)/3,0))</f>
        <v/>
      </c>
    </row>
    <row r="84">
      <c r="A84" s="22" t="n"/>
      <c r="B84" s="20" t="n"/>
      <c r="C84" s="20" t="n"/>
      <c r="D84" s="20">
        <f>IFERROR(INDEX(XPMenu!$A$2:$A$1000, MATCH(C84, XPMenu!$B$2:$B$1000, 0)), "")</f>
        <v/>
      </c>
      <c r="E84" s="20" t="n"/>
      <c r="F84" s="20" t="n"/>
      <c r="G84" s="20" t="n"/>
      <c r="H84" s="20" t="n"/>
      <c r="I84" s="20">
        <f>IFERROR(VLOOKUP(D84,XPMenu!$A:$F,2,FALSE),"")</f>
        <v/>
      </c>
      <c r="J84" s="20">
        <f>IFERROR(VLOOKUP(D84,XPMenu!$A:$F,3,FALSE),"")</f>
        <v/>
      </c>
      <c r="K84" s="20">
        <f>IFERROR(VLOOKUP(D84,XPMenu!$A:$F,4,FALSE),"")</f>
        <v/>
      </c>
      <c r="L84" s="20" t="n"/>
      <c r="M84" s="20">
        <f>IF(A84="","",IF(F84&lt;&gt;"Yes",0,IF(L84&lt;&gt;"",L84,E84*K84)))</f>
        <v/>
      </c>
      <c r="N84" s="20">
        <f>IF($A84="","",$A84-WEEKDAY($A84,2)+1)</f>
        <v/>
      </c>
      <c r="O84" s="20">
        <f>IF($A84="","",TEXT($A84,"yyyy-mm"))</f>
        <v/>
      </c>
      <c r="P84" s="21">
        <f>IF($A84="","",TEXT(YEAR($A84),"0000")&amp;"-Q"&amp;ROUNDUP(MONTH($A84)/3,0))</f>
        <v/>
      </c>
    </row>
    <row r="85">
      <c r="A85" s="22" t="n"/>
      <c r="B85" s="20" t="n"/>
      <c r="C85" s="20" t="n"/>
      <c r="D85" s="20">
        <f>IFERROR(INDEX(XPMenu!$A$2:$A$1000, MATCH(C85, XPMenu!$B$2:$B$1000, 0)), "")</f>
        <v/>
      </c>
      <c r="E85" s="20" t="n"/>
      <c r="F85" s="20" t="n"/>
      <c r="G85" s="20" t="n"/>
      <c r="H85" s="20" t="n"/>
      <c r="I85" s="20">
        <f>IFERROR(VLOOKUP(D85,XPMenu!$A:$F,2,FALSE),"")</f>
        <v/>
      </c>
      <c r="J85" s="20">
        <f>IFERROR(VLOOKUP(D85,XPMenu!$A:$F,3,FALSE),"")</f>
        <v/>
      </c>
      <c r="K85" s="20">
        <f>IFERROR(VLOOKUP(D85,XPMenu!$A:$F,4,FALSE),"")</f>
        <v/>
      </c>
      <c r="L85" s="20" t="n"/>
      <c r="M85" s="20">
        <f>IF(A85="","",IF(F85&lt;&gt;"Yes",0,IF(L85&lt;&gt;"",L85,E85*K85)))</f>
        <v/>
      </c>
      <c r="N85" s="20">
        <f>IF($A85="","",$A85-WEEKDAY($A85,2)+1)</f>
        <v/>
      </c>
      <c r="O85" s="20">
        <f>IF($A85="","",TEXT($A85,"yyyy-mm"))</f>
        <v/>
      </c>
      <c r="P85" s="21">
        <f>IF($A85="","",TEXT(YEAR($A85),"0000")&amp;"-Q"&amp;ROUNDUP(MONTH($A85)/3,0))</f>
        <v/>
      </c>
    </row>
    <row r="86">
      <c r="A86" s="22" t="n"/>
      <c r="B86" s="20" t="n"/>
      <c r="C86" s="20" t="n"/>
      <c r="D86" s="20">
        <f>IFERROR(INDEX(XPMenu!$A$2:$A$1000, MATCH(C86, XPMenu!$B$2:$B$1000, 0)), "")</f>
        <v/>
      </c>
      <c r="E86" s="20" t="n"/>
      <c r="F86" s="20" t="n"/>
      <c r="G86" s="20" t="n"/>
      <c r="H86" s="20" t="n"/>
      <c r="I86" s="20">
        <f>IFERROR(VLOOKUP(D86,XPMenu!$A:$F,2,FALSE),"")</f>
        <v/>
      </c>
      <c r="J86" s="20">
        <f>IFERROR(VLOOKUP(D86,XPMenu!$A:$F,3,FALSE),"")</f>
        <v/>
      </c>
      <c r="K86" s="20">
        <f>IFERROR(VLOOKUP(D86,XPMenu!$A:$F,4,FALSE),"")</f>
        <v/>
      </c>
      <c r="L86" s="20" t="n"/>
      <c r="M86" s="20">
        <f>IF(A86="","",IF(F86&lt;&gt;"Yes",0,IF(L86&lt;&gt;"",L86,E86*K86)))</f>
        <v/>
      </c>
      <c r="N86" s="20">
        <f>IF($A86="","",$A86-WEEKDAY($A86,2)+1)</f>
        <v/>
      </c>
      <c r="O86" s="20">
        <f>IF($A86="","",TEXT($A86,"yyyy-mm"))</f>
        <v/>
      </c>
      <c r="P86" s="21">
        <f>IF($A86="","",TEXT(YEAR($A86),"0000")&amp;"-Q"&amp;ROUNDUP(MONTH($A86)/3,0))</f>
        <v/>
      </c>
    </row>
    <row r="87">
      <c r="A87" s="22" t="n"/>
      <c r="B87" s="20" t="n"/>
      <c r="C87" s="20" t="n"/>
      <c r="D87" s="20">
        <f>IFERROR(INDEX(XPMenu!$A$2:$A$1000, MATCH(C87, XPMenu!$B$2:$B$1000, 0)), "")</f>
        <v/>
      </c>
      <c r="E87" s="20" t="n"/>
      <c r="F87" s="20" t="n"/>
      <c r="G87" s="20" t="n"/>
      <c r="H87" s="20" t="n"/>
      <c r="I87" s="20">
        <f>IFERROR(VLOOKUP(D87,XPMenu!$A:$F,2,FALSE),"")</f>
        <v/>
      </c>
      <c r="J87" s="20">
        <f>IFERROR(VLOOKUP(D87,XPMenu!$A:$F,3,FALSE),"")</f>
        <v/>
      </c>
      <c r="K87" s="20">
        <f>IFERROR(VLOOKUP(D87,XPMenu!$A:$F,4,FALSE),"")</f>
        <v/>
      </c>
      <c r="L87" s="20" t="n"/>
      <c r="M87" s="20">
        <f>IF(A87="","",IF(F87&lt;&gt;"Yes",0,IF(L87&lt;&gt;"",L87,E87*K87)))</f>
        <v/>
      </c>
      <c r="N87" s="20">
        <f>IF($A87="","",$A87-WEEKDAY($A87,2)+1)</f>
        <v/>
      </c>
      <c r="O87" s="20">
        <f>IF($A87="","",TEXT($A87,"yyyy-mm"))</f>
        <v/>
      </c>
      <c r="P87" s="21">
        <f>IF($A87="","",TEXT(YEAR($A87),"0000")&amp;"-Q"&amp;ROUNDUP(MONTH($A87)/3,0))</f>
        <v/>
      </c>
    </row>
    <row r="88">
      <c r="A88" s="22" t="n"/>
      <c r="B88" s="20" t="n"/>
      <c r="C88" s="20" t="n"/>
      <c r="D88" s="20">
        <f>IFERROR(INDEX(XPMenu!$A$2:$A$1000, MATCH(C88, XPMenu!$B$2:$B$1000, 0)), "")</f>
        <v/>
      </c>
      <c r="E88" s="20" t="n"/>
      <c r="F88" s="20" t="n"/>
      <c r="G88" s="20" t="n"/>
      <c r="H88" s="20" t="n"/>
      <c r="I88" s="20">
        <f>IFERROR(VLOOKUP(D88,XPMenu!$A:$F,2,FALSE),"")</f>
        <v/>
      </c>
      <c r="J88" s="20">
        <f>IFERROR(VLOOKUP(D88,XPMenu!$A:$F,3,FALSE),"")</f>
        <v/>
      </c>
      <c r="K88" s="20">
        <f>IFERROR(VLOOKUP(D88,XPMenu!$A:$F,4,FALSE),"")</f>
        <v/>
      </c>
      <c r="L88" s="20" t="n"/>
      <c r="M88" s="20">
        <f>IF(A88="","",IF(F88&lt;&gt;"Yes",0,IF(L88&lt;&gt;"",L88,E88*K88)))</f>
        <v/>
      </c>
      <c r="N88" s="20">
        <f>IF($A88="","",$A88-WEEKDAY($A88,2)+1)</f>
        <v/>
      </c>
      <c r="O88" s="20">
        <f>IF($A88="","",TEXT($A88,"yyyy-mm"))</f>
        <v/>
      </c>
      <c r="P88" s="21">
        <f>IF($A88="","",TEXT(YEAR($A88),"0000")&amp;"-Q"&amp;ROUNDUP(MONTH($A88)/3,0))</f>
        <v/>
      </c>
    </row>
    <row r="89">
      <c r="A89" s="22" t="n"/>
      <c r="B89" s="20" t="n"/>
      <c r="C89" s="20" t="n"/>
      <c r="D89" s="20">
        <f>IFERROR(INDEX(XPMenu!$A$2:$A$1000, MATCH(C89, XPMenu!$B$2:$B$1000, 0)), "")</f>
        <v/>
      </c>
      <c r="E89" s="20" t="n"/>
      <c r="F89" s="20" t="n"/>
      <c r="G89" s="20" t="n"/>
      <c r="H89" s="20" t="n"/>
      <c r="I89" s="20">
        <f>IFERROR(VLOOKUP(D89,XPMenu!$A:$F,2,FALSE),"")</f>
        <v/>
      </c>
      <c r="J89" s="20">
        <f>IFERROR(VLOOKUP(D89,XPMenu!$A:$F,3,FALSE),"")</f>
        <v/>
      </c>
      <c r="K89" s="20">
        <f>IFERROR(VLOOKUP(D89,XPMenu!$A:$F,4,FALSE),"")</f>
        <v/>
      </c>
      <c r="L89" s="20" t="n"/>
      <c r="M89" s="20">
        <f>IF(A89="","",IF(F89&lt;&gt;"Yes",0,IF(L89&lt;&gt;"",L89,E89*K89)))</f>
        <v/>
      </c>
      <c r="N89" s="20">
        <f>IF($A89="","",$A89-WEEKDAY($A89,2)+1)</f>
        <v/>
      </c>
      <c r="O89" s="20">
        <f>IF($A89="","",TEXT($A89,"yyyy-mm"))</f>
        <v/>
      </c>
      <c r="P89" s="21">
        <f>IF($A89="","",TEXT(YEAR($A89),"0000")&amp;"-Q"&amp;ROUNDUP(MONTH($A89)/3,0))</f>
        <v/>
      </c>
    </row>
    <row r="90">
      <c r="A90" s="22" t="n"/>
      <c r="B90" s="20" t="n"/>
      <c r="C90" s="20" t="n"/>
      <c r="D90" s="20">
        <f>IFERROR(INDEX(XPMenu!$A$2:$A$1000, MATCH(C90, XPMenu!$B$2:$B$1000, 0)), "")</f>
        <v/>
      </c>
      <c r="E90" s="20" t="n"/>
      <c r="F90" s="20" t="n"/>
      <c r="G90" s="20" t="n"/>
      <c r="H90" s="20" t="n"/>
      <c r="I90" s="20">
        <f>IFERROR(VLOOKUP(D90,XPMenu!$A:$F,2,FALSE),"")</f>
        <v/>
      </c>
      <c r="J90" s="20">
        <f>IFERROR(VLOOKUP(D90,XPMenu!$A:$F,3,FALSE),"")</f>
        <v/>
      </c>
      <c r="K90" s="20">
        <f>IFERROR(VLOOKUP(D90,XPMenu!$A:$F,4,FALSE),"")</f>
        <v/>
      </c>
      <c r="L90" s="20" t="n"/>
      <c r="M90" s="20">
        <f>IF(A90="","",IF(F90&lt;&gt;"Yes",0,IF(L90&lt;&gt;"",L90,E90*K90)))</f>
        <v/>
      </c>
      <c r="N90" s="20">
        <f>IF($A90="","",$A90-WEEKDAY($A90,2)+1)</f>
        <v/>
      </c>
      <c r="O90" s="20">
        <f>IF($A90="","",TEXT($A90,"yyyy-mm"))</f>
        <v/>
      </c>
      <c r="P90" s="21">
        <f>IF($A90="","",TEXT(YEAR($A90),"0000")&amp;"-Q"&amp;ROUNDUP(MONTH($A90)/3,0))</f>
        <v/>
      </c>
    </row>
    <row r="91">
      <c r="A91" s="22" t="n"/>
      <c r="B91" s="20" t="n"/>
      <c r="C91" s="20" t="n"/>
      <c r="D91" s="20">
        <f>IFERROR(INDEX(XPMenu!$A$2:$A$1000, MATCH(C91, XPMenu!$B$2:$B$1000, 0)), "")</f>
        <v/>
      </c>
      <c r="E91" s="20" t="n"/>
      <c r="F91" s="20" t="n"/>
      <c r="G91" s="20" t="n"/>
      <c r="H91" s="20" t="n"/>
      <c r="I91" s="20">
        <f>IFERROR(VLOOKUP(D91,XPMenu!$A:$F,2,FALSE),"")</f>
        <v/>
      </c>
      <c r="J91" s="20">
        <f>IFERROR(VLOOKUP(D91,XPMenu!$A:$F,3,FALSE),"")</f>
        <v/>
      </c>
      <c r="K91" s="20">
        <f>IFERROR(VLOOKUP(D91,XPMenu!$A:$F,4,FALSE),"")</f>
        <v/>
      </c>
      <c r="L91" s="20" t="n"/>
      <c r="M91" s="20">
        <f>IF(A91="","",IF(F91&lt;&gt;"Yes",0,IF(L91&lt;&gt;"",L91,E91*K91)))</f>
        <v/>
      </c>
      <c r="N91" s="20">
        <f>IF($A91="","",$A91-WEEKDAY($A91,2)+1)</f>
        <v/>
      </c>
      <c r="O91" s="20">
        <f>IF($A91="","",TEXT($A91,"yyyy-mm"))</f>
        <v/>
      </c>
      <c r="P91" s="21">
        <f>IF($A91="","",TEXT(YEAR($A91),"0000")&amp;"-Q"&amp;ROUNDUP(MONTH($A91)/3,0))</f>
        <v/>
      </c>
    </row>
    <row r="92">
      <c r="A92" s="22" t="n"/>
      <c r="B92" s="20" t="n"/>
      <c r="C92" s="20" t="n"/>
      <c r="D92" s="20">
        <f>IFERROR(INDEX(XPMenu!$A$2:$A$1000, MATCH(C92, XPMenu!$B$2:$B$1000, 0)), "")</f>
        <v/>
      </c>
      <c r="E92" s="20" t="n"/>
      <c r="F92" s="20" t="n"/>
      <c r="G92" s="20" t="n"/>
      <c r="H92" s="20" t="n"/>
      <c r="I92" s="20">
        <f>IFERROR(VLOOKUP(D92,XPMenu!$A:$F,2,FALSE),"")</f>
        <v/>
      </c>
      <c r="J92" s="20">
        <f>IFERROR(VLOOKUP(D92,XPMenu!$A:$F,3,FALSE),"")</f>
        <v/>
      </c>
      <c r="K92" s="20">
        <f>IFERROR(VLOOKUP(D92,XPMenu!$A:$F,4,FALSE),"")</f>
        <v/>
      </c>
      <c r="L92" s="20" t="n"/>
      <c r="M92" s="20">
        <f>IF(A92="","",IF(F92&lt;&gt;"Yes",0,IF(L92&lt;&gt;"",L92,E92*K92)))</f>
        <v/>
      </c>
      <c r="N92" s="20">
        <f>IF($A92="","",$A92-WEEKDAY($A92,2)+1)</f>
        <v/>
      </c>
      <c r="O92" s="20">
        <f>IF($A92="","",TEXT($A92,"yyyy-mm"))</f>
        <v/>
      </c>
      <c r="P92" s="21">
        <f>IF($A92="","",TEXT(YEAR($A92),"0000")&amp;"-Q"&amp;ROUNDUP(MONTH($A92)/3,0))</f>
        <v/>
      </c>
    </row>
    <row r="93">
      <c r="A93" s="22" t="n"/>
      <c r="B93" s="20" t="n"/>
      <c r="C93" s="20" t="n"/>
      <c r="D93" s="20">
        <f>IFERROR(INDEX(XPMenu!$A$2:$A$1000, MATCH(C93, XPMenu!$B$2:$B$1000, 0)), "")</f>
        <v/>
      </c>
      <c r="E93" s="20" t="n"/>
      <c r="F93" s="20" t="n"/>
      <c r="G93" s="20" t="n"/>
      <c r="H93" s="20" t="n"/>
      <c r="I93" s="20">
        <f>IFERROR(VLOOKUP(D93,XPMenu!$A:$F,2,FALSE),"")</f>
        <v/>
      </c>
      <c r="J93" s="20">
        <f>IFERROR(VLOOKUP(D93,XPMenu!$A:$F,3,FALSE),"")</f>
        <v/>
      </c>
      <c r="K93" s="20">
        <f>IFERROR(VLOOKUP(D93,XPMenu!$A:$F,4,FALSE),"")</f>
        <v/>
      </c>
      <c r="L93" s="20" t="n"/>
      <c r="M93" s="20">
        <f>IF(A93="","",IF(F93&lt;&gt;"Yes",0,IF(L93&lt;&gt;"",L93,E93*K93)))</f>
        <v/>
      </c>
      <c r="N93" s="20">
        <f>IF($A93="","",$A93-WEEKDAY($A93,2)+1)</f>
        <v/>
      </c>
      <c r="O93" s="20">
        <f>IF($A93="","",TEXT($A93,"yyyy-mm"))</f>
        <v/>
      </c>
      <c r="P93" s="21">
        <f>IF($A93="","",TEXT(YEAR($A93),"0000")&amp;"-Q"&amp;ROUNDUP(MONTH($A93)/3,0))</f>
        <v/>
      </c>
    </row>
    <row r="94">
      <c r="A94" s="22" t="n"/>
      <c r="B94" s="20" t="n"/>
      <c r="C94" s="20" t="n"/>
      <c r="D94" s="20">
        <f>IFERROR(INDEX(XPMenu!$A$2:$A$1000, MATCH(C94, XPMenu!$B$2:$B$1000, 0)), "")</f>
        <v/>
      </c>
      <c r="E94" s="20" t="n"/>
      <c r="F94" s="20" t="n"/>
      <c r="G94" s="20" t="n"/>
      <c r="H94" s="20" t="n"/>
      <c r="I94" s="20">
        <f>IFERROR(VLOOKUP(D94,XPMenu!$A:$F,2,FALSE),"")</f>
        <v/>
      </c>
      <c r="J94" s="20">
        <f>IFERROR(VLOOKUP(D94,XPMenu!$A:$F,3,FALSE),"")</f>
        <v/>
      </c>
      <c r="K94" s="20">
        <f>IFERROR(VLOOKUP(D94,XPMenu!$A:$F,4,FALSE),"")</f>
        <v/>
      </c>
      <c r="L94" s="20" t="n"/>
      <c r="M94" s="20">
        <f>IF(A94="","",IF(F94&lt;&gt;"Yes",0,IF(L94&lt;&gt;"",L94,E94*K94)))</f>
        <v/>
      </c>
      <c r="N94" s="20">
        <f>IF($A94="","",$A94-WEEKDAY($A94,2)+1)</f>
        <v/>
      </c>
      <c r="O94" s="20">
        <f>IF($A94="","",TEXT($A94,"yyyy-mm"))</f>
        <v/>
      </c>
      <c r="P94" s="21">
        <f>IF($A94="","",TEXT(YEAR($A94),"0000")&amp;"-Q"&amp;ROUNDUP(MONTH($A94)/3,0))</f>
        <v/>
      </c>
    </row>
    <row r="95">
      <c r="A95" s="22" t="n"/>
      <c r="B95" s="20" t="n"/>
      <c r="C95" s="20" t="n"/>
      <c r="D95" s="20">
        <f>IFERROR(INDEX(XPMenu!$A$2:$A$1000, MATCH(C95, XPMenu!$B$2:$B$1000, 0)), "")</f>
        <v/>
      </c>
      <c r="E95" s="20" t="n"/>
      <c r="F95" s="20" t="n"/>
      <c r="G95" s="20" t="n"/>
      <c r="H95" s="20" t="n"/>
      <c r="I95" s="20">
        <f>IFERROR(VLOOKUP(D95,XPMenu!$A:$F,2,FALSE),"")</f>
        <v/>
      </c>
      <c r="J95" s="20">
        <f>IFERROR(VLOOKUP(D95,XPMenu!$A:$F,3,FALSE),"")</f>
        <v/>
      </c>
      <c r="K95" s="20">
        <f>IFERROR(VLOOKUP(D95,XPMenu!$A:$F,4,FALSE),"")</f>
        <v/>
      </c>
      <c r="L95" s="20" t="n"/>
      <c r="M95" s="20">
        <f>IF(A95="","",IF(F95&lt;&gt;"Yes",0,IF(L95&lt;&gt;"",L95,E95*K95)))</f>
        <v/>
      </c>
      <c r="N95" s="20">
        <f>IF($A95="","",$A95-WEEKDAY($A95,2)+1)</f>
        <v/>
      </c>
      <c r="O95" s="20">
        <f>IF($A95="","",TEXT($A95,"yyyy-mm"))</f>
        <v/>
      </c>
      <c r="P95" s="21">
        <f>IF($A95="","",TEXT(YEAR($A95),"0000")&amp;"-Q"&amp;ROUNDUP(MONTH($A95)/3,0))</f>
        <v/>
      </c>
    </row>
    <row r="96">
      <c r="A96" s="22" t="n"/>
      <c r="B96" s="20" t="n"/>
      <c r="C96" s="20" t="n"/>
      <c r="D96" s="20">
        <f>IFERROR(INDEX(XPMenu!$A$2:$A$1000, MATCH(C96, XPMenu!$B$2:$B$1000, 0)), "")</f>
        <v/>
      </c>
      <c r="E96" s="20" t="n"/>
      <c r="F96" s="20" t="n"/>
      <c r="G96" s="20" t="n"/>
      <c r="H96" s="20" t="n"/>
      <c r="I96" s="20">
        <f>IFERROR(VLOOKUP(D96,XPMenu!$A:$F,2,FALSE),"")</f>
        <v/>
      </c>
      <c r="J96" s="20">
        <f>IFERROR(VLOOKUP(D96,XPMenu!$A:$F,3,FALSE),"")</f>
        <v/>
      </c>
      <c r="K96" s="20">
        <f>IFERROR(VLOOKUP(D96,XPMenu!$A:$F,4,FALSE),"")</f>
        <v/>
      </c>
      <c r="L96" s="20" t="n"/>
      <c r="M96" s="20">
        <f>IF(A96="","",IF(F96&lt;&gt;"Yes",0,IF(L96&lt;&gt;"",L96,E96*K96)))</f>
        <v/>
      </c>
      <c r="N96" s="20">
        <f>IF($A96="","",$A96-WEEKDAY($A96,2)+1)</f>
        <v/>
      </c>
      <c r="O96" s="20">
        <f>IF($A96="","",TEXT($A96,"yyyy-mm"))</f>
        <v/>
      </c>
      <c r="P96" s="21">
        <f>IF($A96="","",TEXT(YEAR($A96),"0000")&amp;"-Q"&amp;ROUNDUP(MONTH($A96)/3,0))</f>
        <v/>
      </c>
    </row>
    <row r="97">
      <c r="A97" s="22" t="n"/>
      <c r="B97" s="20" t="n"/>
      <c r="C97" s="20" t="n"/>
      <c r="D97" s="20">
        <f>IFERROR(INDEX(XPMenu!$A$2:$A$1000, MATCH(C97, XPMenu!$B$2:$B$1000, 0)), "")</f>
        <v/>
      </c>
      <c r="E97" s="20" t="n"/>
      <c r="F97" s="20" t="n"/>
      <c r="G97" s="20" t="n"/>
      <c r="H97" s="20" t="n"/>
      <c r="I97" s="20">
        <f>IFERROR(VLOOKUP(D97,XPMenu!$A:$F,2,FALSE),"")</f>
        <v/>
      </c>
      <c r="J97" s="20">
        <f>IFERROR(VLOOKUP(D97,XPMenu!$A:$F,3,FALSE),"")</f>
        <v/>
      </c>
      <c r="K97" s="20">
        <f>IFERROR(VLOOKUP(D97,XPMenu!$A:$F,4,FALSE),"")</f>
        <v/>
      </c>
      <c r="L97" s="20" t="n"/>
      <c r="M97" s="20">
        <f>IF(A97="","",IF(F97&lt;&gt;"Yes",0,IF(L97&lt;&gt;"",L97,E97*K97)))</f>
        <v/>
      </c>
      <c r="N97" s="20">
        <f>IF($A97="","",$A97-WEEKDAY($A97,2)+1)</f>
        <v/>
      </c>
      <c r="O97" s="20">
        <f>IF($A97="","",TEXT($A97,"yyyy-mm"))</f>
        <v/>
      </c>
      <c r="P97" s="21">
        <f>IF($A97="","",TEXT(YEAR($A97),"0000")&amp;"-Q"&amp;ROUNDUP(MONTH($A97)/3,0))</f>
        <v/>
      </c>
    </row>
    <row r="98">
      <c r="A98" s="22" t="n"/>
      <c r="B98" s="20" t="n"/>
      <c r="C98" s="20" t="n"/>
      <c r="D98" s="20">
        <f>IFERROR(INDEX(XPMenu!$A$2:$A$1000, MATCH(C98, XPMenu!$B$2:$B$1000, 0)), "")</f>
        <v/>
      </c>
      <c r="E98" s="20" t="n"/>
      <c r="F98" s="20" t="n"/>
      <c r="G98" s="20" t="n"/>
      <c r="H98" s="20" t="n"/>
      <c r="I98" s="20">
        <f>IFERROR(VLOOKUP(D98,XPMenu!$A:$F,2,FALSE),"")</f>
        <v/>
      </c>
      <c r="J98" s="20">
        <f>IFERROR(VLOOKUP(D98,XPMenu!$A:$F,3,FALSE),"")</f>
        <v/>
      </c>
      <c r="K98" s="20">
        <f>IFERROR(VLOOKUP(D98,XPMenu!$A:$F,4,FALSE),"")</f>
        <v/>
      </c>
      <c r="L98" s="20" t="n"/>
      <c r="M98" s="20">
        <f>IF(A98="","",IF(F98&lt;&gt;"Yes",0,IF(L98&lt;&gt;"",L98,E98*K98)))</f>
        <v/>
      </c>
      <c r="N98" s="20">
        <f>IF($A98="","",$A98-WEEKDAY($A98,2)+1)</f>
        <v/>
      </c>
      <c r="O98" s="20">
        <f>IF($A98="","",TEXT($A98,"yyyy-mm"))</f>
        <v/>
      </c>
      <c r="P98" s="21">
        <f>IF($A98="","",TEXT(YEAR($A98),"0000")&amp;"-Q"&amp;ROUNDUP(MONTH($A98)/3,0))</f>
        <v/>
      </c>
    </row>
    <row r="99">
      <c r="A99" s="22" t="n"/>
      <c r="B99" s="20" t="n"/>
      <c r="C99" s="20" t="n"/>
      <c r="D99" s="20">
        <f>IFERROR(INDEX(XPMenu!$A$2:$A$1000, MATCH(C99, XPMenu!$B$2:$B$1000, 0)), "")</f>
        <v/>
      </c>
      <c r="E99" s="20" t="n"/>
      <c r="F99" s="20" t="n"/>
      <c r="G99" s="20" t="n"/>
      <c r="H99" s="20" t="n"/>
      <c r="I99" s="20">
        <f>IFERROR(VLOOKUP(D99,XPMenu!$A:$F,2,FALSE),"")</f>
        <v/>
      </c>
      <c r="J99" s="20">
        <f>IFERROR(VLOOKUP(D99,XPMenu!$A:$F,3,FALSE),"")</f>
        <v/>
      </c>
      <c r="K99" s="20">
        <f>IFERROR(VLOOKUP(D99,XPMenu!$A:$F,4,FALSE),"")</f>
        <v/>
      </c>
      <c r="L99" s="20" t="n"/>
      <c r="M99" s="20">
        <f>IF(A99="","",IF(F99&lt;&gt;"Yes",0,IF(L99&lt;&gt;"",L99,E99*K99)))</f>
        <v/>
      </c>
      <c r="N99" s="20">
        <f>IF($A99="","",$A99-WEEKDAY($A99,2)+1)</f>
        <v/>
      </c>
      <c r="O99" s="20">
        <f>IF($A99="","",TEXT($A99,"yyyy-mm"))</f>
        <v/>
      </c>
      <c r="P99" s="21">
        <f>IF($A99="","",TEXT(YEAR($A99),"0000")&amp;"-Q"&amp;ROUNDUP(MONTH($A99)/3,0))</f>
        <v/>
      </c>
    </row>
    <row r="100">
      <c r="A100" s="22" t="n"/>
      <c r="B100" s="20" t="n"/>
      <c r="C100" s="20" t="n"/>
      <c r="D100" s="20">
        <f>IFERROR(INDEX(XPMenu!$A$2:$A$1000, MATCH(C100, XPMenu!$B$2:$B$1000, 0)), "")</f>
        <v/>
      </c>
      <c r="E100" s="20" t="n"/>
      <c r="F100" s="20" t="n"/>
      <c r="G100" s="20" t="n"/>
      <c r="H100" s="20" t="n"/>
      <c r="I100" s="20">
        <f>IFERROR(VLOOKUP(D100,XPMenu!$A:$F,2,FALSE),"")</f>
        <v/>
      </c>
      <c r="J100" s="20">
        <f>IFERROR(VLOOKUP(D100,XPMenu!$A:$F,3,FALSE),"")</f>
        <v/>
      </c>
      <c r="K100" s="20">
        <f>IFERROR(VLOOKUP(D100,XPMenu!$A:$F,4,FALSE),"")</f>
        <v/>
      </c>
      <c r="L100" s="20" t="n"/>
      <c r="M100" s="20">
        <f>IF(A100="","",IF(F100&lt;&gt;"Yes",0,IF(L100&lt;&gt;"",L100,E100*K100)))</f>
        <v/>
      </c>
      <c r="N100" s="20">
        <f>IF($A100="","",$A100-WEEKDAY($A100,2)+1)</f>
        <v/>
      </c>
      <c r="O100" s="20">
        <f>IF($A100="","",TEXT($A100,"yyyy-mm"))</f>
        <v/>
      </c>
      <c r="P100" s="21">
        <f>IF($A100="","",TEXT(YEAR($A100),"0000")&amp;"-Q"&amp;ROUNDUP(MONTH($A100)/3,0))</f>
        <v/>
      </c>
    </row>
    <row r="101">
      <c r="A101" s="22" t="n"/>
      <c r="B101" s="20" t="n"/>
      <c r="C101" s="20" t="n"/>
      <c r="D101" s="20">
        <f>IFERROR(INDEX(XPMenu!$A$2:$A$1000, MATCH(C101, XPMenu!$B$2:$B$1000, 0)), "")</f>
        <v/>
      </c>
      <c r="E101" s="20" t="n"/>
      <c r="F101" s="20" t="n"/>
      <c r="G101" s="20" t="n"/>
      <c r="H101" s="20" t="n"/>
      <c r="I101" s="20">
        <f>IFERROR(VLOOKUP(D101,XPMenu!$A:$F,2,FALSE),"")</f>
        <v/>
      </c>
      <c r="J101" s="20">
        <f>IFERROR(VLOOKUP(D101,XPMenu!$A:$F,3,FALSE),"")</f>
        <v/>
      </c>
      <c r="K101" s="20">
        <f>IFERROR(VLOOKUP(D101,XPMenu!$A:$F,4,FALSE),"")</f>
        <v/>
      </c>
      <c r="L101" s="20" t="n"/>
      <c r="M101" s="20">
        <f>IF(A101="","",IF(F101&lt;&gt;"Yes",0,IF(L101&lt;&gt;"",L101,E101*K101)))</f>
        <v/>
      </c>
      <c r="N101" s="20">
        <f>IF($A101="","",$A101-WEEKDAY($A101,2)+1)</f>
        <v/>
      </c>
      <c r="O101" s="20">
        <f>IF($A101="","",TEXT($A101,"yyyy-mm"))</f>
        <v/>
      </c>
      <c r="P101" s="21">
        <f>IF($A101="","",TEXT(YEAR($A101),"0000")&amp;"-Q"&amp;ROUNDUP(MONTH($A101)/3,0))</f>
        <v/>
      </c>
    </row>
    <row r="102">
      <c r="A102" s="22" t="n"/>
      <c r="B102" s="20" t="n"/>
      <c r="C102" s="20" t="n"/>
      <c r="D102" s="20">
        <f>IFERROR(INDEX(XPMenu!$A$2:$A$1000, MATCH(C102, XPMenu!$B$2:$B$1000, 0)), "")</f>
        <v/>
      </c>
      <c r="E102" s="20" t="n"/>
      <c r="F102" s="20" t="n"/>
      <c r="G102" s="20" t="n"/>
      <c r="H102" s="20" t="n"/>
      <c r="I102" s="20">
        <f>IFERROR(VLOOKUP(D102,XPMenu!$A:$F,2,FALSE),"")</f>
        <v/>
      </c>
      <c r="J102" s="20">
        <f>IFERROR(VLOOKUP(D102,XPMenu!$A:$F,3,FALSE),"")</f>
        <v/>
      </c>
      <c r="K102" s="20">
        <f>IFERROR(VLOOKUP(D102,XPMenu!$A:$F,4,FALSE),"")</f>
        <v/>
      </c>
      <c r="L102" s="20" t="n"/>
      <c r="M102" s="20">
        <f>IF(A102="","",IF(F102&lt;&gt;"Yes",0,IF(L102&lt;&gt;"",L102,E102*K102)))</f>
        <v/>
      </c>
      <c r="N102" s="20">
        <f>IF($A102="","",$A102-WEEKDAY($A102,2)+1)</f>
        <v/>
      </c>
      <c r="O102" s="20">
        <f>IF($A102="","",TEXT($A102,"yyyy-mm"))</f>
        <v/>
      </c>
      <c r="P102" s="21">
        <f>IF($A102="","",TEXT(YEAR($A102),"0000")&amp;"-Q"&amp;ROUNDUP(MONTH($A102)/3,0))</f>
        <v/>
      </c>
    </row>
    <row r="103">
      <c r="A103" s="22" t="n"/>
      <c r="B103" s="20" t="n"/>
      <c r="C103" s="20" t="n"/>
      <c r="D103" s="20">
        <f>IFERROR(INDEX(XPMenu!$A$2:$A$1000, MATCH(C103, XPMenu!$B$2:$B$1000, 0)), "")</f>
        <v/>
      </c>
      <c r="E103" s="20" t="n"/>
      <c r="F103" s="20" t="n"/>
      <c r="G103" s="20" t="n"/>
      <c r="H103" s="20" t="n"/>
      <c r="I103" s="20">
        <f>IFERROR(VLOOKUP(D103,XPMenu!$A:$F,2,FALSE),"")</f>
        <v/>
      </c>
      <c r="J103" s="20">
        <f>IFERROR(VLOOKUP(D103,XPMenu!$A:$F,3,FALSE),"")</f>
        <v/>
      </c>
      <c r="K103" s="20">
        <f>IFERROR(VLOOKUP(D103,XPMenu!$A:$F,4,FALSE),"")</f>
        <v/>
      </c>
      <c r="L103" s="20" t="n"/>
      <c r="M103" s="20">
        <f>IF(A103="","",IF(F103&lt;&gt;"Yes",0,IF(L103&lt;&gt;"",L103,E103*K103)))</f>
        <v/>
      </c>
      <c r="N103" s="20">
        <f>IF($A103="","",$A103-WEEKDAY($A103,2)+1)</f>
        <v/>
      </c>
      <c r="O103" s="20">
        <f>IF($A103="","",TEXT($A103,"yyyy-mm"))</f>
        <v/>
      </c>
      <c r="P103" s="21">
        <f>IF($A103="","",TEXT(YEAR($A103),"0000")&amp;"-Q"&amp;ROUNDUP(MONTH($A103)/3,0))</f>
        <v/>
      </c>
    </row>
    <row r="104">
      <c r="A104" s="22" t="n"/>
      <c r="B104" s="20" t="n"/>
      <c r="C104" s="20" t="n"/>
      <c r="D104" s="20">
        <f>IFERROR(INDEX(XPMenu!$A$2:$A$1000, MATCH(C104, XPMenu!$B$2:$B$1000, 0)), "")</f>
        <v/>
      </c>
      <c r="E104" s="20" t="n"/>
      <c r="F104" s="20" t="n"/>
      <c r="G104" s="20" t="n"/>
      <c r="H104" s="20" t="n"/>
      <c r="I104" s="20">
        <f>IFERROR(VLOOKUP(D104,XPMenu!$A:$F,2,FALSE),"")</f>
        <v/>
      </c>
      <c r="J104" s="20">
        <f>IFERROR(VLOOKUP(D104,XPMenu!$A:$F,3,FALSE),"")</f>
        <v/>
      </c>
      <c r="K104" s="20">
        <f>IFERROR(VLOOKUP(D104,XPMenu!$A:$F,4,FALSE),"")</f>
        <v/>
      </c>
      <c r="L104" s="20" t="n"/>
      <c r="M104" s="20">
        <f>IF(A104="","",IF(F104&lt;&gt;"Yes",0,IF(L104&lt;&gt;"",L104,E104*K104)))</f>
        <v/>
      </c>
      <c r="N104" s="20">
        <f>IF($A104="","",$A104-WEEKDAY($A104,2)+1)</f>
        <v/>
      </c>
      <c r="O104" s="20">
        <f>IF($A104="","",TEXT($A104,"yyyy-mm"))</f>
        <v/>
      </c>
      <c r="P104" s="21">
        <f>IF($A104="","",TEXT(YEAR($A104),"0000")&amp;"-Q"&amp;ROUNDUP(MONTH($A104)/3,0))</f>
        <v/>
      </c>
    </row>
    <row r="105">
      <c r="A105" s="22" t="n"/>
      <c r="B105" s="20" t="n"/>
      <c r="C105" s="20" t="n"/>
      <c r="D105" s="20">
        <f>IFERROR(INDEX(XPMenu!$A$2:$A$1000, MATCH(C105, XPMenu!$B$2:$B$1000, 0)), "")</f>
        <v/>
      </c>
      <c r="E105" s="20" t="n"/>
      <c r="F105" s="20" t="n"/>
      <c r="G105" s="20" t="n"/>
      <c r="H105" s="20" t="n"/>
      <c r="I105" s="20">
        <f>IFERROR(VLOOKUP(D105,XPMenu!$A:$F,2,FALSE),"")</f>
        <v/>
      </c>
      <c r="J105" s="20">
        <f>IFERROR(VLOOKUP(D105,XPMenu!$A:$F,3,FALSE),"")</f>
        <v/>
      </c>
      <c r="K105" s="20">
        <f>IFERROR(VLOOKUP(D105,XPMenu!$A:$F,4,FALSE),"")</f>
        <v/>
      </c>
      <c r="L105" s="20" t="n"/>
      <c r="M105" s="20">
        <f>IF(A105="","",IF(F105&lt;&gt;"Yes",0,IF(L105&lt;&gt;"",L105,E105*K105)))</f>
        <v/>
      </c>
      <c r="N105" s="20">
        <f>IF($A105="","",$A105-WEEKDAY($A105,2)+1)</f>
        <v/>
      </c>
      <c r="O105" s="20">
        <f>IF($A105="","",TEXT($A105,"yyyy-mm"))</f>
        <v/>
      </c>
      <c r="P105" s="21">
        <f>IF($A105="","",TEXT(YEAR($A105),"0000")&amp;"-Q"&amp;ROUNDUP(MONTH($A105)/3,0))</f>
        <v/>
      </c>
    </row>
    <row r="106">
      <c r="A106" s="22" t="n"/>
      <c r="B106" s="20" t="n"/>
      <c r="C106" s="20" t="n"/>
      <c r="D106" s="20">
        <f>IFERROR(INDEX(XPMenu!$A$2:$A$1000, MATCH(C106, XPMenu!$B$2:$B$1000, 0)), "")</f>
        <v/>
      </c>
      <c r="E106" s="20" t="n"/>
      <c r="F106" s="20" t="n"/>
      <c r="G106" s="20" t="n"/>
      <c r="H106" s="20" t="n"/>
      <c r="I106" s="20">
        <f>IFERROR(VLOOKUP(D106,XPMenu!$A:$F,2,FALSE),"")</f>
        <v/>
      </c>
      <c r="J106" s="20">
        <f>IFERROR(VLOOKUP(D106,XPMenu!$A:$F,3,FALSE),"")</f>
        <v/>
      </c>
      <c r="K106" s="20">
        <f>IFERROR(VLOOKUP(D106,XPMenu!$A:$F,4,FALSE),"")</f>
        <v/>
      </c>
      <c r="L106" s="20" t="n"/>
      <c r="M106" s="20">
        <f>IF(A106="","",IF(F106&lt;&gt;"Yes",0,IF(L106&lt;&gt;"",L106,E106*K106)))</f>
        <v/>
      </c>
      <c r="N106" s="20">
        <f>IF($A106="","",$A106-WEEKDAY($A106,2)+1)</f>
        <v/>
      </c>
      <c r="O106" s="20">
        <f>IF($A106="","",TEXT($A106,"yyyy-mm"))</f>
        <v/>
      </c>
      <c r="P106" s="21">
        <f>IF($A106="","",TEXT(YEAR($A106),"0000")&amp;"-Q"&amp;ROUNDUP(MONTH($A106)/3,0))</f>
        <v/>
      </c>
    </row>
    <row r="107">
      <c r="A107" s="22" t="n"/>
      <c r="B107" s="20" t="n"/>
      <c r="C107" s="20" t="n"/>
      <c r="D107" s="20">
        <f>IFERROR(INDEX(XPMenu!$A$2:$A$1000, MATCH(C107, XPMenu!$B$2:$B$1000, 0)), "")</f>
        <v/>
      </c>
      <c r="E107" s="20" t="n"/>
      <c r="F107" s="20" t="n"/>
      <c r="G107" s="20" t="n"/>
      <c r="H107" s="20" t="n"/>
      <c r="I107" s="20">
        <f>IFERROR(VLOOKUP(D107,XPMenu!$A:$F,2,FALSE),"")</f>
        <v/>
      </c>
      <c r="J107" s="20">
        <f>IFERROR(VLOOKUP(D107,XPMenu!$A:$F,3,FALSE),"")</f>
        <v/>
      </c>
      <c r="K107" s="20">
        <f>IFERROR(VLOOKUP(D107,XPMenu!$A:$F,4,FALSE),"")</f>
        <v/>
      </c>
      <c r="L107" s="20" t="n"/>
      <c r="M107" s="20">
        <f>IF(A107="","",IF(F107&lt;&gt;"Yes",0,IF(L107&lt;&gt;"",L107,E107*K107)))</f>
        <v/>
      </c>
      <c r="N107" s="20">
        <f>IF($A107="","",$A107-WEEKDAY($A107,2)+1)</f>
        <v/>
      </c>
      <c r="O107" s="20">
        <f>IF($A107="","",TEXT($A107,"yyyy-mm"))</f>
        <v/>
      </c>
      <c r="P107" s="21">
        <f>IF($A107="","",TEXT(YEAR($A107),"0000")&amp;"-Q"&amp;ROUNDUP(MONTH($A107)/3,0))</f>
        <v/>
      </c>
    </row>
    <row r="108">
      <c r="A108" s="22" t="n"/>
      <c r="B108" s="20" t="n"/>
      <c r="C108" s="20" t="n"/>
      <c r="D108" s="20">
        <f>IFERROR(INDEX(XPMenu!$A$2:$A$1000, MATCH(C108, XPMenu!$B$2:$B$1000, 0)), "")</f>
        <v/>
      </c>
      <c r="E108" s="20" t="n"/>
      <c r="F108" s="20" t="n"/>
      <c r="G108" s="20" t="n"/>
      <c r="H108" s="20" t="n"/>
      <c r="I108" s="20">
        <f>IFERROR(VLOOKUP(D108,XPMenu!$A:$F,2,FALSE),"")</f>
        <v/>
      </c>
      <c r="J108" s="20">
        <f>IFERROR(VLOOKUP(D108,XPMenu!$A:$F,3,FALSE),"")</f>
        <v/>
      </c>
      <c r="K108" s="20">
        <f>IFERROR(VLOOKUP(D108,XPMenu!$A:$F,4,FALSE),"")</f>
        <v/>
      </c>
      <c r="L108" s="20" t="n"/>
      <c r="M108" s="20">
        <f>IF(A108="","",IF(F108&lt;&gt;"Yes",0,IF(L108&lt;&gt;"",L108,E108*K108)))</f>
        <v/>
      </c>
      <c r="N108" s="20">
        <f>IF($A108="","",$A108-WEEKDAY($A108,2)+1)</f>
        <v/>
      </c>
      <c r="O108" s="20">
        <f>IF($A108="","",TEXT($A108,"yyyy-mm"))</f>
        <v/>
      </c>
      <c r="P108" s="21">
        <f>IF($A108="","",TEXT(YEAR($A108),"0000")&amp;"-Q"&amp;ROUNDUP(MONTH($A108)/3,0))</f>
        <v/>
      </c>
    </row>
    <row r="109">
      <c r="A109" s="22" t="n"/>
      <c r="B109" s="20" t="n"/>
      <c r="C109" s="20" t="n"/>
      <c r="D109" s="20">
        <f>IFERROR(INDEX(XPMenu!$A$2:$A$1000, MATCH(C109, XPMenu!$B$2:$B$1000, 0)), "")</f>
        <v/>
      </c>
      <c r="E109" s="20" t="n"/>
      <c r="F109" s="20" t="n"/>
      <c r="G109" s="20" t="n"/>
      <c r="H109" s="20" t="n"/>
      <c r="I109" s="20">
        <f>IFERROR(VLOOKUP(D109,XPMenu!$A:$F,2,FALSE),"")</f>
        <v/>
      </c>
      <c r="J109" s="20">
        <f>IFERROR(VLOOKUP(D109,XPMenu!$A:$F,3,FALSE),"")</f>
        <v/>
      </c>
      <c r="K109" s="20">
        <f>IFERROR(VLOOKUP(D109,XPMenu!$A:$F,4,FALSE),"")</f>
        <v/>
      </c>
      <c r="L109" s="20" t="n"/>
      <c r="M109" s="20">
        <f>IF(A109="","",IF(F109&lt;&gt;"Yes",0,IF(L109&lt;&gt;"",L109,E109*K109)))</f>
        <v/>
      </c>
      <c r="N109" s="20">
        <f>IF($A109="","",$A109-WEEKDAY($A109,2)+1)</f>
        <v/>
      </c>
      <c r="O109" s="20">
        <f>IF($A109="","",TEXT($A109,"yyyy-mm"))</f>
        <v/>
      </c>
      <c r="P109" s="21">
        <f>IF($A109="","",TEXT(YEAR($A109),"0000")&amp;"-Q"&amp;ROUNDUP(MONTH($A109)/3,0))</f>
        <v/>
      </c>
    </row>
    <row r="110">
      <c r="A110" s="22" t="n"/>
      <c r="B110" s="20" t="n"/>
      <c r="C110" s="20" t="n"/>
      <c r="D110" s="20">
        <f>IFERROR(INDEX(XPMenu!$A$2:$A$1000, MATCH(C110, XPMenu!$B$2:$B$1000, 0)), "")</f>
        <v/>
      </c>
      <c r="E110" s="20" t="n"/>
      <c r="F110" s="20" t="n"/>
      <c r="G110" s="20" t="n"/>
      <c r="H110" s="20" t="n"/>
      <c r="I110" s="20">
        <f>IFERROR(VLOOKUP(D110,XPMenu!$A:$F,2,FALSE),"")</f>
        <v/>
      </c>
      <c r="J110" s="20">
        <f>IFERROR(VLOOKUP(D110,XPMenu!$A:$F,3,FALSE),"")</f>
        <v/>
      </c>
      <c r="K110" s="20">
        <f>IFERROR(VLOOKUP(D110,XPMenu!$A:$F,4,FALSE),"")</f>
        <v/>
      </c>
      <c r="L110" s="20" t="n"/>
      <c r="M110" s="20">
        <f>IF(A110="","",IF(F110&lt;&gt;"Yes",0,IF(L110&lt;&gt;"",L110,E110*K110)))</f>
        <v/>
      </c>
      <c r="N110" s="20">
        <f>IF($A110="","",$A110-WEEKDAY($A110,2)+1)</f>
        <v/>
      </c>
      <c r="O110" s="20">
        <f>IF($A110="","",TEXT($A110,"yyyy-mm"))</f>
        <v/>
      </c>
      <c r="P110" s="21">
        <f>IF($A110="","",TEXT(YEAR($A110),"0000")&amp;"-Q"&amp;ROUNDUP(MONTH($A110)/3,0))</f>
        <v/>
      </c>
    </row>
    <row r="111">
      <c r="A111" s="22" t="n"/>
      <c r="B111" s="20" t="n"/>
      <c r="C111" s="20" t="n"/>
      <c r="D111" s="20">
        <f>IFERROR(INDEX(XPMenu!$A$2:$A$1000, MATCH(C111, XPMenu!$B$2:$B$1000, 0)), "")</f>
        <v/>
      </c>
      <c r="E111" s="20" t="n"/>
      <c r="F111" s="20" t="n"/>
      <c r="G111" s="20" t="n"/>
      <c r="H111" s="20" t="n"/>
      <c r="I111" s="20">
        <f>IFERROR(VLOOKUP(D111,XPMenu!$A:$F,2,FALSE),"")</f>
        <v/>
      </c>
      <c r="J111" s="20">
        <f>IFERROR(VLOOKUP(D111,XPMenu!$A:$F,3,FALSE),"")</f>
        <v/>
      </c>
      <c r="K111" s="20">
        <f>IFERROR(VLOOKUP(D111,XPMenu!$A:$F,4,FALSE),"")</f>
        <v/>
      </c>
      <c r="L111" s="20" t="n"/>
      <c r="M111" s="20">
        <f>IF(A111="","",IF(F111&lt;&gt;"Yes",0,IF(L111&lt;&gt;"",L111,E111*K111)))</f>
        <v/>
      </c>
      <c r="N111" s="20">
        <f>IF($A111="","",$A111-WEEKDAY($A111,2)+1)</f>
        <v/>
      </c>
      <c r="O111" s="20">
        <f>IF($A111="","",TEXT($A111,"yyyy-mm"))</f>
        <v/>
      </c>
      <c r="P111" s="21">
        <f>IF($A111="","",TEXT(YEAR($A111),"0000")&amp;"-Q"&amp;ROUNDUP(MONTH($A111)/3,0))</f>
        <v/>
      </c>
    </row>
    <row r="112">
      <c r="A112" s="22" t="n"/>
      <c r="B112" s="20" t="n"/>
      <c r="C112" s="20" t="n"/>
      <c r="D112" s="20">
        <f>IFERROR(INDEX(XPMenu!$A$2:$A$1000, MATCH(C112, XPMenu!$B$2:$B$1000, 0)), "")</f>
        <v/>
      </c>
      <c r="E112" s="20" t="n"/>
      <c r="F112" s="20" t="n"/>
      <c r="G112" s="20" t="n"/>
      <c r="H112" s="20" t="n"/>
      <c r="I112" s="20">
        <f>IFERROR(VLOOKUP(D112,XPMenu!$A:$F,2,FALSE),"")</f>
        <v/>
      </c>
      <c r="J112" s="20">
        <f>IFERROR(VLOOKUP(D112,XPMenu!$A:$F,3,FALSE),"")</f>
        <v/>
      </c>
      <c r="K112" s="20">
        <f>IFERROR(VLOOKUP(D112,XPMenu!$A:$F,4,FALSE),"")</f>
        <v/>
      </c>
      <c r="L112" s="20" t="n"/>
      <c r="M112" s="20">
        <f>IF(A112="","",IF(F112&lt;&gt;"Yes",0,IF(L112&lt;&gt;"",L112,E112*K112)))</f>
        <v/>
      </c>
      <c r="N112" s="20">
        <f>IF($A112="","",$A112-WEEKDAY($A112,2)+1)</f>
        <v/>
      </c>
      <c r="O112" s="20">
        <f>IF($A112="","",TEXT($A112,"yyyy-mm"))</f>
        <v/>
      </c>
      <c r="P112" s="21">
        <f>IF($A112="","",TEXT(YEAR($A112),"0000")&amp;"-Q"&amp;ROUNDUP(MONTH($A112)/3,0))</f>
        <v/>
      </c>
    </row>
    <row r="113">
      <c r="A113" s="22" t="n"/>
      <c r="B113" s="20" t="n"/>
      <c r="C113" s="20" t="n"/>
      <c r="D113" s="20">
        <f>IFERROR(INDEX(XPMenu!$A$2:$A$1000, MATCH(C113, XPMenu!$B$2:$B$1000, 0)), "")</f>
        <v/>
      </c>
      <c r="E113" s="20" t="n"/>
      <c r="F113" s="20" t="n"/>
      <c r="G113" s="20" t="n"/>
      <c r="H113" s="20" t="n"/>
      <c r="I113" s="20">
        <f>IFERROR(VLOOKUP(D113,XPMenu!$A:$F,2,FALSE),"")</f>
        <v/>
      </c>
      <c r="J113" s="20">
        <f>IFERROR(VLOOKUP(D113,XPMenu!$A:$F,3,FALSE),"")</f>
        <v/>
      </c>
      <c r="K113" s="20">
        <f>IFERROR(VLOOKUP(D113,XPMenu!$A:$F,4,FALSE),"")</f>
        <v/>
      </c>
      <c r="L113" s="20" t="n"/>
      <c r="M113" s="20">
        <f>IF(A113="","",IF(F113&lt;&gt;"Yes",0,IF(L113&lt;&gt;"",L113,E113*K113)))</f>
        <v/>
      </c>
      <c r="N113" s="20">
        <f>IF($A113="","",$A113-WEEKDAY($A113,2)+1)</f>
        <v/>
      </c>
      <c r="O113" s="20">
        <f>IF($A113="","",TEXT($A113,"yyyy-mm"))</f>
        <v/>
      </c>
      <c r="P113" s="21">
        <f>IF($A113="","",TEXT(YEAR($A113),"0000")&amp;"-Q"&amp;ROUNDUP(MONTH($A113)/3,0))</f>
        <v/>
      </c>
    </row>
    <row r="114">
      <c r="A114" s="22" t="n"/>
      <c r="B114" s="20" t="n"/>
      <c r="C114" s="20" t="n"/>
      <c r="D114" s="20">
        <f>IFERROR(INDEX(XPMenu!$A$2:$A$1000, MATCH(C114, XPMenu!$B$2:$B$1000, 0)), "")</f>
        <v/>
      </c>
      <c r="E114" s="20" t="n"/>
      <c r="F114" s="20" t="n"/>
      <c r="G114" s="20" t="n"/>
      <c r="H114" s="20" t="n"/>
      <c r="I114" s="20">
        <f>IFERROR(VLOOKUP(D114,XPMenu!$A:$F,2,FALSE),"")</f>
        <v/>
      </c>
      <c r="J114" s="20">
        <f>IFERROR(VLOOKUP(D114,XPMenu!$A:$F,3,FALSE),"")</f>
        <v/>
      </c>
      <c r="K114" s="20">
        <f>IFERROR(VLOOKUP(D114,XPMenu!$A:$F,4,FALSE),"")</f>
        <v/>
      </c>
      <c r="L114" s="20" t="n"/>
      <c r="M114" s="20">
        <f>IF(A114="","",IF(F114&lt;&gt;"Yes",0,IF(L114&lt;&gt;"",L114,E114*K114)))</f>
        <v/>
      </c>
      <c r="N114" s="20">
        <f>IF($A114="","",$A114-WEEKDAY($A114,2)+1)</f>
        <v/>
      </c>
      <c r="O114" s="20">
        <f>IF($A114="","",TEXT($A114,"yyyy-mm"))</f>
        <v/>
      </c>
      <c r="P114" s="21">
        <f>IF($A114="","",TEXT(YEAR($A114),"0000")&amp;"-Q"&amp;ROUNDUP(MONTH($A114)/3,0))</f>
        <v/>
      </c>
    </row>
    <row r="115">
      <c r="A115" s="22" t="n"/>
      <c r="B115" s="20" t="n"/>
      <c r="C115" s="20" t="n"/>
      <c r="D115" s="20">
        <f>IFERROR(INDEX(XPMenu!$A$2:$A$1000, MATCH(C115, XPMenu!$B$2:$B$1000, 0)), "")</f>
        <v/>
      </c>
      <c r="E115" s="20" t="n"/>
      <c r="F115" s="20" t="n"/>
      <c r="G115" s="20" t="n"/>
      <c r="H115" s="20" t="n"/>
      <c r="I115" s="20">
        <f>IFERROR(VLOOKUP(D115,XPMenu!$A:$F,2,FALSE),"")</f>
        <v/>
      </c>
      <c r="J115" s="20">
        <f>IFERROR(VLOOKUP(D115,XPMenu!$A:$F,3,FALSE),"")</f>
        <v/>
      </c>
      <c r="K115" s="20">
        <f>IFERROR(VLOOKUP(D115,XPMenu!$A:$F,4,FALSE),"")</f>
        <v/>
      </c>
      <c r="L115" s="20" t="n"/>
      <c r="M115" s="20">
        <f>IF(A115="","",IF(F115&lt;&gt;"Yes",0,IF(L115&lt;&gt;"",L115,E115*K115)))</f>
        <v/>
      </c>
      <c r="N115" s="20">
        <f>IF($A115="","",$A115-WEEKDAY($A115,2)+1)</f>
        <v/>
      </c>
      <c r="O115" s="20">
        <f>IF($A115="","",TEXT($A115,"yyyy-mm"))</f>
        <v/>
      </c>
      <c r="P115" s="21">
        <f>IF($A115="","",TEXT(YEAR($A115),"0000")&amp;"-Q"&amp;ROUNDUP(MONTH($A115)/3,0))</f>
        <v/>
      </c>
    </row>
    <row r="116">
      <c r="A116" s="22" t="n"/>
      <c r="B116" s="20" t="n"/>
      <c r="C116" s="20" t="n"/>
      <c r="D116" s="20">
        <f>IFERROR(INDEX(XPMenu!$A$2:$A$1000, MATCH(C116, XPMenu!$B$2:$B$1000, 0)), "")</f>
        <v/>
      </c>
      <c r="E116" s="20" t="n"/>
      <c r="F116" s="20" t="n"/>
      <c r="G116" s="20" t="n"/>
      <c r="H116" s="20" t="n"/>
      <c r="I116" s="20">
        <f>IFERROR(VLOOKUP(D116,XPMenu!$A:$F,2,FALSE),"")</f>
        <v/>
      </c>
      <c r="J116" s="20">
        <f>IFERROR(VLOOKUP(D116,XPMenu!$A:$F,3,FALSE),"")</f>
        <v/>
      </c>
      <c r="K116" s="20">
        <f>IFERROR(VLOOKUP(D116,XPMenu!$A:$F,4,FALSE),"")</f>
        <v/>
      </c>
      <c r="L116" s="20" t="n"/>
      <c r="M116" s="20">
        <f>IF(A116="","",IF(F116&lt;&gt;"Yes",0,IF(L116&lt;&gt;"",L116,E116*K116)))</f>
        <v/>
      </c>
      <c r="N116" s="20">
        <f>IF($A116="","",$A116-WEEKDAY($A116,2)+1)</f>
        <v/>
      </c>
      <c r="O116" s="20">
        <f>IF($A116="","",TEXT($A116,"yyyy-mm"))</f>
        <v/>
      </c>
      <c r="P116" s="21">
        <f>IF($A116="","",TEXT(YEAR($A116),"0000")&amp;"-Q"&amp;ROUNDUP(MONTH($A116)/3,0))</f>
        <v/>
      </c>
    </row>
    <row r="117">
      <c r="A117" s="22" t="n"/>
      <c r="B117" s="20" t="n"/>
      <c r="C117" s="20" t="n"/>
      <c r="D117" s="20">
        <f>IFERROR(INDEX(XPMenu!$A$2:$A$1000, MATCH(C117, XPMenu!$B$2:$B$1000, 0)), "")</f>
        <v/>
      </c>
      <c r="E117" s="20" t="n"/>
      <c r="F117" s="20" t="n"/>
      <c r="G117" s="20" t="n"/>
      <c r="H117" s="20" t="n"/>
      <c r="I117" s="20">
        <f>IFERROR(VLOOKUP(D117,XPMenu!$A:$F,2,FALSE),"")</f>
        <v/>
      </c>
      <c r="J117" s="20">
        <f>IFERROR(VLOOKUP(D117,XPMenu!$A:$F,3,FALSE),"")</f>
        <v/>
      </c>
      <c r="K117" s="20">
        <f>IFERROR(VLOOKUP(D117,XPMenu!$A:$F,4,FALSE),"")</f>
        <v/>
      </c>
      <c r="L117" s="20" t="n"/>
      <c r="M117" s="20">
        <f>IF(A117="","",IF(F117&lt;&gt;"Yes",0,IF(L117&lt;&gt;"",L117,E117*K117)))</f>
        <v/>
      </c>
      <c r="N117" s="20">
        <f>IF($A117="","",$A117-WEEKDAY($A117,2)+1)</f>
        <v/>
      </c>
      <c r="O117" s="20">
        <f>IF($A117="","",TEXT($A117,"yyyy-mm"))</f>
        <v/>
      </c>
      <c r="P117" s="21">
        <f>IF($A117="","",TEXT(YEAR($A117),"0000")&amp;"-Q"&amp;ROUNDUP(MONTH($A117)/3,0))</f>
        <v/>
      </c>
    </row>
    <row r="118">
      <c r="A118" s="22" t="n"/>
      <c r="B118" s="20" t="n"/>
      <c r="C118" s="20" t="n"/>
      <c r="D118" s="20">
        <f>IFERROR(INDEX(XPMenu!$A$2:$A$1000, MATCH(C118, XPMenu!$B$2:$B$1000, 0)), "")</f>
        <v/>
      </c>
      <c r="E118" s="20" t="n"/>
      <c r="F118" s="20" t="n"/>
      <c r="G118" s="20" t="n"/>
      <c r="H118" s="20" t="n"/>
      <c r="I118" s="20">
        <f>IFERROR(VLOOKUP(D118,XPMenu!$A:$F,2,FALSE),"")</f>
        <v/>
      </c>
      <c r="J118" s="20">
        <f>IFERROR(VLOOKUP(D118,XPMenu!$A:$F,3,FALSE),"")</f>
        <v/>
      </c>
      <c r="K118" s="20">
        <f>IFERROR(VLOOKUP(D118,XPMenu!$A:$F,4,FALSE),"")</f>
        <v/>
      </c>
      <c r="L118" s="20" t="n"/>
      <c r="M118" s="20">
        <f>IF(A118="","",IF(F118&lt;&gt;"Yes",0,IF(L118&lt;&gt;"",L118,E118*K118)))</f>
        <v/>
      </c>
      <c r="N118" s="20">
        <f>IF($A118="","",$A118-WEEKDAY($A118,2)+1)</f>
        <v/>
      </c>
      <c r="O118" s="20">
        <f>IF($A118="","",TEXT($A118,"yyyy-mm"))</f>
        <v/>
      </c>
      <c r="P118" s="21">
        <f>IF($A118="","",TEXT(YEAR($A118),"0000")&amp;"-Q"&amp;ROUNDUP(MONTH($A118)/3,0))</f>
        <v/>
      </c>
    </row>
    <row r="119">
      <c r="A119" s="22" t="n"/>
      <c r="B119" s="20" t="n"/>
      <c r="C119" s="20" t="n"/>
      <c r="D119" s="20">
        <f>IFERROR(INDEX(XPMenu!$A$2:$A$1000, MATCH(C119, XPMenu!$B$2:$B$1000, 0)), "")</f>
        <v/>
      </c>
      <c r="E119" s="20" t="n"/>
      <c r="F119" s="20" t="n"/>
      <c r="G119" s="20" t="n"/>
      <c r="H119" s="20" t="n"/>
      <c r="I119" s="20">
        <f>IFERROR(VLOOKUP(D119,XPMenu!$A:$F,2,FALSE),"")</f>
        <v/>
      </c>
      <c r="J119" s="20">
        <f>IFERROR(VLOOKUP(D119,XPMenu!$A:$F,3,FALSE),"")</f>
        <v/>
      </c>
      <c r="K119" s="20">
        <f>IFERROR(VLOOKUP(D119,XPMenu!$A:$F,4,FALSE),"")</f>
        <v/>
      </c>
      <c r="L119" s="20" t="n"/>
      <c r="M119" s="20">
        <f>IF(A119="","",IF(F119&lt;&gt;"Yes",0,IF(L119&lt;&gt;"",L119,E119*K119)))</f>
        <v/>
      </c>
      <c r="N119" s="20">
        <f>IF($A119="","",$A119-WEEKDAY($A119,2)+1)</f>
        <v/>
      </c>
      <c r="O119" s="20">
        <f>IF($A119="","",TEXT($A119,"yyyy-mm"))</f>
        <v/>
      </c>
      <c r="P119" s="21">
        <f>IF($A119="","",TEXT(YEAR($A119),"0000")&amp;"-Q"&amp;ROUNDUP(MONTH($A119)/3,0))</f>
        <v/>
      </c>
    </row>
    <row r="120">
      <c r="A120" s="22" t="n"/>
      <c r="B120" s="20" t="n"/>
      <c r="C120" s="20" t="n"/>
      <c r="D120" s="20">
        <f>IFERROR(INDEX(XPMenu!$A$2:$A$1000, MATCH(C120, XPMenu!$B$2:$B$1000, 0)), "")</f>
        <v/>
      </c>
      <c r="E120" s="20" t="n"/>
      <c r="F120" s="20" t="n"/>
      <c r="G120" s="20" t="n"/>
      <c r="H120" s="20" t="n"/>
      <c r="I120" s="20">
        <f>IFERROR(VLOOKUP(D120,XPMenu!$A:$F,2,FALSE),"")</f>
        <v/>
      </c>
      <c r="J120" s="20">
        <f>IFERROR(VLOOKUP(D120,XPMenu!$A:$F,3,FALSE),"")</f>
        <v/>
      </c>
      <c r="K120" s="20">
        <f>IFERROR(VLOOKUP(D120,XPMenu!$A:$F,4,FALSE),"")</f>
        <v/>
      </c>
      <c r="L120" s="20" t="n"/>
      <c r="M120" s="20">
        <f>IF(A120="","",IF(F120&lt;&gt;"Yes",0,IF(L120&lt;&gt;"",L120,E120*K120)))</f>
        <v/>
      </c>
      <c r="N120" s="20">
        <f>IF($A120="","",$A120-WEEKDAY($A120,2)+1)</f>
        <v/>
      </c>
      <c r="O120" s="20">
        <f>IF($A120="","",TEXT($A120,"yyyy-mm"))</f>
        <v/>
      </c>
      <c r="P120" s="21">
        <f>IF($A120="","",TEXT(YEAR($A120),"0000")&amp;"-Q"&amp;ROUNDUP(MONTH($A120)/3,0))</f>
        <v/>
      </c>
    </row>
    <row r="121">
      <c r="A121" s="22" t="n"/>
      <c r="B121" s="20" t="n"/>
      <c r="C121" s="20" t="n"/>
      <c r="D121" s="20">
        <f>IFERROR(INDEX(XPMenu!$A$2:$A$1000, MATCH(C121, XPMenu!$B$2:$B$1000, 0)), "")</f>
        <v/>
      </c>
      <c r="E121" s="20" t="n"/>
      <c r="F121" s="20" t="n"/>
      <c r="G121" s="20" t="n"/>
      <c r="H121" s="20" t="n"/>
      <c r="I121" s="20">
        <f>IFERROR(VLOOKUP(D121,XPMenu!$A:$F,2,FALSE),"")</f>
        <v/>
      </c>
      <c r="J121" s="20">
        <f>IFERROR(VLOOKUP(D121,XPMenu!$A:$F,3,FALSE),"")</f>
        <v/>
      </c>
      <c r="K121" s="20">
        <f>IFERROR(VLOOKUP(D121,XPMenu!$A:$F,4,FALSE),"")</f>
        <v/>
      </c>
      <c r="L121" s="20" t="n"/>
      <c r="M121" s="20">
        <f>IF(A121="","",IF(F121&lt;&gt;"Yes",0,IF(L121&lt;&gt;"",L121,E121*K121)))</f>
        <v/>
      </c>
      <c r="N121" s="20">
        <f>IF($A121="","",$A121-WEEKDAY($A121,2)+1)</f>
        <v/>
      </c>
      <c r="O121" s="20">
        <f>IF($A121="","",TEXT($A121,"yyyy-mm"))</f>
        <v/>
      </c>
      <c r="P121" s="21">
        <f>IF($A121="","",TEXT(YEAR($A121),"0000")&amp;"-Q"&amp;ROUNDUP(MONTH($A121)/3,0))</f>
        <v/>
      </c>
    </row>
    <row r="122">
      <c r="A122" s="22" t="n"/>
      <c r="B122" s="20" t="n"/>
      <c r="C122" s="20" t="n"/>
      <c r="D122" s="20">
        <f>IFERROR(INDEX(XPMenu!$A$2:$A$1000, MATCH(C122, XPMenu!$B$2:$B$1000, 0)), "")</f>
        <v/>
      </c>
      <c r="E122" s="20" t="n"/>
      <c r="F122" s="20" t="n"/>
      <c r="G122" s="20" t="n"/>
      <c r="H122" s="20" t="n"/>
      <c r="I122" s="20">
        <f>IFERROR(VLOOKUP(D122,XPMenu!$A:$F,2,FALSE),"")</f>
        <v/>
      </c>
      <c r="J122" s="20">
        <f>IFERROR(VLOOKUP(D122,XPMenu!$A:$F,3,FALSE),"")</f>
        <v/>
      </c>
      <c r="K122" s="20">
        <f>IFERROR(VLOOKUP(D122,XPMenu!$A:$F,4,FALSE),"")</f>
        <v/>
      </c>
      <c r="L122" s="20" t="n"/>
      <c r="M122" s="20">
        <f>IF(A122="","",IF(F122&lt;&gt;"Yes",0,IF(L122&lt;&gt;"",L122,E122*K122)))</f>
        <v/>
      </c>
      <c r="N122" s="20">
        <f>IF($A122="","",$A122-WEEKDAY($A122,2)+1)</f>
        <v/>
      </c>
      <c r="O122" s="20">
        <f>IF($A122="","",TEXT($A122,"yyyy-mm"))</f>
        <v/>
      </c>
      <c r="P122" s="21">
        <f>IF($A122="","",TEXT(YEAR($A122),"0000")&amp;"-Q"&amp;ROUNDUP(MONTH($A122)/3,0))</f>
        <v/>
      </c>
    </row>
    <row r="123">
      <c r="A123" s="22" t="n"/>
      <c r="B123" s="20" t="n"/>
      <c r="C123" s="20" t="n"/>
      <c r="D123" s="20">
        <f>IFERROR(INDEX(XPMenu!$A$2:$A$1000, MATCH(C123, XPMenu!$B$2:$B$1000, 0)), "")</f>
        <v/>
      </c>
      <c r="E123" s="20" t="n"/>
      <c r="F123" s="20" t="n"/>
      <c r="G123" s="20" t="n"/>
      <c r="H123" s="20" t="n"/>
      <c r="I123" s="20">
        <f>IFERROR(VLOOKUP(D123,XPMenu!$A:$F,2,FALSE),"")</f>
        <v/>
      </c>
      <c r="J123" s="20">
        <f>IFERROR(VLOOKUP(D123,XPMenu!$A:$F,3,FALSE),"")</f>
        <v/>
      </c>
      <c r="K123" s="20">
        <f>IFERROR(VLOOKUP(D123,XPMenu!$A:$F,4,FALSE),"")</f>
        <v/>
      </c>
      <c r="L123" s="20" t="n"/>
      <c r="M123" s="20">
        <f>IF(A123="","",IF(F123&lt;&gt;"Yes",0,IF(L123&lt;&gt;"",L123,E123*K123)))</f>
        <v/>
      </c>
      <c r="N123" s="20">
        <f>IF($A123="","",$A123-WEEKDAY($A123,2)+1)</f>
        <v/>
      </c>
      <c r="O123" s="20">
        <f>IF($A123="","",TEXT($A123,"yyyy-mm"))</f>
        <v/>
      </c>
      <c r="P123" s="21">
        <f>IF($A123="","",TEXT(YEAR($A123),"0000")&amp;"-Q"&amp;ROUNDUP(MONTH($A123)/3,0))</f>
        <v/>
      </c>
    </row>
    <row r="124">
      <c r="A124" s="22" t="n"/>
      <c r="B124" s="20" t="n"/>
      <c r="C124" s="20" t="n"/>
      <c r="D124" s="20">
        <f>IFERROR(INDEX(XPMenu!$A$2:$A$1000, MATCH(C124, XPMenu!$B$2:$B$1000, 0)), "")</f>
        <v/>
      </c>
      <c r="E124" s="20" t="n"/>
      <c r="F124" s="20" t="n"/>
      <c r="G124" s="20" t="n"/>
      <c r="H124" s="20" t="n"/>
      <c r="I124" s="20">
        <f>IFERROR(VLOOKUP(D124,XPMenu!$A:$F,2,FALSE),"")</f>
        <v/>
      </c>
      <c r="J124" s="20">
        <f>IFERROR(VLOOKUP(D124,XPMenu!$A:$F,3,FALSE),"")</f>
        <v/>
      </c>
      <c r="K124" s="20">
        <f>IFERROR(VLOOKUP(D124,XPMenu!$A:$F,4,FALSE),"")</f>
        <v/>
      </c>
      <c r="L124" s="20" t="n"/>
      <c r="M124" s="20">
        <f>IF(A124="","",IF(F124&lt;&gt;"Yes",0,IF(L124&lt;&gt;"",L124,E124*K124)))</f>
        <v/>
      </c>
      <c r="N124" s="20">
        <f>IF($A124="","",$A124-WEEKDAY($A124,2)+1)</f>
        <v/>
      </c>
      <c r="O124" s="20">
        <f>IF($A124="","",TEXT($A124,"yyyy-mm"))</f>
        <v/>
      </c>
      <c r="P124" s="21">
        <f>IF($A124="","",TEXT(YEAR($A124),"0000")&amp;"-Q"&amp;ROUNDUP(MONTH($A124)/3,0))</f>
        <v/>
      </c>
    </row>
    <row r="125">
      <c r="A125" s="22" t="n"/>
      <c r="B125" s="20" t="n"/>
      <c r="C125" s="20" t="n"/>
      <c r="D125" s="20">
        <f>IFERROR(INDEX(XPMenu!$A$2:$A$1000, MATCH(C125, XPMenu!$B$2:$B$1000, 0)), "")</f>
        <v/>
      </c>
      <c r="E125" s="20" t="n"/>
      <c r="F125" s="20" t="n"/>
      <c r="G125" s="20" t="n"/>
      <c r="H125" s="20" t="n"/>
      <c r="I125" s="20">
        <f>IFERROR(VLOOKUP(D125,XPMenu!$A:$F,2,FALSE),"")</f>
        <v/>
      </c>
      <c r="J125" s="20">
        <f>IFERROR(VLOOKUP(D125,XPMenu!$A:$F,3,FALSE),"")</f>
        <v/>
      </c>
      <c r="K125" s="20">
        <f>IFERROR(VLOOKUP(D125,XPMenu!$A:$F,4,FALSE),"")</f>
        <v/>
      </c>
      <c r="L125" s="20" t="n"/>
      <c r="M125" s="20">
        <f>IF(A125="","",IF(F125&lt;&gt;"Yes",0,IF(L125&lt;&gt;"",L125,E125*K125)))</f>
        <v/>
      </c>
      <c r="N125" s="20">
        <f>IF($A125="","",$A125-WEEKDAY($A125,2)+1)</f>
        <v/>
      </c>
      <c r="O125" s="20">
        <f>IF($A125="","",TEXT($A125,"yyyy-mm"))</f>
        <v/>
      </c>
      <c r="P125" s="21">
        <f>IF($A125="","",TEXT(YEAR($A125),"0000")&amp;"-Q"&amp;ROUNDUP(MONTH($A125)/3,0))</f>
        <v/>
      </c>
    </row>
    <row r="126">
      <c r="A126" s="22" t="n"/>
      <c r="B126" s="20" t="n"/>
      <c r="C126" s="20" t="n"/>
      <c r="D126" s="20">
        <f>IFERROR(INDEX(XPMenu!$A$2:$A$1000, MATCH(C126, XPMenu!$B$2:$B$1000, 0)), "")</f>
        <v/>
      </c>
      <c r="E126" s="20" t="n"/>
      <c r="F126" s="20" t="n"/>
      <c r="G126" s="20" t="n"/>
      <c r="H126" s="20" t="n"/>
      <c r="I126" s="20">
        <f>IFERROR(VLOOKUP(D126,XPMenu!$A:$F,2,FALSE),"")</f>
        <v/>
      </c>
      <c r="J126" s="20">
        <f>IFERROR(VLOOKUP(D126,XPMenu!$A:$F,3,FALSE),"")</f>
        <v/>
      </c>
      <c r="K126" s="20">
        <f>IFERROR(VLOOKUP(D126,XPMenu!$A:$F,4,FALSE),"")</f>
        <v/>
      </c>
      <c r="L126" s="20" t="n"/>
      <c r="M126" s="20">
        <f>IF(A126="","",IF(F126&lt;&gt;"Yes",0,IF(L126&lt;&gt;"",L126,E126*K126)))</f>
        <v/>
      </c>
      <c r="N126" s="20">
        <f>IF($A126="","",$A126-WEEKDAY($A126,2)+1)</f>
        <v/>
      </c>
      <c r="O126" s="20">
        <f>IF($A126="","",TEXT($A126,"yyyy-mm"))</f>
        <v/>
      </c>
      <c r="P126" s="21">
        <f>IF($A126="","",TEXT(YEAR($A126),"0000")&amp;"-Q"&amp;ROUNDUP(MONTH($A126)/3,0))</f>
        <v/>
      </c>
    </row>
    <row r="127">
      <c r="A127" s="22" t="n"/>
      <c r="B127" s="20" t="n"/>
      <c r="C127" s="20" t="n"/>
      <c r="D127" s="20">
        <f>IFERROR(INDEX(XPMenu!$A$2:$A$1000, MATCH(C127, XPMenu!$B$2:$B$1000, 0)), "")</f>
        <v/>
      </c>
      <c r="E127" s="20" t="n"/>
      <c r="F127" s="20" t="n"/>
      <c r="G127" s="20" t="n"/>
      <c r="H127" s="20" t="n"/>
      <c r="I127" s="20">
        <f>IFERROR(VLOOKUP(D127,XPMenu!$A:$F,2,FALSE),"")</f>
        <v/>
      </c>
      <c r="J127" s="20">
        <f>IFERROR(VLOOKUP(D127,XPMenu!$A:$F,3,FALSE),"")</f>
        <v/>
      </c>
      <c r="K127" s="20">
        <f>IFERROR(VLOOKUP(D127,XPMenu!$A:$F,4,FALSE),"")</f>
        <v/>
      </c>
      <c r="L127" s="20" t="n"/>
      <c r="M127" s="20">
        <f>IF(A127="","",IF(F127&lt;&gt;"Yes",0,IF(L127&lt;&gt;"",L127,E127*K127)))</f>
        <v/>
      </c>
      <c r="N127" s="20">
        <f>IF($A127="","",$A127-WEEKDAY($A127,2)+1)</f>
        <v/>
      </c>
      <c r="O127" s="20">
        <f>IF($A127="","",TEXT($A127,"yyyy-mm"))</f>
        <v/>
      </c>
      <c r="P127" s="21">
        <f>IF($A127="","",TEXT(YEAR($A127),"0000")&amp;"-Q"&amp;ROUNDUP(MONTH($A127)/3,0))</f>
        <v/>
      </c>
    </row>
    <row r="128">
      <c r="A128" s="22" t="n"/>
      <c r="B128" s="20" t="n"/>
      <c r="C128" s="20" t="n"/>
      <c r="D128" s="20">
        <f>IFERROR(INDEX(XPMenu!$A$2:$A$1000, MATCH(C128, XPMenu!$B$2:$B$1000, 0)), "")</f>
        <v/>
      </c>
      <c r="E128" s="20" t="n"/>
      <c r="F128" s="20" t="n"/>
      <c r="G128" s="20" t="n"/>
      <c r="H128" s="20" t="n"/>
      <c r="I128" s="20">
        <f>IFERROR(VLOOKUP(D128,XPMenu!$A:$F,2,FALSE),"")</f>
        <v/>
      </c>
      <c r="J128" s="20">
        <f>IFERROR(VLOOKUP(D128,XPMenu!$A:$F,3,FALSE),"")</f>
        <v/>
      </c>
      <c r="K128" s="20">
        <f>IFERROR(VLOOKUP(D128,XPMenu!$A:$F,4,FALSE),"")</f>
        <v/>
      </c>
      <c r="L128" s="20" t="n"/>
      <c r="M128" s="20">
        <f>IF(A128="","",IF(F128&lt;&gt;"Yes",0,IF(L128&lt;&gt;"",L128,E128*K128)))</f>
        <v/>
      </c>
      <c r="N128" s="20">
        <f>IF($A128="","",$A128-WEEKDAY($A128,2)+1)</f>
        <v/>
      </c>
      <c r="O128" s="20">
        <f>IF($A128="","",TEXT($A128,"yyyy-mm"))</f>
        <v/>
      </c>
      <c r="P128" s="21">
        <f>IF($A128="","",TEXT(YEAR($A128),"0000")&amp;"-Q"&amp;ROUNDUP(MONTH($A128)/3,0))</f>
        <v/>
      </c>
    </row>
    <row r="129">
      <c r="A129" s="22" t="n"/>
      <c r="B129" s="20" t="n"/>
      <c r="C129" s="20" t="n"/>
      <c r="D129" s="20">
        <f>IFERROR(INDEX(XPMenu!$A$2:$A$1000, MATCH(C129, XPMenu!$B$2:$B$1000, 0)), "")</f>
        <v/>
      </c>
      <c r="E129" s="20" t="n"/>
      <c r="F129" s="20" t="n"/>
      <c r="G129" s="20" t="n"/>
      <c r="H129" s="20" t="n"/>
      <c r="I129" s="20">
        <f>IFERROR(VLOOKUP(D129,XPMenu!$A:$F,2,FALSE),"")</f>
        <v/>
      </c>
      <c r="J129" s="20">
        <f>IFERROR(VLOOKUP(D129,XPMenu!$A:$F,3,FALSE),"")</f>
        <v/>
      </c>
      <c r="K129" s="20">
        <f>IFERROR(VLOOKUP(D129,XPMenu!$A:$F,4,FALSE),"")</f>
        <v/>
      </c>
      <c r="L129" s="20" t="n"/>
      <c r="M129" s="20">
        <f>IF(A129="","",IF(F129&lt;&gt;"Yes",0,IF(L129&lt;&gt;"",L129,E129*K129)))</f>
        <v/>
      </c>
      <c r="N129" s="20">
        <f>IF($A129="","",$A129-WEEKDAY($A129,2)+1)</f>
        <v/>
      </c>
      <c r="O129" s="20">
        <f>IF($A129="","",TEXT($A129,"yyyy-mm"))</f>
        <v/>
      </c>
      <c r="P129" s="21">
        <f>IF($A129="","",TEXT(YEAR($A129),"0000")&amp;"-Q"&amp;ROUNDUP(MONTH($A129)/3,0))</f>
        <v/>
      </c>
    </row>
    <row r="130">
      <c r="A130" s="22" t="n"/>
      <c r="B130" s="20" t="n"/>
      <c r="C130" s="20" t="n"/>
      <c r="D130" s="20">
        <f>IFERROR(INDEX(XPMenu!$A$2:$A$1000, MATCH(C130, XPMenu!$B$2:$B$1000, 0)), "")</f>
        <v/>
      </c>
      <c r="E130" s="20" t="n"/>
      <c r="F130" s="20" t="n"/>
      <c r="G130" s="20" t="n"/>
      <c r="H130" s="20" t="n"/>
      <c r="I130" s="20">
        <f>IFERROR(VLOOKUP(D130,XPMenu!$A:$F,2,FALSE),"")</f>
        <v/>
      </c>
      <c r="J130" s="20">
        <f>IFERROR(VLOOKUP(D130,XPMenu!$A:$F,3,FALSE),"")</f>
        <v/>
      </c>
      <c r="K130" s="20">
        <f>IFERROR(VLOOKUP(D130,XPMenu!$A:$F,4,FALSE),"")</f>
        <v/>
      </c>
      <c r="L130" s="20" t="n"/>
      <c r="M130" s="20">
        <f>IF(A130="","",IF(F130&lt;&gt;"Yes",0,IF(L130&lt;&gt;"",L130,E130*K130)))</f>
        <v/>
      </c>
      <c r="N130" s="20">
        <f>IF($A130="","",$A130-WEEKDAY($A130,2)+1)</f>
        <v/>
      </c>
      <c r="O130" s="20">
        <f>IF($A130="","",TEXT($A130,"yyyy-mm"))</f>
        <v/>
      </c>
      <c r="P130" s="21">
        <f>IF($A130="","",TEXT(YEAR($A130),"0000")&amp;"-Q"&amp;ROUNDUP(MONTH($A130)/3,0))</f>
        <v/>
      </c>
    </row>
    <row r="131">
      <c r="A131" s="22" t="n"/>
      <c r="B131" s="20" t="n"/>
      <c r="C131" s="20" t="n"/>
      <c r="D131" s="20">
        <f>IFERROR(INDEX(XPMenu!$A$2:$A$1000, MATCH(C131, XPMenu!$B$2:$B$1000, 0)), "")</f>
        <v/>
      </c>
      <c r="E131" s="20" t="n"/>
      <c r="F131" s="20" t="n"/>
      <c r="G131" s="20" t="n"/>
      <c r="H131" s="20" t="n"/>
      <c r="I131" s="20">
        <f>IFERROR(VLOOKUP(D131,XPMenu!$A:$F,2,FALSE),"")</f>
        <v/>
      </c>
      <c r="J131" s="20">
        <f>IFERROR(VLOOKUP(D131,XPMenu!$A:$F,3,FALSE),"")</f>
        <v/>
      </c>
      <c r="K131" s="20">
        <f>IFERROR(VLOOKUP(D131,XPMenu!$A:$F,4,FALSE),"")</f>
        <v/>
      </c>
      <c r="L131" s="20" t="n"/>
      <c r="M131" s="20">
        <f>IF(A131="","",IF(F131&lt;&gt;"Yes",0,IF(L131&lt;&gt;"",L131,E131*K131)))</f>
        <v/>
      </c>
      <c r="N131" s="20">
        <f>IF($A131="","",$A131-WEEKDAY($A131,2)+1)</f>
        <v/>
      </c>
      <c r="O131" s="20">
        <f>IF($A131="","",TEXT($A131,"yyyy-mm"))</f>
        <v/>
      </c>
      <c r="P131" s="21">
        <f>IF($A131="","",TEXT(YEAR($A131),"0000")&amp;"-Q"&amp;ROUNDUP(MONTH($A131)/3,0))</f>
        <v/>
      </c>
    </row>
    <row r="132">
      <c r="A132" s="22" t="n"/>
      <c r="B132" s="20" t="n"/>
      <c r="C132" s="20" t="n"/>
      <c r="D132" s="20">
        <f>IFERROR(INDEX(XPMenu!$A$2:$A$1000, MATCH(C132, XPMenu!$B$2:$B$1000, 0)), "")</f>
        <v/>
      </c>
      <c r="E132" s="20" t="n"/>
      <c r="F132" s="20" t="n"/>
      <c r="G132" s="20" t="n"/>
      <c r="H132" s="20" t="n"/>
      <c r="I132" s="20">
        <f>IFERROR(VLOOKUP(D132,XPMenu!$A:$F,2,FALSE),"")</f>
        <v/>
      </c>
      <c r="J132" s="20">
        <f>IFERROR(VLOOKUP(D132,XPMenu!$A:$F,3,FALSE),"")</f>
        <v/>
      </c>
      <c r="K132" s="20">
        <f>IFERROR(VLOOKUP(D132,XPMenu!$A:$F,4,FALSE),"")</f>
        <v/>
      </c>
      <c r="L132" s="20" t="n"/>
      <c r="M132" s="20">
        <f>IF(A132="","",IF(F132&lt;&gt;"Yes",0,IF(L132&lt;&gt;"",L132,E132*K132)))</f>
        <v/>
      </c>
      <c r="N132" s="20">
        <f>IF($A132="","",$A132-WEEKDAY($A132,2)+1)</f>
        <v/>
      </c>
      <c r="O132" s="20">
        <f>IF($A132="","",TEXT($A132,"yyyy-mm"))</f>
        <v/>
      </c>
      <c r="P132" s="21">
        <f>IF($A132="","",TEXT(YEAR($A132),"0000")&amp;"-Q"&amp;ROUNDUP(MONTH($A132)/3,0))</f>
        <v/>
      </c>
    </row>
    <row r="133">
      <c r="A133" s="22" t="n"/>
      <c r="B133" s="20" t="n"/>
      <c r="C133" s="20" t="n"/>
      <c r="D133" s="20">
        <f>IFERROR(INDEX(XPMenu!$A$2:$A$1000, MATCH(C133, XPMenu!$B$2:$B$1000, 0)), "")</f>
        <v/>
      </c>
      <c r="E133" s="20" t="n"/>
      <c r="F133" s="20" t="n"/>
      <c r="G133" s="20" t="n"/>
      <c r="H133" s="20" t="n"/>
      <c r="I133" s="20">
        <f>IFERROR(VLOOKUP(D133,XPMenu!$A:$F,2,FALSE),"")</f>
        <v/>
      </c>
      <c r="J133" s="20">
        <f>IFERROR(VLOOKUP(D133,XPMenu!$A:$F,3,FALSE),"")</f>
        <v/>
      </c>
      <c r="K133" s="20">
        <f>IFERROR(VLOOKUP(D133,XPMenu!$A:$F,4,FALSE),"")</f>
        <v/>
      </c>
      <c r="L133" s="20" t="n"/>
      <c r="M133" s="20">
        <f>IF(A133="","",IF(F133&lt;&gt;"Yes",0,IF(L133&lt;&gt;"",L133,E133*K133)))</f>
        <v/>
      </c>
      <c r="N133" s="20">
        <f>IF($A133="","",$A133-WEEKDAY($A133,2)+1)</f>
        <v/>
      </c>
      <c r="O133" s="20">
        <f>IF($A133="","",TEXT($A133,"yyyy-mm"))</f>
        <v/>
      </c>
      <c r="P133" s="21">
        <f>IF($A133="","",TEXT(YEAR($A133),"0000")&amp;"-Q"&amp;ROUNDUP(MONTH($A133)/3,0))</f>
        <v/>
      </c>
    </row>
    <row r="134">
      <c r="A134" s="22" t="n"/>
      <c r="B134" s="20" t="n"/>
      <c r="C134" s="20" t="n"/>
      <c r="D134" s="20">
        <f>IFERROR(INDEX(XPMenu!$A$2:$A$1000, MATCH(C134, XPMenu!$B$2:$B$1000, 0)), "")</f>
        <v/>
      </c>
      <c r="E134" s="20" t="n"/>
      <c r="F134" s="20" t="n"/>
      <c r="G134" s="20" t="n"/>
      <c r="H134" s="20" t="n"/>
      <c r="I134" s="20">
        <f>IFERROR(VLOOKUP(D134,XPMenu!$A:$F,2,FALSE),"")</f>
        <v/>
      </c>
      <c r="J134" s="20">
        <f>IFERROR(VLOOKUP(D134,XPMenu!$A:$F,3,FALSE),"")</f>
        <v/>
      </c>
      <c r="K134" s="20">
        <f>IFERROR(VLOOKUP(D134,XPMenu!$A:$F,4,FALSE),"")</f>
        <v/>
      </c>
      <c r="L134" s="20" t="n"/>
      <c r="M134" s="20">
        <f>IF(A134="","",IF(F134&lt;&gt;"Yes",0,IF(L134&lt;&gt;"",L134,E134*K134)))</f>
        <v/>
      </c>
      <c r="N134" s="20">
        <f>IF($A134="","",$A134-WEEKDAY($A134,2)+1)</f>
        <v/>
      </c>
      <c r="O134" s="20">
        <f>IF($A134="","",TEXT($A134,"yyyy-mm"))</f>
        <v/>
      </c>
      <c r="P134" s="21">
        <f>IF($A134="","",TEXT(YEAR($A134),"0000")&amp;"-Q"&amp;ROUNDUP(MONTH($A134)/3,0))</f>
        <v/>
      </c>
    </row>
    <row r="135">
      <c r="A135" s="22" t="n"/>
      <c r="B135" s="20" t="n"/>
      <c r="C135" s="20" t="n"/>
      <c r="D135" s="20">
        <f>IFERROR(INDEX(XPMenu!$A$2:$A$1000, MATCH(C135, XPMenu!$B$2:$B$1000, 0)), "")</f>
        <v/>
      </c>
      <c r="E135" s="20" t="n"/>
      <c r="F135" s="20" t="n"/>
      <c r="G135" s="20" t="n"/>
      <c r="H135" s="20" t="n"/>
      <c r="I135" s="20">
        <f>IFERROR(VLOOKUP(D135,XPMenu!$A:$F,2,FALSE),"")</f>
        <v/>
      </c>
      <c r="J135" s="20">
        <f>IFERROR(VLOOKUP(D135,XPMenu!$A:$F,3,FALSE),"")</f>
        <v/>
      </c>
      <c r="K135" s="20">
        <f>IFERROR(VLOOKUP(D135,XPMenu!$A:$F,4,FALSE),"")</f>
        <v/>
      </c>
      <c r="L135" s="20" t="n"/>
      <c r="M135" s="20">
        <f>IF(A135="","",IF(F135&lt;&gt;"Yes",0,IF(L135&lt;&gt;"",L135,E135*K135)))</f>
        <v/>
      </c>
      <c r="N135" s="20">
        <f>IF($A135="","",$A135-WEEKDAY($A135,2)+1)</f>
        <v/>
      </c>
      <c r="O135" s="20">
        <f>IF($A135="","",TEXT($A135,"yyyy-mm"))</f>
        <v/>
      </c>
      <c r="P135" s="21">
        <f>IF($A135="","",TEXT(YEAR($A135),"0000")&amp;"-Q"&amp;ROUNDUP(MONTH($A135)/3,0))</f>
        <v/>
      </c>
    </row>
    <row r="136">
      <c r="A136" s="22" t="n"/>
      <c r="B136" s="20" t="n"/>
      <c r="C136" s="20" t="n"/>
      <c r="D136" s="20">
        <f>IFERROR(INDEX(XPMenu!$A$2:$A$1000, MATCH(C136, XPMenu!$B$2:$B$1000, 0)), "")</f>
        <v/>
      </c>
      <c r="E136" s="20" t="n"/>
      <c r="F136" s="20" t="n"/>
      <c r="G136" s="20" t="n"/>
      <c r="H136" s="20" t="n"/>
      <c r="I136" s="20">
        <f>IFERROR(VLOOKUP(D136,XPMenu!$A:$F,2,FALSE),"")</f>
        <v/>
      </c>
      <c r="J136" s="20">
        <f>IFERROR(VLOOKUP(D136,XPMenu!$A:$F,3,FALSE),"")</f>
        <v/>
      </c>
      <c r="K136" s="20">
        <f>IFERROR(VLOOKUP(D136,XPMenu!$A:$F,4,FALSE),"")</f>
        <v/>
      </c>
      <c r="L136" s="20" t="n"/>
      <c r="M136" s="20">
        <f>IF(A136="","",IF(F136&lt;&gt;"Yes",0,IF(L136&lt;&gt;"",L136,E136*K136)))</f>
        <v/>
      </c>
      <c r="N136" s="20">
        <f>IF($A136="","",$A136-WEEKDAY($A136,2)+1)</f>
        <v/>
      </c>
      <c r="O136" s="20">
        <f>IF($A136="","",TEXT($A136,"yyyy-mm"))</f>
        <v/>
      </c>
      <c r="P136" s="21">
        <f>IF($A136="","",TEXT(YEAR($A136),"0000")&amp;"-Q"&amp;ROUNDUP(MONTH($A136)/3,0))</f>
        <v/>
      </c>
    </row>
    <row r="137">
      <c r="A137" s="22" t="n"/>
      <c r="B137" s="20" t="n"/>
      <c r="C137" s="20" t="n"/>
      <c r="D137" s="20">
        <f>IFERROR(INDEX(XPMenu!$A$2:$A$1000, MATCH(C137, XPMenu!$B$2:$B$1000, 0)), "")</f>
        <v/>
      </c>
      <c r="E137" s="20" t="n"/>
      <c r="F137" s="20" t="n"/>
      <c r="G137" s="20" t="n"/>
      <c r="H137" s="20" t="n"/>
      <c r="I137" s="20">
        <f>IFERROR(VLOOKUP(D137,XPMenu!$A:$F,2,FALSE),"")</f>
        <v/>
      </c>
      <c r="J137" s="20">
        <f>IFERROR(VLOOKUP(D137,XPMenu!$A:$F,3,FALSE),"")</f>
        <v/>
      </c>
      <c r="K137" s="20">
        <f>IFERROR(VLOOKUP(D137,XPMenu!$A:$F,4,FALSE),"")</f>
        <v/>
      </c>
      <c r="L137" s="20" t="n"/>
      <c r="M137" s="20">
        <f>IF(A137="","",IF(F137&lt;&gt;"Yes",0,IF(L137&lt;&gt;"",L137,E137*K137)))</f>
        <v/>
      </c>
      <c r="N137" s="20">
        <f>IF($A137="","",$A137-WEEKDAY($A137,2)+1)</f>
        <v/>
      </c>
      <c r="O137" s="20">
        <f>IF($A137="","",TEXT($A137,"yyyy-mm"))</f>
        <v/>
      </c>
      <c r="P137" s="21">
        <f>IF($A137="","",TEXT(YEAR($A137),"0000")&amp;"-Q"&amp;ROUNDUP(MONTH($A137)/3,0))</f>
        <v/>
      </c>
    </row>
    <row r="138">
      <c r="A138" s="22" t="n"/>
      <c r="B138" s="20" t="n"/>
      <c r="C138" s="20" t="n"/>
      <c r="D138" s="20">
        <f>IFERROR(INDEX(XPMenu!$A$2:$A$1000, MATCH(C138, XPMenu!$B$2:$B$1000, 0)), "")</f>
        <v/>
      </c>
      <c r="E138" s="20" t="n"/>
      <c r="F138" s="20" t="n"/>
      <c r="G138" s="20" t="n"/>
      <c r="H138" s="20" t="n"/>
      <c r="I138" s="20">
        <f>IFERROR(VLOOKUP(D138,XPMenu!$A:$F,2,FALSE),"")</f>
        <v/>
      </c>
      <c r="J138" s="20">
        <f>IFERROR(VLOOKUP(D138,XPMenu!$A:$F,3,FALSE),"")</f>
        <v/>
      </c>
      <c r="K138" s="20">
        <f>IFERROR(VLOOKUP(D138,XPMenu!$A:$F,4,FALSE),"")</f>
        <v/>
      </c>
      <c r="L138" s="20" t="n"/>
      <c r="M138" s="20">
        <f>IF(A138="","",IF(F138&lt;&gt;"Yes",0,IF(L138&lt;&gt;"",L138,E138*K138)))</f>
        <v/>
      </c>
      <c r="N138" s="20">
        <f>IF($A138="","",$A138-WEEKDAY($A138,2)+1)</f>
        <v/>
      </c>
      <c r="O138" s="20">
        <f>IF($A138="","",TEXT($A138,"yyyy-mm"))</f>
        <v/>
      </c>
      <c r="P138" s="21">
        <f>IF($A138="","",TEXT(YEAR($A138),"0000")&amp;"-Q"&amp;ROUNDUP(MONTH($A138)/3,0))</f>
        <v/>
      </c>
    </row>
    <row r="139">
      <c r="A139" s="22" t="n"/>
      <c r="B139" s="20" t="n"/>
      <c r="C139" s="20" t="n"/>
      <c r="D139" s="20">
        <f>IFERROR(INDEX(XPMenu!$A$2:$A$1000, MATCH(C139, XPMenu!$B$2:$B$1000, 0)), "")</f>
        <v/>
      </c>
      <c r="E139" s="20" t="n"/>
      <c r="F139" s="20" t="n"/>
      <c r="G139" s="20" t="n"/>
      <c r="H139" s="20" t="n"/>
      <c r="I139" s="20">
        <f>IFERROR(VLOOKUP(D139,XPMenu!$A:$F,2,FALSE),"")</f>
        <v/>
      </c>
      <c r="J139" s="20">
        <f>IFERROR(VLOOKUP(D139,XPMenu!$A:$F,3,FALSE),"")</f>
        <v/>
      </c>
      <c r="K139" s="20">
        <f>IFERROR(VLOOKUP(D139,XPMenu!$A:$F,4,FALSE),"")</f>
        <v/>
      </c>
      <c r="L139" s="20" t="n"/>
      <c r="M139" s="20">
        <f>IF(A139="","",IF(F139&lt;&gt;"Yes",0,IF(L139&lt;&gt;"",L139,E139*K139)))</f>
        <v/>
      </c>
      <c r="N139" s="20">
        <f>IF($A139="","",$A139-WEEKDAY($A139,2)+1)</f>
        <v/>
      </c>
      <c r="O139" s="20">
        <f>IF($A139="","",TEXT($A139,"yyyy-mm"))</f>
        <v/>
      </c>
      <c r="P139" s="21">
        <f>IF($A139="","",TEXT(YEAR($A139),"0000")&amp;"-Q"&amp;ROUNDUP(MONTH($A139)/3,0))</f>
        <v/>
      </c>
    </row>
    <row r="140">
      <c r="A140" s="22" t="n"/>
      <c r="B140" s="20" t="n"/>
      <c r="C140" s="20" t="n"/>
      <c r="D140" s="20">
        <f>IFERROR(INDEX(XPMenu!$A$2:$A$1000, MATCH(C140, XPMenu!$B$2:$B$1000, 0)), "")</f>
        <v/>
      </c>
      <c r="E140" s="20" t="n"/>
      <c r="F140" s="20" t="n"/>
      <c r="G140" s="20" t="n"/>
      <c r="H140" s="20" t="n"/>
      <c r="I140" s="20">
        <f>IFERROR(VLOOKUP(D140,XPMenu!$A:$F,2,FALSE),"")</f>
        <v/>
      </c>
      <c r="J140" s="20">
        <f>IFERROR(VLOOKUP(D140,XPMenu!$A:$F,3,FALSE),"")</f>
        <v/>
      </c>
      <c r="K140" s="20">
        <f>IFERROR(VLOOKUP(D140,XPMenu!$A:$F,4,FALSE),"")</f>
        <v/>
      </c>
      <c r="L140" s="20" t="n"/>
      <c r="M140" s="20">
        <f>IF(A140="","",IF(F140&lt;&gt;"Yes",0,IF(L140&lt;&gt;"",L140,E140*K140)))</f>
        <v/>
      </c>
      <c r="N140" s="20">
        <f>IF($A140="","",$A140-WEEKDAY($A140,2)+1)</f>
        <v/>
      </c>
      <c r="O140" s="20">
        <f>IF($A140="","",TEXT($A140,"yyyy-mm"))</f>
        <v/>
      </c>
      <c r="P140" s="21">
        <f>IF($A140="","",TEXT(YEAR($A140),"0000")&amp;"-Q"&amp;ROUNDUP(MONTH($A140)/3,0))</f>
        <v/>
      </c>
    </row>
    <row r="141">
      <c r="A141" s="22" t="n"/>
      <c r="B141" s="20" t="n"/>
      <c r="C141" s="20" t="n"/>
      <c r="D141" s="20">
        <f>IFERROR(INDEX(XPMenu!$A$2:$A$1000, MATCH(C141, XPMenu!$B$2:$B$1000, 0)), "")</f>
        <v/>
      </c>
      <c r="E141" s="20" t="n"/>
      <c r="F141" s="20" t="n"/>
      <c r="G141" s="20" t="n"/>
      <c r="H141" s="20" t="n"/>
      <c r="I141" s="20">
        <f>IFERROR(VLOOKUP(D141,XPMenu!$A:$F,2,FALSE),"")</f>
        <v/>
      </c>
      <c r="J141" s="20">
        <f>IFERROR(VLOOKUP(D141,XPMenu!$A:$F,3,FALSE),"")</f>
        <v/>
      </c>
      <c r="K141" s="20">
        <f>IFERROR(VLOOKUP(D141,XPMenu!$A:$F,4,FALSE),"")</f>
        <v/>
      </c>
      <c r="L141" s="20" t="n"/>
      <c r="M141" s="20">
        <f>IF(A141="","",IF(F141&lt;&gt;"Yes",0,IF(L141&lt;&gt;"",L141,E141*K141)))</f>
        <v/>
      </c>
      <c r="N141" s="20">
        <f>IF($A141="","",$A141-WEEKDAY($A141,2)+1)</f>
        <v/>
      </c>
      <c r="O141" s="20">
        <f>IF($A141="","",TEXT($A141,"yyyy-mm"))</f>
        <v/>
      </c>
      <c r="P141" s="21">
        <f>IF($A141="","",TEXT(YEAR($A141),"0000")&amp;"-Q"&amp;ROUNDUP(MONTH($A141)/3,0))</f>
        <v/>
      </c>
    </row>
    <row r="142">
      <c r="A142" s="22" t="n"/>
      <c r="B142" s="20" t="n"/>
      <c r="C142" s="20" t="n"/>
      <c r="D142" s="20">
        <f>IFERROR(INDEX(XPMenu!$A$2:$A$1000, MATCH(C142, XPMenu!$B$2:$B$1000, 0)), "")</f>
        <v/>
      </c>
      <c r="E142" s="20" t="n"/>
      <c r="F142" s="20" t="n"/>
      <c r="G142" s="20" t="n"/>
      <c r="H142" s="20" t="n"/>
      <c r="I142" s="20">
        <f>IFERROR(VLOOKUP(D142,XPMenu!$A:$F,2,FALSE),"")</f>
        <v/>
      </c>
      <c r="J142" s="20">
        <f>IFERROR(VLOOKUP(D142,XPMenu!$A:$F,3,FALSE),"")</f>
        <v/>
      </c>
      <c r="K142" s="20">
        <f>IFERROR(VLOOKUP(D142,XPMenu!$A:$F,4,FALSE),"")</f>
        <v/>
      </c>
      <c r="L142" s="20" t="n"/>
      <c r="M142" s="20">
        <f>IF(A142="","",IF(F142&lt;&gt;"Yes",0,IF(L142&lt;&gt;"",L142,E142*K142)))</f>
        <v/>
      </c>
      <c r="N142" s="20">
        <f>IF($A142="","",$A142-WEEKDAY($A142,2)+1)</f>
        <v/>
      </c>
      <c r="O142" s="20">
        <f>IF($A142="","",TEXT($A142,"yyyy-mm"))</f>
        <v/>
      </c>
      <c r="P142" s="21">
        <f>IF($A142="","",TEXT(YEAR($A142),"0000")&amp;"-Q"&amp;ROUNDUP(MONTH($A142)/3,0))</f>
        <v/>
      </c>
    </row>
    <row r="143">
      <c r="A143" s="22" t="n"/>
      <c r="B143" s="20" t="n"/>
      <c r="C143" s="20" t="n"/>
      <c r="D143" s="20">
        <f>IFERROR(INDEX(XPMenu!$A$2:$A$1000, MATCH(C143, XPMenu!$B$2:$B$1000, 0)), "")</f>
        <v/>
      </c>
      <c r="E143" s="20" t="n"/>
      <c r="F143" s="20" t="n"/>
      <c r="G143" s="20" t="n"/>
      <c r="H143" s="20" t="n"/>
      <c r="I143" s="20">
        <f>IFERROR(VLOOKUP(D143,XPMenu!$A:$F,2,FALSE),"")</f>
        <v/>
      </c>
      <c r="J143" s="20">
        <f>IFERROR(VLOOKUP(D143,XPMenu!$A:$F,3,FALSE),"")</f>
        <v/>
      </c>
      <c r="K143" s="20">
        <f>IFERROR(VLOOKUP(D143,XPMenu!$A:$F,4,FALSE),"")</f>
        <v/>
      </c>
      <c r="L143" s="20" t="n"/>
      <c r="M143" s="20">
        <f>IF(A143="","",IF(F143&lt;&gt;"Yes",0,IF(L143&lt;&gt;"",L143,E143*K143)))</f>
        <v/>
      </c>
      <c r="N143" s="20">
        <f>IF($A143="","",$A143-WEEKDAY($A143,2)+1)</f>
        <v/>
      </c>
      <c r="O143" s="20">
        <f>IF($A143="","",TEXT($A143,"yyyy-mm"))</f>
        <v/>
      </c>
      <c r="P143" s="21">
        <f>IF($A143="","",TEXT(YEAR($A143),"0000")&amp;"-Q"&amp;ROUNDUP(MONTH($A143)/3,0))</f>
        <v/>
      </c>
    </row>
    <row r="144">
      <c r="A144" s="22" t="n"/>
      <c r="B144" s="20" t="n"/>
      <c r="C144" s="20" t="n"/>
      <c r="D144" s="20">
        <f>IFERROR(INDEX(XPMenu!$A$2:$A$1000, MATCH(C144, XPMenu!$B$2:$B$1000, 0)), "")</f>
        <v/>
      </c>
      <c r="E144" s="20" t="n"/>
      <c r="F144" s="20" t="n"/>
      <c r="G144" s="20" t="n"/>
      <c r="H144" s="20" t="n"/>
      <c r="I144" s="20">
        <f>IFERROR(VLOOKUP(D144,XPMenu!$A:$F,2,FALSE),"")</f>
        <v/>
      </c>
      <c r="J144" s="20">
        <f>IFERROR(VLOOKUP(D144,XPMenu!$A:$F,3,FALSE),"")</f>
        <v/>
      </c>
      <c r="K144" s="20">
        <f>IFERROR(VLOOKUP(D144,XPMenu!$A:$F,4,FALSE),"")</f>
        <v/>
      </c>
      <c r="L144" s="20" t="n"/>
      <c r="M144" s="20">
        <f>IF(A144="","",IF(F144&lt;&gt;"Yes",0,IF(L144&lt;&gt;"",L144,E144*K144)))</f>
        <v/>
      </c>
      <c r="N144" s="20">
        <f>IF($A144="","",$A144-WEEKDAY($A144,2)+1)</f>
        <v/>
      </c>
      <c r="O144" s="20">
        <f>IF($A144="","",TEXT($A144,"yyyy-mm"))</f>
        <v/>
      </c>
      <c r="P144" s="21">
        <f>IF($A144="","",TEXT(YEAR($A144),"0000")&amp;"-Q"&amp;ROUNDUP(MONTH($A144)/3,0))</f>
        <v/>
      </c>
    </row>
    <row r="145">
      <c r="A145" s="22" t="n"/>
      <c r="B145" s="20" t="n"/>
      <c r="C145" s="20" t="n"/>
      <c r="D145" s="20">
        <f>IFERROR(INDEX(XPMenu!$A$2:$A$1000, MATCH(C145, XPMenu!$B$2:$B$1000, 0)), "")</f>
        <v/>
      </c>
      <c r="E145" s="20" t="n"/>
      <c r="F145" s="20" t="n"/>
      <c r="G145" s="20" t="n"/>
      <c r="H145" s="20" t="n"/>
      <c r="I145" s="20">
        <f>IFERROR(VLOOKUP(D145,XPMenu!$A:$F,2,FALSE),"")</f>
        <v/>
      </c>
      <c r="J145" s="20">
        <f>IFERROR(VLOOKUP(D145,XPMenu!$A:$F,3,FALSE),"")</f>
        <v/>
      </c>
      <c r="K145" s="20">
        <f>IFERROR(VLOOKUP(D145,XPMenu!$A:$F,4,FALSE),"")</f>
        <v/>
      </c>
      <c r="L145" s="20" t="n"/>
      <c r="M145" s="20">
        <f>IF(A145="","",IF(F145&lt;&gt;"Yes",0,IF(L145&lt;&gt;"",L145,E145*K145)))</f>
        <v/>
      </c>
      <c r="N145" s="20">
        <f>IF($A145="","",$A145-WEEKDAY($A145,2)+1)</f>
        <v/>
      </c>
      <c r="O145" s="20">
        <f>IF($A145="","",TEXT($A145,"yyyy-mm"))</f>
        <v/>
      </c>
      <c r="P145" s="21">
        <f>IF($A145="","",TEXT(YEAR($A145),"0000")&amp;"-Q"&amp;ROUNDUP(MONTH($A145)/3,0))</f>
        <v/>
      </c>
    </row>
    <row r="146">
      <c r="A146" s="22" t="n"/>
      <c r="B146" s="20" t="n"/>
      <c r="C146" s="20" t="n"/>
      <c r="D146" s="20">
        <f>IFERROR(INDEX(XPMenu!$A$2:$A$1000, MATCH(C146, XPMenu!$B$2:$B$1000, 0)), "")</f>
        <v/>
      </c>
      <c r="E146" s="20" t="n"/>
      <c r="F146" s="20" t="n"/>
      <c r="G146" s="20" t="n"/>
      <c r="H146" s="20" t="n"/>
      <c r="I146" s="20">
        <f>IFERROR(VLOOKUP(D146,XPMenu!$A:$F,2,FALSE),"")</f>
        <v/>
      </c>
      <c r="J146" s="20">
        <f>IFERROR(VLOOKUP(D146,XPMenu!$A:$F,3,FALSE),"")</f>
        <v/>
      </c>
      <c r="K146" s="20">
        <f>IFERROR(VLOOKUP(D146,XPMenu!$A:$F,4,FALSE),"")</f>
        <v/>
      </c>
      <c r="L146" s="20" t="n"/>
      <c r="M146" s="20">
        <f>IF(A146="","",IF(F146&lt;&gt;"Yes",0,IF(L146&lt;&gt;"",L146,E146*K146)))</f>
        <v/>
      </c>
      <c r="N146" s="20">
        <f>IF($A146="","",$A146-WEEKDAY($A146,2)+1)</f>
        <v/>
      </c>
      <c r="O146" s="20">
        <f>IF($A146="","",TEXT($A146,"yyyy-mm"))</f>
        <v/>
      </c>
      <c r="P146" s="21">
        <f>IF($A146="","",TEXT(YEAR($A146),"0000")&amp;"-Q"&amp;ROUNDUP(MONTH($A146)/3,0))</f>
        <v/>
      </c>
    </row>
    <row r="147">
      <c r="A147" s="22" t="n"/>
      <c r="B147" s="20" t="n"/>
      <c r="C147" s="20" t="n"/>
      <c r="D147" s="20">
        <f>IFERROR(INDEX(XPMenu!$A$2:$A$1000, MATCH(C147, XPMenu!$B$2:$B$1000, 0)), "")</f>
        <v/>
      </c>
      <c r="E147" s="20" t="n"/>
      <c r="F147" s="20" t="n"/>
      <c r="G147" s="20" t="n"/>
      <c r="H147" s="20" t="n"/>
      <c r="I147" s="20">
        <f>IFERROR(VLOOKUP(D147,XPMenu!$A:$F,2,FALSE),"")</f>
        <v/>
      </c>
      <c r="J147" s="20">
        <f>IFERROR(VLOOKUP(D147,XPMenu!$A:$F,3,FALSE),"")</f>
        <v/>
      </c>
      <c r="K147" s="20">
        <f>IFERROR(VLOOKUP(D147,XPMenu!$A:$F,4,FALSE),"")</f>
        <v/>
      </c>
      <c r="L147" s="20" t="n"/>
      <c r="M147" s="20">
        <f>IF(A147="","",IF(F147&lt;&gt;"Yes",0,IF(L147&lt;&gt;"",L147,E147*K147)))</f>
        <v/>
      </c>
      <c r="N147" s="20">
        <f>IF($A147="","",$A147-WEEKDAY($A147,2)+1)</f>
        <v/>
      </c>
      <c r="O147" s="20">
        <f>IF($A147="","",TEXT($A147,"yyyy-mm"))</f>
        <v/>
      </c>
      <c r="P147" s="21">
        <f>IF($A147="","",TEXT(YEAR($A147),"0000")&amp;"-Q"&amp;ROUNDUP(MONTH($A147)/3,0))</f>
        <v/>
      </c>
    </row>
    <row r="148">
      <c r="A148" s="22" t="n"/>
      <c r="B148" s="20" t="n"/>
      <c r="C148" s="20" t="n"/>
      <c r="D148" s="20">
        <f>IFERROR(INDEX(XPMenu!$A$2:$A$1000, MATCH(C148, XPMenu!$B$2:$B$1000, 0)), "")</f>
        <v/>
      </c>
      <c r="E148" s="20" t="n"/>
      <c r="F148" s="20" t="n"/>
      <c r="G148" s="20" t="n"/>
      <c r="H148" s="20" t="n"/>
      <c r="I148" s="20">
        <f>IFERROR(VLOOKUP(D148,XPMenu!$A:$F,2,FALSE),"")</f>
        <v/>
      </c>
      <c r="J148" s="20">
        <f>IFERROR(VLOOKUP(D148,XPMenu!$A:$F,3,FALSE),"")</f>
        <v/>
      </c>
      <c r="K148" s="20">
        <f>IFERROR(VLOOKUP(D148,XPMenu!$A:$F,4,FALSE),"")</f>
        <v/>
      </c>
      <c r="L148" s="20" t="n"/>
      <c r="M148" s="20">
        <f>IF(A148="","",IF(F148&lt;&gt;"Yes",0,IF(L148&lt;&gt;"",L148,E148*K148)))</f>
        <v/>
      </c>
      <c r="N148" s="20">
        <f>IF($A148="","",$A148-WEEKDAY($A148,2)+1)</f>
        <v/>
      </c>
      <c r="O148" s="20">
        <f>IF($A148="","",TEXT($A148,"yyyy-mm"))</f>
        <v/>
      </c>
      <c r="P148" s="21">
        <f>IF($A148="","",TEXT(YEAR($A148),"0000")&amp;"-Q"&amp;ROUNDUP(MONTH($A148)/3,0))</f>
        <v/>
      </c>
    </row>
    <row r="149">
      <c r="A149" s="22" t="n"/>
      <c r="B149" s="20" t="n"/>
      <c r="C149" s="20" t="n"/>
      <c r="D149" s="20">
        <f>IFERROR(INDEX(XPMenu!$A$2:$A$1000, MATCH(C149, XPMenu!$B$2:$B$1000, 0)), "")</f>
        <v/>
      </c>
      <c r="E149" s="20" t="n"/>
      <c r="F149" s="20" t="n"/>
      <c r="G149" s="20" t="n"/>
      <c r="H149" s="20" t="n"/>
      <c r="I149" s="20">
        <f>IFERROR(VLOOKUP(D149,XPMenu!$A:$F,2,FALSE),"")</f>
        <v/>
      </c>
      <c r="J149" s="20">
        <f>IFERROR(VLOOKUP(D149,XPMenu!$A:$F,3,FALSE),"")</f>
        <v/>
      </c>
      <c r="K149" s="20">
        <f>IFERROR(VLOOKUP(D149,XPMenu!$A:$F,4,FALSE),"")</f>
        <v/>
      </c>
      <c r="L149" s="20" t="n"/>
      <c r="M149" s="20">
        <f>IF(A149="","",IF(F149&lt;&gt;"Yes",0,IF(L149&lt;&gt;"",L149,E149*K149)))</f>
        <v/>
      </c>
      <c r="N149" s="20">
        <f>IF($A149="","",$A149-WEEKDAY($A149,2)+1)</f>
        <v/>
      </c>
      <c r="O149" s="20">
        <f>IF($A149="","",TEXT($A149,"yyyy-mm"))</f>
        <v/>
      </c>
      <c r="P149" s="21">
        <f>IF($A149="","",TEXT(YEAR($A149),"0000")&amp;"-Q"&amp;ROUNDUP(MONTH($A149)/3,0))</f>
        <v/>
      </c>
    </row>
    <row r="150">
      <c r="A150" s="22" t="n"/>
      <c r="B150" s="20" t="n"/>
      <c r="C150" s="20" t="n"/>
      <c r="D150" s="20">
        <f>IFERROR(INDEX(XPMenu!$A$2:$A$1000, MATCH(C150, XPMenu!$B$2:$B$1000, 0)), "")</f>
        <v/>
      </c>
      <c r="E150" s="20" t="n"/>
      <c r="F150" s="20" t="n"/>
      <c r="G150" s="20" t="n"/>
      <c r="H150" s="20" t="n"/>
      <c r="I150" s="20">
        <f>IFERROR(VLOOKUP(D150,XPMenu!$A:$F,2,FALSE),"")</f>
        <v/>
      </c>
      <c r="J150" s="20">
        <f>IFERROR(VLOOKUP(D150,XPMenu!$A:$F,3,FALSE),"")</f>
        <v/>
      </c>
      <c r="K150" s="20">
        <f>IFERROR(VLOOKUP(D150,XPMenu!$A:$F,4,FALSE),"")</f>
        <v/>
      </c>
      <c r="L150" s="20" t="n"/>
      <c r="M150" s="20">
        <f>IF(A150="","",IF(F150&lt;&gt;"Yes",0,IF(L150&lt;&gt;"",L150,E150*K150)))</f>
        <v/>
      </c>
      <c r="N150" s="20">
        <f>IF($A150="","",$A150-WEEKDAY($A150,2)+1)</f>
        <v/>
      </c>
      <c r="O150" s="20">
        <f>IF($A150="","",TEXT($A150,"yyyy-mm"))</f>
        <v/>
      </c>
      <c r="P150" s="21">
        <f>IF($A150="","",TEXT(YEAR($A150),"0000")&amp;"-Q"&amp;ROUNDUP(MONTH($A150)/3,0))</f>
        <v/>
      </c>
    </row>
    <row r="151">
      <c r="A151" s="22" t="n"/>
      <c r="B151" s="20" t="n"/>
      <c r="C151" s="20" t="n"/>
      <c r="D151" s="20">
        <f>IFERROR(INDEX(XPMenu!$A$2:$A$1000, MATCH(C151, XPMenu!$B$2:$B$1000, 0)), "")</f>
        <v/>
      </c>
      <c r="E151" s="20" t="n"/>
      <c r="F151" s="20" t="n"/>
      <c r="G151" s="20" t="n"/>
      <c r="H151" s="20" t="n"/>
      <c r="I151" s="20">
        <f>IFERROR(VLOOKUP(D151,XPMenu!$A:$F,2,FALSE),"")</f>
        <v/>
      </c>
      <c r="J151" s="20">
        <f>IFERROR(VLOOKUP(D151,XPMenu!$A:$F,3,FALSE),"")</f>
        <v/>
      </c>
      <c r="K151" s="20">
        <f>IFERROR(VLOOKUP(D151,XPMenu!$A:$F,4,FALSE),"")</f>
        <v/>
      </c>
      <c r="L151" s="20" t="n"/>
      <c r="M151" s="20">
        <f>IF(A151="","",IF(F151&lt;&gt;"Yes",0,IF(L151&lt;&gt;"",L151,E151*K151)))</f>
        <v/>
      </c>
      <c r="N151" s="20">
        <f>IF($A151="","",$A151-WEEKDAY($A151,2)+1)</f>
        <v/>
      </c>
      <c r="O151" s="20">
        <f>IF($A151="","",TEXT($A151,"yyyy-mm"))</f>
        <v/>
      </c>
      <c r="P151" s="21">
        <f>IF($A151="","",TEXT(YEAR($A151),"0000")&amp;"-Q"&amp;ROUNDUP(MONTH($A151)/3,0))</f>
        <v/>
      </c>
    </row>
    <row r="152">
      <c r="A152" s="22" t="n"/>
      <c r="B152" s="20" t="n"/>
      <c r="C152" s="20" t="n"/>
      <c r="D152" s="20">
        <f>IFERROR(INDEX(XPMenu!$A$2:$A$1000, MATCH(C152, XPMenu!$B$2:$B$1000, 0)), "")</f>
        <v/>
      </c>
      <c r="E152" s="20" t="n"/>
      <c r="F152" s="20" t="n"/>
      <c r="G152" s="20" t="n"/>
      <c r="H152" s="20" t="n"/>
      <c r="I152" s="20">
        <f>IFERROR(VLOOKUP(D152,XPMenu!$A:$F,2,FALSE),"")</f>
        <v/>
      </c>
      <c r="J152" s="20">
        <f>IFERROR(VLOOKUP(D152,XPMenu!$A:$F,3,FALSE),"")</f>
        <v/>
      </c>
      <c r="K152" s="20">
        <f>IFERROR(VLOOKUP(D152,XPMenu!$A:$F,4,FALSE),"")</f>
        <v/>
      </c>
      <c r="L152" s="20" t="n"/>
      <c r="M152" s="20">
        <f>IF(A152="","",IF(F152&lt;&gt;"Yes",0,IF(L152&lt;&gt;"",L152,E152*K152)))</f>
        <v/>
      </c>
      <c r="N152" s="20">
        <f>IF($A152="","",$A152-WEEKDAY($A152,2)+1)</f>
        <v/>
      </c>
      <c r="O152" s="20">
        <f>IF($A152="","",TEXT($A152,"yyyy-mm"))</f>
        <v/>
      </c>
      <c r="P152" s="21">
        <f>IF($A152="","",TEXT(YEAR($A152),"0000")&amp;"-Q"&amp;ROUNDUP(MONTH($A152)/3,0))</f>
        <v/>
      </c>
    </row>
    <row r="153">
      <c r="A153" s="22" t="n"/>
      <c r="B153" s="20" t="n"/>
      <c r="C153" s="20" t="n"/>
      <c r="D153" s="20">
        <f>IFERROR(INDEX(XPMenu!$A$2:$A$1000, MATCH(C153, XPMenu!$B$2:$B$1000, 0)), "")</f>
        <v/>
      </c>
      <c r="E153" s="20" t="n"/>
      <c r="F153" s="20" t="n"/>
      <c r="G153" s="20" t="n"/>
      <c r="H153" s="20" t="n"/>
      <c r="I153" s="20">
        <f>IFERROR(VLOOKUP(D153,XPMenu!$A:$F,2,FALSE),"")</f>
        <v/>
      </c>
      <c r="J153" s="20">
        <f>IFERROR(VLOOKUP(D153,XPMenu!$A:$F,3,FALSE),"")</f>
        <v/>
      </c>
      <c r="K153" s="20">
        <f>IFERROR(VLOOKUP(D153,XPMenu!$A:$F,4,FALSE),"")</f>
        <v/>
      </c>
      <c r="L153" s="20" t="n"/>
      <c r="M153" s="20">
        <f>IF(A153="","",IF(F153&lt;&gt;"Yes",0,IF(L153&lt;&gt;"",L153,E153*K153)))</f>
        <v/>
      </c>
      <c r="N153" s="20">
        <f>IF($A153="","",$A153-WEEKDAY($A153,2)+1)</f>
        <v/>
      </c>
      <c r="O153" s="20">
        <f>IF($A153="","",TEXT($A153,"yyyy-mm"))</f>
        <v/>
      </c>
      <c r="P153" s="21">
        <f>IF($A153="","",TEXT(YEAR($A153),"0000")&amp;"-Q"&amp;ROUNDUP(MONTH($A153)/3,0))</f>
        <v/>
      </c>
    </row>
    <row r="154">
      <c r="A154" s="22" t="n"/>
      <c r="B154" s="20" t="n"/>
      <c r="C154" s="20" t="n"/>
      <c r="D154" s="20">
        <f>IFERROR(INDEX(XPMenu!$A$2:$A$1000, MATCH(C154, XPMenu!$B$2:$B$1000, 0)), "")</f>
        <v/>
      </c>
      <c r="E154" s="20" t="n"/>
      <c r="F154" s="20" t="n"/>
      <c r="G154" s="20" t="n"/>
      <c r="H154" s="20" t="n"/>
      <c r="I154" s="20">
        <f>IFERROR(VLOOKUP(D154,XPMenu!$A:$F,2,FALSE),"")</f>
        <v/>
      </c>
      <c r="J154" s="20">
        <f>IFERROR(VLOOKUP(D154,XPMenu!$A:$F,3,FALSE),"")</f>
        <v/>
      </c>
      <c r="K154" s="20">
        <f>IFERROR(VLOOKUP(D154,XPMenu!$A:$F,4,FALSE),"")</f>
        <v/>
      </c>
      <c r="L154" s="20" t="n"/>
      <c r="M154" s="20">
        <f>IF(A154="","",IF(F154&lt;&gt;"Yes",0,IF(L154&lt;&gt;"",L154,E154*K154)))</f>
        <v/>
      </c>
      <c r="N154" s="20">
        <f>IF($A154="","",$A154-WEEKDAY($A154,2)+1)</f>
        <v/>
      </c>
      <c r="O154" s="20">
        <f>IF($A154="","",TEXT($A154,"yyyy-mm"))</f>
        <v/>
      </c>
      <c r="P154" s="21">
        <f>IF($A154="","",TEXT(YEAR($A154),"0000")&amp;"-Q"&amp;ROUNDUP(MONTH($A154)/3,0))</f>
        <v/>
      </c>
    </row>
    <row r="155">
      <c r="A155" s="22" t="n"/>
      <c r="B155" s="20" t="n"/>
      <c r="C155" s="20" t="n"/>
      <c r="D155" s="20">
        <f>IFERROR(INDEX(XPMenu!$A$2:$A$1000, MATCH(C155, XPMenu!$B$2:$B$1000, 0)), "")</f>
        <v/>
      </c>
      <c r="E155" s="20" t="n"/>
      <c r="F155" s="20" t="n"/>
      <c r="G155" s="20" t="n"/>
      <c r="H155" s="20" t="n"/>
      <c r="I155" s="20">
        <f>IFERROR(VLOOKUP(D155,XPMenu!$A:$F,2,FALSE),"")</f>
        <v/>
      </c>
      <c r="J155" s="20">
        <f>IFERROR(VLOOKUP(D155,XPMenu!$A:$F,3,FALSE),"")</f>
        <v/>
      </c>
      <c r="K155" s="20">
        <f>IFERROR(VLOOKUP(D155,XPMenu!$A:$F,4,FALSE),"")</f>
        <v/>
      </c>
      <c r="L155" s="20" t="n"/>
      <c r="M155" s="20">
        <f>IF(A155="","",IF(F155&lt;&gt;"Yes",0,IF(L155&lt;&gt;"",L155,E155*K155)))</f>
        <v/>
      </c>
      <c r="N155" s="20">
        <f>IF($A155="","",$A155-WEEKDAY($A155,2)+1)</f>
        <v/>
      </c>
      <c r="O155" s="20">
        <f>IF($A155="","",TEXT($A155,"yyyy-mm"))</f>
        <v/>
      </c>
      <c r="P155" s="21">
        <f>IF($A155="","",TEXT(YEAR($A155),"0000")&amp;"-Q"&amp;ROUNDUP(MONTH($A155)/3,0))</f>
        <v/>
      </c>
    </row>
    <row r="156">
      <c r="A156" s="22" t="n"/>
      <c r="B156" s="20" t="n"/>
      <c r="C156" s="20" t="n"/>
      <c r="D156" s="20">
        <f>IFERROR(INDEX(XPMenu!$A$2:$A$1000, MATCH(C156, XPMenu!$B$2:$B$1000, 0)), "")</f>
        <v/>
      </c>
      <c r="E156" s="20" t="n"/>
      <c r="F156" s="20" t="n"/>
      <c r="G156" s="20" t="n"/>
      <c r="H156" s="20" t="n"/>
      <c r="I156" s="20">
        <f>IFERROR(VLOOKUP(D156,XPMenu!$A:$F,2,FALSE),"")</f>
        <v/>
      </c>
      <c r="J156" s="20">
        <f>IFERROR(VLOOKUP(D156,XPMenu!$A:$F,3,FALSE),"")</f>
        <v/>
      </c>
      <c r="K156" s="20">
        <f>IFERROR(VLOOKUP(D156,XPMenu!$A:$F,4,FALSE),"")</f>
        <v/>
      </c>
      <c r="L156" s="20" t="n"/>
      <c r="M156" s="20">
        <f>IF(A156="","",IF(F156&lt;&gt;"Yes",0,IF(L156&lt;&gt;"",L156,E156*K156)))</f>
        <v/>
      </c>
      <c r="N156" s="20">
        <f>IF($A156="","",$A156-WEEKDAY($A156,2)+1)</f>
        <v/>
      </c>
      <c r="O156" s="20">
        <f>IF($A156="","",TEXT($A156,"yyyy-mm"))</f>
        <v/>
      </c>
      <c r="P156" s="21">
        <f>IF($A156="","",TEXT(YEAR($A156),"0000")&amp;"-Q"&amp;ROUNDUP(MONTH($A156)/3,0))</f>
        <v/>
      </c>
    </row>
    <row r="157">
      <c r="A157" s="22" t="n"/>
      <c r="B157" s="20" t="n"/>
      <c r="C157" s="20" t="n"/>
      <c r="D157" s="20">
        <f>IFERROR(INDEX(XPMenu!$A$2:$A$1000, MATCH(C157, XPMenu!$B$2:$B$1000, 0)), "")</f>
        <v/>
      </c>
      <c r="E157" s="20" t="n"/>
      <c r="F157" s="20" t="n"/>
      <c r="G157" s="20" t="n"/>
      <c r="H157" s="20" t="n"/>
      <c r="I157" s="20">
        <f>IFERROR(VLOOKUP(D157,XPMenu!$A:$F,2,FALSE),"")</f>
        <v/>
      </c>
      <c r="J157" s="20">
        <f>IFERROR(VLOOKUP(D157,XPMenu!$A:$F,3,FALSE),"")</f>
        <v/>
      </c>
      <c r="K157" s="20">
        <f>IFERROR(VLOOKUP(D157,XPMenu!$A:$F,4,FALSE),"")</f>
        <v/>
      </c>
      <c r="L157" s="20" t="n"/>
      <c r="M157" s="20">
        <f>IF(A157="","",IF(F157&lt;&gt;"Yes",0,IF(L157&lt;&gt;"",L157,E157*K157)))</f>
        <v/>
      </c>
      <c r="N157" s="20">
        <f>IF($A157="","",$A157-WEEKDAY($A157,2)+1)</f>
        <v/>
      </c>
      <c r="O157" s="20">
        <f>IF($A157="","",TEXT($A157,"yyyy-mm"))</f>
        <v/>
      </c>
      <c r="P157" s="21">
        <f>IF($A157="","",TEXT(YEAR($A157),"0000")&amp;"-Q"&amp;ROUNDUP(MONTH($A157)/3,0))</f>
        <v/>
      </c>
    </row>
    <row r="158">
      <c r="A158" s="22" t="n"/>
      <c r="B158" s="20" t="n"/>
      <c r="C158" s="20" t="n"/>
      <c r="D158" s="20">
        <f>IFERROR(INDEX(XPMenu!$A$2:$A$1000, MATCH(C158, XPMenu!$B$2:$B$1000, 0)), "")</f>
        <v/>
      </c>
      <c r="E158" s="20" t="n"/>
      <c r="F158" s="20" t="n"/>
      <c r="G158" s="20" t="n"/>
      <c r="H158" s="20" t="n"/>
      <c r="I158" s="20">
        <f>IFERROR(VLOOKUP(D158,XPMenu!$A:$F,2,FALSE),"")</f>
        <v/>
      </c>
      <c r="J158" s="20">
        <f>IFERROR(VLOOKUP(D158,XPMenu!$A:$F,3,FALSE),"")</f>
        <v/>
      </c>
      <c r="K158" s="20">
        <f>IFERROR(VLOOKUP(D158,XPMenu!$A:$F,4,FALSE),"")</f>
        <v/>
      </c>
      <c r="L158" s="20" t="n"/>
      <c r="M158" s="20">
        <f>IF(A158="","",IF(F158&lt;&gt;"Yes",0,IF(L158&lt;&gt;"",L158,E158*K158)))</f>
        <v/>
      </c>
      <c r="N158" s="20">
        <f>IF($A158="","",$A158-WEEKDAY($A158,2)+1)</f>
        <v/>
      </c>
      <c r="O158" s="20">
        <f>IF($A158="","",TEXT($A158,"yyyy-mm"))</f>
        <v/>
      </c>
      <c r="P158" s="21">
        <f>IF($A158="","",TEXT(YEAR($A158),"0000")&amp;"-Q"&amp;ROUNDUP(MONTH($A158)/3,0))</f>
        <v/>
      </c>
    </row>
    <row r="159">
      <c r="A159" s="22" t="n"/>
      <c r="B159" s="20" t="n"/>
      <c r="C159" s="20" t="n"/>
      <c r="D159" s="20">
        <f>IFERROR(INDEX(XPMenu!$A$2:$A$1000, MATCH(C159, XPMenu!$B$2:$B$1000, 0)), "")</f>
        <v/>
      </c>
      <c r="E159" s="20" t="n"/>
      <c r="F159" s="20" t="n"/>
      <c r="G159" s="20" t="n"/>
      <c r="H159" s="20" t="n"/>
      <c r="I159" s="20">
        <f>IFERROR(VLOOKUP(D159,XPMenu!$A:$F,2,FALSE),"")</f>
        <v/>
      </c>
      <c r="J159" s="20">
        <f>IFERROR(VLOOKUP(D159,XPMenu!$A:$F,3,FALSE),"")</f>
        <v/>
      </c>
      <c r="K159" s="20">
        <f>IFERROR(VLOOKUP(D159,XPMenu!$A:$F,4,FALSE),"")</f>
        <v/>
      </c>
      <c r="L159" s="20" t="n"/>
      <c r="M159" s="20">
        <f>IF(A159="","",IF(F159&lt;&gt;"Yes",0,IF(L159&lt;&gt;"",L159,E159*K159)))</f>
        <v/>
      </c>
      <c r="N159" s="20">
        <f>IF($A159="","",$A159-WEEKDAY($A159,2)+1)</f>
        <v/>
      </c>
      <c r="O159" s="20">
        <f>IF($A159="","",TEXT($A159,"yyyy-mm"))</f>
        <v/>
      </c>
      <c r="P159" s="21">
        <f>IF($A159="","",TEXT(YEAR($A159),"0000")&amp;"-Q"&amp;ROUNDUP(MONTH($A159)/3,0))</f>
        <v/>
      </c>
    </row>
    <row r="160">
      <c r="A160" s="22" t="n"/>
      <c r="B160" s="20" t="n"/>
      <c r="C160" s="20" t="n"/>
      <c r="D160" s="20">
        <f>IFERROR(INDEX(XPMenu!$A$2:$A$1000, MATCH(C160, XPMenu!$B$2:$B$1000, 0)), "")</f>
        <v/>
      </c>
      <c r="E160" s="20" t="n"/>
      <c r="F160" s="20" t="n"/>
      <c r="G160" s="20" t="n"/>
      <c r="H160" s="20" t="n"/>
      <c r="I160" s="20">
        <f>IFERROR(VLOOKUP(D160,XPMenu!$A:$F,2,FALSE),"")</f>
        <v/>
      </c>
      <c r="J160" s="20">
        <f>IFERROR(VLOOKUP(D160,XPMenu!$A:$F,3,FALSE),"")</f>
        <v/>
      </c>
      <c r="K160" s="20">
        <f>IFERROR(VLOOKUP(D160,XPMenu!$A:$F,4,FALSE),"")</f>
        <v/>
      </c>
      <c r="L160" s="20" t="n"/>
      <c r="M160" s="20">
        <f>IF(A160="","",IF(F160&lt;&gt;"Yes",0,IF(L160&lt;&gt;"",L160,E160*K160)))</f>
        <v/>
      </c>
      <c r="N160" s="20">
        <f>IF($A160="","",$A160-WEEKDAY($A160,2)+1)</f>
        <v/>
      </c>
      <c r="O160" s="20">
        <f>IF($A160="","",TEXT($A160,"yyyy-mm"))</f>
        <v/>
      </c>
      <c r="P160" s="21">
        <f>IF($A160="","",TEXT(YEAR($A160),"0000")&amp;"-Q"&amp;ROUNDUP(MONTH($A160)/3,0))</f>
        <v/>
      </c>
    </row>
    <row r="161">
      <c r="A161" s="22" t="n"/>
      <c r="B161" s="20" t="n"/>
      <c r="C161" s="20" t="n"/>
      <c r="D161" s="20">
        <f>IFERROR(INDEX(XPMenu!$A$2:$A$1000, MATCH(C161, XPMenu!$B$2:$B$1000, 0)), "")</f>
        <v/>
      </c>
      <c r="E161" s="20" t="n"/>
      <c r="F161" s="20" t="n"/>
      <c r="G161" s="20" t="n"/>
      <c r="H161" s="20" t="n"/>
      <c r="I161" s="20">
        <f>IFERROR(VLOOKUP(D161,XPMenu!$A:$F,2,FALSE),"")</f>
        <v/>
      </c>
      <c r="J161" s="20">
        <f>IFERROR(VLOOKUP(D161,XPMenu!$A:$F,3,FALSE),"")</f>
        <v/>
      </c>
      <c r="K161" s="20">
        <f>IFERROR(VLOOKUP(D161,XPMenu!$A:$F,4,FALSE),"")</f>
        <v/>
      </c>
      <c r="L161" s="20" t="n"/>
      <c r="M161" s="20">
        <f>IF(A161="","",IF(F161&lt;&gt;"Yes",0,IF(L161&lt;&gt;"",L161,E161*K161)))</f>
        <v/>
      </c>
      <c r="N161" s="20">
        <f>IF($A161="","",$A161-WEEKDAY($A161,2)+1)</f>
        <v/>
      </c>
      <c r="O161" s="20">
        <f>IF($A161="","",TEXT($A161,"yyyy-mm"))</f>
        <v/>
      </c>
      <c r="P161" s="21">
        <f>IF($A161="","",TEXT(YEAR($A161),"0000")&amp;"-Q"&amp;ROUNDUP(MONTH($A161)/3,0))</f>
        <v/>
      </c>
    </row>
    <row r="162">
      <c r="A162" s="22" t="n"/>
      <c r="B162" s="20" t="n"/>
      <c r="C162" s="20" t="n"/>
      <c r="D162" s="20">
        <f>IFERROR(INDEX(XPMenu!$A$2:$A$1000, MATCH(C162, XPMenu!$B$2:$B$1000, 0)), "")</f>
        <v/>
      </c>
      <c r="E162" s="20" t="n"/>
      <c r="F162" s="20" t="n"/>
      <c r="G162" s="20" t="n"/>
      <c r="H162" s="20" t="n"/>
      <c r="I162" s="20">
        <f>IFERROR(VLOOKUP(D162,XPMenu!$A:$F,2,FALSE),"")</f>
        <v/>
      </c>
      <c r="J162" s="20">
        <f>IFERROR(VLOOKUP(D162,XPMenu!$A:$F,3,FALSE),"")</f>
        <v/>
      </c>
      <c r="K162" s="20">
        <f>IFERROR(VLOOKUP(D162,XPMenu!$A:$F,4,FALSE),"")</f>
        <v/>
      </c>
      <c r="L162" s="20" t="n"/>
      <c r="M162" s="20">
        <f>IF(A162="","",IF(F162&lt;&gt;"Yes",0,IF(L162&lt;&gt;"",L162,E162*K162)))</f>
        <v/>
      </c>
      <c r="N162" s="20">
        <f>IF($A162="","",$A162-WEEKDAY($A162,2)+1)</f>
        <v/>
      </c>
      <c r="O162" s="20">
        <f>IF($A162="","",TEXT($A162,"yyyy-mm"))</f>
        <v/>
      </c>
      <c r="P162" s="21">
        <f>IF($A162="","",TEXT(YEAR($A162),"0000")&amp;"-Q"&amp;ROUNDUP(MONTH($A162)/3,0))</f>
        <v/>
      </c>
    </row>
    <row r="163">
      <c r="A163" s="22" t="n"/>
      <c r="B163" s="20" t="n"/>
      <c r="C163" s="20" t="n"/>
      <c r="D163" s="20">
        <f>IFERROR(INDEX(XPMenu!$A$2:$A$1000, MATCH(C163, XPMenu!$B$2:$B$1000, 0)), "")</f>
        <v/>
      </c>
      <c r="E163" s="20" t="n"/>
      <c r="F163" s="20" t="n"/>
      <c r="G163" s="20" t="n"/>
      <c r="H163" s="20" t="n"/>
      <c r="I163" s="20">
        <f>IFERROR(VLOOKUP(D163,XPMenu!$A:$F,2,FALSE),"")</f>
        <v/>
      </c>
      <c r="J163" s="20">
        <f>IFERROR(VLOOKUP(D163,XPMenu!$A:$F,3,FALSE),"")</f>
        <v/>
      </c>
      <c r="K163" s="20">
        <f>IFERROR(VLOOKUP(D163,XPMenu!$A:$F,4,FALSE),"")</f>
        <v/>
      </c>
      <c r="L163" s="20" t="n"/>
      <c r="M163" s="20">
        <f>IF(A163="","",IF(F163&lt;&gt;"Yes",0,IF(L163&lt;&gt;"",L163,E163*K163)))</f>
        <v/>
      </c>
      <c r="N163" s="20">
        <f>IF($A163="","",$A163-WEEKDAY($A163,2)+1)</f>
        <v/>
      </c>
      <c r="O163" s="20">
        <f>IF($A163="","",TEXT($A163,"yyyy-mm"))</f>
        <v/>
      </c>
      <c r="P163" s="21">
        <f>IF($A163="","",TEXT(YEAR($A163),"0000")&amp;"-Q"&amp;ROUNDUP(MONTH($A163)/3,0))</f>
        <v/>
      </c>
    </row>
    <row r="164">
      <c r="A164" s="22" t="n"/>
      <c r="B164" s="20" t="n"/>
      <c r="C164" s="20" t="n"/>
      <c r="D164" s="20">
        <f>IFERROR(INDEX(XPMenu!$A$2:$A$1000, MATCH(C164, XPMenu!$B$2:$B$1000, 0)), "")</f>
        <v/>
      </c>
      <c r="E164" s="20" t="n"/>
      <c r="F164" s="20" t="n"/>
      <c r="G164" s="20" t="n"/>
      <c r="H164" s="20" t="n"/>
      <c r="I164" s="20">
        <f>IFERROR(VLOOKUP(D164,XPMenu!$A:$F,2,FALSE),"")</f>
        <v/>
      </c>
      <c r="J164" s="20">
        <f>IFERROR(VLOOKUP(D164,XPMenu!$A:$F,3,FALSE),"")</f>
        <v/>
      </c>
      <c r="K164" s="20">
        <f>IFERROR(VLOOKUP(D164,XPMenu!$A:$F,4,FALSE),"")</f>
        <v/>
      </c>
      <c r="L164" s="20" t="n"/>
      <c r="M164" s="20">
        <f>IF(A164="","",IF(F164&lt;&gt;"Yes",0,IF(L164&lt;&gt;"",L164,E164*K164)))</f>
        <v/>
      </c>
      <c r="N164" s="20">
        <f>IF($A164="","",$A164-WEEKDAY($A164,2)+1)</f>
        <v/>
      </c>
      <c r="O164" s="20">
        <f>IF($A164="","",TEXT($A164,"yyyy-mm"))</f>
        <v/>
      </c>
      <c r="P164" s="21">
        <f>IF($A164="","",TEXT(YEAR($A164),"0000")&amp;"-Q"&amp;ROUNDUP(MONTH($A164)/3,0))</f>
        <v/>
      </c>
    </row>
    <row r="165">
      <c r="A165" s="22" t="n"/>
      <c r="B165" s="20" t="n"/>
      <c r="C165" s="20" t="n"/>
      <c r="D165" s="20">
        <f>IFERROR(INDEX(XPMenu!$A$2:$A$1000, MATCH(C165, XPMenu!$B$2:$B$1000, 0)), "")</f>
        <v/>
      </c>
      <c r="E165" s="20" t="n"/>
      <c r="F165" s="20" t="n"/>
      <c r="G165" s="20" t="n"/>
      <c r="H165" s="20" t="n"/>
      <c r="I165" s="20">
        <f>IFERROR(VLOOKUP(D165,XPMenu!$A:$F,2,FALSE),"")</f>
        <v/>
      </c>
      <c r="J165" s="20">
        <f>IFERROR(VLOOKUP(D165,XPMenu!$A:$F,3,FALSE),"")</f>
        <v/>
      </c>
      <c r="K165" s="20">
        <f>IFERROR(VLOOKUP(D165,XPMenu!$A:$F,4,FALSE),"")</f>
        <v/>
      </c>
      <c r="L165" s="20" t="n"/>
      <c r="M165" s="20">
        <f>IF(A165="","",IF(F165&lt;&gt;"Yes",0,IF(L165&lt;&gt;"",L165,E165*K165)))</f>
        <v/>
      </c>
      <c r="N165" s="20">
        <f>IF($A165="","",$A165-WEEKDAY($A165,2)+1)</f>
        <v/>
      </c>
      <c r="O165" s="20">
        <f>IF($A165="","",TEXT($A165,"yyyy-mm"))</f>
        <v/>
      </c>
      <c r="P165" s="21">
        <f>IF($A165="","",TEXT(YEAR($A165),"0000")&amp;"-Q"&amp;ROUNDUP(MONTH($A165)/3,0))</f>
        <v/>
      </c>
    </row>
    <row r="166">
      <c r="A166" s="22" t="n"/>
      <c r="B166" s="20" t="n"/>
      <c r="C166" s="20" t="n"/>
      <c r="D166" s="20">
        <f>IFERROR(INDEX(XPMenu!$A$2:$A$1000, MATCH(C166, XPMenu!$B$2:$B$1000, 0)), "")</f>
        <v/>
      </c>
      <c r="E166" s="20" t="n"/>
      <c r="F166" s="20" t="n"/>
      <c r="G166" s="20" t="n"/>
      <c r="H166" s="20" t="n"/>
      <c r="I166" s="20">
        <f>IFERROR(VLOOKUP(D166,XPMenu!$A:$F,2,FALSE),"")</f>
        <v/>
      </c>
      <c r="J166" s="20">
        <f>IFERROR(VLOOKUP(D166,XPMenu!$A:$F,3,FALSE),"")</f>
        <v/>
      </c>
      <c r="K166" s="20">
        <f>IFERROR(VLOOKUP(D166,XPMenu!$A:$F,4,FALSE),"")</f>
        <v/>
      </c>
      <c r="L166" s="20" t="n"/>
      <c r="M166" s="20">
        <f>IF(A166="","",IF(F166&lt;&gt;"Yes",0,IF(L166&lt;&gt;"",L166,E166*K166)))</f>
        <v/>
      </c>
      <c r="N166" s="20">
        <f>IF($A166="","",$A166-WEEKDAY($A166,2)+1)</f>
        <v/>
      </c>
      <c r="O166" s="20">
        <f>IF($A166="","",TEXT($A166,"yyyy-mm"))</f>
        <v/>
      </c>
      <c r="P166" s="21">
        <f>IF($A166="","",TEXT(YEAR($A166),"0000")&amp;"-Q"&amp;ROUNDUP(MONTH($A166)/3,0))</f>
        <v/>
      </c>
    </row>
    <row r="167">
      <c r="A167" s="22" t="n"/>
      <c r="B167" s="20" t="n"/>
      <c r="C167" s="20" t="n"/>
      <c r="D167" s="20">
        <f>IFERROR(INDEX(XPMenu!$A$2:$A$1000, MATCH(C167, XPMenu!$B$2:$B$1000, 0)), "")</f>
        <v/>
      </c>
      <c r="E167" s="20" t="n"/>
      <c r="F167" s="20" t="n"/>
      <c r="G167" s="20" t="n"/>
      <c r="H167" s="20" t="n"/>
      <c r="I167" s="20">
        <f>IFERROR(VLOOKUP(D167,XPMenu!$A:$F,2,FALSE),"")</f>
        <v/>
      </c>
      <c r="J167" s="20">
        <f>IFERROR(VLOOKUP(D167,XPMenu!$A:$F,3,FALSE),"")</f>
        <v/>
      </c>
      <c r="K167" s="20">
        <f>IFERROR(VLOOKUP(D167,XPMenu!$A:$F,4,FALSE),"")</f>
        <v/>
      </c>
      <c r="L167" s="20" t="n"/>
      <c r="M167" s="20">
        <f>IF(A167="","",IF(F167&lt;&gt;"Yes",0,IF(L167&lt;&gt;"",L167,E167*K167)))</f>
        <v/>
      </c>
      <c r="N167" s="20">
        <f>IF($A167="","",$A167-WEEKDAY($A167,2)+1)</f>
        <v/>
      </c>
      <c r="O167" s="20">
        <f>IF($A167="","",TEXT($A167,"yyyy-mm"))</f>
        <v/>
      </c>
      <c r="P167" s="21">
        <f>IF($A167="","",TEXT(YEAR($A167),"0000")&amp;"-Q"&amp;ROUNDUP(MONTH($A167)/3,0))</f>
        <v/>
      </c>
    </row>
    <row r="168">
      <c r="A168" s="22" t="n"/>
      <c r="B168" s="20" t="n"/>
      <c r="C168" s="20" t="n"/>
      <c r="D168" s="20">
        <f>IFERROR(INDEX(XPMenu!$A$2:$A$1000, MATCH(C168, XPMenu!$B$2:$B$1000, 0)), "")</f>
        <v/>
      </c>
      <c r="E168" s="20" t="n"/>
      <c r="F168" s="20" t="n"/>
      <c r="G168" s="20" t="n"/>
      <c r="H168" s="20" t="n"/>
      <c r="I168" s="20">
        <f>IFERROR(VLOOKUP(D168,XPMenu!$A:$F,2,FALSE),"")</f>
        <v/>
      </c>
      <c r="J168" s="20">
        <f>IFERROR(VLOOKUP(D168,XPMenu!$A:$F,3,FALSE),"")</f>
        <v/>
      </c>
      <c r="K168" s="20">
        <f>IFERROR(VLOOKUP(D168,XPMenu!$A:$F,4,FALSE),"")</f>
        <v/>
      </c>
      <c r="L168" s="20" t="n"/>
      <c r="M168" s="20">
        <f>IF(A168="","",IF(F168&lt;&gt;"Yes",0,IF(L168&lt;&gt;"",L168,E168*K168)))</f>
        <v/>
      </c>
      <c r="N168" s="20">
        <f>IF($A168="","",$A168-WEEKDAY($A168,2)+1)</f>
        <v/>
      </c>
      <c r="O168" s="20">
        <f>IF($A168="","",TEXT($A168,"yyyy-mm"))</f>
        <v/>
      </c>
      <c r="P168" s="21">
        <f>IF($A168="","",TEXT(YEAR($A168),"0000")&amp;"-Q"&amp;ROUNDUP(MONTH($A168)/3,0))</f>
        <v/>
      </c>
    </row>
    <row r="169">
      <c r="A169" s="22" t="n"/>
      <c r="B169" s="20" t="n"/>
      <c r="C169" s="20" t="n"/>
      <c r="D169" s="20">
        <f>IFERROR(INDEX(XPMenu!$A$2:$A$1000, MATCH(C169, XPMenu!$B$2:$B$1000, 0)), "")</f>
        <v/>
      </c>
      <c r="E169" s="20" t="n"/>
      <c r="F169" s="20" t="n"/>
      <c r="G169" s="20" t="n"/>
      <c r="H169" s="20" t="n"/>
      <c r="I169" s="20">
        <f>IFERROR(VLOOKUP(D169,XPMenu!$A:$F,2,FALSE),"")</f>
        <v/>
      </c>
      <c r="J169" s="20">
        <f>IFERROR(VLOOKUP(D169,XPMenu!$A:$F,3,FALSE),"")</f>
        <v/>
      </c>
      <c r="K169" s="20">
        <f>IFERROR(VLOOKUP(D169,XPMenu!$A:$F,4,FALSE),"")</f>
        <v/>
      </c>
      <c r="L169" s="20" t="n"/>
      <c r="M169" s="20">
        <f>IF(A169="","",IF(F169&lt;&gt;"Yes",0,IF(L169&lt;&gt;"",L169,E169*K169)))</f>
        <v/>
      </c>
      <c r="N169" s="20">
        <f>IF($A169="","",$A169-WEEKDAY($A169,2)+1)</f>
        <v/>
      </c>
      <c r="O169" s="20">
        <f>IF($A169="","",TEXT($A169,"yyyy-mm"))</f>
        <v/>
      </c>
      <c r="P169" s="21">
        <f>IF($A169="","",TEXT(YEAR($A169),"0000")&amp;"-Q"&amp;ROUNDUP(MONTH($A169)/3,0))</f>
        <v/>
      </c>
    </row>
    <row r="170">
      <c r="A170" s="22" t="n"/>
      <c r="B170" s="20" t="n"/>
      <c r="C170" s="20" t="n"/>
      <c r="D170" s="20">
        <f>IFERROR(INDEX(XPMenu!$A$2:$A$1000, MATCH(C170, XPMenu!$B$2:$B$1000, 0)), "")</f>
        <v/>
      </c>
      <c r="E170" s="20" t="n"/>
      <c r="F170" s="20" t="n"/>
      <c r="G170" s="20" t="n"/>
      <c r="H170" s="20" t="n"/>
      <c r="I170" s="20">
        <f>IFERROR(VLOOKUP(D170,XPMenu!$A:$F,2,FALSE),"")</f>
        <v/>
      </c>
      <c r="J170" s="20">
        <f>IFERROR(VLOOKUP(D170,XPMenu!$A:$F,3,FALSE),"")</f>
        <v/>
      </c>
      <c r="K170" s="20">
        <f>IFERROR(VLOOKUP(D170,XPMenu!$A:$F,4,FALSE),"")</f>
        <v/>
      </c>
      <c r="L170" s="20" t="n"/>
      <c r="M170" s="20">
        <f>IF(A170="","",IF(F170&lt;&gt;"Yes",0,IF(L170&lt;&gt;"",L170,E170*K170)))</f>
        <v/>
      </c>
      <c r="N170" s="20">
        <f>IF($A170="","",$A170-WEEKDAY($A170,2)+1)</f>
        <v/>
      </c>
      <c r="O170" s="20">
        <f>IF($A170="","",TEXT($A170,"yyyy-mm"))</f>
        <v/>
      </c>
      <c r="P170" s="21">
        <f>IF($A170="","",TEXT(YEAR($A170),"0000")&amp;"-Q"&amp;ROUNDUP(MONTH($A170)/3,0))</f>
        <v/>
      </c>
    </row>
    <row r="171">
      <c r="A171" s="22" t="n"/>
      <c r="B171" s="20" t="n"/>
      <c r="C171" s="20" t="n"/>
      <c r="D171" s="20">
        <f>IFERROR(INDEX(XPMenu!$A$2:$A$1000, MATCH(C171, XPMenu!$B$2:$B$1000, 0)), "")</f>
        <v/>
      </c>
      <c r="E171" s="20" t="n"/>
      <c r="F171" s="20" t="n"/>
      <c r="G171" s="20" t="n"/>
      <c r="H171" s="20" t="n"/>
      <c r="I171" s="20">
        <f>IFERROR(VLOOKUP(D171,XPMenu!$A:$F,2,FALSE),"")</f>
        <v/>
      </c>
      <c r="J171" s="20">
        <f>IFERROR(VLOOKUP(D171,XPMenu!$A:$F,3,FALSE),"")</f>
        <v/>
      </c>
      <c r="K171" s="20">
        <f>IFERROR(VLOOKUP(D171,XPMenu!$A:$F,4,FALSE),"")</f>
        <v/>
      </c>
      <c r="L171" s="20" t="n"/>
      <c r="M171" s="20">
        <f>IF(A171="","",IF(F171&lt;&gt;"Yes",0,IF(L171&lt;&gt;"",L171,E171*K171)))</f>
        <v/>
      </c>
      <c r="N171" s="20">
        <f>IF($A171="","",$A171-WEEKDAY($A171,2)+1)</f>
        <v/>
      </c>
      <c r="O171" s="20">
        <f>IF($A171="","",TEXT($A171,"yyyy-mm"))</f>
        <v/>
      </c>
      <c r="P171" s="21">
        <f>IF($A171="","",TEXT(YEAR($A171),"0000")&amp;"-Q"&amp;ROUNDUP(MONTH($A171)/3,0))</f>
        <v/>
      </c>
    </row>
    <row r="172">
      <c r="A172" s="22" t="n"/>
      <c r="B172" s="20" t="n"/>
      <c r="C172" s="20" t="n"/>
      <c r="D172" s="20">
        <f>IFERROR(INDEX(XPMenu!$A$2:$A$1000, MATCH(C172, XPMenu!$B$2:$B$1000, 0)), "")</f>
        <v/>
      </c>
      <c r="E172" s="20" t="n"/>
      <c r="F172" s="20" t="n"/>
      <c r="G172" s="20" t="n"/>
      <c r="H172" s="20" t="n"/>
      <c r="I172" s="20">
        <f>IFERROR(VLOOKUP(D172,XPMenu!$A:$F,2,FALSE),"")</f>
        <v/>
      </c>
      <c r="J172" s="20">
        <f>IFERROR(VLOOKUP(D172,XPMenu!$A:$F,3,FALSE),"")</f>
        <v/>
      </c>
      <c r="K172" s="20">
        <f>IFERROR(VLOOKUP(D172,XPMenu!$A:$F,4,FALSE),"")</f>
        <v/>
      </c>
      <c r="L172" s="20" t="n"/>
      <c r="M172" s="20">
        <f>IF(A172="","",IF(F172&lt;&gt;"Yes",0,IF(L172&lt;&gt;"",L172,E172*K172)))</f>
        <v/>
      </c>
      <c r="N172" s="20">
        <f>IF($A172="","",$A172-WEEKDAY($A172,2)+1)</f>
        <v/>
      </c>
      <c r="O172" s="20">
        <f>IF($A172="","",TEXT($A172,"yyyy-mm"))</f>
        <v/>
      </c>
      <c r="P172" s="21">
        <f>IF($A172="","",TEXT(YEAR($A172),"0000")&amp;"-Q"&amp;ROUNDUP(MONTH($A172)/3,0))</f>
        <v/>
      </c>
    </row>
    <row r="173">
      <c r="A173" s="22" t="n"/>
      <c r="B173" s="20" t="n"/>
      <c r="C173" s="20" t="n"/>
      <c r="D173" s="20">
        <f>IFERROR(INDEX(XPMenu!$A$2:$A$1000, MATCH(C173, XPMenu!$B$2:$B$1000, 0)), "")</f>
        <v/>
      </c>
      <c r="E173" s="20" t="n"/>
      <c r="F173" s="20" t="n"/>
      <c r="G173" s="20" t="n"/>
      <c r="H173" s="20" t="n"/>
      <c r="I173" s="20">
        <f>IFERROR(VLOOKUP(D173,XPMenu!$A:$F,2,FALSE),"")</f>
        <v/>
      </c>
      <c r="J173" s="20">
        <f>IFERROR(VLOOKUP(D173,XPMenu!$A:$F,3,FALSE),"")</f>
        <v/>
      </c>
      <c r="K173" s="20">
        <f>IFERROR(VLOOKUP(D173,XPMenu!$A:$F,4,FALSE),"")</f>
        <v/>
      </c>
      <c r="L173" s="20" t="n"/>
      <c r="M173" s="20">
        <f>IF(A173="","",IF(F173&lt;&gt;"Yes",0,IF(L173&lt;&gt;"",L173,E173*K173)))</f>
        <v/>
      </c>
      <c r="N173" s="20">
        <f>IF($A173="","",$A173-WEEKDAY($A173,2)+1)</f>
        <v/>
      </c>
      <c r="O173" s="20">
        <f>IF($A173="","",TEXT($A173,"yyyy-mm"))</f>
        <v/>
      </c>
      <c r="P173" s="21">
        <f>IF($A173="","",TEXT(YEAR($A173),"0000")&amp;"-Q"&amp;ROUNDUP(MONTH($A173)/3,0))</f>
        <v/>
      </c>
    </row>
    <row r="174">
      <c r="A174" s="22" t="n"/>
      <c r="B174" s="20" t="n"/>
      <c r="C174" s="20" t="n"/>
      <c r="D174" s="20">
        <f>IFERROR(INDEX(XPMenu!$A$2:$A$1000, MATCH(C174, XPMenu!$B$2:$B$1000, 0)), "")</f>
        <v/>
      </c>
      <c r="E174" s="20" t="n"/>
      <c r="F174" s="20" t="n"/>
      <c r="G174" s="20" t="n"/>
      <c r="H174" s="20" t="n"/>
      <c r="I174" s="20">
        <f>IFERROR(VLOOKUP(D174,XPMenu!$A:$F,2,FALSE),"")</f>
        <v/>
      </c>
      <c r="J174" s="20">
        <f>IFERROR(VLOOKUP(D174,XPMenu!$A:$F,3,FALSE),"")</f>
        <v/>
      </c>
      <c r="K174" s="20">
        <f>IFERROR(VLOOKUP(D174,XPMenu!$A:$F,4,FALSE),"")</f>
        <v/>
      </c>
      <c r="L174" s="20" t="n"/>
      <c r="M174" s="20">
        <f>IF(A174="","",IF(F174&lt;&gt;"Yes",0,IF(L174&lt;&gt;"",L174,E174*K174)))</f>
        <v/>
      </c>
      <c r="N174" s="20">
        <f>IF($A174="","",$A174-WEEKDAY($A174,2)+1)</f>
        <v/>
      </c>
      <c r="O174" s="20">
        <f>IF($A174="","",TEXT($A174,"yyyy-mm"))</f>
        <v/>
      </c>
      <c r="P174" s="21">
        <f>IF($A174="","",TEXT(YEAR($A174),"0000")&amp;"-Q"&amp;ROUNDUP(MONTH($A174)/3,0))</f>
        <v/>
      </c>
    </row>
    <row r="175">
      <c r="A175" s="22" t="n"/>
      <c r="B175" s="20" t="n"/>
      <c r="C175" s="20" t="n"/>
      <c r="D175" s="20">
        <f>IFERROR(INDEX(XPMenu!$A$2:$A$1000, MATCH(C175, XPMenu!$B$2:$B$1000, 0)), "")</f>
        <v/>
      </c>
      <c r="E175" s="20" t="n"/>
      <c r="F175" s="20" t="n"/>
      <c r="G175" s="20" t="n"/>
      <c r="H175" s="20" t="n"/>
      <c r="I175" s="20">
        <f>IFERROR(VLOOKUP(D175,XPMenu!$A:$F,2,FALSE),"")</f>
        <v/>
      </c>
      <c r="J175" s="20">
        <f>IFERROR(VLOOKUP(D175,XPMenu!$A:$F,3,FALSE),"")</f>
        <v/>
      </c>
      <c r="K175" s="20">
        <f>IFERROR(VLOOKUP(D175,XPMenu!$A:$F,4,FALSE),"")</f>
        <v/>
      </c>
      <c r="L175" s="20" t="n"/>
      <c r="M175" s="20">
        <f>IF(A175="","",IF(F175&lt;&gt;"Yes",0,IF(L175&lt;&gt;"",L175,E175*K175)))</f>
        <v/>
      </c>
      <c r="N175" s="20">
        <f>IF($A175="","",$A175-WEEKDAY($A175,2)+1)</f>
        <v/>
      </c>
      <c r="O175" s="20">
        <f>IF($A175="","",TEXT($A175,"yyyy-mm"))</f>
        <v/>
      </c>
      <c r="P175" s="21">
        <f>IF($A175="","",TEXT(YEAR($A175),"0000")&amp;"-Q"&amp;ROUNDUP(MONTH($A175)/3,0))</f>
        <v/>
      </c>
    </row>
    <row r="176">
      <c r="A176" s="22" t="n"/>
      <c r="B176" s="20" t="n"/>
      <c r="C176" s="20" t="n"/>
      <c r="D176" s="20">
        <f>IFERROR(INDEX(XPMenu!$A$2:$A$1000, MATCH(C176, XPMenu!$B$2:$B$1000, 0)), "")</f>
        <v/>
      </c>
      <c r="E176" s="20" t="n"/>
      <c r="F176" s="20" t="n"/>
      <c r="G176" s="20" t="n"/>
      <c r="H176" s="20" t="n"/>
      <c r="I176" s="20">
        <f>IFERROR(VLOOKUP(D176,XPMenu!$A:$F,2,FALSE),"")</f>
        <v/>
      </c>
      <c r="J176" s="20">
        <f>IFERROR(VLOOKUP(D176,XPMenu!$A:$F,3,FALSE),"")</f>
        <v/>
      </c>
      <c r="K176" s="20">
        <f>IFERROR(VLOOKUP(D176,XPMenu!$A:$F,4,FALSE),"")</f>
        <v/>
      </c>
      <c r="L176" s="20" t="n"/>
      <c r="M176" s="20">
        <f>IF(A176="","",IF(F176&lt;&gt;"Yes",0,IF(L176&lt;&gt;"",L176,E176*K176)))</f>
        <v/>
      </c>
      <c r="N176" s="20">
        <f>IF($A176="","",$A176-WEEKDAY($A176,2)+1)</f>
        <v/>
      </c>
      <c r="O176" s="20">
        <f>IF($A176="","",TEXT($A176,"yyyy-mm"))</f>
        <v/>
      </c>
      <c r="P176" s="21">
        <f>IF($A176="","",TEXT(YEAR($A176),"0000")&amp;"-Q"&amp;ROUNDUP(MONTH($A176)/3,0))</f>
        <v/>
      </c>
    </row>
    <row r="177">
      <c r="A177" s="22" t="n"/>
      <c r="B177" s="20" t="n"/>
      <c r="C177" s="20" t="n"/>
      <c r="D177" s="20">
        <f>IFERROR(INDEX(XPMenu!$A$2:$A$1000, MATCH(C177, XPMenu!$B$2:$B$1000, 0)), "")</f>
        <v/>
      </c>
      <c r="E177" s="20" t="n"/>
      <c r="F177" s="20" t="n"/>
      <c r="G177" s="20" t="n"/>
      <c r="H177" s="20" t="n"/>
      <c r="I177" s="20">
        <f>IFERROR(VLOOKUP(D177,XPMenu!$A:$F,2,FALSE),"")</f>
        <v/>
      </c>
      <c r="J177" s="20">
        <f>IFERROR(VLOOKUP(D177,XPMenu!$A:$F,3,FALSE),"")</f>
        <v/>
      </c>
      <c r="K177" s="20">
        <f>IFERROR(VLOOKUP(D177,XPMenu!$A:$F,4,FALSE),"")</f>
        <v/>
      </c>
      <c r="L177" s="20" t="n"/>
      <c r="M177" s="20">
        <f>IF(A177="","",IF(F177&lt;&gt;"Yes",0,IF(L177&lt;&gt;"",L177,E177*K177)))</f>
        <v/>
      </c>
      <c r="N177" s="20">
        <f>IF($A177="","",$A177-WEEKDAY($A177,2)+1)</f>
        <v/>
      </c>
      <c r="O177" s="20">
        <f>IF($A177="","",TEXT($A177,"yyyy-mm"))</f>
        <v/>
      </c>
      <c r="P177" s="21">
        <f>IF($A177="","",TEXT(YEAR($A177),"0000")&amp;"-Q"&amp;ROUNDUP(MONTH($A177)/3,0))</f>
        <v/>
      </c>
    </row>
    <row r="178">
      <c r="A178" s="22" t="n"/>
      <c r="B178" s="20" t="n"/>
      <c r="C178" s="20" t="n"/>
      <c r="D178" s="20">
        <f>IFERROR(INDEX(XPMenu!$A$2:$A$1000, MATCH(C178, XPMenu!$B$2:$B$1000, 0)), "")</f>
        <v/>
      </c>
      <c r="E178" s="20" t="n"/>
      <c r="F178" s="20" t="n"/>
      <c r="G178" s="20" t="n"/>
      <c r="H178" s="20" t="n"/>
      <c r="I178" s="20">
        <f>IFERROR(VLOOKUP(D178,XPMenu!$A:$F,2,FALSE),"")</f>
        <v/>
      </c>
      <c r="J178" s="20">
        <f>IFERROR(VLOOKUP(D178,XPMenu!$A:$F,3,FALSE),"")</f>
        <v/>
      </c>
      <c r="K178" s="20">
        <f>IFERROR(VLOOKUP(D178,XPMenu!$A:$F,4,FALSE),"")</f>
        <v/>
      </c>
      <c r="L178" s="20" t="n"/>
      <c r="M178" s="20">
        <f>IF(A178="","",IF(F178&lt;&gt;"Yes",0,IF(L178&lt;&gt;"",L178,E178*K178)))</f>
        <v/>
      </c>
      <c r="N178" s="20">
        <f>IF($A178="","",$A178-WEEKDAY($A178,2)+1)</f>
        <v/>
      </c>
      <c r="O178" s="20">
        <f>IF($A178="","",TEXT($A178,"yyyy-mm"))</f>
        <v/>
      </c>
      <c r="P178" s="21">
        <f>IF($A178="","",TEXT(YEAR($A178),"0000")&amp;"-Q"&amp;ROUNDUP(MONTH($A178)/3,0))</f>
        <v/>
      </c>
    </row>
    <row r="179">
      <c r="A179" s="22" t="n"/>
      <c r="B179" s="20" t="n"/>
      <c r="C179" s="20" t="n"/>
      <c r="D179" s="20">
        <f>IFERROR(INDEX(XPMenu!$A$2:$A$1000, MATCH(C179, XPMenu!$B$2:$B$1000, 0)), "")</f>
        <v/>
      </c>
      <c r="E179" s="20" t="n"/>
      <c r="F179" s="20" t="n"/>
      <c r="G179" s="20" t="n"/>
      <c r="H179" s="20" t="n"/>
      <c r="I179" s="20">
        <f>IFERROR(VLOOKUP(D179,XPMenu!$A:$F,2,FALSE),"")</f>
        <v/>
      </c>
      <c r="J179" s="20">
        <f>IFERROR(VLOOKUP(D179,XPMenu!$A:$F,3,FALSE),"")</f>
        <v/>
      </c>
      <c r="K179" s="20">
        <f>IFERROR(VLOOKUP(D179,XPMenu!$A:$F,4,FALSE),"")</f>
        <v/>
      </c>
      <c r="L179" s="20" t="n"/>
      <c r="M179" s="20">
        <f>IF(A179="","",IF(F179&lt;&gt;"Yes",0,IF(L179&lt;&gt;"",L179,E179*K179)))</f>
        <v/>
      </c>
      <c r="N179" s="20">
        <f>IF($A179="","",$A179-WEEKDAY($A179,2)+1)</f>
        <v/>
      </c>
      <c r="O179" s="20">
        <f>IF($A179="","",TEXT($A179,"yyyy-mm"))</f>
        <v/>
      </c>
      <c r="P179" s="21">
        <f>IF($A179="","",TEXT(YEAR($A179),"0000")&amp;"-Q"&amp;ROUNDUP(MONTH($A179)/3,0))</f>
        <v/>
      </c>
    </row>
    <row r="180">
      <c r="A180" s="22" t="n"/>
      <c r="B180" s="20" t="n"/>
      <c r="C180" s="20" t="n"/>
      <c r="D180" s="20">
        <f>IFERROR(INDEX(XPMenu!$A$2:$A$1000, MATCH(C180, XPMenu!$B$2:$B$1000, 0)), "")</f>
        <v/>
      </c>
      <c r="E180" s="20" t="n"/>
      <c r="F180" s="20" t="n"/>
      <c r="G180" s="20" t="n"/>
      <c r="H180" s="20" t="n"/>
      <c r="I180" s="20">
        <f>IFERROR(VLOOKUP(D180,XPMenu!$A:$F,2,FALSE),"")</f>
        <v/>
      </c>
      <c r="J180" s="20">
        <f>IFERROR(VLOOKUP(D180,XPMenu!$A:$F,3,FALSE),"")</f>
        <v/>
      </c>
      <c r="K180" s="20">
        <f>IFERROR(VLOOKUP(D180,XPMenu!$A:$F,4,FALSE),"")</f>
        <v/>
      </c>
      <c r="L180" s="20" t="n"/>
      <c r="M180" s="20">
        <f>IF(A180="","",IF(F180&lt;&gt;"Yes",0,IF(L180&lt;&gt;"",L180,E180*K180)))</f>
        <v/>
      </c>
      <c r="N180" s="20">
        <f>IF($A180="","",$A180-WEEKDAY($A180,2)+1)</f>
        <v/>
      </c>
      <c r="O180" s="20">
        <f>IF($A180="","",TEXT($A180,"yyyy-mm"))</f>
        <v/>
      </c>
      <c r="P180" s="21">
        <f>IF($A180="","",TEXT(YEAR($A180),"0000")&amp;"-Q"&amp;ROUNDUP(MONTH($A180)/3,0))</f>
        <v/>
      </c>
    </row>
    <row r="181">
      <c r="A181" s="22" t="n"/>
      <c r="B181" s="20" t="n"/>
      <c r="C181" s="20" t="n"/>
      <c r="D181" s="20">
        <f>IFERROR(INDEX(XPMenu!$A$2:$A$1000, MATCH(C181, XPMenu!$B$2:$B$1000, 0)), "")</f>
        <v/>
      </c>
      <c r="E181" s="20" t="n"/>
      <c r="F181" s="20" t="n"/>
      <c r="G181" s="20" t="n"/>
      <c r="H181" s="20" t="n"/>
      <c r="I181" s="20">
        <f>IFERROR(VLOOKUP(D181,XPMenu!$A:$F,2,FALSE),"")</f>
        <v/>
      </c>
      <c r="J181" s="20">
        <f>IFERROR(VLOOKUP(D181,XPMenu!$A:$F,3,FALSE),"")</f>
        <v/>
      </c>
      <c r="K181" s="20">
        <f>IFERROR(VLOOKUP(D181,XPMenu!$A:$F,4,FALSE),"")</f>
        <v/>
      </c>
      <c r="L181" s="20" t="n"/>
      <c r="M181" s="20">
        <f>IF(A181="","",IF(F181&lt;&gt;"Yes",0,IF(L181&lt;&gt;"",L181,E181*K181)))</f>
        <v/>
      </c>
      <c r="N181" s="20">
        <f>IF($A181="","",$A181-WEEKDAY($A181,2)+1)</f>
        <v/>
      </c>
      <c r="O181" s="20">
        <f>IF($A181="","",TEXT($A181,"yyyy-mm"))</f>
        <v/>
      </c>
      <c r="P181" s="21">
        <f>IF($A181="","",TEXT(YEAR($A181),"0000")&amp;"-Q"&amp;ROUNDUP(MONTH($A181)/3,0))</f>
        <v/>
      </c>
    </row>
    <row r="182">
      <c r="A182" s="22" t="n"/>
      <c r="B182" s="20" t="n"/>
      <c r="C182" s="20" t="n"/>
      <c r="D182" s="20">
        <f>IFERROR(INDEX(XPMenu!$A$2:$A$1000, MATCH(C182, XPMenu!$B$2:$B$1000, 0)), "")</f>
        <v/>
      </c>
      <c r="E182" s="20" t="n"/>
      <c r="F182" s="20" t="n"/>
      <c r="G182" s="20" t="n"/>
      <c r="H182" s="20" t="n"/>
      <c r="I182" s="20">
        <f>IFERROR(VLOOKUP(D182,XPMenu!$A:$F,2,FALSE),"")</f>
        <v/>
      </c>
      <c r="J182" s="20">
        <f>IFERROR(VLOOKUP(D182,XPMenu!$A:$F,3,FALSE),"")</f>
        <v/>
      </c>
      <c r="K182" s="20">
        <f>IFERROR(VLOOKUP(D182,XPMenu!$A:$F,4,FALSE),"")</f>
        <v/>
      </c>
      <c r="L182" s="20" t="n"/>
      <c r="M182" s="20">
        <f>IF(A182="","",IF(F182&lt;&gt;"Yes",0,IF(L182&lt;&gt;"",L182,E182*K182)))</f>
        <v/>
      </c>
      <c r="N182" s="20">
        <f>IF($A182="","",$A182-WEEKDAY($A182,2)+1)</f>
        <v/>
      </c>
      <c r="O182" s="20">
        <f>IF($A182="","",TEXT($A182,"yyyy-mm"))</f>
        <v/>
      </c>
      <c r="P182" s="21">
        <f>IF($A182="","",TEXT(YEAR($A182),"0000")&amp;"-Q"&amp;ROUNDUP(MONTH($A182)/3,0))</f>
        <v/>
      </c>
    </row>
    <row r="183">
      <c r="A183" s="22" t="n"/>
      <c r="B183" s="20" t="n"/>
      <c r="C183" s="20" t="n"/>
      <c r="D183" s="20">
        <f>IFERROR(INDEX(XPMenu!$A$2:$A$1000, MATCH(C183, XPMenu!$B$2:$B$1000, 0)), "")</f>
        <v/>
      </c>
      <c r="E183" s="20" t="n"/>
      <c r="F183" s="20" t="n"/>
      <c r="G183" s="20" t="n"/>
      <c r="H183" s="20" t="n"/>
      <c r="I183" s="20">
        <f>IFERROR(VLOOKUP(D183,XPMenu!$A:$F,2,FALSE),"")</f>
        <v/>
      </c>
      <c r="J183" s="20">
        <f>IFERROR(VLOOKUP(D183,XPMenu!$A:$F,3,FALSE),"")</f>
        <v/>
      </c>
      <c r="K183" s="20">
        <f>IFERROR(VLOOKUP(D183,XPMenu!$A:$F,4,FALSE),"")</f>
        <v/>
      </c>
      <c r="L183" s="20" t="n"/>
      <c r="M183" s="20">
        <f>IF(A183="","",IF(F183&lt;&gt;"Yes",0,IF(L183&lt;&gt;"",L183,E183*K183)))</f>
        <v/>
      </c>
      <c r="N183" s="20">
        <f>IF($A183="","",$A183-WEEKDAY($A183,2)+1)</f>
        <v/>
      </c>
      <c r="O183" s="20">
        <f>IF($A183="","",TEXT($A183,"yyyy-mm"))</f>
        <v/>
      </c>
      <c r="P183" s="21">
        <f>IF($A183="","",TEXT(YEAR($A183),"0000")&amp;"-Q"&amp;ROUNDUP(MONTH($A183)/3,0))</f>
        <v/>
      </c>
    </row>
    <row r="184">
      <c r="A184" s="22" t="n"/>
      <c r="B184" s="20" t="n"/>
      <c r="C184" s="20" t="n"/>
      <c r="D184" s="20">
        <f>IFERROR(INDEX(XPMenu!$A$2:$A$1000, MATCH(C184, XPMenu!$B$2:$B$1000, 0)), "")</f>
        <v/>
      </c>
      <c r="E184" s="20" t="n"/>
      <c r="F184" s="20" t="n"/>
      <c r="G184" s="20" t="n"/>
      <c r="H184" s="20" t="n"/>
      <c r="I184" s="20">
        <f>IFERROR(VLOOKUP(D184,XPMenu!$A:$F,2,FALSE),"")</f>
        <v/>
      </c>
      <c r="J184" s="20">
        <f>IFERROR(VLOOKUP(D184,XPMenu!$A:$F,3,FALSE),"")</f>
        <v/>
      </c>
      <c r="K184" s="20">
        <f>IFERROR(VLOOKUP(D184,XPMenu!$A:$F,4,FALSE),"")</f>
        <v/>
      </c>
      <c r="L184" s="20" t="n"/>
      <c r="M184" s="20">
        <f>IF(A184="","",IF(F184&lt;&gt;"Yes",0,IF(L184&lt;&gt;"",L184,E184*K184)))</f>
        <v/>
      </c>
      <c r="N184" s="20">
        <f>IF($A184="","",$A184-WEEKDAY($A184,2)+1)</f>
        <v/>
      </c>
      <c r="O184" s="20">
        <f>IF($A184="","",TEXT($A184,"yyyy-mm"))</f>
        <v/>
      </c>
      <c r="P184" s="21">
        <f>IF($A184="","",TEXT(YEAR($A184),"0000")&amp;"-Q"&amp;ROUNDUP(MONTH($A184)/3,0))</f>
        <v/>
      </c>
    </row>
    <row r="185">
      <c r="A185" s="22" t="n"/>
      <c r="B185" s="20" t="n"/>
      <c r="C185" s="20" t="n"/>
      <c r="D185" s="20">
        <f>IFERROR(INDEX(XPMenu!$A$2:$A$1000, MATCH(C185, XPMenu!$B$2:$B$1000, 0)), "")</f>
        <v/>
      </c>
      <c r="E185" s="20" t="n"/>
      <c r="F185" s="20" t="n"/>
      <c r="G185" s="20" t="n"/>
      <c r="H185" s="20" t="n"/>
      <c r="I185" s="20">
        <f>IFERROR(VLOOKUP(D185,XPMenu!$A:$F,2,FALSE),"")</f>
        <v/>
      </c>
      <c r="J185" s="20">
        <f>IFERROR(VLOOKUP(D185,XPMenu!$A:$F,3,FALSE),"")</f>
        <v/>
      </c>
      <c r="K185" s="20">
        <f>IFERROR(VLOOKUP(D185,XPMenu!$A:$F,4,FALSE),"")</f>
        <v/>
      </c>
      <c r="L185" s="20" t="n"/>
      <c r="M185" s="20">
        <f>IF(A185="","",IF(F185&lt;&gt;"Yes",0,IF(L185&lt;&gt;"",L185,E185*K185)))</f>
        <v/>
      </c>
      <c r="N185" s="20">
        <f>IF($A185="","",$A185-WEEKDAY($A185,2)+1)</f>
        <v/>
      </c>
      <c r="O185" s="20">
        <f>IF($A185="","",TEXT($A185,"yyyy-mm"))</f>
        <v/>
      </c>
      <c r="P185" s="21">
        <f>IF($A185="","",TEXT(YEAR($A185),"0000")&amp;"-Q"&amp;ROUNDUP(MONTH($A185)/3,0))</f>
        <v/>
      </c>
    </row>
    <row r="186">
      <c r="A186" s="22" t="n"/>
      <c r="B186" s="20" t="n"/>
      <c r="C186" s="20" t="n"/>
      <c r="D186" s="20">
        <f>IFERROR(INDEX(XPMenu!$A$2:$A$1000, MATCH(C186, XPMenu!$B$2:$B$1000, 0)), "")</f>
        <v/>
      </c>
      <c r="E186" s="20" t="n"/>
      <c r="F186" s="20" t="n"/>
      <c r="G186" s="20" t="n"/>
      <c r="H186" s="20" t="n"/>
      <c r="I186" s="20">
        <f>IFERROR(VLOOKUP(D186,XPMenu!$A:$F,2,FALSE),"")</f>
        <v/>
      </c>
      <c r="J186" s="20">
        <f>IFERROR(VLOOKUP(D186,XPMenu!$A:$F,3,FALSE),"")</f>
        <v/>
      </c>
      <c r="K186" s="20">
        <f>IFERROR(VLOOKUP(D186,XPMenu!$A:$F,4,FALSE),"")</f>
        <v/>
      </c>
      <c r="L186" s="20" t="n"/>
      <c r="M186" s="20">
        <f>IF(A186="","",IF(F186&lt;&gt;"Yes",0,IF(L186&lt;&gt;"",L186,E186*K186)))</f>
        <v/>
      </c>
      <c r="N186" s="20">
        <f>IF($A186="","",$A186-WEEKDAY($A186,2)+1)</f>
        <v/>
      </c>
      <c r="O186" s="20">
        <f>IF($A186="","",TEXT($A186,"yyyy-mm"))</f>
        <v/>
      </c>
      <c r="P186" s="21">
        <f>IF($A186="","",TEXT(YEAR($A186),"0000")&amp;"-Q"&amp;ROUNDUP(MONTH($A186)/3,0))</f>
        <v/>
      </c>
    </row>
    <row r="187">
      <c r="A187" s="22" t="n"/>
      <c r="B187" s="20" t="n"/>
      <c r="C187" s="20" t="n"/>
      <c r="D187" s="20">
        <f>IFERROR(INDEX(XPMenu!$A$2:$A$1000, MATCH(C187, XPMenu!$B$2:$B$1000, 0)), "")</f>
        <v/>
      </c>
      <c r="E187" s="20" t="n"/>
      <c r="F187" s="20" t="n"/>
      <c r="G187" s="20" t="n"/>
      <c r="H187" s="20" t="n"/>
      <c r="I187" s="20">
        <f>IFERROR(VLOOKUP(D187,XPMenu!$A:$F,2,FALSE),"")</f>
        <v/>
      </c>
      <c r="J187" s="20">
        <f>IFERROR(VLOOKUP(D187,XPMenu!$A:$F,3,FALSE),"")</f>
        <v/>
      </c>
      <c r="K187" s="20">
        <f>IFERROR(VLOOKUP(D187,XPMenu!$A:$F,4,FALSE),"")</f>
        <v/>
      </c>
      <c r="L187" s="20" t="n"/>
      <c r="M187" s="20">
        <f>IF(A187="","",IF(F187&lt;&gt;"Yes",0,IF(L187&lt;&gt;"",L187,E187*K187)))</f>
        <v/>
      </c>
      <c r="N187" s="20">
        <f>IF($A187="","",$A187-WEEKDAY($A187,2)+1)</f>
        <v/>
      </c>
      <c r="O187" s="20">
        <f>IF($A187="","",TEXT($A187,"yyyy-mm"))</f>
        <v/>
      </c>
      <c r="P187" s="21">
        <f>IF($A187="","",TEXT(YEAR($A187),"0000")&amp;"-Q"&amp;ROUNDUP(MONTH($A187)/3,0))</f>
        <v/>
      </c>
    </row>
    <row r="188">
      <c r="A188" s="22" t="n"/>
      <c r="B188" s="20" t="n"/>
      <c r="C188" s="20" t="n"/>
      <c r="D188" s="20">
        <f>IFERROR(INDEX(XPMenu!$A$2:$A$1000, MATCH(C188, XPMenu!$B$2:$B$1000, 0)), "")</f>
        <v/>
      </c>
      <c r="E188" s="20" t="n"/>
      <c r="F188" s="20" t="n"/>
      <c r="G188" s="20" t="n"/>
      <c r="H188" s="20" t="n"/>
      <c r="I188" s="20">
        <f>IFERROR(VLOOKUP(D188,XPMenu!$A:$F,2,FALSE),"")</f>
        <v/>
      </c>
      <c r="J188" s="20">
        <f>IFERROR(VLOOKUP(D188,XPMenu!$A:$F,3,FALSE),"")</f>
        <v/>
      </c>
      <c r="K188" s="20">
        <f>IFERROR(VLOOKUP(D188,XPMenu!$A:$F,4,FALSE),"")</f>
        <v/>
      </c>
      <c r="L188" s="20" t="n"/>
      <c r="M188" s="20">
        <f>IF(A188="","",IF(F188&lt;&gt;"Yes",0,IF(L188&lt;&gt;"",L188,E188*K188)))</f>
        <v/>
      </c>
      <c r="N188" s="20">
        <f>IF($A188="","",$A188-WEEKDAY($A188,2)+1)</f>
        <v/>
      </c>
      <c r="O188" s="20">
        <f>IF($A188="","",TEXT($A188,"yyyy-mm"))</f>
        <v/>
      </c>
      <c r="P188" s="21">
        <f>IF($A188="","",TEXT(YEAR($A188),"0000")&amp;"-Q"&amp;ROUNDUP(MONTH($A188)/3,0))</f>
        <v/>
      </c>
    </row>
    <row r="189">
      <c r="A189" s="22" t="n"/>
      <c r="B189" s="20" t="n"/>
      <c r="C189" s="20" t="n"/>
      <c r="D189" s="20">
        <f>IFERROR(INDEX(XPMenu!$A$2:$A$1000, MATCH(C189, XPMenu!$B$2:$B$1000, 0)), "")</f>
        <v/>
      </c>
      <c r="E189" s="20" t="n"/>
      <c r="F189" s="20" t="n"/>
      <c r="G189" s="20" t="n"/>
      <c r="H189" s="20" t="n"/>
      <c r="I189" s="20">
        <f>IFERROR(VLOOKUP(D189,XPMenu!$A:$F,2,FALSE),"")</f>
        <v/>
      </c>
      <c r="J189" s="20">
        <f>IFERROR(VLOOKUP(D189,XPMenu!$A:$F,3,FALSE),"")</f>
        <v/>
      </c>
      <c r="K189" s="20">
        <f>IFERROR(VLOOKUP(D189,XPMenu!$A:$F,4,FALSE),"")</f>
        <v/>
      </c>
      <c r="L189" s="20" t="n"/>
      <c r="M189" s="20">
        <f>IF(A189="","",IF(F189&lt;&gt;"Yes",0,IF(L189&lt;&gt;"",L189,E189*K189)))</f>
        <v/>
      </c>
      <c r="N189" s="20">
        <f>IF($A189="","",$A189-WEEKDAY($A189,2)+1)</f>
        <v/>
      </c>
      <c r="O189" s="20">
        <f>IF($A189="","",TEXT($A189,"yyyy-mm"))</f>
        <v/>
      </c>
      <c r="P189" s="21">
        <f>IF($A189="","",TEXT(YEAR($A189),"0000")&amp;"-Q"&amp;ROUNDUP(MONTH($A189)/3,0))</f>
        <v/>
      </c>
    </row>
    <row r="190">
      <c r="A190" s="22" t="n"/>
      <c r="B190" s="20" t="n"/>
      <c r="C190" s="20" t="n"/>
      <c r="D190" s="20">
        <f>IFERROR(INDEX(XPMenu!$A$2:$A$1000, MATCH(C190, XPMenu!$B$2:$B$1000, 0)), "")</f>
        <v/>
      </c>
      <c r="E190" s="20" t="n"/>
      <c r="F190" s="20" t="n"/>
      <c r="G190" s="20" t="n"/>
      <c r="H190" s="20" t="n"/>
      <c r="I190" s="20">
        <f>IFERROR(VLOOKUP(D190,XPMenu!$A:$F,2,FALSE),"")</f>
        <v/>
      </c>
      <c r="J190" s="20">
        <f>IFERROR(VLOOKUP(D190,XPMenu!$A:$F,3,FALSE),"")</f>
        <v/>
      </c>
      <c r="K190" s="20">
        <f>IFERROR(VLOOKUP(D190,XPMenu!$A:$F,4,FALSE),"")</f>
        <v/>
      </c>
      <c r="L190" s="20" t="n"/>
      <c r="M190" s="20">
        <f>IF(A190="","",IF(F190&lt;&gt;"Yes",0,IF(L190&lt;&gt;"",L190,E190*K190)))</f>
        <v/>
      </c>
      <c r="N190" s="20">
        <f>IF($A190="","",$A190-WEEKDAY($A190,2)+1)</f>
        <v/>
      </c>
      <c r="O190" s="20">
        <f>IF($A190="","",TEXT($A190,"yyyy-mm"))</f>
        <v/>
      </c>
      <c r="P190" s="21">
        <f>IF($A190="","",TEXT(YEAR($A190),"0000")&amp;"-Q"&amp;ROUNDUP(MONTH($A190)/3,0))</f>
        <v/>
      </c>
    </row>
    <row r="191">
      <c r="A191" s="22" t="n"/>
      <c r="B191" s="20" t="n"/>
      <c r="C191" s="20" t="n"/>
      <c r="D191" s="20">
        <f>IFERROR(INDEX(XPMenu!$A$2:$A$1000, MATCH(C191, XPMenu!$B$2:$B$1000, 0)), "")</f>
        <v/>
      </c>
      <c r="E191" s="20" t="n"/>
      <c r="F191" s="20" t="n"/>
      <c r="G191" s="20" t="n"/>
      <c r="H191" s="20" t="n"/>
      <c r="I191" s="20">
        <f>IFERROR(VLOOKUP(D191,XPMenu!$A:$F,2,FALSE),"")</f>
        <v/>
      </c>
      <c r="J191" s="20">
        <f>IFERROR(VLOOKUP(D191,XPMenu!$A:$F,3,FALSE),"")</f>
        <v/>
      </c>
      <c r="K191" s="20">
        <f>IFERROR(VLOOKUP(D191,XPMenu!$A:$F,4,FALSE),"")</f>
        <v/>
      </c>
      <c r="L191" s="20" t="n"/>
      <c r="M191" s="20">
        <f>IF(A191="","",IF(F191&lt;&gt;"Yes",0,IF(L191&lt;&gt;"",L191,E191*K191)))</f>
        <v/>
      </c>
      <c r="N191" s="20">
        <f>IF($A191="","",$A191-WEEKDAY($A191,2)+1)</f>
        <v/>
      </c>
      <c r="O191" s="20">
        <f>IF($A191="","",TEXT($A191,"yyyy-mm"))</f>
        <v/>
      </c>
      <c r="P191" s="21">
        <f>IF($A191="","",TEXT(YEAR($A191),"0000")&amp;"-Q"&amp;ROUNDUP(MONTH($A191)/3,0))</f>
        <v/>
      </c>
    </row>
    <row r="192">
      <c r="A192" s="22" t="n"/>
      <c r="B192" s="20" t="n"/>
      <c r="C192" s="20" t="n"/>
      <c r="D192" s="20">
        <f>IFERROR(INDEX(XPMenu!$A$2:$A$1000, MATCH(C192, XPMenu!$B$2:$B$1000, 0)), "")</f>
        <v/>
      </c>
      <c r="E192" s="20" t="n"/>
      <c r="F192" s="20" t="n"/>
      <c r="G192" s="20" t="n"/>
      <c r="H192" s="20" t="n"/>
      <c r="I192" s="20">
        <f>IFERROR(VLOOKUP(D192,XPMenu!$A:$F,2,FALSE),"")</f>
        <v/>
      </c>
      <c r="J192" s="20">
        <f>IFERROR(VLOOKUP(D192,XPMenu!$A:$F,3,FALSE),"")</f>
        <v/>
      </c>
      <c r="K192" s="20">
        <f>IFERROR(VLOOKUP(D192,XPMenu!$A:$F,4,FALSE),"")</f>
        <v/>
      </c>
      <c r="L192" s="20" t="n"/>
      <c r="M192" s="20">
        <f>IF(A192="","",IF(F192&lt;&gt;"Yes",0,IF(L192&lt;&gt;"",L192,E192*K192)))</f>
        <v/>
      </c>
      <c r="N192" s="20">
        <f>IF($A192="","",$A192-WEEKDAY($A192,2)+1)</f>
        <v/>
      </c>
      <c r="O192" s="20">
        <f>IF($A192="","",TEXT($A192,"yyyy-mm"))</f>
        <v/>
      </c>
      <c r="P192" s="21">
        <f>IF($A192="","",TEXT(YEAR($A192),"0000")&amp;"-Q"&amp;ROUNDUP(MONTH($A192)/3,0))</f>
        <v/>
      </c>
    </row>
    <row r="193">
      <c r="A193" s="22" t="n"/>
      <c r="B193" s="20" t="n"/>
      <c r="C193" s="20" t="n"/>
      <c r="D193" s="20">
        <f>IFERROR(INDEX(XPMenu!$A$2:$A$1000, MATCH(C193, XPMenu!$B$2:$B$1000, 0)), "")</f>
        <v/>
      </c>
      <c r="E193" s="20" t="n"/>
      <c r="F193" s="20" t="n"/>
      <c r="G193" s="20" t="n"/>
      <c r="H193" s="20" t="n"/>
      <c r="I193" s="20">
        <f>IFERROR(VLOOKUP(D193,XPMenu!$A:$F,2,FALSE),"")</f>
        <v/>
      </c>
      <c r="J193" s="20">
        <f>IFERROR(VLOOKUP(D193,XPMenu!$A:$F,3,FALSE),"")</f>
        <v/>
      </c>
      <c r="K193" s="20">
        <f>IFERROR(VLOOKUP(D193,XPMenu!$A:$F,4,FALSE),"")</f>
        <v/>
      </c>
      <c r="L193" s="20" t="n"/>
      <c r="M193" s="20">
        <f>IF(A193="","",IF(F193&lt;&gt;"Yes",0,IF(L193&lt;&gt;"",L193,E193*K193)))</f>
        <v/>
      </c>
      <c r="N193" s="20">
        <f>IF($A193="","",$A193-WEEKDAY($A193,2)+1)</f>
        <v/>
      </c>
      <c r="O193" s="20">
        <f>IF($A193="","",TEXT($A193,"yyyy-mm"))</f>
        <v/>
      </c>
      <c r="P193" s="21">
        <f>IF($A193="","",TEXT(YEAR($A193),"0000")&amp;"-Q"&amp;ROUNDUP(MONTH($A193)/3,0))</f>
        <v/>
      </c>
    </row>
    <row r="194">
      <c r="A194" s="22" t="n"/>
      <c r="B194" s="20" t="n"/>
      <c r="C194" s="20" t="n"/>
      <c r="D194" s="20">
        <f>IFERROR(INDEX(XPMenu!$A$2:$A$1000, MATCH(C194, XPMenu!$B$2:$B$1000, 0)), "")</f>
        <v/>
      </c>
      <c r="E194" s="20" t="n"/>
      <c r="F194" s="20" t="n"/>
      <c r="G194" s="20" t="n"/>
      <c r="H194" s="20" t="n"/>
      <c r="I194" s="20">
        <f>IFERROR(VLOOKUP(D194,XPMenu!$A:$F,2,FALSE),"")</f>
        <v/>
      </c>
      <c r="J194" s="20">
        <f>IFERROR(VLOOKUP(D194,XPMenu!$A:$F,3,FALSE),"")</f>
        <v/>
      </c>
      <c r="K194" s="20">
        <f>IFERROR(VLOOKUP(D194,XPMenu!$A:$F,4,FALSE),"")</f>
        <v/>
      </c>
      <c r="L194" s="20" t="n"/>
      <c r="M194" s="20">
        <f>IF(A194="","",IF(F194&lt;&gt;"Yes",0,IF(L194&lt;&gt;"",L194,E194*K194)))</f>
        <v/>
      </c>
      <c r="N194" s="20">
        <f>IF($A194="","",$A194-WEEKDAY($A194,2)+1)</f>
        <v/>
      </c>
      <c r="O194" s="20">
        <f>IF($A194="","",TEXT($A194,"yyyy-mm"))</f>
        <v/>
      </c>
      <c r="P194" s="21">
        <f>IF($A194="","",TEXT(YEAR($A194),"0000")&amp;"-Q"&amp;ROUNDUP(MONTH($A194)/3,0))</f>
        <v/>
      </c>
    </row>
    <row r="195">
      <c r="A195" s="22" t="n"/>
      <c r="B195" s="20" t="n"/>
      <c r="C195" s="20" t="n"/>
      <c r="D195" s="20">
        <f>IFERROR(INDEX(XPMenu!$A$2:$A$1000, MATCH(C195, XPMenu!$B$2:$B$1000, 0)), "")</f>
        <v/>
      </c>
      <c r="E195" s="20" t="n"/>
      <c r="F195" s="20" t="n"/>
      <c r="G195" s="20" t="n"/>
      <c r="H195" s="20" t="n"/>
      <c r="I195" s="20">
        <f>IFERROR(VLOOKUP(D195,XPMenu!$A:$F,2,FALSE),"")</f>
        <v/>
      </c>
      <c r="J195" s="20">
        <f>IFERROR(VLOOKUP(D195,XPMenu!$A:$F,3,FALSE),"")</f>
        <v/>
      </c>
      <c r="K195" s="20">
        <f>IFERROR(VLOOKUP(D195,XPMenu!$A:$F,4,FALSE),"")</f>
        <v/>
      </c>
      <c r="L195" s="20" t="n"/>
      <c r="M195" s="20">
        <f>IF(A195="","",IF(F195&lt;&gt;"Yes",0,IF(L195&lt;&gt;"",L195,E195*K195)))</f>
        <v/>
      </c>
      <c r="N195" s="20">
        <f>IF($A195="","",$A195-WEEKDAY($A195,2)+1)</f>
        <v/>
      </c>
      <c r="O195" s="20">
        <f>IF($A195="","",TEXT($A195,"yyyy-mm"))</f>
        <v/>
      </c>
      <c r="P195" s="21">
        <f>IF($A195="","",TEXT(YEAR($A195),"0000")&amp;"-Q"&amp;ROUNDUP(MONTH($A195)/3,0))</f>
        <v/>
      </c>
    </row>
    <row r="196">
      <c r="A196" s="22" t="n"/>
      <c r="B196" s="20" t="n"/>
      <c r="C196" s="20" t="n"/>
      <c r="D196" s="20">
        <f>IFERROR(INDEX(XPMenu!$A$2:$A$1000, MATCH(C196, XPMenu!$B$2:$B$1000, 0)), "")</f>
        <v/>
      </c>
      <c r="E196" s="20" t="n"/>
      <c r="F196" s="20" t="n"/>
      <c r="G196" s="20" t="n"/>
      <c r="H196" s="20" t="n"/>
      <c r="I196" s="20">
        <f>IFERROR(VLOOKUP(D196,XPMenu!$A:$F,2,FALSE),"")</f>
        <v/>
      </c>
      <c r="J196" s="20">
        <f>IFERROR(VLOOKUP(D196,XPMenu!$A:$F,3,FALSE),"")</f>
        <v/>
      </c>
      <c r="K196" s="20">
        <f>IFERROR(VLOOKUP(D196,XPMenu!$A:$F,4,FALSE),"")</f>
        <v/>
      </c>
      <c r="L196" s="20" t="n"/>
      <c r="M196" s="20">
        <f>IF(A196="","",IF(F196&lt;&gt;"Yes",0,IF(L196&lt;&gt;"",L196,E196*K196)))</f>
        <v/>
      </c>
      <c r="N196" s="20">
        <f>IF($A196="","",$A196-WEEKDAY($A196,2)+1)</f>
        <v/>
      </c>
      <c r="O196" s="20">
        <f>IF($A196="","",TEXT($A196,"yyyy-mm"))</f>
        <v/>
      </c>
      <c r="P196" s="21">
        <f>IF($A196="","",TEXT(YEAR($A196),"0000")&amp;"-Q"&amp;ROUNDUP(MONTH($A196)/3,0))</f>
        <v/>
      </c>
    </row>
    <row r="197">
      <c r="A197" s="22" t="n"/>
      <c r="B197" s="20" t="n"/>
      <c r="C197" s="20" t="n"/>
      <c r="D197" s="20">
        <f>IFERROR(INDEX(XPMenu!$A$2:$A$1000, MATCH(C197, XPMenu!$B$2:$B$1000, 0)), "")</f>
        <v/>
      </c>
      <c r="E197" s="20" t="n"/>
      <c r="F197" s="20" t="n"/>
      <c r="G197" s="20" t="n"/>
      <c r="H197" s="20" t="n"/>
      <c r="I197" s="20">
        <f>IFERROR(VLOOKUP(D197,XPMenu!$A:$F,2,FALSE),"")</f>
        <v/>
      </c>
      <c r="J197" s="20">
        <f>IFERROR(VLOOKUP(D197,XPMenu!$A:$F,3,FALSE),"")</f>
        <v/>
      </c>
      <c r="K197" s="20">
        <f>IFERROR(VLOOKUP(D197,XPMenu!$A:$F,4,FALSE),"")</f>
        <v/>
      </c>
      <c r="L197" s="20" t="n"/>
      <c r="M197" s="20">
        <f>IF(A197="","",IF(F197&lt;&gt;"Yes",0,IF(L197&lt;&gt;"",L197,E197*K197)))</f>
        <v/>
      </c>
      <c r="N197" s="20">
        <f>IF($A197="","",$A197-WEEKDAY($A197,2)+1)</f>
        <v/>
      </c>
      <c r="O197" s="20">
        <f>IF($A197="","",TEXT($A197,"yyyy-mm"))</f>
        <v/>
      </c>
      <c r="P197" s="21">
        <f>IF($A197="","",TEXT(YEAR($A197),"0000")&amp;"-Q"&amp;ROUNDUP(MONTH($A197)/3,0))</f>
        <v/>
      </c>
    </row>
    <row r="198">
      <c r="A198" s="22" t="n"/>
      <c r="B198" s="20" t="n"/>
      <c r="C198" s="20" t="n"/>
      <c r="D198" s="20">
        <f>IFERROR(INDEX(XPMenu!$A$2:$A$1000, MATCH(C198, XPMenu!$B$2:$B$1000, 0)), "")</f>
        <v/>
      </c>
      <c r="E198" s="20" t="n"/>
      <c r="F198" s="20" t="n"/>
      <c r="G198" s="20" t="n"/>
      <c r="H198" s="20" t="n"/>
      <c r="I198" s="20">
        <f>IFERROR(VLOOKUP(D198,XPMenu!$A:$F,2,FALSE),"")</f>
        <v/>
      </c>
      <c r="J198" s="20">
        <f>IFERROR(VLOOKUP(D198,XPMenu!$A:$F,3,FALSE),"")</f>
        <v/>
      </c>
      <c r="K198" s="20">
        <f>IFERROR(VLOOKUP(D198,XPMenu!$A:$F,4,FALSE),"")</f>
        <v/>
      </c>
      <c r="L198" s="20" t="n"/>
      <c r="M198" s="20">
        <f>IF(A198="","",IF(F198&lt;&gt;"Yes",0,IF(L198&lt;&gt;"",L198,E198*K198)))</f>
        <v/>
      </c>
      <c r="N198" s="20">
        <f>IF($A198="","",$A198-WEEKDAY($A198,2)+1)</f>
        <v/>
      </c>
      <c r="O198" s="20">
        <f>IF($A198="","",TEXT($A198,"yyyy-mm"))</f>
        <v/>
      </c>
      <c r="P198" s="21">
        <f>IF($A198="","",TEXT(YEAR($A198),"0000")&amp;"-Q"&amp;ROUNDUP(MONTH($A198)/3,0))</f>
        <v/>
      </c>
    </row>
    <row r="199">
      <c r="A199" s="22" t="n"/>
      <c r="B199" s="20" t="n"/>
      <c r="C199" s="20" t="n"/>
      <c r="D199" s="20">
        <f>IFERROR(INDEX(XPMenu!$A$2:$A$1000, MATCH(C199, XPMenu!$B$2:$B$1000, 0)), "")</f>
        <v/>
      </c>
      <c r="E199" s="20" t="n"/>
      <c r="F199" s="20" t="n"/>
      <c r="G199" s="20" t="n"/>
      <c r="H199" s="20" t="n"/>
      <c r="I199" s="20">
        <f>IFERROR(VLOOKUP(D199,XPMenu!$A:$F,2,FALSE),"")</f>
        <v/>
      </c>
      <c r="J199" s="20">
        <f>IFERROR(VLOOKUP(D199,XPMenu!$A:$F,3,FALSE),"")</f>
        <v/>
      </c>
      <c r="K199" s="20">
        <f>IFERROR(VLOOKUP(D199,XPMenu!$A:$F,4,FALSE),"")</f>
        <v/>
      </c>
      <c r="L199" s="20" t="n"/>
      <c r="M199" s="20">
        <f>IF(A199="","",IF(F199&lt;&gt;"Yes",0,IF(L199&lt;&gt;"",L199,E199*K199)))</f>
        <v/>
      </c>
      <c r="N199" s="20">
        <f>IF($A199="","",$A199-WEEKDAY($A199,2)+1)</f>
        <v/>
      </c>
      <c r="O199" s="20">
        <f>IF($A199="","",TEXT($A199,"yyyy-mm"))</f>
        <v/>
      </c>
      <c r="P199" s="21">
        <f>IF($A199="","",TEXT(YEAR($A199),"0000")&amp;"-Q"&amp;ROUNDUP(MONTH($A199)/3,0))</f>
        <v/>
      </c>
    </row>
    <row r="200">
      <c r="A200" s="22" t="n"/>
      <c r="B200" s="20" t="n"/>
      <c r="C200" s="20" t="n"/>
      <c r="D200" s="20">
        <f>IFERROR(INDEX(XPMenu!$A$2:$A$1000, MATCH(C200, XPMenu!$B$2:$B$1000, 0)), "")</f>
        <v/>
      </c>
      <c r="E200" s="20" t="n"/>
      <c r="F200" s="20" t="n"/>
      <c r="G200" s="20" t="n"/>
      <c r="H200" s="20" t="n"/>
      <c r="I200" s="20">
        <f>IFERROR(VLOOKUP(D200,XPMenu!$A:$F,2,FALSE),"")</f>
        <v/>
      </c>
      <c r="J200" s="20">
        <f>IFERROR(VLOOKUP(D200,XPMenu!$A:$F,3,FALSE),"")</f>
        <v/>
      </c>
      <c r="K200" s="20">
        <f>IFERROR(VLOOKUP(D200,XPMenu!$A:$F,4,FALSE),"")</f>
        <v/>
      </c>
      <c r="L200" s="20" t="n"/>
      <c r="M200" s="20">
        <f>IF(A200="","",IF(F200&lt;&gt;"Yes",0,IF(L200&lt;&gt;"",L200,E200*K200)))</f>
        <v/>
      </c>
      <c r="N200" s="20">
        <f>IF($A200="","",$A200-WEEKDAY($A200,2)+1)</f>
        <v/>
      </c>
      <c r="O200" s="20">
        <f>IF($A200="","",TEXT($A200,"yyyy-mm"))</f>
        <v/>
      </c>
      <c r="P200" s="21">
        <f>IF($A200="","",TEXT(YEAR($A200),"0000")&amp;"-Q"&amp;ROUNDUP(MONTH($A200)/3,0))</f>
        <v/>
      </c>
    </row>
    <row r="201">
      <c r="A201" s="22" t="n"/>
      <c r="B201" s="20" t="n"/>
      <c r="C201" s="20" t="n"/>
      <c r="D201" s="20">
        <f>IFERROR(INDEX(XPMenu!$A$2:$A$1000, MATCH(C201, XPMenu!$B$2:$B$1000, 0)), "")</f>
        <v/>
      </c>
      <c r="E201" s="20" t="n"/>
      <c r="F201" s="20" t="n"/>
      <c r="G201" s="20" t="n"/>
      <c r="H201" s="20" t="n"/>
      <c r="I201" s="20">
        <f>IFERROR(VLOOKUP(D201,XPMenu!$A:$F,2,FALSE),"")</f>
        <v/>
      </c>
      <c r="J201" s="20">
        <f>IFERROR(VLOOKUP(D201,XPMenu!$A:$F,3,FALSE),"")</f>
        <v/>
      </c>
      <c r="K201" s="20">
        <f>IFERROR(VLOOKUP(D201,XPMenu!$A:$F,4,FALSE),"")</f>
        <v/>
      </c>
      <c r="L201" s="20" t="n"/>
      <c r="M201" s="20">
        <f>IF(A201="","",IF(F201&lt;&gt;"Yes",0,IF(L201&lt;&gt;"",L201,E201*K201)))</f>
        <v/>
      </c>
      <c r="N201" s="20">
        <f>IF($A201="","",$A201-WEEKDAY($A201,2)+1)</f>
        <v/>
      </c>
      <c r="O201" s="20">
        <f>IF($A201="","",TEXT($A201,"yyyy-mm"))</f>
        <v/>
      </c>
      <c r="P201" s="21">
        <f>IF($A201="","",TEXT(YEAR($A201),"0000")&amp;"-Q"&amp;ROUNDUP(MONTH($A201)/3,0))</f>
        <v/>
      </c>
    </row>
    <row r="202">
      <c r="A202" s="22" t="n"/>
      <c r="B202" s="20" t="n"/>
      <c r="C202" s="20" t="n"/>
      <c r="D202" s="20">
        <f>IFERROR(INDEX(XPMenu!$A$2:$A$1000, MATCH(C202, XPMenu!$B$2:$B$1000, 0)), "")</f>
        <v/>
      </c>
      <c r="E202" s="20" t="n"/>
      <c r="F202" s="20" t="n"/>
      <c r="G202" s="20" t="n"/>
      <c r="H202" s="20" t="n"/>
      <c r="I202" s="20">
        <f>IFERROR(VLOOKUP(D202,XPMenu!$A:$F,2,FALSE),"")</f>
        <v/>
      </c>
      <c r="J202" s="20">
        <f>IFERROR(VLOOKUP(D202,XPMenu!$A:$F,3,FALSE),"")</f>
        <v/>
      </c>
      <c r="K202" s="20">
        <f>IFERROR(VLOOKUP(D202,XPMenu!$A:$F,4,FALSE),"")</f>
        <v/>
      </c>
      <c r="L202" s="20" t="n"/>
      <c r="M202" s="20">
        <f>IF(A202="","",IF(F202&lt;&gt;"Yes",0,IF(L202&lt;&gt;"",L202,E202*K202)))</f>
        <v/>
      </c>
      <c r="N202" s="20">
        <f>IF($A202="","",$A202-WEEKDAY($A202,2)+1)</f>
        <v/>
      </c>
      <c r="O202" s="20">
        <f>IF($A202="","",TEXT($A202,"yyyy-mm"))</f>
        <v/>
      </c>
      <c r="P202" s="21">
        <f>IF($A202="","",TEXT(YEAR($A202),"0000")&amp;"-Q"&amp;ROUNDUP(MONTH($A202)/3,0))</f>
        <v/>
      </c>
    </row>
    <row r="203">
      <c r="A203" s="22" t="n"/>
      <c r="B203" s="20" t="n"/>
      <c r="C203" s="20" t="n"/>
      <c r="D203" s="20">
        <f>IFERROR(INDEX(XPMenu!$A$2:$A$1000, MATCH(C203, XPMenu!$B$2:$B$1000, 0)), "")</f>
        <v/>
      </c>
      <c r="E203" s="20" t="n"/>
      <c r="F203" s="20" t="n"/>
      <c r="G203" s="20" t="n"/>
      <c r="H203" s="20" t="n"/>
      <c r="I203" s="20">
        <f>IFERROR(VLOOKUP(D203,XPMenu!$A:$F,2,FALSE),"")</f>
        <v/>
      </c>
      <c r="J203" s="20">
        <f>IFERROR(VLOOKUP(D203,XPMenu!$A:$F,3,FALSE),"")</f>
        <v/>
      </c>
      <c r="K203" s="20">
        <f>IFERROR(VLOOKUP(D203,XPMenu!$A:$F,4,FALSE),"")</f>
        <v/>
      </c>
      <c r="L203" s="20" t="n"/>
      <c r="M203" s="20">
        <f>IF(A203="","",IF(F203&lt;&gt;"Yes",0,IF(L203&lt;&gt;"",L203,E203*K203)))</f>
        <v/>
      </c>
      <c r="N203" s="20">
        <f>IF($A203="","",$A203-WEEKDAY($A203,2)+1)</f>
        <v/>
      </c>
      <c r="O203" s="20">
        <f>IF($A203="","",TEXT($A203,"yyyy-mm"))</f>
        <v/>
      </c>
      <c r="P203" s="21">
        <f>IF($A203="","",TEXT(YEAR($A203),"0000")&amp;"-Q"&amp;ROUNDUP(MONTH($A203)/3,0))</f>
        <v/>
      </c>
    </row>
    <row r="204">
      <c r="A204" s="22" t="n"/>
      <c r="B204" s="20" t="n"/>
      <c r="C204" s="20" t="n"/>
      <c r="D204" s="20">
        <f>IFERROR(INDEX(XPMenu!$A$2:$A$1000, MATCH(C204, XPMenu!$B$2:$B$1000, 0)), "")</f>
        <v/>
      </c>
      <c r="E204" s="20" t="n"/>
      <c r="F204" s="20" t="n"/>
      <c r="G204" s="20" t="n"/>
      <c r="H204" s="20" t="n"/>
      <c r="I204" s="20">
        <f>IFERROR(VLOOKUP(D204,XPMenu!$A:$F,2,FALSE),"")</f>
        <v/>
      </c>
      <c r="J204" s="20">
        <f>IFERROR(VLOOKUP(D204,XPMenu!$A:$F,3,FALSE),"")</f>
        <v/>
      </c>
      <c r="K204" s="20">
        <f>IFERROR(VLOOKUP(D204,XPMenu!$A:$F,4,FALSE),"")</f>
        <v/>
      </c>
      <c r="L204" s="20" t="n"/>
      <c r="M204" s="20">
        <f>IF(A204="","",IF(F204&lt;&gt;"Yes",0,IF(L204&lt;&gt;"",L204,E204*K204)))</f>
        <v/>
      </c>
      <c r="N204" s="20">
        <f>IF($A204="","",$A204-WEEKDAY($A204,2)+1)</f>
        <v/>
      </c>
      <c r="O204" s="20">
        <f>IF($A204="","",TEXT($A204,"yyyy-mm"))</f>
        <v/>
      </c>
      <c r="P204" s="21">
        <f>IF($A204="","",TEXT(YEAR($A204),"0000")&amp;"-Q"&amp;ROUNDUP(MONTH($A204)/3,0))</f>
        <v/>
      </c>
    </row>
    <row r="205">
      <c r="A205" s="22" t="n"/>
      <c r="B205" s="20" t="n"/>
      <c r="C205" s="20" t="n"/>
      <c r="D205" s="20">
        <f>IFERROR(INDEX(XPMenu!$A$2:$A$1000, MATCH(C205, XPMenu!$B$2:$B$1000, 0)), "")</f>
        <v/>
      </c>
      <c r="E205" s="20" t="n"/>
      <c r="F205" s="20" t="n"/>
      <c r="G205" s="20" t="n"/>
      <c r="H205" s="20" t="n"/>
      <c r="I205" s="20">
        <f>IFERROR(VLOOKUP(D205,XPMenu!$A:$F,2,FALSE),"")</f>
        <v/>
      </c>
      <c r="J205" s="20">
        <f>IFERROR(VLOOKUP(D205,XPMenu!$A:$F,3,FALSE),"")</f>
        <v/>
      </c>
      <c r="K205" s="20">
        <f>IFERROR(VLOOKUP(D205,XPMenu!$A:$F,4,FALSE),"")</f>
        <v/>
      </c>
      <c r="L205" s="20" t="n"/>
      <c r="M205" s="20">
        <f>IF(A205="","",IF(F205&lt;&gt;"Yes",0,IF(L205&lt;&gt;"",L205,E205*K205)))</f>
        <v/>
      </c>
      <c r="N205" s="20">
        <f>IF($A205="","",$A205-WEEKDAY($A205,2)+1)</f>
        <v/>
      </c>
      <c r="O205" s="20">
        <f>IF($A205="","",TEXT($A205,"yyyy-mm"))</f>
        <v/>
      </c>
      <c r="P205" s="21">
        <f>IF($A205="","",TEXT(YEAR($A205),"0000")&amp;"-Q"&amp;ROUNDUP(MONTH($A205)/3,0))</f>
        <v/>
      </c>
    </row>
    <row r="206">
      <c r="A206" s="22" t="n"/>
      <c r="B206" s="20" t="n"/>
      <c r="C206" s="20" t="n"/>
      <c r="D206" s="20">
        <f>IFERROR(INDEX(XPMenu!$A$2:$A$1000, MATCH(C206, XPMenu!$B$2:$B$1000, 0)), "")</f>
        <v/>
      </c>
      <c r="E206" s="20" t="n"/>
      <c r="F206" s="20" t="n"/>
      <c r="G206" s="20" t="n"/>
      <c r="H206" s="20" t="n"/>
      <c r="I206" s="20">
        <f>IFERROR(VLOOKUP(D206,XPMenu!$A:$F,2,FALSE),"")</f>
        <v/>
      </c>
      <c r="J206" s="20">
        <f>IFERROR(VLOOKUP(D206,XPMenu!$A:$F,3,FALSE),"")</f>
        <v/>
      </c>
      <c r="K206" s="20">
        <f>IFERROR(VLOOKUP(D206,XPMenu!$A:$F,4,FALSE),"")</f>
        <v/>
      </c>
      <c r="L206" s="20" t="n"/>
      <c r="M206" s="20">
        <f>IF(A206="","",IF(F206&lt;&gt;"Yes",0,IF(L206&lt;&gt;"",L206,E206*K206)))</f>
        <v/>
      </c>
      <c r="N206" s="20">
        <f>IF($A206="","",$A206-WEEKDAY($A206,2)+1)</f>
        <v/>
      </c>
      <c r="O206" s="20">
        <f>IF($A206="","",TEXT($A206,"yyyy-mm"))</f>
        <v/>
      </c>
      <c r="P206" s="21">
        <f>IF($A206="","",TEXT(YEAR($A206),"0000")&amp;"-Q"&amp;ROUNDUP(MONTH($A206)/3,0))</f>
        <v/>
      </c>
    </row>
    <row r="207">
      <c r="A207" s="22" t="n"/>
      <c r="B207" s="20" t="n"/>
      <c r="C207" s="20" t="n"/>
      <c r="D207" s="20">
        <f>IFERROR(INDEX(XPMenu!$A$2:$A$1000, MATCH(C207, XPMenu!$B$2:$B$1000, 0)), "")</f>
        <v/>
      </c>
      <c r="E207" s="20" t="n"/>
      <c r="F207" s="20" t="n"/>
      <c r="G207" s="20" t="n"/>
      <c r="H207" s="20" t="n"/>
      <c r="I207" s="20">
        <f>IFERROR(VLOOKUP(D207,XPMenu!$A:$F,2,FALSE),"")</f>
        <v/>
      </c>
      <c r="J207" s="20">
        <f>IFERROR(VLOOKUP(D207,XPMenu!$A:$F,3,FALSE),"")</f>
        <v/>
      </c>
      <c r="K207" s="20">
        <f>IFERROR(VLOOKUP(D207,XPMenu!$A:$F,4,FALSE),"")</f>
        <v/>
      </c>
      <c r="L207" s="20" t="n"/>
      <c r="M207" s="20">
        <f>IF(A207="","",IF(F207&lt;&gt;"Yes",0,IF(L207&lt;&gt;"",L207,E207*K207)))</f>
        <v/>
      </c>
      <c r="N207" s="20">
        <f>IF($A207="","",$A207-WEEKDAY($A207,2)+1)</f>
        <v/>
      </c>
      <c r="O207" s="20">
        <f>IF($A207="","",TEXT($A207,"yyyy-mm"))</f>
        <v/>
      </c>
      <c r="P207" s="21">
        <f>IF($A207="","",TEXT(YEAR($A207),"0000")&amp;"-Q"&amp;ROUNDUP(MONTH($A207)/3,0))</f>
        <v/>
      </c>
    </row>
    <row r="208">
      <c r="A208" s="22" t="n"/>
      <c r="B208" s="20" t="n"/>
      <c r="C208" s="20" t="n"/>
      <c r="D208" s="20">
        <f>IFERROR(INDEX(XPMenu!$A$2:$A$1000, MATCH(C208, XPMenu!$B$2:$B$1000, 0)), "")</f>
        <v/>
      </c>
      <c r="E208" s="20" t="n"/>
      <c r="F208" s="20" t="n"/>
      <c r="G208" s="20" t="n"/>
      <c r="H208" s="20" t="n"/>
      <c r="I208" s="20">
        <f>IFERROR(VLOOKUP(D208,XPMenu!$A:$F,2,FALSE),"")</f>
        <v/>
      </c>
      <c r="J208" s="20">
        <f>IFERROR(VLOOKUP(D208,XPMenu!$A:$F,3,FALSE),"")</f>
        <v/>
      </c>
      <c r="K208" s="20">
        <f>IFERROR(VLOOKUP(D208,XPMenu!$A:$F,4,FALSE),"")</f>
        <v/>
      </c>
      <c r="L208" s="20" t="n"/>
      <c r="M208" s="20">
        <f>IF(A208="","",IF(F208&lt;&gt;"Yes",0,IF(L208&lt;&gt;"",L208,E208*K208)))</f>
        <v/>
      </c>
      <c r="N208" s="20">
        <f>IF($A208="","",$A208-WEEKDAY($A208,2)+1)</f>
        <v/>
      </c>
      <c r="O208" s="20">
        <f>IF($A208="","",TEXT($A208,"yyyy-mm"))</f>
        <v/>
      </c>
      <c r="P208" s="21">
        <f>IF($A208="","",TEXT(YEAR($A208),"0000")&amp;"-Q"&amp;ROUNDUP(MONTH($A208)/3,0))</f>
        <v/>
      </c>
    </row>
    <row r="209">
      <c r="A209" s="22" t="n"/>
      <c r="B209" s="20" t="n"/>
      <c r="C209" s="20" t="n"/>
      <c r="D209" s="20">
        <f>IFERROR(INDEX(XPMenu!$A$2:$A$1000, MATCH(C209, XPMenu!$B$2:$B$1000, 0)), "")</f>
        <v/>
      </c>
      <c r="E209" s="20" t="n"/>
      <c r="F209" s="20" t="n"/>
      <c r="G209" s="20" t="n"/>
      <c r="H209" s="20" t="n"/>
      <c r="I209" s="20">
        <f>IFERROR(VLOOKUP(D209,XPMenu!$A:$F,2,FALSE),"")</f>
        <v/>
      </c>
      <c r="J209" s="20">
        <f>IFERROR(VLOOKUP(D209,XPMenu!$A:$F,3,FALSE),"")</f>
        <v/>
      </c>
      <c r="K209" s="20">
        <f>IFERROR(VLOOKUP(D209,XPMenu!$A:$F,4,FALSE),"")</f>
        <v/>
      </c>
      <c r="L209" s="20" t="n"/>
      <c r="M209" s="20">
        <f>IF(A209="","",IF(F209&lt;&gt;"Yes",0,IF(L209&lt;&gt;"",L209,E209*K209)))</f>
        <v/>
      </c>
      <c r="N209" s="20">
        <f>IF($A209="","",$A209-WEEKDAY($A209,2)+1)</f>
        <v/>
      </c>
      <c r="O209" s="20">
        <f>IF($A209="","",TEXT($A209,"yyyy-mm"))</f>
        <v/>
      </c>
      <c r="P209" s="21">
        <f>IF($A209="","",TEXT(YEAR($A209),"0000")&amp;"-Q"&amp;ROUNDUP(MONTH($A209)/3,0))</f>
        <v/>
      </c>
    </row>
    <row r="210">
      <c r="A210" s="22" t="n"/>
      <c r="B210" s="20" t="n"/>
      <c r="C210" s="20" t="n"/>
      <c r="D210" s="20">
        <f>IFERROR(INDEX(XPMenu!$A$2:$A$1000, MATCH(C210, XPMenu!$B$2:$B$1000, 0)), "")</f>
        <v/>
      </c>
      <c r="E210" s="20" t="n"/>
      <c r="F210" s="20" t="n"/>
      <c r="G210" s="20" t="n"/>
      <c r="H210" s="20" t="n"/>
      <c r="I210" s="20">
        <f>IFERROR(VLOOKUP(D210,XPMenu!$A:$F,2,FALSE),"")</f>
        <v/>
      </c>
      <c r="J210" s="20">
        <f>IFERROR(VLOOKUP(D210,XPMenu!$A:$F,3,FALSE),"")</f>
        <v/>
      </c>
      <c r="K210" s="20">
        <f>IFERROR(VLOOKUP(D210,XPMenu!$A:$F,4,FALSE),"")</f>
        <v/>
      </c>
      <c r="L210" s="20" t="n"/>
      <c r="M210" s="20">
        <f>IF(A210="","",IF(F210&lt;&gt;"Yes",0,IF(L210&lt;&gt;"",L210,E210*K210)))</f>
        <v/>
      </c>
      <c r="N210" s="20">
        <f>IF($A210="","",$A210-WEEKDAY($A210,2)+1)</f>
        <v/>
      </c>
      <c r="O210" s="20">
        <f>IF($A210="","",TEXT($A210,"yyyy-mm"))</f>
        <v/>
      </c>
      <c r="P210" s="21">
        <f>IF($A210="","",TEXT(YEAR($A210),"0000")&amp;"-Q"&amp;ROUNDUP(MONTH($A210)/3,0))</f>
        <v/>
      </c>
    </row>
    <row r="211">
      <c r="A211" s="22" t="n"/>
      <c r="B211" s="20" t="n"/>
      <c r="C211" s="20" t="n"/>
      <c r="D211" s="20">
        <f>IFERROR(INDEX(XPMenu!$A$2:$A$1000, MATCH(C211, XPMenu!$B$2:$B$1000, 0)), "")</f>
        <v/>
      </c>
      <c r="E211" s="20" t="n"/>
      <c r="F211" s="20" t="n"/>
      <c r="G211" s="20" t="n"/>
      <c r="H211" s="20" t="n"/>
      <c r="I211" s="20">
        <f>IFERROR(VLOOKUP(D211,XPMenu!$A:$F,2,FALSE),"")</f>
        <v/>
      </c>
      <c r="J211" s="20">
        <f>IFERROR(VLOOKUP(D211,XPMenu!$A:$F,3,FALSE),"")</f>
        <v/>
      </c>
      <c r="K211" s="20">
        <f>IFERROR(VLOOKUP(D211,XPMenu!$A:$F,4,FALSE),"")</f>
        <v/>
      </c>
      <c r="L211" s="20" t="n"/>
      <c r="M211" s="20">
        <f>IF(A211="","",IF(F211&lt;&gt;"Yes",0,IF(L211&lt;&gt;"",L211,E211*K211)))</f>
        <v/>
      </c>
      <c r="N211" s="20">
        <f>IF($A211="","",$A211-WEEKDAY($A211,2)+1)</f>
        <v/>
      </c>
      <c r="O211" s="20">
        <f>IF($A211="","",TEXT($A211,"yyyy-mm"))</f>
        <v/>
      </c>
      <c r="P211" s="21">
        <f>IF($A211="","",TEXT(YEAR($A211),"0000")&amp;"-Q"&amp;ROUNDUP(MONTH($A211)/3,0))</f>
        <v/>
      </c>
    </row>
    <row r="212">
      <c r="A212" s="22" t="n"/>
      <c r="B212" s="20" t="n"/>
      <c r="C212" s="20" t="n"/>
      <c r="D212" s="20">
        <f>IFERROR(INDEX(XPMenu!$A$2:$A$1000, MATCH(C212, XPMenu!$B$2:$B$1000, 0)), "")</f>
        <v/>
      </c>
      <c r="E212" s="20" t="n"/>
      <c r="F212" s="20" t="n"/>
      <c r="G212" s="20" t="n"/>
      <c r="H212" s="20" t="n"/>
      <c r="I212" s="20">
        <f>IFERROR(VLOOKUP(D212,XPMenu!$A:$F,2,FALSE),"")</f>
        <v/>
      </c>
      <c r="J212" s="20">
        <f>IFERROR(VLOOKUP(D212,XPMenu!$A:$F,3,FALSE),"")</f>
        <v/>
      </c>
      <c r="K212" s="20">
        <f>IFERROR(VLOOKUP(D212,XPMenu!$A:$F,4,FALSE),"")</f>
        <v/>
      </c>
      <c r="L212" s="20" t="n"/>
      <c r="M212" s="20">
        <f>IF(A212="","",IF(F212&lt;&gt;"Yes",0,IF(L212&lt;&gt;"",L212,E212*K212)))</f>
        <v/>
      </c>
      <c r="N212" s="20">
        <f>IF($A212="","",$A212-WEEKDAY($A212,2)+1)</f>
        <v/>
      </c>
      <c r="O212" s="20">
        <f>IF($A212="","",TEXT($A212,"yyyy-mm"))</f>
        <v/>
      </c>
      <c r="P212" s="21">
        <f>IF($A212="","",TEXT(YEAR($A212),"0000")&amp;"-Q"&amp;ROUNDUP(MONTH($A212)/3,0))</f>
        <v/>
      </c>
    </row>
    <row r="213">
      <c r="A213" s="22" t="n"/>
      <c r="B213" s="20" t="n"/>
      <c r="C213" s="20" t="n"/>
      <c r="D213" s="20">
        <f>IFERROR(INDEX(XPMenu!$A$2:$A$1000, MATCH(C213, XPMenu!$B$2:$B$1000, 0)), "")</f>
        <v/>
      </c>
      <c r="E213" s="20" t="n"/>
      <c r="F213" s="20" t="n"/>
      <c r="G213" s="20" t="n"/>
      <c r="H213" s="20" t="n"/>
      <c r="I213" s="20">
        <f>IFERROR(VLOOKUP(D213,XPMenu!$A:$F,2,FALSE),"")</f>
        <v/>
      </c>
      <c r="J213" s="20">
        <f>IFERROR(VLOOKUP(D213,XPMenu!$A:$F,3,FALSE),"")</f>
        <v/>
      </c>
      <c r="K213" s="20">
        <f>IFERROR(VLOOKUP(D213,XPMenu!$A:$F,4,FALSE),"")</f>
        <v/>
      </c>
      <c r="L213" s="20" t="n"/>
      <c r="M213" s="20">
        <f>IF(A213="","",IF(F213&lt;&gt;"Yes",0,IF(L213&lt;&gt;"",L213,E213*K213)))</f>
        <v/>
      </c>
      <c r="N213" s="20">
        <f>IF($A213="","",$A213-WEEKDAY($A213,2)+1)</f>
        <v/>
      </c>
      <c r="O213" s="20">
        <f>IF($A213="","",TEXT($A213,"yyyy-mm"))</f>
        <v/>
      </c>
      <c r="P213" s="21">
        <f>IF($A213="","",TEXT(YEAR($A213),"0000")&amp;"-Q"&amp;ROUNDUP(MONTH($A213)/3,0))</f>
        <v/>
      </c>
    </row>
    <row r="214">
      <c r="A214" s="22" t="n"/>
      <c r="B214" s="20" t="n"/>
      <c r="C214" s="20" t="n"/>
      <c r="D214" s="20">
        <f>IFERROR(INDEX(XPMenu!$A$2:$A$1000, MATCH(C214, XPMenu!$B$2:$B$1000, 0)), "")</f>
        <v/>
      </c>
      <c r="E214" s="20" t="n"/>
      <c r="F214" s="20" t="n"/>
      <c r="G214" s="20" t="n"/>
      <c r="H214" s="20" t="n"/>
      <c r="I214" s="20">
        <f>IFERROR(VLOOKUP(D214,XPMenu!$A:$F,2,FALSE),"")</f>
        <v/>
      </c>
      <c r="J214" s="20">
        <f>IFERROR(VLOOKUP(D214,XPMenu!$A:$F,3,FALSE),"")</f>
        <v/>
      </c>
      <c r="K214" s="20">
        <f>IFERROR(VLOOKUP(D214,XPMenu!$A:$F,4,FALSE),"")</f>
        <v/>
      </c>
      <c r="L214" s="20" t="n"/>
      <c r="M214" s="20">
        <f>IF(A214="","",IF(F214&lt;&gt;"Yes",0,IF(L214&lt;&gt;"",L214,E214*K214)))</f>
        <v/>
      </c>
      <c r="N214" s="20">
        <f>IF($A214="","",$A214-WEEKDAY($A214,2)+1)</f>
        <v/>
      </c>
      <c r="O214" s="20">
        <f>IF($A214="","",TEXT($A214,"yyyy-mm"))</f>
        <v/>
      </c>
      <c r="P214" s="21">
        <f>IF($A214="","",TEXT(YEAR($A214),"0000")&amp;"-Q"&amp;ROUNDUP(MONTH($A214)/3,0))</f>
        <v/>
      </c>
    </row>
    <row r="215">
      <c r="A215" s="22" t="n"/>
      <c r="B215" s="20" t="n"/>
      <c r="C215" s="20" t="n"/>
      <c r="D215" s="20">
        <f>IFERROR(INDEX(XPMenu!$A$2:$A$1000, MATCH(C215, XPMenu!$B$2:$B$1000, 0)), "")</f>
        <v/>
      </c>
      <c r="E215" s="20" t="n"/>
      <c r="F215" s="20" t="n"/>
      <c r="G215" s="20" t="n"/>
      <c r="H215" s="20" t="n"/>
      <c r="I215" s="20">
        <f>IFERROR(VLOOKUP(D215,XPMenu!$A:$F,2,FALSE),"")</f>
        <v/>
      </c>
      <c r="J215" s="20">
        <f>IFERROR(VLOOKUP(D215,XPMenu!$A:$F,3,FALSE),"")</f>
        <v/>
      </c>
      <c r="K215" s="20">
        <f>IFERROR(VLOOKUP(D215,XPMenu!$A:$F,4,FALSE),"")</f>
        <v/>
      </c>
      <c r="L215" s="20" t="n"/>
      <c r="M215" s="20">
        <f>IF(A215="","",IF(F215&lt;&gt;"Yes",0,IF(L215&lt;&gt;"",L215,E215*K215)))</f>
        <v/>
      </c>
      <c r="N215" s="20">
        <f>IF($A215="","",$A215-WEEKDAY($A215,2)+1)</f>
        <v/>
      </c>
      <c r="O215" s="20">
        <f>IF($A215="","",TEXT($A215,"yyyy-mm"))</f>
        <v/>
      </c>
      <c r="P215" s="21">
        <f>IF($A215="","",TEXT(YEAR($A215),"0000")&amp;"-Q"&amp;ROUNDUP(MONTH($A215)/3,0))</f>
        <v/>
      </c>
    </row>
    <row r="216">
      <c r="A216" s="22" t="n"/>
      <c r="B216" s="20" t="n"/>
      <c r="C216" s="20" t="n"/>
      <c r="D216" s="20">
        <f>IFERROR(INDEX(XPMenu!$A$2:$A$1000, MATCH(C216, XPMenu!$B$2:$B$1000, 0)), "")</f>
        <v/>
      </c>
      <c r="E216" s="20" t="n"/>
      <c r="F216" s="20" t="n"/>
      <c r="G216" s="20" t="n"/>
      <c r="H216" s="20" t="n"/>
      <c r="I216" s="20">
        <f>IFERROR(VLOOKUP(D216,XPMenu!$A:$F,2,FALSE),"")</f>
        <v/>
      </c>
      <c r="J216" s="20">
        <f>IFERROR(VLOOKUP(D216,XPMenu!$A:$F,3,FALSE),"")</f>
        <v/>
      </c>
      <c r="K216" s="20">
        <f>IFERROR(VLOOKUP(D216,XPMenu!$A:$F,4,FALSE),"")</f>
        <v/>
      </c>
      <c r="L216" s="20" t="n"/>
      <c r="M216" s="20">
        <f>IF(A216="","",IF(F216&lt;&gt;"Yes",0,IF(L216&lt;&gt;"",L216,E216*K216)))</f>
        <v/>
      </c>
      <c r="N216" s="20">
        <f>IF($A216="","",$A216-WEEKDAY($A216,2)+1)</f>
        <v/>
      </c>
      <c r="O216" s="20">
        <f>IF($A216="","",TEXT($A216,"yyyy-mm"))</f>
        <v/>
      </c>
      <c r="P216" s="21">
        <f>IF($A216="","",TEXT(YEAR($A216),"0000")&amp;"-Q"&amp;ROUNDUP(MONTH($A216)/3,0))</f>
        <v/>
      </c>
    </row>
    <row r="217">
      <c r="A217" s="22" t="n"/>
      <c r="B217" s="20" t="n"/>
      <c r="C217" s="20" t="n"/>
      <c r="D217" s="20">
        <f>IFERROR(INDEX(XPMenu!$A$2:$A$1000, MATCH(C217, XPMenu!$B$2:$B$1000, 0)), "")</f>
        <v/>
      </c>
      <c r="E217" s="20" t="n"/>
      <c r="F217" s="20" t="n"/>
      <c r="G217" s="20" t="n"/>
      <c r="H217" s="20" t="n"/>
      <c r="I217" s="20">
        <f>IFERROR(VLOOKUP(D217,XPMenu!$A:$F,2,FALSE),"")</f>
        <v/>
      </c>
      <c r="J217" s="20">
        <f>IFERROR(VLOOKUP(D217,XPMenu!$A:$F,3,FALSE),"")</f>
        <v/>
      </c>
      <c r="K217" s="20">
        <f>IFERROR(VLOOKUP(D217,XPMenu!$A:$F,4,FALSE),"")</f>
        <v/>
      </c>
      <c r="L217" s="20" t="n"/>
      <c r="M217" s="20">
        <f>IF(A217="","",IF(F217&lt;&gt;"Yes",0,IF(L217&lt;&gt;"",L217,E217*K217)))</f>
        <v/>
      </c>
      <c r="N217" s="20">
        <f>IF($A217="","",$A217-WEEKDAY($A217,2)+1)</f>
        <v/>
      </c>
      <c r="O217" s="20">
        <f>IF($A217="","",TEXT($A217,"yyyy-mm"))</f>
        <v/>
      </c>
      <c r="P217" s="21">
        <f>IF($A217="","",TEXT(YEAR($A217),"0000")&amp;"-Q"&amp;ROUNDUP(MONTH($A217)/3,0))</f>
        <v/>
      </c>
    </row>
    <row r="218">
      <c r="A218" s="22" t="n"/>
      <c r="B218" s="20" t="n"/>
      <c r="C218" s="20" t="n"/>
      <c r="D218" s="20">
        <f>IFERROR(INDEX(XPMenu!$A$2:$A$1000, MATCH(C218, XPMenu!$B$2:$B$1000, 0)), "")</f>
        <v/>
      </c>
      <c r="E218" s="20" t="n"/>
      <c r="F218" s="20" t="n"/>
      <c r="G218" s="20" t="n"/>
      <c r="H218" s="20" t="n"/>
      <c r="I218" s="20">
        <f>IFERROR(VLOOKUP(D218,XPMenu!$A:$F,2,FALSE),"")</f>
        <v/>
      </c>
      <c r="J218" s="20">
        <f>IFERROR(VLOOKUP(D218,XPMenu!$A:$F,3,FALSE),"")</f>
        <v/>
      </c>
      <c r="K218" s="20">
        <f>IFERROR(VLOOKUP(D218,XPMenu!$A:$F,4,FALSE),"")</f>
        <v/>
      </c>
      <c r="L218" s="20" t="n"/>
      <c r="M218" s="20">
        <f>IF(A218="","",IF(F218&lt;&gt;"Yes",0,IF(L218&lt;&gt;"",L218,E218*K218)))</f>
        <v/>
      </c>
      <c r="N218" s="20">
        <f>IF($A218="","",$A218-WEEKDAY($A218,2)+1)</f>
        <v/>
      </c>
      <c r="O218" s="20">
        <f>IF($A218="","",TEXT($A218,"yyyy-mm"))</f>
        <v/>
      </c>
      <c r="P218" s="21">
        <f>IF($A218="","",TEXT(YEAR($A218),"0000")&amp;"-Q"&amp;ROUNDUP(MONTH($A218)/3,0))</f>
        <v/>
      </c>
    </row>
    <row r="219">
      <c r="A219" s="22" t="n"/>
      <c r="B219" s="20" t="n"/>
      <c r="C219" s="20" t="n"/>
      <c r="D219" s="20">
        <f>IFERROR(INDEX(XPMenu!$A$2:$A$1000, MATCH(C219, XPMenu!$B$2:$B$1000, 0)), "")</f>
        <v/>
      </c>
      <c r="E219" s="20" t="n"/>
      <c r="F219" s="20" t="n"/>
      <c r="G219" s="20" t="n"/>
      <c r="H219" s="20" t="n"/>
      <c r="I219" s="20">
        <f>IFERROR(VLOOKUP(D219,XPMenu!$A:$F,2,FALSE),"")</f>
        <v/>
      </c>
      <c r="J219" s="20">
        <f>IFERROR(VLOOKUP(D219,XPMenu!$A:$F,3,FALSE),"")</f>
        <v/>
      </c>
      <c r="K219" s="20">
        <f>IFERROR(VLOOKUP(D219,XPMenu!$A:$F,4,FALSE),"")</f>
        <v/>
      </c>
      <c r="L219" s="20" t="n"/>
      <c r="M219" s="20">
        <f>IF(A219="","",IF(F219&lt;&gt;"Yes",0,IF(L219&lt;&gt;"",L219,E219*K219)))</f>
        <v/>
      </c>
      <c r="N219" s="20">
        <f>IF($A219="","",$A219-WEEKDAY($A219,2)+1)</f>
        <v/>
      </c>
      <c r="O219" s="20">
        <f>IF($A219="","",TEXT($A219,"yyyy-mm"))</f>
        <v/>
      </c>
      <c r="P219" s="21">
        <f>IF($A219="","",TEXT(YEAR($A219),"0000")&amp;"-Q"&amp;ROUNDUP(MONTH($A219)/3,0))</f>
        <v/>
      </c>
    </row>
    <row r="220">
      <c r="A220" s="22" t="n"/>
      <c r="B220" s="20" t="n"/>
      <c r="C220" s="20" t="n"/>
      <c r="D220" s="20">
        <f>IFERROR(INDEX(XPMenu!$A$2:$A$1000, MATCH(C220, XPMenu!$B$2:$B$1000, 0)), "")</f>
        <v/>
      </c>
      <c r="E220" s="20" t="n"/>
      <c r="F220" s="20" t="n"/>
      <c r="G220" s="20" t="n"/>
      <c r="H220" s="20" t="n"/>
      <c r="I220" s="20">
        <f>IFERROR(VLOOKUP(D220,XPMenu!$A:$F,2,FALSE),"")</f>
        <v/>
      </c>
      <c r="J220" s="20">
        <f>IFERROR(VLOOKUP(D220,XPMenu!$A:$F,3,FALSE),"")</f>
        <v/>
      </c>
      <c r="K220" s="20">
        <f>IFERROR(VLOOKUP(D220,XPMenu!$A:$F,4,FALSE),"")</f>
        <v/>
      </c>
      <c r="L220" s="20" t="n"/>
      <c r="M220" s="20">
        <f>IF(A220="","",IF(F220&lt;&gt;"Yes",0,IF(L220&lt;&gt;"",L220,E220*K220)))</f>
        <v/>
      </c>
      <c r="N220" s="20">
        <f>IF($A220="","",$A220-WEEKDAY($A220,2)+1)</f>
        <v/>
      </c>
      <c r="O220" s="20">
        <f>IF($A220="","",TEXT($A220,"yyyy-mm"))</f>
        <v/>
      </c>
      <c r="P220" s="21">
        <f>IF($A220="","",TEXT(YEAR($A220),"0000")&amp;"-Q"&amp;ROUNDUP(MONTH($A220)/3,0))</f>
        <v/>
      </c>
    </row>
    <row r="221">
      <c r="A221" s="22" t="n"/>
      <c r="B221" s="20" t="n"/>
      <c r="C221" s="20" t="n"/>
      <c r="D221" s="20">
        <f>IFERROR(INDEX(XPMenu!$A$2:$A$1000, MATCH(C221, XPMenu!$B$2:$B$1000, 0)), "")</f>
        <v/>
      </c>
      <c r="E221" s="20" t="n"/>
      <c r="F221" s="20" t="n"/>
      <c r="G221" s="20" t="n"/>
      <c r="H221" s="20" t="n"/>
      <c r="I221" s="20">
        <f>IFERROR(VLOOKUP(D221,XPMenu!$A:$F,2,FALSE),"")</f>
        <v/>
      </c>
      <c r="J221" s="20">
        <f>IFERROR(VLOOKUP(D221,XPMenu!$A:$F,3,FALSE),"")</f>
        <v/>
      </c>
      <c r="K221" s="20">
        <f>IFERROR(VLOOKUP(D221,XPMenu!$A:$F,4,FALSE),"")</f>
        <v/>
      </c>
      <c r="L221" s="20" t="n"/>
      <c r="M221" s="20">
        <f>IF(A221="","",IF(F221&lt;&gt;"Yes",0,IF(L221&lt;&gt;"",L221,E221*K221)))</f>
        <v/>
      </c>
      <c r="N221" s="20">
        <f>IF($A221="","",$A221-WEEKDAY($A221,2)+1)</f>
        <v/>
      </c>
      <c r="O221" s="20">
        <f>IF($A221="","",TEXT($A221,"yyyy-mm"))</f>
        <v/>
      </c>
      <c r="P221" s="21">
        <f>IF($A221="","",TEXT(YEAR($A221),"0000")&amp;"-Q"&amp;ROUNDUP(MONTH($A221)/3,0))</f>
        <v/>
      </c>
    </row>
    <row r="222">
      <c r="A222" s="22" t="n"/>
      <c r="B222" s="20" t="n"/>
      <c r="C222" s="20" t="n"/>
      <c r="D222" s="20">
        <f>IFERROR(INDEX(XPMenu!$A$2:$A$1000, MATCH(C222, XPMenu!$B$2:$B$1000, 0)), "")</f>
        <v/>
      </c>
      <c r="E222" s="20" t="n"/>
      <c r="F222" s="20" t="n"/>
      <c r="G222" s="20" t="n"/>
      <c r="H222" s="20" t="n"/>
      <c r="I222" s="20">
        <f>IFERROR(VLOOKUP(D222,XPMenu!$A:$F,2,FALSE),"")</f>
        <v/>
      </c>
      <c r="J222" s="20">
        <f>IFERROR(VLOOKUP(D222,XPMenu!$A:$F,3,FALSE),"")</f>
        <v/>
      </c>
      <c r="K222" s="20">
        <f>IFERROR(VLOOKUP(D222,XPMenu!$A:$F,4,FALSE),"")</f>
        <v/>
      </c>
      <c r="L222" s="20" t="n"/>
      <c r="M222" s="20">
        <f>IF(A222="","",IF(F222&lt;&gt;"Yes",0,IF(L222&lt;&gt;"",L222,E222*K222)))</f>
        <v/>
      </c>
      <c r="N222" s="20">
        <f>IF($A222="","",$A222-WEEKDAY($A222,2)+1)</f>
        <v/>
      </c>
      <c r="O222" s="20">
        <f>IF($A222="","",TEXT($A222,"yyyy-mm"))</f>
        <v/>
      </c>
      <c r="P222" s="21">
        <f>IF($A222="","",TEXT(YEAR($A222),"0000")&amp;"-Q"&amp;ROUNDUP(MONTH($A222)/3,0))</f>
        <v/>
      </c>
    </row>
    <row r="223">
      <c r="A223" s="22" t="n"/>
      <c r="B223" s="20" t="n"/>
      <c r="C223" s="20" t="n"/>
      <c r="D223" s="20">
        <f>IFERROR(INDEX(XPMenu!$A$2:$A$1000, MATCH(C223, XPMenu!$B$2:$B$1000, 0)), "")</f>
        <v/>
      </c>
      <c r="E223" s="20" t="n"/>
      <c r="F223" s="20" t="n"/>
      <c r="G223" s="20" t="n"/>
      <c r="H223" s="20" t="n"/>
      <c r="I223" s="20">
        <f>IFERROR(VLOOKUP(D223,XPMenu!$A:$F,2,FALSE),"")</f>
        <v/>
      </c>
      <c r="J223" s="20">
        <f>IFERROR(VLOOKUP(D223,XPMenu!$A:$F,3,FALSE),"")</f>
        <v/>
      </c>
      <c r="K223" s="20">
        <f>IFERROR(VLOOKUP(D223,XPMenu!$A:$F,4,FALSE),"")</f>
        <v/>
      </c>
      <c r="L223" s="20" t="n"/>
      <c r="M223" s="20">
        <f>IF(A223="","",IF(F223&lt;&gt;"Yes",0,IF(L223&lt;&gt;"",L223,E223*K223)))</f>
        <v/>
      </c>
      <c r="N223" s="20">
        <f>IF($A223="","",$A223-WEEKDAY($A223,2)+1)</f>
        <v/>
      </c>
      <c r="O223" s="20">
        <f>IF($A223="","",TEXT($A223,"yyyy-mm"))</f>
        <v/>
      </c>
      <c r="P223" s="21">
        <f>IF($A223="","",TEXT(YEAR($A223),"0000")&amp;"-Q"&amp;ROUNDUP(MONTH($A223)/3,0))</f>
        <v/>
      </c>
    </row>
    <row r="224">
      <c r="A224" s="22" t="n"/>
      <c r="B224" s="20" t="n"/>
      <c r="C224" s="20" t="n"/>
      <c r="D224" s="20">
        <f>IFERROR(INDEX(XPMenu!$A$2:$A$1000, MATCH(C224, XPMenu!$B$2:$B$1000, 0)), "")</f>
        <v/>
      </c>
      <c r="E224" s="20" t="n"/>
      <c r="F224" s="20" t="n"/>
      <c r="G224" s="20" t="n"/>
      <c r="H224" s="20" t="n"/>
      <c r="I224" s="20">
        <f>IFERROR(VLOOKUP(D224,XPMenu!$A:$F,2,FALSE),"")</f>
        <v/>
      </c>
      <c r="J224" s="20">
        <f>IFERROR(VLOOKUP(D224,XPMenu!$A:$F,3,FALSE),"")</f>
        <v/>
      </c>
      <c r="K224" s="20">
        <f>IFERROR(VLOOKUP(D224,XPMenu!$A:$F,4,FALSE),"")</f>
        <v/>
      </c>
      <c r="L224" s="20" t="n"/>
      <c r="M224" s="20">
        <f>IF(A224="","",IF(F224&lt;&gt;"Yes",0,IF(L224&lt;&gt;"",L224,E224*K224)))</f>
        <v/>
      </c>
      <c r="N224" s="20">
        <f>IF($A224="","",$A224-WEEKDAY($A224,2)+1)</f>
        <v/>
      </c>
      <c r="O224" s="20">
        <f>IF($A224="","",TEXT($A224,"yyyy-mm"))</f>
        <v/>
      </c>
      <c r="P224" s="21">
        <f>IF($A224="","",TEXT(YEAR($A224),"0000")&amp;"-Q"&amp;ROUNDUP(MONTH($A224)/3,0))</f>
        <v/>
      </c>
    </row>
    <row r="225">
      <c r="A225" s="22" t="n"/>
      <c r="B225" s="20" t="n"/>
      <c r="C225" s="20" t="n"/>
      <c r="D225" s="20">
        <f>IFERROR(INDEX(XPMenu!$A$2:$A$1000, MATCH(C225, XPMenu!$B$2:$B$1000, 0)), "")</f>
        <v/>
      </c>
      <c r="E225" s="20" t="n"/>
      <c r="F225" s="20" t="n"/>
      <c r="G225" s="20" t="n"/>
      <c r="H225" s="20" t="n"/>
      <c r="I225" s="20">
        <f>IFERROR(VLOOKUP(D225,XPMenu!$A:$F,2,FALSE),"")</f>
        <v/>
      </c>
      <c r="J225" s="20">
        <f>IFERROR(VLOOKUP(D225,XPMenu!$A:$F,3,FALSE),"")</f>
        <v/>
      </c>
      <c r="K225" s="20">
        <f>IFERROR(VLOOKUP(D225,XPMenu!$A:$F,4,FALSE),"")</f>
        <v/>
      </c>
      <c r="L225" s="20" t="n"/>
      <c r="M225" s="20">
        <f>IF(A225="","",IF(F225&lt;&gt;"Yes",0,IF(L225&lt;&gt;"",L225,E225*K225)))</f>
        <v/>
      </c>
      <c r="N225" s="20">
        <f>IF($A225="","",$A225-WEEKDAY($A225,2)+1)</f>
        <v/>
      </c>
      <c r="O225" s="20">
        <f>IF($A225="","",TEXT($A225,"yyyy-mm"))</f>
        <v/>
      </c>
      <c r="P225" s="21">
        <f>IF($A225="","",TEXT(YEAR($A225),"0000")&amp;"-Q"&amp;ROUNDUP(MONTH($A225)/3,0))</f>
        <v/>
      </c>
    </row>
    <row r="226">
      <c r="A226" s="22" t="n"/>
      <c r="B226" s="20" t="n"/>
      <c r="C226" s="20" t="n"/>
      <c r="D226" s="20">
        <f>IFERROR(INDEX(XPMenu!$A$2:$A$1000, MATCH(C226, XPMenu!$B$2:$B$1000, 0)), "")</f>
        <v/>
      </c>
      <c r="E226" s="20" t="n"/>
      <c r="F226" s="20" t="n"/>
      <c r="G226" s="20" t="n"/>
      <c r="H226" s="20" t="n"/>
      <c r="I226" s="20">
        <f>IFERROR(VLOOKUP(D226,XPMenu!$A:$F,2,FALSE),"")</f>
        <v/>
      </c>
      <c r="J226" s="20">
        <f>IFERROR(VLOOKUP(D226,XPMenu!$A:$F,3,FALSE),"")</f>
        <v/>
      </c>
      <c r="K226" s="20">
        <f>IFERROR(VLOOKUP(D226,XPMenu!$A:$F,4,FALSE),"")</f>
        <v/>
      </c>
      <c r="L226" s="20" t="n"/>
      <c r="M226" s="20">
        <f>IF(A226="","",IF(F226&lt;&gt;"Yes",0,IF(L226&lt;&gt;"",L226,E226*K226)))</f>
        <v/>
      </c>
      <c r="N226" s="20">
        <f>IF($A226="","",$A226-WEEKDAY($A226,2)+1)</f>
        <v/>
      </c>
      <c r="O226" s="20">
        <f>IF($A226="","",TEXT($A226,"yyyy-mm"))</f>
        <v/>
      </c>
      <c r="P226" s="21">
        <f>IF($A226="","",TEXT(YEAR($A226),"0000")&amp;"-Q"&amp;ROUNDUP(MONTH($A226)/3,0))</f>
        <v/>
      </c>
    </row>
    <row r="227">
      <c r="A227" s="22" t="n"/>
      <c r="B227" s="20" t="n"/>
      <c r="C227" s="20" t="n"/>
      <c r="D227" s="20">
        <f>IFERROR(INDEX(XPMenu!$A$2:$A$1000, MATCH(C227, XPMenu!$B$2:$B$1000, 0)), "")</f>
        <v/>
      </c>
      <c r="E227" s="20" t="n"/>
      <c r="F227" s="20" t="n"/>
      <c r="G227" s="20" t="n"/>
      <c r="H227" s="20" t="n"/>
      <c r="I227" s="20">
        <f>IFERROR(VLOOKUP(D227,XPMenu!$A:$F,2,FALSE),"")</f>
        <v/>
      </c>
      <c r="J227" s="20">
        <f>IFERROR(VLOOKUP(D227,XPMenu!$A:$F,3,FALSE),"")</f>
        <v/>
      </c>
      <c r="K227" s="20">
        <f>IFERROR(VLOOKUP(D227,XPMenu!$A:$F,4,FALSE),"")</f>
        <v/>
      </c>
      <c r="L227" s="20" t="n"/>
      <c r="M227" s="20">
        <f>IF(A227="","",IF(F227&lt;&gt;"Yes",0,IF(L227&lt;&gt;"",L227,E227*K227)))</f>
        <v/>
      </c>
      <c r="N227" s="20">
        <f>IF($A227="","",$A227-WEEKDAY($A227,2)+1)</f>
        <v/>
      </c>
      <c r="O227" s="20">
        <f>IF($A227="","",TEXT($A227,"yyyy-mm"))</f>
        <v/>
      </c>
      <c r="P227" s="21">
        <f>IF($A227="","",TEXT(YEAR($A227),"0000")&amp;"-Q"&amp;ROUNDUP(MONTH($A227)/3,0))</f>
        <v/>
      </c>
    </row>
    <row r="228">
      <c r="A228" s="22" t="n"/>
      <c r="B228" s="20" t="n"/>
      <c r="C228" s="20" t="n"/>
      <c r="D228" s="20">
        <f>IFERROR(INDEX(XPMenu!$A$2:$A$1000, MATCH(C228, XPMenu!$B$2:$B$1000, 0)), "")</f>
        <v/>
      </c>
      <c r="E228" s="20" t="n"/>
      <c r="F228" s="20" t="n"/>
      <c r="G228" s="20" t="n"/>
      <c r="H228" s="20" t="n"/>
      <c r="I228" s="20">
        <f>IFERROR(VLOOKUP(D228,XPMenu!$A:$F,2,FALSE),"")</f>
        <v/>
      </c>
      <c r="J228" s="20">
        <f>IFERROR(VLOOKUP(D228,XPMenu!$A:$F,3,FALSE),"")</f>
        <v/>
      </c>
      <c r="K228" s="20">
        <f>IFERROR(VLOOKUP(D228,XPMenu!$A:$F,4,FALSE),"")</f>
        <v/>
      </c>
      <c r="L228" s="20" t="n"/>
      <c r="M228" s="20">
        <f>IF(A228="","",IF(F228&lt;&gt;"Yes",0,IF(L228&lt;&gt;"",L228,E228*K228)))</f>
        <v/>
      </c>
      <c r="N228" s="20">
        <f>IF($A228="","",$A228-WEEKDAY($A228,2)+1)</f>
        <v/>
      </c>
      <c r="O228" s="20">
        <f>IF($A228="","",TEXT($A228,"yyyy-mm"))</f>
        <v/>
      </c>
      <c r="P228" s="21">
        <f>IF($A228="","",TEXT(YEAR($A228),"0000")&amp;"-Q"&amp;ROUNDUP(MONTH($A228)/3,0))</f>
        <v/>
      </c>
    </row>
    <row r="229">
      <c r="A229" s="22" t="n"/>
      <c r="B229" s="20" t="n"/>
      <c r="C229" s="20" t="n"/>
      <c r="D229" s="20">
        <f>IFERROR(INDEX(XPMenu!$A$2:$A$1000, MATCH(C229, XPMenu!$B$2:$B$1000, 0)), "")</f>
        <v/>
      </c>
      <c r="E229" s="20" t="n"/>
      <c r="F229" s="20" t="n"/>
      <c r="G229" s="20" t="n"/>
      <c r="H229" s="20" t="n"/>
      <c r="I229" s="20">
        <f>IFERROR(VLOOKUP(D229,XPMenu!$A:$F,2,FALSE),"")</f>
        <v/>
      </c>
      <c r="J229" s="20">
        <f>IFERROR(VLOOKUP(D229,XPMenu!$A:$F,3,FALSE),"")</f>
        <v/>
      </c>
      <c r="K229" s="20">
        <f>IFERROR(VLOOKUP(D229,XPMenu!$A:$F,4,FALSE),"")</f>
        <v/>
      </c>
      <c r="L229" s="20" t="n"/>
      <c r="M229" s="20">
        <f>IF(A229="","",IF(F229&lt;&gt;"Yes",0,IF(L229&lt;&gt;"",L229,E229*K229)))</f>
        <v/>
      </c>
      <c r="N229" s="20">
        <f>IF($A229="","",$A229-WEEKDAY($A229,2)+1)</f>
        <v/>
      </c>
      <c r="O229" s="20">
        <f>IF($A229="","",TEXT($A229,"yyyy-mm"))</f>
        <v/>
      </c>
      <c r="P229" s="21">
        <f>IF($A229="","",TEXT(YEAR($A229),"0000")&amp;"-Q"&amp;ROUNDUP(MONTH($A229)/3,0))</f>
        <v/>
      </c>
    </row>
    <row r="230">
      <c r="A230" s="22" t="n"/>
      <c r="B230" s="20" t="n"/>
      <c r="C230" s="20" t="n"/>
      <c r="D230" s="20">
        <f>IFERROR(INDEX(XPMenu!$A$2:$A$1000, MATCH(C230, XPMenu!$B$2:$B$1000, 0)), "")</f>
        <v/>
      </c>
      <c r="E230" s="20" t="n"/>
      <c r="F230" s="20" t="n"/>
      <c r="G230" s="20" t="n"/>
      <c r="H230" s="20" t="n"/>
      <c r="I230" s="20">
        <f>IFERROR(VLOOKUP(D230,XPMenu!$A:$F,2,FALSE),"")</f>
        <v/>
      </c>
      <c r="J230" s="20">
        <f>IFERROR(VLOOKUP(D230,XPMenu!$A:$F,3,FALSE),"")</f>
        <v/>
      </c>
      <c r="K230" s="20">
        <f>IFERROR(VLOOKUP(D230,XPMenu!$A:$F,4,FALSE),"")</f>
        <v/>
      </c>
      <c r="L230" s="20" t="n"/>
      <c r="M230" s="20">
        <f>IF(A230="","",IF(F230&lt;&gt;"Yes",0,IF(L230&lt;&gt;"",L230,E230*K230)))</f>
        <v/>
      </c>
      <c r="N230" s="20">
        <f>IF($A230="","",$A230-WEEKDAY($A230,2)+1)</f>
        <v/>
      </c>
      <c r="O230" s="20">
        <f>IF($A230="","",TEXT($A230,"yyyy-mm"))</f>
        <v/>
      </c>
      <c r="P230" s="21">
        <f>IF($A230="","",TEXT(YEAR($A230),"0000")&amp;"-Q"&amp;ROUNDUP(MONTH($A230)/3,0))</f>
        <v/>
      </c>
    </row>
    <row r="231">
      <c r="A231" s="22" t="n"/>
      <c r="B231" s="20" t="n"/>
      <c r="C231" s="20" t="n"/>
      <c r="D231" s="20">
        <f>IFERROR(INDEX(XPMenu!$A$2:$A$1000, MATCH(C231, XPMenu!$B$2:$B$1000, 0)), "")</f>
        <v/>
      </c>
      <c r="E231" s="20" t="n"/>
      <c r="F231" s="20" t="n"/>
      <c r="G231" s="20" t="n"/>
      <c r="H231" s="20" t="n"/>
      <c r="I231" s="20">
        <f>IFERROR(VLOOKUP(D231,XPMenu!$A:$F,2,FALSE),"")</f>
        <v/>
      </c>
      <c r="J231" s="20">
        <f>IFERROR(VLOOKUP(D231,XPMenu!$A:$F,3,FALSE),"")</f>
        <v/>
      </c>
      <c r="K231" s="20">
        <f>IFERROR(VLOOKUP(D231,XPMenu!$A:$F,4,FALSE),"")</f>
        <v/>
      </c>
      <c r="L231" s="20" t="n"/>
      <c r="M231" s="20">
        <f>IF(A231="","",IF(F231&lt;&gt;"Yes",0,IF(L231&lt;&gt;"",L231,E231*K231)))</f>
        <v/>
      </c>
      <c r="N231" s="20">
        <f>IF($A231="","",$A231-WEEKDAY($A231,2)+1)</f>
        <v/>
      </c>
      <c r="O231" s="20">
        <f>IF($A231="","",TEXT($A231,"yyyy-mm"))</f>
        <v/>
      </c>
      <c r="P231" s="21">
        <f>IF($A231="","",TEXT(YEAR($A231),"0000")&amp;"-Q"&amp;ROUNDUP(MONTH($A231)/3,0))</f>
        <v/>
      </c>
    </row>
    <row r="232">
      <c r="A232" s="22" t="n"/>
      <c r="B232" s="20" t="n"/>
      <c r="C232" s="20" t="n"/>
      <c r="D232" s="20">
        <f>IFERROR(INDEX(XPMenu!$A$2:$A$1000, MATCH(C232, XPMenu!$B$2:$B$1000, 0)), "")</f>
        <v/>
      </c>
      <c r="E232" s="20" t="n"/>
      <c r="F232" s="20" t="n"/>
      <c r="G232" s="20" t="n"/>
      <c r="H232" s="20" t="n"/>
      <c r="I232" s="20">
        <f>IFERROR(VLOOKUP(D232,XPMenu!$A:$F,2,FALSE),"")</f>
        <v/>
      </c>
      <c r="J232" s="20">
        <f>IFERROR(VLOOKUP(D232,XPMenu!$A:$F,3,FALSE),"")</f>
        <v/>
      </c>
      <c r="K232" s="20">
        <f>IFERROR(VLOOKUP(D232,XPMenu!$A:$F,4,FALSE),"")</f>
        <v/>
      </c>
      <c r="L232" s="20" t="n"/>
      <c r="M232" s="20">
        <f>IF(A232="","",IF(F232&lt;&gt;"Yes",0,IF(L232&lt;&gt;"",L232,E232*K232)))</f>
        <v/>
      </c>
      <c r="N232" s="20">
        <f>IF($A232="","",$A232-WEEKDAY($A232,2)+1)</f>
        <v/>
      </c>
      <c r="O232" s="20">
        <f>IF($A232="","",TEXT($A232,"yyyy-mm"))</f>
        <v/>
      </c>
      <c r="P232" s="21">
        <f>IF($A232="","",TEXT(YEAR($A232),"0000")&amp;"-Q"&amp;ROUNDUP(MONTH($A232)/3,0))</f>
        <v/>
      </c>
    </row>
    <row r="233">
      <c r="A233" s="22" t="n"/>
      <c r="B233" s="20" t="n"/>
      <c r="C233" s="20" t="n"/>
      <c r="D233" s="20">
        <f>IFERROR(INDEX(XPMenu!$A$2:$A$1000, MATCH(C233, XPMenu!$B$2:$B$1000, 0)), "")</f>
        <v/>
      </c>
      <c r="E233" s="20" t="n"/>
      <c r="F233" s="20" t="n"/>
      <c r="G233" s="20" t="n"/>
      <c r="H233" s="20" t="n"/>
      <c r="I233" s="20">
        <f>IFERROR(VLOOKUP(D233,XPMenu!$A:$F,2,FALSE),"")</f>
        <v/>
      </c>
      <c r="J233" s="20">
        <f>IFERROR(VLOOKUP(D233,XPMenu!$A:$F,3,FALSE),"")</f>
        <v/>
      </c>
      <c r="K233" s="20">
        <f>IFERROR(VLOOKUP(D233,XPMenu!$A:$F,4,FALSE),"")</f>
        <v/>
      </c>
      <c r="L233" s="20" t="n"/>
      <c r="M233" s="20">
        <f>IF(A233="","",IF(F233&lt;&gt;"Yes",0,IF(L233&lt;&gt;"",L233,E233*K233)))</f>
        <v/>
      </c>
      <c r="N233" s="20">
        <f>IF($A233="","",$A233-WEEKDAY($A233,2)+1)</f>
        <v/>
      </c>
      <c r="O233" s="20">
        <f>IF($A233="","",TEXT($A233,"yyyy-mm"))</f>
        <v/>
      </c>
      <c r="P233" s="21">
        <f>IF($A233="","",TEXT(YEAR($A233),"0000")&amp;"-Q"&amp;ROUNDUP(MONTH($A233)/3,0))</f>
        <v/>
      </c>
    </row>
    <row r="234">
      <c r="A234" s="22" t="n"/>
      <c r="B234" s="20" t="n"/>
      <c r="C234" s="20" t="n"/>
      <c r="D234" s="20">
        <f>IFERROR(INDEX(XPMenu!$A$2:$A$1000, MATCH(C234, XPMenu!$B$2:$B$1000, 0)), "")</f>
        <v/>
      </c>
      <c r="E234" s="20" t="n"/>
      <c r="F234" s="20" t="n"/>
      <c r="G234" s="20" t="n"/>
      <c r="H234" s="20" t="n"/>
      <c r="I234" s="20">
        <f>IFERROR(VLOOKUP(D234,XPMenu!$A:$F,2,FALSE),"")</f>
        <v/>
      </c>
      <c r="J234" s="20">
        <f>IFERROR(VLOOKUP(D234,XPMenu!$A:$F,3,FALSE),"")</f>
        <v/>
      </c>
      <c r="K234" s="20">
        <f>IFERROR(VLOOKUP(D234,XPMenu!$A:$F,4,FALSE),"")</f>
        <v/>
      </c>
      <c r="L234" s="20" t="n"/>
      <c r="M234" s="20">
        <f>IF(A234="","",IF(F234&lt;&gt;"Yes",0,IF(L234&lt;&gt;"",L234,E234*K234)))</f>
        <v/>
      </c>
      <c r="N234" s="20">
        <f>IF($A234="","",$A234-WEEKDAY($A234,2)+1)</f>
        <v/>
      </c>
      <c r="O234" s="20">
        <f>IF($A234="","",TEXT($A234,"yyyy-mm"))</f>
        <v/>
      </c>
      <c r="P234" s="21">
        <f>IF($A234="","",TEXT(YEAR($A234),"0000")&amp;"-Q"&amp;ROUNDUP(MONTH($A234)/3,0))</f>
        <v/>
      </c>
    </row>
    <row r="235">
      <c r="A235" s="22" t="n"/>
      <c r="B235" s="20" t="n"/>
      <c r="C235" s="20" t="n"/>
      <c r="D235" s="20">
        <f>IFERROR(INDEX(XPMenu!$A$2:$A$1000, MATCH(C235, XPMenu!$B$2:$B$1000, 0)), "")</f>
        <v/>
      </c>
      <c r="E235" s="20" t="n"/>
      <c r="F235" s="20" t="n"/>
      <c r="G235" s="20" t="n"/>
      <c r="H235" s="20" t="n"/>
      <c r="I235" s="20">
        <f>IFERROR(VLOOKUP(D235,XPMenu!$A:$F,2,FALSE),"")</f>
        <v/>
      </c>
      <c r="J235" s="20">
        <f>IFERROR(VLOOKUP(D235,XPMenu!$A:$F,3,FALSE),"")</f>
        <v/>
      </c>
      <c r="K235" s="20">
        <f>IFERROR(VLOOKUP(D235,XPMenu!$A:$F,4,FALSE),"")</f>
        <v/>
      </c>
      <c r="L235" s="20" t="n"/>
      <c r="M235" s="20">
        <f>IF(A235="","",IF(F235&lt;&gt;"Yes",0,IF(L235&lt;&gt;"",L235,E235*K235)))</f>
        <v/>
      </c>
      <c r="N235" s="20">
        <f>IF($A235="","",$A235-WEEKDAY($A235,2)+1)</f>
        <v/>
      </c>
      <c r="O235" s="20">
        <f>IF($A235="","",TEXT($A235,"yyyy-mm"))</f>
        <v/>
      </c>
      <c r="P235" s="21">
        <f>IF($A235="","",TEXT(YEAR($A235),"0000")&amp;"-Q"&amp;ROUNDUP(MONTH($A235)/3,0))</f>
        <v/>
      </c>
    </row>
    <row r="236">
      <c r="A236" s="22" t="n"/>
      <c r="B236" s="20" t="n"/>
      <c r="C236" s="20" t="n"/>
      <c r="D236" s="20">
        <f>IFERROR(INDEX(XPMenu!$A$2:$A$1000, MATCH(C236, XPMenu!$B$2:$B$1000, 0)), "")</f>
        <v/>
      </c>
      <c r="E236" s="20" t="n"/>
      <c r="F236" s="20" t="n"/>
      <c r="G236" s="20" t="n"/>
      <c r="H236" s="20" t="n"/>
      <c r="I236" s="20">
        <f>IFERROR(VLOOKUP(D236,XPMenu!$A:$F,2,FALSE),"")</f>
        <v/>
      </c>
      <c r="J236" s="20">
        <f>IFERROR(VLOOKUP(D236,XPMenu!$A:$F,3,FALSE),"")</f>
        <v/>
      </c>
      <c r="K236" s="20">
        <f>IFERROR(VLOOKUP(D236,XPMenu!$A:$F,4,FALSE),"")</f>
        <v/>
      </c>
      <c r="L236" s="20" t="n"/>
      <c r="M236" s="20">
        <f>IF(A236="","",IF(F236&lt;&gt;"Yes",0,IF(L236&lt;&gt;"",L236,E236*K236)))</f>
        <v/>
      </c>
      <c r="N236" s="20">
        <f>IF($A236="","",$A236-WEEKDAY($A236,2)+1)</f>
        <v/>
      </c>
      <c r="O236" s="20">
        <f>IF($A236="","",TEXT($A236,"yyyy-mm"))</f>
        <v/>
      </c>
      <c r="P236" s="21">
        <f>IF($A236="","",TEXT(YEAR($A236),"0000")&amp;"-Q"&amp;ROUNDUP(MONTH($A236)/3,0))</f>
        <v/>
      </c>
    </row>
    <row r="237">
      <c r="A237" s="22" t="n"/>
      <c r="B237" s="20" t="n"/>
      <c r="C237" s="20" t="n"/>
      <c r="D237" s="20">
        <f>IFERROR(INDEX(XPMenu!$A$2:$A$1000, MATCH(C237, XPMenu!$B$2:$B$1000, 0)), "")</f>
        <v/>
      </c>
      <c r="E237" s="20" t="n"/>
      <c r="F237" s="20" t="n"/>
      <c r="G237" s="20" t="n"/>
      <c r="H237" s="20" t="n"/>
      <c r="I237" s="20">
        <f>IFERROR(VLOOKUP(D237,XPMenu!$A:$F,2,FALSE),"")</f>
        <v/>
      </c>
      <c r="J237" s="20">
        <f>IFERROR(VLOOKUP(D237,XPMenu!$A:$F,3,FALSE),"")</f>
        <v/>
      </c>
      <c r="K237" s="20">
        <f>IFERROR(VLOOKUP(D237,XPMenu!$A:$F,4,FALSE),"")</f>
        <v/>
      </c>
      <c r="L237" s="20" t="n"/>
      <c r="M237" s="20">
        <f>IF(A237="","",IF(F237&lt;&gt;"Yes",0,IF(L237&lt;&gt;"",L237,E237*K237)))</f>
        <v/>
      </c>
      <c r="N237" s="20">
        <f>IF($A237="","",$A237-WEEKDAY($A237,2)+1)</f>
        <v/>
      </c>
      <c r="O237" s="20">
        <f>IF($A237="","",TEXT($A237,"yyyy-mm"))</f>
        <v/>
      </c>
      <c r="P237" s="21">
        <f>IF($A237="","",TEXT(YEAR($A237),"0000")&amp;"-Q"&amp;ROUNDUP(MONTH($A237)/3,0))</f>
        <v/>
      </c>
    </row>
    <row r="238">
      <c r="A238" s="22" t="n"/>
      <c r="B238" s="20" t="n"/>
      <c r="C238" s="20" t="n"/>
      <c r="D238" s="20">
        <f>IFERROR(INDEX(XPMenu!$A$2:$A$1000, MATCH(C238, XPMenu!$B$2:$B$1000, 0)), "")</f>
        <v/>
      </c>
      <c r="E238" s="20" t="n"/>
      <c r="F238" s="20" t="n"/>
      <c r="G238" s="20" t="n"/>
      <c r="H238" s="20" t="n"/>
      <c r="I238" s="20">
        <f>IFERROR(VLOOKUP(D238,XPMenu!$A:$F,2,FALSE),"")</f>
        <v/>
      </c>
      <c r="J238" s="20">
        <f>IFERROR(VLOOKUP(D238,XPMenu!$A:$F,3,FALSE),"")</f>
        <v/>
      </c>
      <c r="K238" s="20">
        <f>IFERROR(VLOOKUP(D238,XPMenu!$A:$F,4,FALSE),"")</f>
        <v/>
      </c>
      <c r="L238" s="20" t="n"/>
      <c r="M238" s="20">
        <f>IF(A238="","",IF(F238&lt;&gt;"Yes",0,IF(L238&lt;&gt;"",L238,E238*K238)))</f>
        <v/>
      </c>
      <c r="N238" s="20">
        <f>IF($A238="","",$A238-WEEKDAY($A238,2)+1)</f>
        <v/>
      </c>
      <c r="O238" s="20">
        <f>IF($A238="","",TEXT($A238,"yyyy-mm"))</f>
        <v/>
      </c>
      <c r="P238" s="21">
        <f>IF($A238="","",TEXT(YEAR($A238),"0000")&amp;"-Q"&amp;ROUNDUP(MONTH($A238)/3,0))</f>
        <v/>
      </c>
    </row>
    <row r="239">
      <c r="A239" s="22" t="n"/>
      <c r="B239" s="20" t="n"/>
      <c r="C239" s="20" t="n"/>
      <c r="D239" s="20">
        <f>IFERROR(INDEX(XPMenu!$A$2:$A$1000, MATCH(C239, XPMenu!$B$2:$B$1000, 0)), "")</f>
        <v/>
      </c>
      <c r="E239" s="20" t="n"/>
      <c r="F239" s="20" t="n"/>
      <c r="G239" s="20" t="n"/>
      <c r="H239" s="20" t="n"/>
      <c r="I239" s="20">
        <f>IFERROR(VLOOKUP(D239,XPMenu!$A:$F,2,FALSE),"")</f>
        <v/>
      </c>
      <c r="J239" s="20">
        <f>IFERROR(VLOOKUP(D239,XPMenu!$A:$F,3,FALSE),"")</f>
        <v/>
      </c>
      <c r="K239" s="20">
        <f>IFERROR(VLOOKUP(D239,XPMenu!$A:$F,4,FALSE),"")</f>
        <v/>
      </c>
      <c r="L239" s="20" t="n"/>
      <c r="M239" s="20">
        <f>IF(A239="","",IF(F239&lt;&gt;"Yes",0,IF(L239&lt;&gt;"",L239,E239*K239)))</f>
        <v/>
      </c>
      <c r="N239" s="20">
        <f>IF($A239="","",$A239-WEEKDAY($A239,2)+1)</f>
        <v/>
      </c>
      <c r="O239" s="20">
        <f>IF($A239="","",TEXT($A239,"yyyy-mm"))</f>
        <v/>
      </c>
      <c r="P239" s="21">
        <f>IF($A239="","",TEXT(YEAR($A239),"0000")&amp;"-Q"&amp;ROUNDUP(MONTH($A239)/3,0))</f>
        <v/>
      </c>
    </row>
    <row r="240">
      <c r="A240" s="22" t="n"/>
      <c r="B240" s="20" t="n"/>
      <c r="C240" s="20" t="n"/>
      <c r="D240" s="20">
        <f>IFERROR(INDEX(XPMenu!$A$2:$A$1000, MATCH(C240, XPMenu!$B$2:$B$1000, 0)), "")</f>
        <v/>
      </c>
      <c r="E240" s="20" t="n"/>
      <c r="F240" s="20" t="n"/>
      <c r="G240" s="20" t="n"/>
      <c r="H240" s="20" t="n"/>
      <c r="I240" s="20">
        <f>IFERROR(VLOOKUP(D240,XPMenu!$A:$F,2,FALSE),"")</f>
        <v/>
      </c>
      <c r="J240" s="20">
        <f>IFERROR(VLOOKUP(D240,XPMenu!$A:$F,3,FALSE),"")</f>
        <v/>
      </c>
      <c r="K240" s="20">
        <f>IFERROR(VLOOKUP(D240,XPMenu!$A:$F,4,FALSE),"")</f>
        <v/>
      </c>
      <c r="L240" s="20" t="n"/>
      <c r="M240" s="20">
        <f>IF(A240="","",IF(F240&lt;&gt;"Yes",0,IF(L240&lt;&gt;"",L240,E240*K240)))</f>
        <v/>
      </c>
      <c r="N240" s="20">
        <f>IF($A240="","",$A240-WEEKDAY($A240,2)+1)</f>
        <v/>
      </c>
      <c r="O240" s="20">
        <f>IF($A240="","",TEXT($A240,"yyyy-mm"))</f>
        <v/>
      </c>
      <c r="P240" s="21">
        <f>IF($A240="","",TEXT(YEAR($A240),"0000")&amp;"-Q"&amp;ROUNDUP(MONTH($A240)/3,0))</f>
        <v/>
      </c>
    </row>
    <row r="241">
      <c r="A241" s="22" t="n"/>
      <c r="B241" s="20" t="n"/>
      <c r="C241" s="20" t="n"/>
      <c r="D241" s="20">
        <f>IFERROR(INDEX(XPMenu!$A$2:$A$1000, MATCH(C241, XPMenu!$B$2:$B$1000, 0)), "")</f>
        <v/>
      </c>
      <c r="E241" s="20" t="n"/>
      <c r="F241" s="20" t="n"/>
      <c r="G241" s="20" t="n"/>
      <c r="H241" s="20" t="n"/>
      <c r="I241" s="20">
        <f>IFERROR(VLOOKUP(D241,XPMenu!$A:$F,2,FALSE),"")</f>
        <v/>
      </c>
      <c r="J241" s="20">
        <f>IFERROR(VLOOKUP(D241,XPMenu!$A:$F,3,FALSE),"")</f>
        <v/>
      </c>
      <c r="K241" s="20">
        <f>IFERROR(VLOOKUP(D241,XPMenu!$A:$F,4,FALSE),"")</f>
        <v/>
      </c>
      <c r="L241" s="20" t="n"/>
      <c r="M241" s="20">
        <f>IF(A241="","",IF(F241&lt;&gt;"Yes",0,IF(L241&lt;&gt;"",L241,E241*K241)))</f>
        <v/>
      </c>
      <c r="N241" s="20">
        <f>IF($A241="","",$A241-WEEKDAY($A241,2)+1)</f>
        <v/>
      </c>
      <c r="O241" s="20">
        <f>IF($A241="","",TEXT($A241,"yyyy-mm"))</f>
        <v/>
      </c>
      <c r="P241" s="21">
        <f>IF($A241="","",TEXT(YEAR($A241),"0000")&amp;"-Q"&amp;ROUNDUP(MONTH($A241)/3,0))</f>
        <v/>
      </c>
    </row>
    <row r="242">
      <c r="A242" s="22" t="n"/>
      <c r="B242" s="20" t="n"/>
      <c r="C242" s="20" t="n"/>
      <c r="D242" s="20">
        <f>IFERROR(INDEX(XPMenu!$A$2:$A$1000, MATCH(C242, XPMenu!$B$2:$B$1000, 0)), "")</f>
        <v/>
      </c>
      <c r="E242" s="20" t="n"/>
      <c r="F242" s="20" t="n"/>
      <c r="G242" s="20" t="n"/>
      <c r="H242" s="20" t="n"/>
      <c r="I242" s="20">
        <f>IFERROR(VLOOKUP(D242,XPMenu!$A:$F,2,FALSE),"")</f>
        <v/>
      </c>
      <c r="J242" s="20">
        <f>IFERROR(VLOOKUP(D242,XPMenu!$A:$F,3,FALSE),"")</f>
        <v/>
      </c>
      <c r="K242" s="20">
        <f>IFERROR(VLOOKUP(D242,XPMenu!$A:$F,4,FALSE),"")</f>
        <v/>
      </c>
      <c r="L242" s="20" t="n"/>
      <c r="M242" s="20">
        <f>IF(A242="","",IF(F242&lt;&gt;"Yes",0,IF(L242&lt;&gt;"",L242,E242*K242)))</f>
        <v/>
      </c>
      <c r="N242" s="20">
        <f>IF($A242="","",$A242-WEEKDAY($A242,2)+1)</f>
        <v/>
      </c>
      <c r="O242" s="20">
        <f>IF($A242="","",TEXT($A242,"yyyy-mm"))</f>
        <v/>
      </c>
      <c r="P242" s="21">
        <f>IF($A242="","",TEXT(YEAR($A242),"0000")&amp;"-Q"&amp;ROUNDUP(MONTH($A242)/3,0))</f>
        <v/>
      </c>
    </row>
    <row r="243">
      <c r="A243" s="22" t="n"/>
      <c r="B243" s="20" t="n"/>
      <c r="C243" s="20" t="n"/>
      <c r="D243" s="20">
        <f>IFERROR(INDEX(XPMenu!$A$2:$A$1000, MATCH(C243, XPMenu!$B$2:$B$1000, 0)), "")</f>
        <v/>
      </c>
      <c r="E243" s="20" t="n"/>
      <c r="F243" s="20" t="n"/>
      <c r="G243" s="20" t="n"/>
      <c r="H243" s="20" t="n"/>
      <c r="I243" s="20">
        <f>IFERROR(VLOOKUP(D243,XPMenu!$A:$F,2,FALSE),"")</f>
        <v/>
      </c>
      <c r="J243" s="20">
        <f>IFERROR(VLOOKUP(D243,XPMenu!$A:$F,3,FALSE),"")</f>
        <v/>
      </c>
      <c r="K243" s="20">
        <f>IFERROR(VLOOKUP(D243,XPMenu!$A:$F,4,FALSE),"")</f>
        <v/>
      </c>
      <c r="L243" s="20" t="n"/>
      <c r="M243" s="20">
        <f>IF(A243="","",IF(F243&lt;&gt;"Yes",0,IF(L243&lt;&gt;"",L243,E243*K243)))</f>
        <v/>
      </c>
      <c r="N243" s="20">
        <f>IF($A243="","",$A243-WEEKDAY($A243,2)+1)</f>
        <v/>
      </c>
      <c r="O243" s="20">
        <f>IF($A243="","",TEXT($A243,"yyyy-mm"))</f>
        <v/>
      </c>
      <c r="P243" s="21">
        <f>IF($A243="","",TEXT(YEAR($A243),"0000")&amp;"-Q"&amp;ROUNDUP(MONTH($A243)/3,0))</f>
        <v/>
      </c>
    </row>
    <row r="244">
      <c r="A244" s="22" t="n"/>
      <c r="B244" s="20" t="n"/>
      <c r="C244" s="20" t="n"/>
      <c r="D244" s="20">
        <f>IFERROR(INDEX(XPMenu!$A$2:$A$1000, MATCH(C244, XPMenu!$B$2:$B$1000, 0)), "")</f>
        <v/>
      </c>
      <c r="E244" s="20" t="n"/>
      <c r="F244" s="20" t="n"/>
      <c r="G244" s="20" t="n"/>
      <c r="H244" s="20" t="n"/>
      <c r="I244" s="20">
        <f>IFERROR(VLOOKUP(D244,XPMenu!$A:$F,2,FALSE),"")</f>
        <v/>
      </c>
      <c r="J244" s="20">
        <f>IFERROR(VLOOKUP(D244,XPMenu!$A:$F,3,FALSE),"")</f>
        <v/>
      </c>
      <c r="K244" s="20">
        <f>IFERROR(VLOOKUP(D244,XPMenu!$A:$F,4,FALSE),"")</f>
        <v/>
      </c>
      <c r="L244" s="20" t="n"/>
      <c r="M244" s="20">
        <f>IF(A244="","",IF(F244&lt;&gt;"Yes",0,IF(L244&lt;&gt;"",L244,E244*K244)))</f>
        <v/>
      </c>
      <c r="N244" s="20">
        <f>IF($A244="","",$A244-WEEKDAY($A244,2)+1)</f>
        <v/>
      </c>
      <c r="O244" s="20">
        <f>IF($A244="","",TEXT($A244,"yyyy-mm"))</f>
        <v/>
      </c>
      <c r="P244" s="21">
        <f>IF($A244="","",TEXT(YEAR($A244),"0000")&amp;"-Q"&amp;ROUNDUP(MONTH($A244)/3,0))</f>
        <v/>
      </c>
    </row>
    <row r="245">
      <c r="A245" s="22" t="n"/>
      <c r="B245" s="20" t="n"/>
      <c r="C245" s="20" t="n"/>
      <c r="D245" s="20">
        <f>IFERROR(INDEX(XPMenu!$A$2:$A$1000, MATCH(C245, XPMenu!$B$2:$B$1000, 0)), "")</f>
        <v/>
      </c>
      <c r="E245" s="20" t="n"/>
      <c r="F245" s="20" t="n"/>
      <c r="G245" s="20" t="n"/>
      <c r="H245" s="20" t="n"/>
      <c r="I245" s="20">
        <f>IFERROR(VLOOKUP(D245,XPMenu!$A:$F,2,FALSE),"")</f>
        <v/>
      </c>
      <c r="J245" s="20">
        <f>IFERROR(VLOOKUP(D245,XPMenu!$A:$F,3,FALSE),"")</f>
        <v/>
      </c>
      <c r="K245" s="20">
        <f>IFERROR(VLOOKUP(D245,XPMenu!$A:$F,4,FALSE),"")</f>
        <v/>
      </c>
      <c r="L245" s="20" t="n"/>
      <c r="M245" s="20">
        <f>IF(A245="","",IF(F245&lt;&gt;"Yes",0,IF(L245&lt;&gt;"",L245,E245*K245)))</f>
        <v/>
      </c>
      <c r="N245" s="20">
        <f>IF($A245="","",$A245-WEEKDAY($A245,2)+1)</f>
        <v/>
      </c>
      <c r="O245" s="20">
        <f>IF($A245="","",TEXT($A245,"yyyy-mm"))</f>
        <v/>
      </c>
      <c r="P245" s="21">
        <f>IF($A245="","",TEXT(YEAR($A245),"0000")&amp;"-Q"&amp;ROUNDUP(MONTH($A245)/3,0))</f>
        <v/>
      </c>
    </row>
    <row r="246">
      <c r="A246" s="22" t="n"/>
      <c r="B246" s="20" t="n"/>
      <c r="C246" s="20" t="n"/>
      <c r="D246" s="20">
        <f>IFERROR(INDEX(XPMenu!$A$2:$A$1000, MATCH(C246, XPMenu!$B$2:$B$1000, 0)), "")</f>
        <v/>
      </c>
      <c r="E246" s="20" t="n"/>
      <c r="F246" s="20" t="n"/>
      <c r="G246" s="20" t="n"/>
      <c r="H246" s="20" t="n"/>
      <c r="I246" s="20">
        <f>IFERROR(VLOOKUP(D246,XPMenu!$A:$F,2,FALSE),"")</f>
        <v/>
      </c>
      <c r="J246" s="20">
        <f>IFERROR(VLOOKUP(D246,XPMenu!$A:$F,3,FALSE),"")</f>
        <v/>
      </c>
      <c r="K246" s="20">
        <f>IFERROR(VLOOKUP(D246,XPMenu!$A:$F,4,FALSE),"")</f>
        <v/>
      </c>
      <c r="L246" s="20" t="n"/>
      <c r="M246" s="20">
        <f>IF(A246="","",IF(F246&lt;&gt;"Yes",0,IF(L246&lt;&gt;"",L246,E246*K246)))</f>
        <v/>
      </c>
      <c r="N246" s="20">
        <f>IF($A246="","",$A246-WEEKDAY($A246,2)+1)</f>
        <v/>
      </c>
      <c r="O246" s="20">
        <f>IF($A246="","",TEXT($A246,"yyyy-mm"))</f>
        <v/>
      </c>
      <c r="P246" s="21">
        <f>IF($A246="","",TEXT(YEAR($A246),"0000")&amp;"-Q"&amp;ROUNDUP(MONTH($A246)/3,0))</f>
        <v/>
      </c>
    </row>
    <row r="247">
      <c r="A247" s="22" t="n"/>
      <c r="B247" s="20" t="n"/>
      <c r="C247" s="20" t="n"/>
      <c r="D247" s="20">
        <f>IFERROR(INDEX(XPMenu!$A$2:$A$1000, MATCH(C247, XPMenu!$B$2:$B$1000, 0)), "")</f>
        <v/>
      </c>
      <c r="E247" s="20" t="n"/>
      <c r="F247" s="20" t="n"/>
      <c r="G247" s="20" t="n"/>
      <c r="H247" s="20" t="n"/>
      <c r="I247" s="20">
        <f>IFERROR(VLOOKUP(D247,XPMenu!$A:$F,2,FALSE),"")</f>
        <v/>
      </c>
      <c r="J247" s="20">
        <f>IFERROR(VLOOKUP(D247,XPMenu!$A:$F,3,FALSE),"")</f>
        <v/>
      </c>
      <c r="K247" s="20">
        <f>IFERROR(VLOOKUP(D247,XPMenu!$A:$F,4,FALSE),"")</f>
        <v/>
      </c>
      <c r="L247" s="20" t="n"/>
      <c r="M247" s="20">
        <f>IF(A247="","",IF(F247&lt;&gt;"Yes",0,IF(L247&lt;&gt;"",L247,E247*K247)))</f>
        <v/>
      </c>
      <c r="N247" s="20">
        <f>IF($A247="","",$A247-WEEKDAY($A247,2)+1)</f>
        <v/>
      </c>
      <c r="O247" s="20">
        <f>IF($A247="","",TEXT($A247,"yyyy-mm"))</f>
        <v/>
      </c>
      <c r="P247" s="21">
        <f>IF($A247="","",TEXT(YEAR($A247),"0000")&amp;"-Q"&amp;ROUNDUP(MONTH($A247)/3,0))</f>
        <v/>
      </c>
    </row>
    <row r="248">
      <c r="A248" s="22" t="n"/>
      <c r="B248" s="20" t="n"/>
      <c r="C248" s="20" t="n"/>
      <c r="D248" s="20">
        <f>IFERROR(INDEX(XPMenu!$A$2:$A$1000, MATCH(C248, XPMenu!$B$2:$B$1000, 0)), "")</f>
        <v/>
      </c>
      <c r="E248" s="20" t="n"/>
      <c r="F248" s="20" t="n"/>
      <c r="G248" s="20" t="n"/>
      <c r="H248" s="20" t="n"/>
      <c r="I248" s="20">
        <f>IFERROR(VLOOKUP(D248,XPMenu!$A:$F,2,FALSE),"")</f>
        <v/>
      </c>
      <c r="J248" s="20">
        <f>IFERROR(VLOOKUP(D248,XPMenu!$A:$F,3,FALSE),"")</f>
        <v/>
      </c>
      <c r="K248" s="20">
        <f>IFERROR(VLOOKUP(D248,XPMenu!$A:$F,4,FALSE),"")</f>
        <v/>
      </c>
      <c r="L248" s="20" t="n"/>
      <c r="M248" s="20">
        <f>IF(A248="","",IF(F248&lt;&gt;"Yes",0,IF(L248&lt;&gt;"",L248,E248*K248)))</f>
        <v/>
      </c>
      <c r="N248" s="20">
        <f>IF($A248="","",$A248-WEEKDAY($A248,2)+1)</f>
        <v/>
      </c>
      <c r="O248" s="20">
        <f>IF($A248="","",TEXT($A248,"yyyy-mm"))</f>
        <v/>
      </c>
      <c r="P248" s="21">
        <f>IF($A248="","",TEXT(YEAR($A248),"0000")&amp;"-Q"&amp;ROUNDUP(MONTH($A248)/3,0))</f>
        <v/>
      </c>
    </row>
    <row r="249">
      <c r="A249" s="22" t="n"/>
      <c r="B249" s="20" t="n"/>
      <c r="C249" s="20" t="n"/>
      <c r="D249" s="20">
        <f>IFERROR(INDEX(XPMenu!$A$2:$A$1000, MATCH(C249, XPMenu!$B$2:$B$1000, 0)), "")</f>
        <v/>
      </c>
      <c r="E249" s="20" t="n"/>
      <c r="F249" s="20" t="n"/>
      <c r="G249" s="20" t="n"/>
      <c r="H249" s="20" t="n"/>
      <c r="I249" s="20">
        <f>IFERROR(VLOOKUP(D249,XPMenu!$A:$F,2,FALSE),"")</f>
        <v/>
      </c>
      <c r="J249" s="20">
        <f>IFERROR(VLOOKUP(D249,XPMenu!$A:$F,3,FALSE),"")</f>
        <v/>
      </c>
      <c r="K249" s="20">
        <f>IFERROR(VLOOKUP(D249,XPMenu!$A:$F,4,FALSE),"")</f>
        <v/>
      </c>
      <c r="L249" s="20" t="n"/>
      <c r="M249" s="20">
        <f>IF(A249="","",IF(F249&lt;&gt;"Yes",0,IF(L249&lt;&gt;"",L249,E249*K249)))</f>
        <v/>
      </c>
      <c r="N249" s="20">
        <f>IF($A249="","",$A249-WEEKDAY($A249,2)+1)</f>
        <v/>
      </c>
      <c r="O249" s="20">
        <f>IF($A249="","",TEXT($A249,"yyyy-mm"))</f>
        <v/>
      </c>
      <c r="P249" s="21">
        <f>IF($A249="","",TEXT(YEAR($A249),"0000")&amp;"-Q"&amp;ROUNDUP(MONTH($A249)/3,0))</f>
        <v/>
      </c>
    </row>
    <row r="250">
      <c r="A250" s="22" t="n"/>
      <c r="B250" s="20" t="n"/>
      <c r="C250" s="20" t="n"/>
      <c r="D250" s="20">
        <f>IFERROR(INDEX(XPMenu!$A$2:$A$1000, MATCH(C250, XPMenu!$B$2:$B$1000, 0)), "")</f>
        <v/>
      </c>
      <c r="E250" s="20" t="n"/>
      <c r="F250" s="20" t="n"/>
      <c r="G250" s="20" t="n"/>
      <c r="H250" s="20" t="n"/>
      <c r="I250" s="20">
        <f>IFERROR(VLOOKUP(D250,XPMenu!$A:$F,2,FALSE),"")</f>
        <v/>
      </c>
      <c r="J250" s="20">
        <f>IFERROR(VLOOKUP(D250,XPMenu!$A:$F,3,FALSE),"")</f>
        <v/>
      </c>
      <c r="K250" s="20">
        <f>IFERROR(VLOOKUP(D250,XPMenu!$A:$F,4,FALSE),"")</f>
        <v/>
      </c>
      <c r="L250" s="20" t="n"/>
      <c r="M250" s="20">
        <f>IF(A250="","",IF(F250&lt;&gt;"Yes",0,IF(L250&lt;&gt;"",L250,E250*K250)))</f>
        <v/>
      </c>
      <c r="N250" s="20">
        <f>IF($A250="","",$A250-WEEKDAY($A250,2)+1)</f>
        <v/>
      </c>
      <c r="O250" s="20">
        <f>IF($A250="","",TEXT($A250,"yyyy-mm"))</f>
        <v/>
      </c>
      <c r="P250" s="21">
        <f>IF($A250="","",TEXT(YEAR($A250),"0000")&amp;"-Q"&amp;ROUNDUP(MONTH($A250)/3,0))</f>
        <v/>
      </c>
    </row>
    <row r="251">
      <c r="A251" s="22" t="n"/>
      <c r="B251" s="20" t="n"/>
      <c r="C251" s="20" t="n"/>
      <c r="D251" s="20">
        <f>IFERROR(INDEX(XPMenu!$A$2:$A$1000, MATCH(C251, XPMenu!$B$2:$B$1000, 0)), "")</f>
        <v/>
      </c>
      <c r="E251" s="20" t="n"/>
      <c r="F251" s="20" t="n"/>
      <c r="G251" s="20" t="n"/>
      <c r="H251" s="20" t="n"/>
      <c r="I251" s="20">
        <f>IFERROR(VLOOKUP(D251,XPMenu!$A:$F,2,FALSE),"")</f>
        <v/>
      </c>
      <c r="J251" s="20">
        <f>IFERROR(VLOOKUP(D251,XPMenu!$A:$F,3,FALSE),"")</f>
        <v/>
      </c>
      <c r="K251" s="20">
        <f>IFERROR(VLOOKUP(D251,XPMenu!$A:$F,4,FALSE),"")</f>
        <v/>
      </c>
      <c r="L251" s="20" t="n"/>
      <c r="M251" s="20">
        <f>IF(A251="","",IF(F251&lt;&gt;"Yes",0,IF(L251&lt;&gt;"",L251,E251*K251)))</f>
        <v/>
      </c>
      <c r="N251" s="20">
        <f>IF($A251="","",$A251-WEEKDAY($A251,2)+1)</f>
        <v/>
      </c>
      <c r="O251" s="20">
        <f>IF($A251="","",TEXT($A251,"yyyy-mm"))</f>
        <v/>
      </c>
      <c r="P251" s="21">
        <f>IF($A251="","",TEXT(YEAR($A251),"0000")&amp;"-Q"&amp;ROUNDUP(MONTH($A251)/3,0))</f>
        <v/>
      </c>
    </row>
    <row r="252">
      <c r="A252" s="22" t="n"/>
      <c r="B252" s="20" t="n"/>
      <c r="C252" s="20" t="n"/>
      <c r="D252" s="20">
        <f>IFERROR(INDEX(XPMenu!$A$2:$A$1000, MATCH(C252, XPMenu!$B$2:$B$1000, 0)), "")</f>
        <v/>
      </c>
      <c r="E252" s="20" t="n"/>
      <c r="F252" s="20" t="n"/>
      <c r="G252" s="20" t="n"/>
      <c r="H252" s="20" t="n"/>
      <c r="I252" s="20">
        <f>IFERROR(VLOOKUP(D252,XPMenu!$A:$F,2,FALSE),"")</f>
        <v/>
      </c>
      <c r="J252" s="20">
        <f>IFERROR(VLOOKUP(D252,XPMenu!$A:$F,3,FALSE),"")</f>
        <v/>
      </c>
      <c r="K252" s="20">
        <f>IFERROR(VLOOKUP(D252,XPMenu!$A:$F,4,FALSE),"")</f>
        <v/>
      </c>
      <c r="L252" s="20" t="n"/>
      <c r="M252" s="20">
        <f>IF(A252="","",IF(F252&lt;&gt;"Yes",0,IF(L252&lt;&gt;"",L252,E252*K252)))</f>
        <v/>
      </c>
      <c r="N252" s="20">
        <f>IF($A252="","",$A252-WEEKDAY($A252,2)+1)</f>
        <v/>
      </c>
      <c r="O252" s="20">
        <f>IF($A252="","",TEXT($A252,"yyyy-mm"))</f>
        <v/>
      </c>
      <c r="P252" s="21">
        <f>IF($A252="","",TEXT(YEAR($A252),"0000")&amp;"-Q"&amp;ROUNDUP(MONTH($A252)/3,0))</f>
        <v/>
      </c>
    </row>
    <row r="253">
      <c r="A253" s="22" t="n"/>
      <c r="B253" s="20" t="n"/>
      <c r="C253" s="20" t="n"/>
      <c r="D253" s="20">
        <f>IFERROR(INDEX(XPMenu!$A$2:$A$1000, MATCH(C253, XPMenu!$B$2:$B$1000, 0)), "")</f>
        <v/>
      </c>
      <c r="E253" s="20" t="n"/>
      <c r="F253" s="20" t="n"/>
      <c r="G253" s="20" t="n"/>
      <c r="H253" s="20" t="n"/>
      <c r="I253" s="20">
        <f>IFERROR(VLOOKUP(D253,XPMenu!$A:$F,2,FALSE),"")</f>
        <v/>
      </c>
      <c r="J253" s="20">
        <f>IFERROR(VLOOKUP(D253,XPMenu!$A:$F,3,FALSE),"")</f>
        <v/>
      </c>
      <c r="K253" s="20">
        <f>IFERROR(VLOOKUP(D253,XPMenu!$A:$F,4,FALSE),"")</f>
        <v/>
      </c>
      <c r="L253" s="20" t="n"/>
      <c r="M253" s="20">
        <f>IF(A253="","",IF(F253&lt;&gt;"Yes",0,IF(L253&lt;&gt;"",L253,E253*K253)))</f>
        <v/>
      </c>
      <c r="N253" s="20">
        <f>IF($A253="","",$A253-WEEKDAY($A253,2)+1)</f>
        <v/>
      </c>
      <c r="O253" s="20">
        <f>IF($A253="","",TEXT($A253,"yyyy-mm"))</f>
        <v/>
      </c>
      <c r="P253" s="21">
        <f>IF($A253="","",TEXT(YEAR($A253),"0000")&amp;"-Q"&amp;ROUNDUP(MONTH($A253)/3,0))</f>
        <v/>
      </c>
    </row>
    <row r="254">
      <c r="A254" s="22" t="n"/>
      <c r="B254" s="20" t="n"/>
      <c r="C254" s="20" t="n"/>
      <c r="D254" s="20">
        <f>IFERROR(INDEX(XPMenu!$A$2:$A$1000, MATCH(C254, XPMenu!$B$2:$B$1000, 0)), "")</f>
        <v/>
      </c>
      <c r="E254" s="20" t="n"/>
      <c r="F254" s="20" t="n"/>
      <c r="G254" s="20" t="n"/>
      <c r="H254" s="20" t="n"/>
      <c r="I254" s="20">
        <f>IFERROR(VLOOKUP(D254,XPMenu!$A:$F,2,FALSE),"")</f>
        <v/>
      </c>
      <c r="J254" s="20">
        <f>IFERROR(VLOOKUP(D254,XPMenu!$A:$F,3,FALSE),"")</f>
        <v/>
      </c>
      <c r="K254" s="20">
        <f>IFERROR(VLOOKUP(D254,XPMenu!$A:$F,4,FALSE),"")</f>
        <v/>
      </c>
      <c r="L254" s="20" t="n"/>
      <c r="M254" s="20">
        <f>IF(A254="","",IF(F254&lt;&gt;"Yes",0,IF(L254&lt;&gt;"",L254,E254*K254)))</f>
        <v/>
      </c>
      <c r="N254" s="20">
        <f>IF($A254="","",$A254-WEEKDAY($A254,2)+1)</f>
        <v/>
      </c>
      <c r="O254" s="20">
        <f>IF($A254="","",TEXT($A254,"yyyy-mm"))</f>
        <v/>
      </c>
      <c r="P254" s="21">
        <f>IF($A254="","",TEXT(YEAR($A254),"0000")&amp;"-Q"&amp;ROUNDUP(MONTH($A254)/3,0))</f>
        <v/>
      </c>
    </row>
    <row r="255">
      <c r="A255" s="22" t="n"/>
      <c r="B255" s="20" t="n"/>
      <c r="C255" s="20" t="n"/>
      <c r="D255" s="20">
        <f>IFERROR(INDEX(XPMenu!$A$2:$A$1000, MATCH(C255, XPMenu!$B$2:$B$1000, 0)), "")</f>
        <v/>
      </c>
      <c r="E255" s="20" t="n"/>
      <c r="F255" s="20" t="n"/>
      <c r="G255" s="20" t="n"/>
      <c r="H255" s="20" t="n"/>
      <c r="I255" s="20">
        <f>IFERROR(VLOOKUP(D255,XPMenu!$A:$F,2,FALSE),"")</f>
        <v/>
      </c>
      <c r="J255" s="20">
        <f>IFERROR(VLOOKUP(D255,XPMenu!$A:$F,3,FALSE),"")</f>
        <v/>
      </c>
      <c r="K255" s="20">
        <f>IFERROR(VLOOKUP(D255,XPMenu!$A:$F,4,FALSE),"")</f>
        <v/>
      </c>
      <c r="L255" s="20" t="n"/>
      <c r="M255" s="20">
        <f>IF(A255="","",IF(F255&lt;&gt;"Yes",0,IF(L255&lt;&gt;"",L255,E255*K255)))</f>
        <v/>
      </c>
      <c r="N255" s="20">
        <f>IF($A255="","",$A255-WEEKDAY($A255,2)+1)</f>
        <v/>
      </c>
      <c r="O255" s="20">
        <f>IF($A255="","",TEXT($A255,"yyyy-mm"))</f>
        <v/>
      </c>
      <c r="P255" s="21">
        <f>IF($A255="","",TEXT(YEAR($A255),"0000")&amp;"-Q"&amp;ROUNDUP(MONTH($A255)/3,0))</f>
        <v/>
      </c>
    </row>
    <row r="256">
      <c r="A256" s="22" t="n"/>
      <c r="B256" s="20" t="n"/>
      <c r="C256" s="20" t="n"/>
      <c r="D256" s="20">
        <f>IFERROR(INDEX(XPMenu!$A$2:$A$1000, MATCH(C256, XPMenu!$B$2:$B$1000, 0)), "")</f>
        <v/>
      </c>
      <c r="E256" s="20" t="n"/>
      <c r="F256" s="20" t="n"/>
      <c r="G256" s="20" t="n"/>
      <c r="H256" s="20" t="n"/>
      <c r="I256" s="20">
        <f>IFERROR(VLOOKUP(D256,XPMenu!$A:$F,2,FALSE),"")</f>
        <v/>
      </c>
      <c r="J256" s="20">
        <f>IFERROR(VLOOKUP(D256,XPMenu!$A:$F,3,FALSE),"")</f>
        <v/>
      </c>
      <c r="K256" s="20">
        <f>IFERROR(VLOOKUP(D256,XPMenu!$A:$F,4,FALSE),"")</f>
        <v/>
      </c>
      <c r="L256" s="20" t="n"/>
      <c r="M256" s="20">
        <f>IF(A256="","",IF(F256&lt;&gt;"Yes",0,IF(L256&lt;&gt;"",L256,E256*K256)))</f>
        <v/>
      </c>
      <c r="N256" s="20">
        <f>IF($A256="","",$A256-WEEKDAY($A256,2)+1)</f>
        <v/>
      </c>
      <c r="O256" s="20">
        <f>IF($A256="","",TEXT($A256,"yyyy-mm"))</f>
        <v/>
      </c>
      <c r="P256" s="21">
        <f>IF($A256="","",TEXT(YEAR($A256),"0000")&amp;"-Q"&amp;ROUNDUP(MONTH($A256)/3,0))</f>
        <v/>
      </c>
    </row>
    <row r="257">
      <c r="A257" s="22" t="n"/>
      <c r="B257" s="20" t="n"/>
      <c r="C257" s="20" t="n"/>
      <c r="D257" s="20">
        <f>IFERROR(INDEX(XPMenu!$A$2:$A$1000, MATCH(C257, XPMenu!$B$2:$B$1000, 0)), "")</f>
        <v/>
      </c>
      <c r="E257" s="20" t="n"/>
      <c r="F257" s="20" t="n"/>
      <c r="G257" s="20" t="n"/>
      <c r="H257" s="20" t="n"/>
      <c r="I257" s="20">
        <f>IFERROR(VLOOKUP(D257,XPMenu!$A:$F,2,FALSE),"")</f>
        <v/>
      </c>
      <c r="J257" s="20">
        <f>IFERROR(VLOOKUP(D257,XPMenu!$A:$F,3,FALSE),"")</f>
        <v/>
      </c>
      <c r="K257" s="20">
        <f>IFERROR(VLOOKUP(D257,XPMenu!$A:$F,4,FALSE),"")</f>
        <v/>
      </c>
      <c r="L257" s="20" t="n"/>
      <c r="M257" s="20">
        <f>IF(A257="","",IF(F257&lt;&gt;"Yes",0,IF(L257&lt;&gt;"",L257,E257*K257)))</f>
        <v/>
      </c>
      <c r="N257" s="20">
        <f>IF($A257="","",$A257-WEEKDAY($A257,2)+1)</f>
        <v/>
      </c>
      <c r="O257" s="20">
        <f>IF($A257="","",TEXT($A257,"yyyy-mm"))</f>
        <v/>
      </c>
      <c r="P257" s="21">
        <f>IF($A257="","",TEXT(YEAR($A257),"0000")&amp;"-Q"&amp;ROUNDUP(MONTH($A257)/3,0))</f>
        <v/>
      </c>
    </row>
    <row r="258">
      <c r="A258" s="22" t="n"/>
      <c r="B258" s="20" t="n"/>
      <c r="C258" s="20" t="n"/>
      <c r="D258" s="20">
        <f>IFERROR(INDEX(XPMenu!$A$2:$A$1000, MATCH(C258, XPMenu!$B$2:$B$1000, 0)), "")</f>
        <v/>
      </c>
      <c r="E258" s="20" t="n"/>
      <c r="F258" s="20" t="n"/>
      <c r="G258" s="20" t="n"/>
      <c r="H258" s="20" t="n"/>
      <c r="I258" s="20">
        <f>IFERROR(VLOOKUP(D258,XPMenu!$A:$F,2,FALSE),"")</f>
        <v/>
      </c>
      <c r="J258" s="20">
        <f>IFERROR(VLOOKUP(D258,XPMenu!$A:$F,3,FALSE),"")</f>
        <v/>
      </c>
      <c r="K258" s="20">
        <f>IFERROR(VLOOKUP(D258,XPMenu!$A:$F,4,FALSE),"")</f>
        <v/>
      </c>
      <c r="L258" s="20" t="n"/>
      <c r="M258" s="20">
        <f>IF(A258="","",IF(F258&lt;&gt;"Yes",0,IF(L258&lt;&gt;"",L258,E258*K258)))</f>
        <v/>
      </c>
      <c r="N258" s="20">
        <f>IF($A258="","",$A258-WEEKDAY($A258,2)+1)</f>
        <v/>
      </c>
      <c r="O258" s="20">
        <f>IF($A258="","",TEXT($A258,"yyyy-mm"))</f>
        <v/>
      </c>
      <c r="P258" s="21">
        <f>IF($A258="","",TEXT(YEAR($A258),"0000")&amp;"-Q"&amp;ROUNDUP(MONTH($A258)/3,0))</f>
        <v/>
      </c>
    </row>
    <row r="259">
      <c r="A259" s="22" t="n"/>
      <c r="B259" s="20" t="n"/>
      <c r="C259" s="20" t="n"/>
      <c r="D259" s="20">
        <f>IFERROR(INDEX(XPMenu!$A$2:$A$1000, MATCH(C259, XPMenu!$B$2:$B$1000, 0)), "")</f>
        <v/>
      </c>
      <c r="E259" s="20" t="n"/>
      <c r="F259" s="20" t="n"/>
      <c r="G259" s="20" t="n"/>
      <c r="H259" s="20" t="n"/>
      <c r="I259" s="20">
        <f>IFERROR(VLOOKUP(D259,XPMenu!$A:$F,2,FALSE),"")</f>
        <v/>
      </c>
      <c r="J259" s="20">
        <f>IFERROR(VLOOKUP(D259,XPMenu!$A:$F,3,FALSE),"")</f>
        <v/>
      </c>
      <c r="K259" s="20">
        <f>IFERROR(VLOOKUP(D259,XPMenu!$A:$F,4,FALSE),"")</f>
        <v/>
      </c>
      <c r="L259" s="20" t="n"/>
      <c r="M259" s="20">
        <f>IF(A259="","",IF(F259&lt;&gt;"Yes",0,IF(L259&lt;&gt;"",L259,E259*K259)))</f>
        <v/>
      </c>
      <c r="N259" s="20">
        <f>IF($A259="","",$A259-WEEKDAY($A259,2)+1)</f>
        <v/>
      </c>
      <c r="O259" s="20">
        <f>IF($A259="","",TEXT($A259,"yyyy-mm"))</f>
        <v/>
      </c>
      <c r="P259" s="21">
        <f>IF($A259="","",TEXT(YEAR($A259),"0000")&amp;"-Q"&amp;ROUNDUP(MONTH($A259)/3,0))</f>
        <v/>
      </c>
    </row>
    <row r="260">
      <c r="A260" s="22" t="n"/>
      <c r="B260" s="20" t="n"/>
      <c r="C260" s="20" t="n"/>
      <c r="D260" s="20">
        <f>IFERROR(INDEX(XPMenu!$A$2:$A$1000, MATCH(C260, XPMenu!$B$2:$B$1000, 0)), "")</f>
        <v/>
      </c>
      <c r="E260" s="20" t="n"/>
      <c r="F260" s="20" t="n"/>
      <c r="G260" s="20" t="n"/>
      <c r="H260" s="20" t="n"/>
      <c r="I260" s="20">
        <f>IFERROR(VLOOKUP(D260,XPMenu!$A:$F,2,FALSE),"")</f>
        <v/>
      </c>
      <c r="J260" s="20">
        <f>IFERROR(VLOOKUP(D260,XPMenu!$A:$F,3,FALSE),"")</f>
        <v/>
      </c>
      <c r="K260" s="20">
        <f>IFERROR(VLOOKUP(D260,XPMenu!$A:$F,4,FALSE),"")</f>
        <v/>
      </c>
      <c r="L260" s="20" t="n"/>
      <c r="M260" s="20">
        <f>IF(A260="","",IF(F260&lt;&gt;"Yes",0,IF(L260&lt;&gt;"",L260,E260*K260)))</f>
        <v/>
      </c>
      <c r="N260" s="20">
        <f>IF($A260="","",$A260-WEEKDAY($A260,2)+1)</f>
        <v/>
      </c>
      <c r="O260" s="20">
        <f>IF($A260="","",TEXT($A260,"yyyy-mm"))</f>
        <v/>
      </c>
      <c r="P260" s="21">
        <f>IF($A260="","",TEXT(YEAR($A260),"0000")&amp;"-Q"&amp;ROUNDUP(MONTH($A260)/3,0))</f>
        <v/>
      </c>
    </row>
    <row r="261">
      <c r="A261" s="22" t="n"/>
      <c r="B261" s="20" t="n"/>
      <c r="C261" s="20" t="n"/>
      <c r="D261" s="20">
        <f>IFERROR(INDEX(XPMenu!$A$2:$A$1000, MATCH(C261, XPMenu!$B$2:$B$1000, 0)), "")</f>
        <v/>
      </c>
      <c r="E261" s="20" t="n"/>
      <c r="F261" s="20" t="n"/>
      <c r="G261" s="20" t="n"/>
      <c r="H261" s="20" t="n"/>
      <c r="I261" s="20">
        <f>IFERROR(VLOOKUP(D261,XPMenu!$A:$F,2,FALSE),"")</f>
        <v/>
      </c>
      <c r="J261" s="20">
        <f>IFERROR(VLOOKUP(D261,XPMenu!$A:$F,3,FALSE),"")</f>
        <v/>
      </c>
      <c r="K261" s="20">
        <f>IFERROR(VLOOKUP(D261,XPMenu!$A:$F,4,FALSE),"")</f>
        <v/>
      </c>
      <c r="L261" s="20" t="n"/>
      <c r="M261" s="20">
        <f>IF(A261="","",IF(F261&lt;&gt;"Yes",0,IF(L261&lt;&gt;"",L261,E261*K261)))</f>
        <v/>
      </c>
      <c r="N261" s="20">
        <f>IF($A261="","",$A261-WEEKDAY($A261,2)+1)</f>
        <v/>
      </c>
      <c r="O261" s="20">
        <f>IF($A261="","",TEXT($A261,"yyyy-mm"))</f>
        <v/>
      </c>
      <c r="P261" s="21">
        <f>IF($A261="","",TEXT(YEAR($A261),"0000")&amp;"-Q"&amp;ROUNDUP(MONTH($A261)/3,0))</f>
        <v/>
      </c>
    </row>
    <row r="262">
      <c r="A262" s="22" t="n"/>
      <c r="B262" s="20" t="n"/>
      <c r="C262" s="20" t="n"/>
      <c r="D262" s="20">
        <f>IFERROR(INDEX(XPMenu!$A$2:$A$1000, MATCH(C262, XPMenu!$B$2:$B$1000, 0)), "")</f>
        <v/>
      </c>
      <c r="E262" s="20" t="n"/>
      <c r="F262" s="20" t="n"/>
      <c r="G262" s="20" t="n"/>
      <c r="H262" s="20" t="n"/>
      <c r="I262" s="20">
        <f>IFERROR(VLOOKUP(D262,XPMenu!$A:$F,2,FALSE),"")</f>
        <v/>
      </c>
      <c r="J262" s="20">
        <f>IFERROR(VLOOKUP(D262,XPMenu!$A:$F,3,FALSE),"")</f>
        <v/>
      </c>
      <c r="K262" s="20">
        <f>IFERROR(VLOOKUP(D262,XPMenu!$A:$F,4,FALSE),"")</f>
        <v/>
      </c>
      <c r="L262" s="20" t="n"/>
      <c r="M262" s="20">
        <f>IF(A262="","",IF(F262&lt;&gt;"Yes",0,IF(L262&lt;&gt;"",L262,E262*K262)))</f>
        <v/>
      </c>
      <c r="N262" s="20">
        <f>IF($A262="","",$A262-WEEKDAY($A262,2)+1)</f>
        <v/>
      </c>
      <c r="O262" s="20">
        <f>IF($A262="","",TEXT($A262,"yyyy-mm"))</f>
        <v/>
      </c>
      <c r="P262" s="21">
        <f>IF($A262="","",TEXT(YEAR($A262),"0000")&amp;"-Q"&amp;ROUNDUP(MONTH($A262)/3,0))</f>
        <v/>
      </c>
    </row>
    <row r="263">
      <c r="A263" s="22" t="n"/>
      <c r="B263" s="20" t="n"/>
      <c r="C263" s="20" t="n"/>
      <c r="D263" s="20">
        <f>IFERROR(INDEX(XPMenu!$A$2:$A$1000, MATCH(C263, XPMenu!$B$2:$B$1000, 0)), "")</f>
        <v/>
      </c>
      <c r="E263" s="20" t="n"/>
      <c r="F263" s="20" t="n"/>
      <c r="G263" s="20" t="n"/>
      <c r="H263" s="20" t="n"/>
      <c r="I263" s="20">
        <f>IFERROR(VLOOKUP(D263,XPMenu!$A:$F,2,FALSE),"")</f>
        <v/>
      </c>
      <c r="J263" s="20">
        <f>IFERROR(VLOOKUP(D263,XPMenu!$A:$F,3,FALSE),"")</f>
        <v/>
      </c>
      <c r="K263" s="20">
        <f>IFERROR(VLOOKUP(D263,XPMenu!$A:$F,4,FALSE),"")</f>
        <v/>
      </c>
      <c r="L263" s="20" t="n"/>
      <c r="M263" s="20">
        <f>IF(A263="","",IF(F263&lt;&gt;"Yes",0,IF(L263&lt;&gt;"",L263,E263*K263)))</f>
        <v/>
      </c>
      <c r="N263" s="20">
        <f>IF($A263="","",$A263-WEEKDAY($A263,2)+1)</f>
        <v/>
      </c>
      <c r="O263" s="20">
        <f>IF($A263="","",TEXT($A263,"yyyy-mm"))</f>
        <v/>
      </c>
      <c r="P263" s="21">
        <f>IF($A263="","",TEXT(YEAR($A263),"0000")&amp;"-Q"&amp;ROUNDUP(MONTH($A263)/3,0))</f>
        <v/>
      </c>
    </row>
    <row r="264">
      <c r="A264" s="22" t="n"/>
      <c r="B264" s="20" t="n"/>
      <c r="C264" s="20" t="n"/>
      <c r="D264" s="20">
        <f>IFERROR(INDEX(XPMenu!$A$2:$A$1000, MATCH(C264, XPMenu!$B$2:$B$1000, 0)), "")</f>
        <v/>
      </c>
      <c r="E264" s="20" t="n"/>
      <c r="F264" s="20" t="n"/>
      <c r="G264" s="20" t="n"/>
      <c r="H264" s="20" t="n"/>
      <c r="I264" s="20">
        <f>IFERROR(VLOOKUP(D264,XPMenu!$A:$F,2,FALSE),"")</f>
        <v/>
      </c>
      <c r="J264" s="20">
        <f>IFERROR(VLOOKUP(D264,XPMenu!$A:$F,3,FALSE),"")</f>
        <v/>
      </c>
      <c r="K264" s="20">
        <f>IFERROR(VLOOKUP(D264,XPMenu!$A:$F,4,FALSE),"")</f>
        <v/>
      </c>
      <c r="L264" s="20" t="n"/>
      <c r="M264" s="20">
        <f>IF(A264="","",IF(F264&lt;&gt;"Yes",0,IF(L264&lt;&gt;"",L264,E264*K264)))</f>
        <v/>
      </c>
      <c r="N264" s="20">
        <f>IF($A264="","",$A264-WEEKDAY($A264,2)+1)</f>
        <v/>
      </c>
      <c r="O264" s="20">
        <f>IF($A264="","",TEXT($A264,"yyyy-mm"))</f>
        <v/>
      </c>
      <c r="P264" s="21">
        <f>IF($A264="","",TEXT(YEAR($A264),"0000")&amp;"-Q"&amp;ROUNDUP(MONTH($A264)/3,0))</f>
        <v/>
      </c>
    </row>
    <row r="265">
      <c r="A265" s="22" t="n"/>
      <c r="B265" s="20" t="n"/>
      <c r="C265" s="20" t="n"/>
      <c r="D265" s="20">
        <f>IFERROR(INDEX(XPMenu!$A$2:$A$1000, MATCH(C265, XPMenu!$B$2:$B$1000, 0)), "")</f>
        <v/>
      </c>
      <c r="E265" s="20" t="n"/>
      <c r="F265" s="20" t="n"/>
      <c r="G265" s="20" t="n"/>
      <c r="H265" s="20" t="n"/>
      <c r="I265" s="20">
        <f>IFERROR(VLOOKUP(D265,XPMenu!$A:$F,2,FALSE),"")</f>
        <v/>
      </c>
      <c r="J265" s="20">
        <f>IFERROR(VLOOKUP(D265,XPMenu!$A:$F,3,FALSE),"")</f>
        <v/>
      </c>
      <c r="K265" s="20">
        <f>IFERROR(VLOOKUP(D265,XPMenu!$A:$F,4,FALSE),"")</f>
        <v/>
      </c>
      <c r="L265" s="20" t="n"/>
      <c r="M265" s="20">
        <f>IF(A265="","",IF(F265&lt;&gt;"Yes",0,IF(L265&lt;&gt;"",L265,E265*K265)))</f>
        <v/>
      </c>
      <c r="N265" s="20">
        <f>IF($A265="","",$A265-WEEKDAY($A265,2)+1)</f>
        <v/>
      </c>
      <c r="O265" s="20">
        <f>IF($A265="","",TEXT($A265,"yyyy-mm"))</f>
        <v/>
      </c>
      <c r="P265" s="21">
        <f>IF($A265="","",TEXT(YEAR($A265),"0000")&amp;"-Q"&amp;ROUNDUP(MONTH($A265)/3,0))</f>
        <v/>
      </c>
    </row>
    <row r="266">
      <c r="A266" s="22" t="n"/>
      <c r="B266" s="20" t="n"/>
      <c r="C266" s="20" t="n"/>
      <c r="D266" s="20">
        <f>IFERROR(INDEX(XPMenu!$A$2:$A$1000, MATCH(C266, XPMenu!$B$2:$B$1000, 0)), "")</f>
        <v/>
      </c>
      <c r="E266" s="20" t="n"/>
      <c r="F266" s="20" t="n"/>
      <c r="G266" s="20" t="n"/>
      <c r="H266" s="20" t="n"/>
      <c r="I266" s="20">
        <f>IFERROR(VLOOKUP(D266,XPMenu!$A:$F,2,FALSE),"")</f>
        <v/>
      </c>
      <c r="J266" s="20">
        <f>IFERROR(VLOOKUP(D266,XPMenu!$A:$F,3,FALSE),"")</f>
        <v/>
      </c>
      <c r="K266" s="20">
        <f>IFERROR(VLOOKUP(D266,XPMenu!$A:$F,4,FALSE),"")</f>
        <v/>
      </c>
      <c r="L266" s="20" t="n"/>
      <c r="M266" s="20">
        <f>IF(A266="","",IF(F266&lt;&gt;"Yes",0,IF(L266&lt;&gt;"",L266,E266*K266)))</f>
        <v/>
      </c>
      <c r="N266" s="20">
        <f>IF($A266="","",$A266-WEEKDAY($A266,2)+1)</f>
        <v/>
      </c>
      <c r="O266" s="20">
        <f>IF($A266="","",TEXT($A266,"yyyy-mm"))</f>
        <v/>
      </c>
      <c r="P266" s="21">
        <f>IF($A266="","",TEXT(YEAR($A266),"0000")&amp;"-Q"&amp;ROUNDUP(MONTH($A266)/3,0))</f>
        <v/>
      </c>
    </row>
    <row r="267">
      <c r="A267" s="22" t="n"/>
      <c r="B267" s="20" t="n"/>
      <c r="C267" s="20" t="n"/>
      <c r="D267" s="20">
        <f>IFERROR(INDEX(XPMenu!$A$2:$A$1000, MATCH(C267, XPMenu!$B$2:$B$1000, 0)), "")</f>
        <v/>
      </c>
      <c r="E267" s="20" t="n"/>
      <c r="F267" s="20" t="n"/>
      <c r="G267" s="20" t="n"/>
      <c r="H267" s="20" t="n"/>
      <c r="I267" s="20">
        <f>IFERROR(VLOOKUP(D267,XPMenu!$A:$F,2,FALSE),"")</f>
        <v/>
      </c>
      <c r="J267" s="20">
        <f>IFERROR(VLOOKUP(D267,XPMenu!$A:$F,3,FALSE),"")</f>
        <v/>
      </c>
      <c r="K267" s="20">
        <f>IFERROR(VLOOKUP(D267,XPMenu!$A:$F,4,FALSE),"")</f>
        <v/>
      </c>
      <c r="L267" s="20" t="n"/>
      <c r="M267" s="20">
        <f>IF(A267="","",IF(F267&lt;&gt;"Yes",0,IF(L267&lt;&gt;"",L267,E267*K267)))</f>
        <v/>
      </c>
      <c r="N267" s="20">
        <f>IF($A267="","",$A267-WEEKDAY($A267,2)+1)</f>
        <v/>
      </c>
      <c r="O267" s="20">
        <f>IF($A267="","",TEXT($A267,"yyyy-mm"))</f>
        <v/>
      </c>
      <c r="P267" s="21">
        <f>IF($A267="","",TEXT(YEAR($A267),"0000")&amp;"-Q"&amp;ROUNDUP(MONTH($A267)/3,0))</f>
        <v/>
      </c>
    </row>
    <row r="268">
      <c r="A268" s="22" t="n"/>
      <c r="B268" s="20" t="n"/>
      <c r="C268" s="20" t="n"/>
      <c r="D268" s="20">
        <f>IFERROR(INDEX(XPMenu!$A$2:$A$1000, MATCH(C268, XPMenu!$B$2:$B$1000, 0)), "")</f>
        <v/>
      </c>
      <c r="E268" s="20" t="n"/>
      <c r="F268" s="20" t="n"/>
      <c r="G268" s="20" t="n"/>
      <c r="H268" s="20" t="n"/>
      <c r="I268" s="20">
        <f>IFERROR(VLOOKUP(D268,XPMenu!$A:$F,2,FALSE),"")</f>
        <v/>
      </c>
      <c r="J268" s="20">
        <f>IFERROR(VLOOKUP(D268,XPMenu!$A:$F,3,FALSE),"")</f>
        <v/>
      </c>
      <c r="K268" s="20">
        <f>IFERROR(VLOOKUP(D268,XPMenu!$A:$F,4,FALSE),"")</f>
        <v/>
      </c>
      <c r="L268" s="20" t="n"/>
      <c r="M268" s="20">
        <f>IF(A268="","",IF(F268&lt;&gt;"Yes",0,IF(L268&lt;&gt;"",L268,E268*K268)))</f>
        <v/>
      </c>
      <c r="N268" s="20">
        <f>IF($A268="","",$A268-WEEKDAY($A268,2)+1)</f>
        <v/>
      </c>
      <c r="O268" s="20">
        <f>IF($A268="","",TEXT($A268,"yyyy-mm"))</f>
        <v/>
      </c>
      <c r="P268" s="21">
        <f>IF($A268="","",TEXT(YEAR($A268),"0000")&amp;"-Q"&amp;ROUNDUP(MONTH($A268)/3,0))</f>
        <v/>
      </c>
    </row>
    <row r="269">
      <c r="A269" s="22" t="n"/>
      <c r="B269" s="20" t="n"/>
      <c r="C269" s="20" t="n"/>
      <c r="D269" s="20">
        <f>IFERROR(INDEX(XPMenu!$A$2:$A$1000, MATCH(C269, XPMenu!$B$2:$B$1000, 0)), "")</f>
        <v/>
      </c>
      <c r="E269" s="20" t="n"/>
      <c r="F269" s="20" t="n"/>
      <c r="G269" s="20" t="n"/>
      <c r="H269" s="20" t="n"/>
      <c r="I269" s="20">
        <f>IFERROR(VLOOKUP(D269,XPMenu!$A:$F,2,FALSE),"")</f>
        <v/>
      </c>
      <c r="J269" s="20">
        <f>IFERROR(VLOOKUP(D269,XPMenu!$A:$F,3,FALSE),"")</f>
        <v/>
      </c>
      <c r="K269" s="20">
        <f>IFERROR(VLOOKUP(D269,XPMenu!$A:$F,4,FALSE),"")</f>
        <v/>
      </c>
      <c r="L269" s="20" t="n"/>
      <c r="M269" s="20">
        <f>IF(A269="","",IF(F269&lt;&gt;"Yes",0,IF(L269&lt;&gt;"",L269,E269*K269)))</f>
        <v/>
      </c>
      <c r="N269" s="20">
        <f>IF($A269="","",$A269-WEEKDAY($A269,2)+1)</f>
        <v/>
      </c>
      <c r="O269" s="20">
        <f>IF($A269="","",TEXT($A269,"yyyy-mm"))</f>
        <v/>
      </c>
      <c r="P269" s="21">
        <f>IF($A269="","",TEXT(YEAR($A269),"0000")&amp;"-Q"&amp;ROUNDUP(MONTH($A269)/3,0))</f>
        <v/>
      </c>
    </row>
    <row r="270">
      <c r="A270" s="22" t="n"/>
      <c r="B270" s="20" t="n"/>
      <c r="C270" s="20" t="n"/>
      <c r="D270" s="20">
        <f>IFERROR(INDEX(XPMenu!$A$2:$A$1000, MATCH(C270, XPMenu!$B$2:$B$1000, 0)), "")</f>
        <v/>
      </c>
      <c r="E270" s="20" t="n"/>
      <c r="F270" s="20" t="n"/>
      <c r="G270" s="20" t="n"/>
      <c r="H270" s="20" t="n"/>
      <c r="I270" s="20">
        <f>IFERROR(VLOOKUP(D270,XPMenu!$A:$F,2,FALSE),"")</f>
        <v/>
      </c>
      <c r="J270" s="20">
        <f>IFERROR(VLOOKUP(D270,XPMenu!$A:$F,3,FALSE),"")</f>
        <v/>
      </c>
      <c r="K270" s="20">
        <f>IFERROR(VLOOKUP(D270,XPMenu!$A:$F,4,FALSE),"")</f>
        <v/>
      </c>
      <c r="L270" s="20" t="n"/>
      <c r="M270" s="20">
        <f>IF(A270="","",IF(F270&lt;&gt;"Yes",0,IF(L270&lt;&gt;"",L270,E270*K270)))</f>
        <v/>
      </c>
      <c r="N270" s="20">
        <f>IF($A270="","",$A270-WEEKDAY($A270,2)+1)</f>
        <v/>
      </c>
      <c r="O270" s="20">
        <f>IF($A270="","",TEXT($A270,"yyyy-mm"))</f>
        <v/>
      </c>
      <c r="P270" s="21">
        <f>IF($A270="","",TEXT(YEAR($A270),"0000")&amp;"-Q"&amp;ROUNDUP(MONTH($A270)/3,0))</f>
        <v/>
      </c>
    </row>
    <row r="271">
      <c r="A271" s="22" t="n"/>
      <c r="B271" s="20" t="n"/>
      <c r="C271" s="20" t="n"/>
      <c r="D271" s="20">
        <f>IFERROR(INDEX(XPMenu!$A$2:$A$1000, MATCH(C271, XPMenu!$B$2:$B$1000, 0)), "")</f>
        <v/>
      </c>
      <c r="E271" s="20" t="n"/>
      <c r="F271" s="20" t="n"/>
      <c r="G271" s="20" t="n"/>
      <c r="H271" s="20" t="n"/>
      <c r="I271" s="20">
        <f>IFERROR(VLOOKUP(D271,XPMenu!$A:$F,2,FALSE),"")</f>
        <v/>
      </c>
      <c r="J271" s="20">
        <f>IFERROR(VLOOKUP(D271,XPMenu!$A:$F,3,FALSE),"")</f>
        <v/>
      </c>
      <c r="K271" s="20">
        <f>IFERROR(VLOOKUP(D271,XPMenu!$A:$F,4,FALSE),"")</f>
        <v/>
      </c>
      <c r="L271" s="20" t="n"/>
      <c r="M271" s="20">
        <f>IF(A271="","",IF(F271&lt;&gt;"Yes",0,IF(L271&lt;&gt;"",L271,E271*K271)))</f>
        <v/>
      </c>
      <c r="N271" s="20">
        <f>IF($A271="","",$A271-WEEKDAY($A271,2)+1)</f>
        <v/>
      </c>
      <c r="O271" s="20">
        <f>IF($A271="","",TEXT($A271,"yyyy-mm"))</f>
        <v/>
      </c>
      <c r="P271" s="21">
        <f>IF($A271="","",TEXT(YEAR($A271),"0000")&amp;"-Q"&amp;ROUNDUP(MONTH($A271)/3,0))</f>
        <v/>
      </c>
    </row>
    <row r="272">
      <c r="A272" s="22" t="n"/>
      <c r="B272" s="20" t="n"/>
      <c r="C272" s="20" t="n"/>
      <c r="D272" s="20">
        <f>IFERROR(INDEX(XPMenu!$A$2:$A$1000, MATCH(C272, XPMenu!$B$2:$B$1000, 0)), "")</f>
        <v/>
      </c>
      <c r="E272" s="20" t="n"/>
      <c r="F272" s="20" t="n"/>
      <c r="G272" s="20" t="n"/>
      <c r="H272" s="20" t="n"/>
      <c r="I272" s="20">
        <f>IFERROR(VLOOKUP(D272,XPMenu!$A:$F,2,FALSE),"")</f>
        <v/>
      </c>
      <c r="J272" s="20">
        <f>IFERROR(VLOOKUP(D272,XPMenu!$A:$F,3,FALSE),"")</f>
        <v/>
      </c>
      <c r="K272" s="20">
        <f>IFERROR(VLOOKUP(D272,XPMenu!$A:$F,4,FALSE),"")</f>
        <v/>
      </c>
      <c r="L272" s="20" t="n"/>
      <c r="M272" s="20">
        <f>IF(A272="","",IF(F272&lt;&gt;"Yes",0,IF(L272&lt;&gt;"",L272,E272*K272)))</f>
        <v/>
      </c>
      <c r="N272" s="20">
        <f>IF($A272="","",$A272-WEEKDAY($A272,2)+1)</f>
        <v/>
      </c>
      <c r="O272" s="20">
        <f>IF($A272="","",TEXT($A272,"yyyy-mm"))</f>
        <v/>
      </c>
      <c r="P272" s="21">
        <f>IF($A272="","",TEXT(YEAR($A272),"0000")&amp;"-Q"&amp;ROUNDUP(MONTH($A272)/3,0))</f>
        <v/>
      </c>
    </row>
    <row r="273">
      <c r="A273" s="22" t="n"/>
      <c r="B273" s="20" t="n"/>
      <c r="C273" s="20" t="n"/>
      <c r="D273" s="20">
        <f>IFERROR(INDEX(XPMenu!$A$2:$A$1000, MATCH(C273, XPMenu!$B$2:$B$1000, 0)), "")</f>
        <v/>
      </c>
      <c r="E273" s="20" t="n"/>
      <c r="F273" s="20" t="n"/>
      <c r="G273" s="20" t="n"/>
      <c r="H273" s="20" t="n"/>
      <c r="I273" s="20">
        <f>IFERROR(VLOOKUP(D273,XPMenu!$A:$F,2,FALSE),"")</f>
        <v/>
      </c>
      <c r="J273" s="20">
        <f>IFERROR(VLOOKUP(D273,XPMenu!$A:$F,3,FALSE),"")</f>
        <v/>
      </c>
      <c r="K273" s="20">
        <f>IFERROR(VLOOKUP(D273,XPMenu!$A:$F,4,FALSE),"")</f>
        <v/>
      </c>
      <c r="L273" s="20" t="n"/>
      <c r="M273" s="20">
        <f>IF(A273="","",IF(F273&lt;&gt;"Yes",0,IF(L273&lt;&gt;"",L273,E273*K273)))</f>
        <v/>
      </c>
      <c r="N273" s="20">
        <f>IF($A273="","",$A273-WEEKDAY($A273,2)+1)</f>
        <v/>
      </c>
      <c r="O273" s="20">
        <f>IF($A273="","",TEXT($A273,"yyyy-mm"))</f>
        <v/>
      </c>
      <c r="P273" s="21">
        <f>IF($A273="","",TEXT(YEAR($A273),"0000")&amp;"-Q"&amp;ROUNDUP(MONTH($A273)/3,0))</f>
        <v/>
      </c>
    </row>
    <row r="274">
      <c r="A274" s="22" t="n"/>
      <c r="B274" s="20" t="n"/>
      <c r="C274" s="20" t="n"/>
      <c r="D274" s="20">
        <f>IFERROR(INDEX(XPMenu!$A$2:$A$1000, MATCH(C274, XPMenu!$B$2:$B$1000, 0)), "")</f>
        <v/>
      </c>
      <c r="E274" s="20" t="n"/>
      <c r="F274" s="20" t="n"/>
      <c r="G274" s="20" t="n"/>
      <c r="H274" s="20" t="n"/>
      <c r="I274" s="20">
        <f>IFERROR(VLOOKUP(D274,XPMenu!$A:$F,2,FALSE),"")</f>
        <v/>
      </c>
      <c r="J274" s="20">
        <f>IFERROR(VLOOKUP(D274,XPMenu!$A:$F,3,FALSE),"")</f>
        <v/>
      </c>
      <c r="K274" s="20">
        <f>IFERROR(VLOOKUP(D274,XPMenu!$A:$F,4,FALSE),"")</f>
        <v/>
      </c>
      <c r="L274" s="20" t="n"/>
      <c r="M274" s="20">
        <f>IF(A274="","",IF(F274&lt;&gt;"Yes",0,IF(L274&lt;&gt;"",L274,E274*K274)))</f>
        <v/>
      </c>
      <c r="N274" s="20">
        <f>IF($A274="","",$A274-WEEKDAY($A274,2)+1)</f>
        <v/>
      </c>
      <c r="O274" s="20">
        <f>IF($A274="","",TEXT($A274,"yyyy-mm"))</f>
        <v/>
      </c>
      <c r="P274" s="21">
        <f>IF($A274="","",TEXT(YEAR($A274),"0000")&amp;"-Q"&amp;ROUNDUP(MONTH($A274)/3,0))</f>
        <v/>
      </c>
    </row>
    <row r="275">
      <c r="A275" s="22" t="n"/>
      <c r="B275" s="20" t="n"/>
      <c r="C275" s="20" t="n"/>
      <c r="D275" s="20">
        <f>IFERROR(INDEX(XPMenu!$A$2:$A$1000, MATCH(C275, XPMenu!$B$2:$B$1000, 0)), "")</f>
        <v/>
      </c>
      <c r="E275" s="20" t="n"/>
      <c r="F275" s="20" t="n"/>
      <c r="G275" s="20" t="n"/>
      <c r="H275" s="20" t="n"/>
      <c r="I275" s="20">
        <f>IFERROR(VLOOKUP(D275,XPMenu!$A:$F,2,FALSE),"")</f>
        <v/>
      </c>
      <c r="J275" s="20">
        <f>IFERROR(VLOOKUP(D275,XPMenu!$A:$F,3,FALSE),"")</f>
        <v/>
      </c>
      <c r="K275" s="20">
        <f>IFERROR(VLOOKUP(D275,XPMenu!$A:$F,4,FALSE),"")</f>
        <v/>
      </c>
      <c r="L275" s="20" t="n"/>
      <c r="M275" s="20">
        <f>IF(A275="","",IF(F275&lt;&gt;"Yes",0,IF(L275&lt;&gt;"",L275,E275*K275)))</f>
        <v/>
      </c>
      <c r="N275" s="20">
        <f>IF($A275="","",$A275-WEEKDAY($A275,2)+1)</f>
        <v/>
      </c>
      <c r="O275" s="20">
        <f>IF($A275="","",TEXT($A275,"yyyy-mm"))</f>
        <v/>
      </c>
      <c r="P275" s="21">
        <f>IF($A275="","",TEXT(YEAR($A275),"0000")&amp;"-Q"&amp;ROUNDUP(MONTH($A275)/3,0))</f>
        <v/>
      </c>
    </row>
    <row r="276">
      <c r="A276" s="22" t="n"/>
      <c r="B276" s="20" t="n"/>
      <c r="C276" s="20" t="n"/>
      <c r="D276" s="20">
        <f>IFERROR(INDEX(XPMenu!$A$2:$A$1000, MATCH(C276, XPMenu!$B$2:$B$1000, 0)), "")</f>
        <v/>
      </c>
      <c r="E276" s="20" t="n"/>
      <c r="F276" s="20" t="n"/>
      <c r="G276" s="20" t="n"/>
      <c r="H276" s="20" t="n"/>
      <c r="I276" s="20">
        <f>IFERROR(VLOOKUP(D276,XPMenu!$A:$F,2,FALSE),"")</f>
        <v/>
      </c>
      <c r="J276" s="20">
        <f>IFERROR(VLOOKUP(D276,XPMenu!$A:$F,3,FALSE),"")</f>
        <v/>
      </c>
      <c r="K276" s="20">
        <f>IFERROR(VLOOKUP(D276,XPMenu!$A:$F,4,FALSE),"")</f>
        <v/>
      </c>
      <c r="L276" s="20" t="n"/>
      <c r="M276" s="20">
        <f>IF(A276="","",IF(F276&lt;&gt;"Yes",0,IF(L276&lt;&gt;"",L276,E276*K276)))</f>
        <v/>
      </c>
      <c r="N276" s="20">
        <f>IF($A276="","",$A276-WEEKDAY($A276,2)+1)</f>
        <v/>
      </c>
      <c r="O276" s="20">
        <f>IF($A276="","",TEXT($A276,"yyyy-mm"))</f>
        <v/>
      </c>
      <c r="P276" s="21">
        <f>IF($A276="","",TEXT(YEAR($A276),"0000")&amp;"-Q"&amp;ROUNDUP(MONTH($A276)/3,0))</f>
        <v/>
      </c>
    </row>
    <row r="277">
      <c r="A277" s="22" t="n"/>
      <c r="B277" s="20" t="n"/>
      <c r="C277" s="20" t="n"/>
      <c r="D277" s="20">
        <f>IFERROR(INDEX(XPMenu!$A$2:$A$1000, MATCH(C277, XPMenu!$B$2:$B$1000, 0)), "")</f>
        <v/>
      </c>
      <c r="E277" s="20" t="n"/>
      <c r="F277" s="20" t="n"/>
      <c r="G277" s="20" t="n"/>
      <c r="H277" s="20" t="n"/>
      <c r="I277" s="20">
        <f>IFERROR(VLOOKUP(D277,XPMenu!$A:$F,2,FALSE),"")</f>
        <v/>
      </c>
      <c r="J277" s="20">
        <f>IFERROR(VLOOKUP(D277,XPMenu!$A:$F,3,FALSE),"")</f>
        <v/>
      </c>
      <c r="K277" s="20">
        <f>IFERROR(VLOOKUP(D277,XPMenu!$A:$F,4,FALSE),"")</f>
        <v/>
      </c>
      <c r="L277" s="20" t="n"/>
      <c r="M277" s="20">
        <f>IF(A277="","",IF(F277&lt;&gt;"Yes",0,IF(L277&lt;&gt;"",L277,E277*K277)))</f>
        <v/>
      </c>
      <c r="N277" s="20">
        <f>IF($A277="","",$A277-WEEKDAY($A277,2)+1)</f>
        <v/>
      </c>
      <c r="O277" s="20">
        <f>IF($A277="","",TEXT($A277,"yyyy-mm"))</f>
        <v/>
      </c>
      <c r="P277" s="21">
        <f>IF($A277="","",TEXT(YEAR($A277),"0000")&amp;"-Q"&amp;ROUNDUP(MONTH($A277)/3,0))</f>
        <v/>
      </c>
    </row>
    <row r="278">
      <c r="A278" s="22" t="n"/>
      <c r="B278" s="20" t="n"/>
      <c r="C278" s="20" t="n"/>
      <c r="D278" s="20">
        <f>IFERROR(INDEX(XPMenu!$A$2:$A$1000, MATCH(C278, XPMenu!$B$2:$B$1000, 0)), "")</f>
        <v/>
      </c>
      <c r="E278" s="20" t="n"/>
      <c r="F278" s="20" t="n"/>
      <c r="G278" s="20" t="n"/>
      <c r="H278" s="20" t="n"/>
      <c r="I278" s="20">
        <f>IFERROR(VLOOKUP(D278,XPMenu!$A:$F,2,FALSE),"")</f>
        <v/>
      </c>
      <c r="J278" s="20">
        <f>IFERROR(VLOOKUP(D278,XPMenu!$A:$F,3,FALSE),"")</f>
        <v/>
      </c>
      <c r="K278" s="20">
        <f>IFERROR(VLOOKUP(D278,XPMenu!$A:$F,4,FALSE),"")</f>
        <v/>
      </c>
      <c r="L278" s="20" t="n"/>
      <c r="M278" s="20">
        <f>IF(A278="","",IF(F278&lt;&gt;"Yes",0,IF(L278&lt;&gt;"",L278,E278*K278)))</f>
        <v/>
      </c>
      <c r="N278" s="20">
        <f>IF($A278="","",$A278-WEEKDAY($A278,2)+1)</f>
        <v/>
      </c>
      <c r="O278" s="20">
        <f>IF($A278="","",TEXT($A278,"yyyy-mm"))</f>
        <v/>
      </c>
      <c r="P278" s="21">
        <f>IF($A278="","",TEXT(YEAR($A278),"0000")&amp;"-Q"&amp;ROUNDUP(MONTH($A278)/3,0))</f>
        <v/>
      </c>
    </row>
    <row r="279">
      <c r="A279" s="22" t="n"/>
      <c r="B279" s="20" t="n"/>
      <c r="C279" s="20" t="n"/>
      <c r="D279" s="20">
        <f>IFERROR(INDEX(XPMenu!$A$2:$A$1000, MATCH(C279, XPMenu!$B$2:$B$1000, 0)), "")</f>
        <v/>
      </c>
      <c r="E279" s="20" t="n"/>
      <c r="F279" s="20" t="n"/>
      <c r="G279" s="20" t="n"/>
      <c r="H279" s="20" t="n"/>
      <c r="I279" s="20">
        <f>IFERROR(VLOOKUP(D279,XPMenu!$A:$F,2,FALSE),"")</f>
        <v/>
      </c>
      <c r="J279" s="20">
        <f>IFERROR(VLOOKUP(D279,XPMenu!$A:$F,3,FALSE),"")</f>
        <v/>
      </c>
      <c r="K279" s="20">
        <f>IFERROR(VLOOKUP(D279,XPMenu!$A:$F,4,FALSE),"")</f>
        <v/>
      </c>
      <c r="L279" s="20" t="n"/>
      <c r="M279" s="20">
        <f>IF(A279="","",IF(F279&lt;&gt;"Yes",0,IF(L279&lt;&gt;"",L279,E279*K279)))</f>
        <v/>
      </c>
      <c r="N279" s="20">
        <f>IF($A279="","",$A279-WEEKDAY($A279,2)+1)</f>
        <v/>
      </c>
      <c r="O279" s="20">
        <f>IF($A279="","",TEXT($A279,"yyyy-mm"))</f>
        <v/>
      </c>
      <c r="P279" s="21">
        <f>IF($A279="","",TEXT(YEAR($A279),"0000")&amp;"-Q"&amp;ROUNDUP(MONTH($A279)/3,0))</f>
        <v/>
      </c>
    </row>
    <row r="280">
      <c r="A280" s="22" t="n"/>
      <c r="B280" s="20" t="n"/>
      <c r="C280" s="20" t="n"/>
      <c r="D280" s="20">
        <f>IFERROR(INDEX(XPMenu!$A$2:$A$1000, MATCH(C280, XPMenu!$B$2:$B$1000, 0)), "")</f>
        <v/>
      </c>
      <c r="E280" s="20" t="n"/>
      <c r="F280" s="20" t="n"/>
      <c r="G280" s="20" t="n"/>
      <c r="H280" s="20" t="n"/>
      <c r="I280" s="20">
        <f>IFERROR(VLOOKUP(D280,XPMenu!$A:$F,2,FALSE),"")</f>
        <v/>
      </c>
      <c r="J280" s="20">
        <f>IFERROR(VLOOKUP(D280,XPMenu!$A:$F,3,FALSE),"")</f>
        <v/>
      </c>
      <c r="K280" s="20">
        <f>IFERROR(VLOOKUP(D280,XPMenu!$A:$F,4,FALSE),"")</f>
        <v/>
      </c>
      <c r="L280" s="20" t="n"/>
      <c r="M280" s="20">
        <f>IF(A280="","",IF(F280&lt;&gt;"Yes",0,IF(L280&lt;&gt;"",L280,E280*K280)))</f>
        <v/>
      </c>
      <c r="N280" s="20">
        <f>IF($A280="","",$A280-WEEKDAY($A280,2)+1)</f>
        <v/>
      </c>
      <c r="O280" s="20">
        <f>IF($A280="","",TEXT($A280,"yyyy-mm"))</f>
        <v/>
      </c>
      <c r="P280" s="21">
        <f>IF($A280="","",TEXT(YEAR($A280),"0000")&amp;"-Q"&amp;ROUNDUP(MONTH($A280)/3,0))</f>
        <v/>
      </c>
    </row>
    <row r="281">
      <c r="A281" s="22" t="n"/>
      <c r="B281" s="20" t="n"/>
      <c r="C281" s="20" t="n"/>
      <c r="D281" s="20">
        <f>IFERROR(INDEX(XPMenu!$A$2:$A$1000, MATCH(C281, XPMenu!$B$2:$B$1000, 0)), "")</f>
        <v/>
      </c>
      <c r="E281" s="20" t="n"/>
      <c r="F281" s="20" t="n"/>
      <c r="G281" s="20" t="n"/>
      <c r="H281" s="20" t="n"/>
      <c r="I281" s="20">
        <f>IFERROR(VLOOKUP(D281,XPMenu!$A:$F,2,FALSE),"")</f>
        <v/>
      </c>
      <c r="J281" s="20">
        <f>IFERROR(VLOOKUP(D281,XPMenu!$A:$F,3,FALSE),"")</f>
        <v/>
      </c>
      <c r="K281" s="20">
        <f>IFERROR(VLOOKUP(D281,XPMenu!$A:$F,4,FALSE),"")</f>
        <v/>
      </c>
      <c r="L281" s="20" t="n"/>
      <c r="M281" s="20">
        <f>IF(A281="","",IF(F281&lt;&gt;"Yes",0,IF(L281&lt;&gt;"",L281,E281*K281)))</f>
        <v/>
      </c>
      <c r="N281" s="20">
        <f>IF($A281="","",$A281-WEEKDAY($A281,2)+1)</f>
        <v/>
      </c>
      <c r="O281" s="20">
        <f>IF($A281="","",TEXT($A281,"yyyy-mm"))</f>
        <v/>
      </c>
      <c r="P281" s="21">
        <f>IF($A281="","",TEXT(YEAR($A281),"0000")&amp;"-Q"&amp;ROUNDUP(MONTH($A281)/3,0))</f>
        <v/>
      </c>
    </row>
    <row r="282">
      <c r="A282" s="22" t="n"/>
      <c r="B282" s="20" t="n"/>
      <c r="C282" s="20" t="n"/>
      <c r="D282" s="20">
        <f>IFERROR(INDEX(XPMenu!$A$2:$A$1000, MATCH(C282, XPMenu!$B$2:$B$1000, 0)), "")</f>
        <v/>
      </c>
      <c r="E282" s="20" t="n"/>
      <c r="F282" s="20" t="n"/>
      <c r="G282" s="20" t="n"/>
      <c r="H282" s="20" t="n"/>
      <c r="I282" s="20">
        <f>IFERROR(VLOOKUP(D282,XPMenu!$A:$F,2,FALSE),"")</f>
        <v/>
      </c>
      <c r="J282" s="20">
        <f>IFERROR(VLOOKUP(D282,XPMenu!$A:$F,3,FALSE),"")</f>
        <v/>
      </c>
      <c r="K282" s="20">
        <f>IFERROR(VLOOKUP(D282,XPMenu!$A:$F,4,FALSE),"")</f>
        <v/>
      </c>
      <c r="L282" s="20" t="n"/>
      <c r="M282" s="20">
        <f>IF(A282="","",IF(F282&lt;&gt;"Yes",0,IF(L282&lt;&gt;"",L282,E282*K282)))</f>
        <v/>
      </c>
      <c r="N282" s="20">
        <f>IF($A282="","",$A282-WEEKDAY($A282,2)+1)</f>
        <v/>
      </c>
      <c r="O282" s="20">
        <f>IF($A282="","",TEXT($A282,"yyyy-mm"))</f>
        <v/>
      </c>
      <c r="P282" s="21">
        <f>IF($A282="","",TEXT(YEAR($A282),"0000")&amp;"-Q"&amp;ROUNDUP(MONTH($A282)/3,0))</f>
        <v/>
      </c>
    </row>
    <row r="283">
      <c r="A283" s="22" t="n"/>
      <c r="B283" s="20" t="n"/>
      <c r="C283" s="20" t="n"/>
      <c r="D283" s="20">
        <f>IFERROR(INDEX(XPMenu!$A$2:$A$1000, MATCH(C283, XPMenu!$B$2:$B$1000, 0)), "")</f>
        <v/>
      </c>
      <c r="E283" s="20" t="n"/>
      <c r="F283" s="20" t="n"/>
      <c r="G283" s="20" t="n"/>
      <c r="H283" s="20" t="n"/>
      <c r="I283" s="20">
        <f>IFERROR(VLOOKUP(D283,XPMenu!$A:$F,2,FALSE),"")</f>
        <v/>
      </c>
      <c r="J283" s="20">
        <f>IFERROR(VLOOKUP(D283,XPMenu!$A:$F,3,FALSE),"")</f>
        <v/>
      </c>
      <c r="K283" s="20">
        <f>IFERROR(VLOOKUP(D283,XPMenu!$A:$F,4,FALSE),"")</f>
        <v/>
      </c>
      <c r="L283" s="20" t="n"/>
      <c r="M283" s="20">
        <f>IF(A283="","",IF(F283&lt;&gt;"Yes",0,IF(L283&lt;&gt;"",L283,E283*K283)))</f>
        <v/>
      </c>
      <c r="N283" s="20">
        <f>IF($A283="","",$A283-WEEKDAY($A283,2)+1)</f>
        <v/>
      </c>
      <c r="O283" s="20">
        <f>IF($A283="","",TEXT($A283,"yyyy-mm"))</f>
        <v/>
      </c>
      <c r="P283" s="21">
        <f>IF($A283="","",TEXT(YEAR($A283),"0000")&amp;"-Q"&amp;ROUNDUP(MONTH($A283)/3,0))</f>
        <v/>
      </c>
    </row>
    <row r="284">
      <c r="A284" s="22" t="n"/>
      <c r="B284" s="20" t="n"/>
      <c r="C284" s="20" t="n"/>
      <c r="D284" s="20">
        <f>IFERROR(INDEX(XPMenu!$A$2:$A$1000, MATCH(C284, XPMenu!$B$2:$B$1000, 0)), "")</f>
        <v/>
      </c>
      <c r="E284" s="20" t="n"/>
      <c r="F284" s="20" t="n"/>
      <c r="G284" s="20" t="n"/>
      <c r="H284" s="20" t="n"/>
      <c r="I284" s="20">
        <f>IFERROR(VLOOKUP(D284,XPMenu!$A:$F,2,FALSE),"")</f>
        <v/>
      </c>
      <c r="J284" s="20">
        <f>IFERROR(VLOOKUP(D284,XPMenu!$A:$F,3,FALSE),"")</f>
        <v/>
      </c>
      <c r="K284" s="20">
        <f>IFERROR(VLOOKUP(D284,XPMenu!$A:$F,4,FALSE),"")</f>
        <v/>
      </c>
      <c r="L284" s="20" t="n"/>
      <c r="M284" s="20">
        <f>IF(A284="","",IF(F284&lt;&gt;"Yes",0,IF(L284&lt;&gt;"",L284,E284*K284)))</f>
        <v/>
      </c>
      <c r="N284" s="20">
        <f>IF($A284="","",$A284-WEEKDAY($A284,2)+1)</f>
        <v/>
      </c>
      <c r="O284" s="20">
        <f>IF($A284="","",TEXT($A284,"yyyy-mm"))</f>
        <v/>
      </c>
      <c r="P284" s="21">
        <f>IF($A284="","",TEXT(YEAR($A284),"0000")&amp;"-Q"&amp;ROUNDUP(MONTH($A284)/3,0))</f>
        <v/>
      </c>
    </row>
    <row r="285">
      <c r="A285" s="22" t="n"/>
      <c r="B285" s="20" t="n"/>
      <c r="C285" s="20" t="n"/>
      <c r="D285" s="20">
        <f>IFERROR(INDEX(XPMenu!$A$2:$A$1000, MATCH(C285, XPMenu!$B$2:$B$1000, 0)), "")</f>
        <v/>
      </c>
      <c r="E285" s="20" t="n"/>
      <c r="F285" s="20" t="n"/>
      <c r="G285" s="20" t="n"/>
      <c r="H285" s="20" t="n"/>
      <c r="I285" s="20">
        <f>IFERROR(VLOOKUP(D285,XPMenu!$A:$F,2,FALSE),"")</f>
        <v/>
      </c>
      <c r="J285" s="20">
        <f>IFERROR(VLOOKUP(D285,XPMenu!$A:$F,3,FALSE),"")</f>
        <v/>
      </c>
      <c r="K285" s="20">
        <f>IFERROR(VLOOKUP(D285,XPMenu!$A:$F,4,FALSE),"")</f>
        <v/>
      </c>
      <c r="L285" s="20" t="n"/>
      <c r="M285" s="20">
        <f>IF(A285="","",IF(F285&lt;&gt;"Yes",0,IF(L285&lt;&gt;"",L285,E285*K285)))</f>
        <v/>
      </c>
      <c r="N285" s="20">
        <f>IF($A285="","",$A285-WEEKDAY($A285,2)+1)</f>
        <v/>
      </c>
      <c r="O285" s="20">
        <f>IF($A285="","",TEXT($A285,"yyyy-mm"))</f>
        <v/>
      </c>
      <c r="P285" s="21">
        <f>IF($A285="","",TEXT(YEAR($A285),"0000")&amp;"-Q"&amp;ROUNDUP(MONTH($A285)/3,0))</f>
        <v/>
      </c>
    </row>
    <row r="286">
      <c r="A286" s="22" t="n"/>
      <c r="B286" s="20" t="n"/>
      <c r="C286" s="20" t="n"/>
      <c r="D286" s="20">
        <f>IFERROR(INDEX(XPMenu!$A$2:$A$1000, MATCH(C286, XPMenu!$B$2:$B$1000, 0)), "")</f>
        <v/>
      </c>
      <c r="E286" s="20" t="n"/>
      <c r="F286" s="20" t="n"/>
      <c r="G286" s="20" t="n"/>
      <c r="H286" s="20" t="n"/>
      <c r="I286" s="20">
        <f>IFERROR(VLOOKUP(D286,XPMenu!$A:$F,2,FALSE),"")</f>
        <v/>
      </c>
      <c r="J286" s="20">
        <f>IFERROR(VLOOKUP(D286,XPMenu!$A:$F,3,FALSE),"")</f>
        <v/>
      </c>
      <c r="K286" s="20">
        <f>IFERROR(VLOOKUP(D286,XPMenu!$A:$F,4,FALSE),"")</f>
        <v/>
      </c>
      <c r="L286" s="20" t="n"/>
      <c r="M286" s="20">
        <f>IF(A286="","",IF(F286&lt;&gt;"Yes",0,IF(L286&lt;&gt;"",L286,E286*K286)))</f>
        <v/>
      </c>
      <c r="N286" s="20">
        <f>IF($A286="","",$A286-WEEKDAY($A286,2)+1)</f>
        <v/>
      </c>
      <c r="O286" s="20">
        <f>IF($A286="","",TEXT($A286,"yyyy-mm"))</f>
        <v/>
      </c>
      <c r="P286" s="21">
        <f>IF($A286="","",TEXT(YEAR($A286),"0000")&amp;"-Q"&amp;ROUNDUP(MONTH($A286)/3,0))</f>
        <v/>
      </c>
    </row>
    <row r="287">
      <c r="A287" s="22" t="n"/>
      <c r="B287" s="20" t="n"/>
      <c r="C287" s="20" t="n"/>
      <c r="D287" s="20">
        <f>IFERROR(INDEX(XPMenu!$A$2:$A$1000, MATCH(C287, XPMenu!$B$2:$B$1000, 0)), "")</f>
        <v/>
      </c>
      <c r="E287" s="20" t="n"/>
      <c r="F287" s="20" t="n"/>
      <c r="G287" s="20" t="n"/>
      <c r="H287" s="20" t="n"/>
      <c r="I287" s="20">
        <f>IFERROR(VLOOKUP(D287,XPMenu!$A:$F,2,FALSE),"")</f>
        <v/>
      </c>
      <c r="J287" s="20">
        <f>IFERROR(VLOOKUP(D287,XPMenu!$A:$F,3,FALSE),"")</f>
        <v/>
      </c>
      <c r="K287" s="20">
        <f>IFERROR(VLOOKUP(D287,XPMenu!$A:$F,4,FALSE),"")</f>
        <v/>
      </c>
      <c r="L287" s="20" t="n"/>
      <c r="M287" s="20">
        <f>IF(A287="","",IF(F287&lt;&gt;"Yes",0,IF(L287&lt;&gt;"",L287,E287*K287)))</f>
        <v/>
      </c>
      <c r="N287" s="20">
        <f>IF($A287="","",$A287-WEEKDAY($A287,2)+1)</f>
        <v/>
      </c>
      <c r="O287" s="20">
        <f>IF($A287="","",TEXT($A287,"yyyy-mm"))</f>
        <v/>
      </c>
      <c r="P287" s="21">
        <f>IF($A287="","",TEXT(YEAR($A287),"0000")&amp;"-Q"&amp;ROUNDUP(MONTH($A287)/3,0))</f>
        <v/>
      </c>
    </row>
    <row r="288">
      <c r="A288" s="22" t="n"/>
      <c r="B288" s="20" t="n"/>
      <c r="C288" s="20" t="n"/>
      <c r="D288" s="20">
        <f>IFERROR(INDEX(XPMenu!$A$2:$A$1000, MATCH(C288, XPMenu!$B$2:$B$1000, 0)), "")</f>
        <v/>
      </c>
      <c r="E288" s="20" t="n"/>
      <c r="F288" s="20" t="n"/>
      <c r="G288" s="20" t="n"/>
      <c r="H288" s="20" t="n"/>
      <c r="I288" s="20">
        <f>IFERROR(VLOOKUP(D288,XPMenu!$A:$F,2,FALSE),"")</f>
        <v/>
      </c>
      <c r="J288" s="20">
        <f>IFERROR(VLOOKUP(D288,XPMenu!$A:$F,3,FALSE),"")</f>
        <v/>
      </c>
      <c r="K288" s="20">
        <f>IFERROR(VLOOKUP(D288,XPMenu!$A:$F,4,FALSE),"")</f>
        <v/>
      </c>
      <c r="L288" s="20" t="n"/>
      <c r="M288" s="20">
        <f>IF(A288="","",IF(F288&lt;&gt;"Yes",0,IF(L288&lt;&gt;"",L288,E288*K288)))</f>
        <v/>
      </c>
      <c r="N288" s="20">
        <f>IF($A288="","",$A288-WEEKDAY($A288,2)+1)</f>
        <v/>
      </c>
      <c r="O288" s="20">
        <f>IF($A288="","",TEXT($A288,"yyyy-mm"))</f>
        <v/>
      </c>
      <c r="P288" s="21">
        <f>IF($A288="","",TEXT(YEAR($A288),"0000")&amp;"-Q"&amp;ROUNDUP(MONTH($A288)/3,0))</f>
        <v/>
      </c>
    </row>
    <row r="289">
      <c r="A289" s="22" t="n"/>
      <c r="B289" s="20" t="n"/>
      <c r="C289" s="20" t="n"/>
      <c r="D289" s="20">
        <f>IFERROR(INDEX(XPMenu!$A$2:$A$1000, MATCH(C289, XPMenu!$B$2:$B$1000, 0)), "")</f>
        <v/>
      </c>
      <c r="E289" s="20" t="n"/>
      <c r="F289" s="20" t="n"/>
      <c r="G289" s="20" t="n"/>
      <c r="H289" s="20" t="n"/>
      <c r="I289" s="20">
        <f>IFERROR(VLOOKUP(D289,XPMenu!$A:$F,2,FALSE),"")</f>
        <v/>
      </c>
      <c r="J289" s="20">
        <f>IFERROR(VLOOKUP(D289,XPMenu!$A:$F,3,FALSE),"")</f>
        <v/>
      </c>
      <c r="K289" s="20">
        <f>IFERROR(VLOOKUP(D289,XPMenu!$A:$F,4,FALSE),"")</f>
        <v/>
      </c>
      <c r="L289" s="20" t="n"/>
      <c r="M289" s="20">
        <f>IF(A289="","",IF(F289&lt;&gt;"Yes",0,IF(L289&lt;&gt;"",L289,E289*K289)))</f>
        <v/>
      </c>
      <c r="N289" s="20">
        <f>IF($A289="","",$A289-WEEKDAY($A289,2)+1)</f>
        <v/>
      </c>
      <c r="O289" s="20">
        <f>IF($A289="","",TEXT($A289,"yyyy-mm"))</f>
        <v/>
      </c>
      <c r="P289" s="21">
        <f>IF($A289="","",TEXT(YEAR($A289),"0000")&amp;"-Q"&amp;ROUNDUP(MONTH($A289)/3,0))</f>
        <v/>
      </c>
    </row>
    <row r="290">
      <c r="A290" s="22" t="n"/>
      <c r="B290" s="20" t="n"/>
      <c r="C290" s="20" t="n"/>
      <c r="D290" s="20">
        <f>IFERROR(INDEX(XPMenu!$A$2:$A$1000, MATCH(C290, XPMenu!$B$2:$B$1000, 0)), "")</f>
        <v/>
      </c>
      <c r="E290" s="20" t="n"/>
      <c r="F290" s="20" t="n"/>
      <c r="G290" s="20" t="n"/>
      <c r="H290" s="20" t="n"/>
      <c r="I290" s="20">
        <f>IFERROR(VLOOKUP(D290,XPMenu!$A:$F,2,FALSE),"")</f>
        <v/>
      </c>
      <c r="J290" s="20">
        <f>IFERROR(VLOOKUP(D290,XPMenu!$A:$F,3,FALSE),"")</f>
        <v/>
      </c>
      <c r="K290" s="20">
        <f>IFERROR(VLOOKUP(D290,XPMenu!$A:$F,4,FALSE),"")</f>
        <v/>
      </c>
      <c r="L290" s="20" t="n"/>
      <c r="M290" s="20">
        <f>IF(A290="","",IF(F290&lt;&gt;"Yes",0,IF(L290&lt;&gt;"",L290,E290*K290)))</f>
        <v/>
      </c>
      <c r="N290" s="20">
        <f>IF($A290="","",$A290-WEEKDAY($A290,2)+1)</f>
        <v/>
      </c>
      <c r="O290" s="20">
        <f>IF($A290="","",TEXT($A290,"yyyy-mm"))</f>
        <v/>
      </c>
      <c r="P290" s="21">
        <f>IF($A290="","",TEXT(YEAR($A290),"0000")&amp;"-Q"&amp;ROUNDUP(MONTH($A290)/3,0))</f>
        <v/>
      </c>
    </row>
    <row r="291">
      <c r="A291" s="22" t="n"/>
      <c r="B291" s="20" t="n"/>
      <c r="C291" s="20" t="n"/>
      <c r="D291" s="20">
        <f>IFERROR(INDEX(XPMenu!$A$2:$A$1000, MATCH(C291, XPMenu!$B$2:$B$1000, 0)), "")</f>
        <v/>
      </c>
      <c r="E291" s="20" t="n"/>
      <c r="F291" s="20" t="n"/>
      <c r="G291" s="20" t="n"/>
      <c r="H291" s="20" t="n"/>
      <c r="I291" s="20">
        <f>IFERROR(VLOOKUP(D291,XPMenu!$A:$F,2,FALSE),"")</f>
        <v/>
      </c>
      <c r="J291" s="20">
        <f>IFERROR(VLOOKUP(D291,XPMenu!$A:$F,3,FALSE),"")</f>
        <v/>
      </c>
      <c r="K291" s="20">
        <f>IFERROR(VLOOKUP(D291,XPMenu!$A:$F,4,FALSE),"")</f>
        <v/>
      </c>
      <c r="L291" s="20" t="n"/>
      <c r="M291" s="20">
        <f>IF(A291="","",IF(F291&lt;&gt;"Yes",0,IF(L291&lt;&gt;"",L291,E291*K291)))</f>
        <v/>
      </c>
      <c r="N291" s="20">
        <f>IF($A291="","",$A291-WEEKDAY($A291,2)+1)</f>
        <v/>
      </c>
      <c r="O291" s="20">
        <f>IF($A291="","",TEXT($A291,"yyyy-mm"))</f>
        <v/>
      </c>
      <c r="P291" s="21">
        <f>IF($A291="","",TEXT(YEAR($A291),"0000")&amp;"-Q"&amp;ROUNDUP(MONTH($A291)/3,0))</f>
        <v/>
      </c>
    </row>
    <row r="292">
      <c r="A292" s="22" t="n"/>
      <c r="B292" s="20" t="n"/>
      <c r="C292" s="20" t="n"/>
      <c r="D292" s="20">
        <f>IFERROR(INDEX(XPMenu!$A$2:$A$1000, MATCH(C292, XPMenu!$B$2:$B$1000, 0)), "")</f>
        <v/>
      </c>
      <c r="E292" s="20" t="n"/>
      <c r="F292" s="20" t="n"/>
      <c r="G292" s="20" t="n"/>
      <c r="H292" s="20" t="n"/>
      <c r="I292" s="20">
        <f>IFERROR(VLOOKUP(D292,XPMenu!$A:$F,2,FALSE),"")</f>
        <v/>
      </c>
      <c r="J292" s="20">
        <f>IFERROR(VLOOKUP(D292,XPMenu!$A:$F,3,FALSE),"")</f>
        <v/>
      </c>
      <c r="K292" s="20">
        <f>IFERROR(VLOOKUP(D292,XPMenu!$A:$F,4,FALSE),"")</f>
        <v/>
      </c>
      <c r="L292" s="20" t="n"/>
      <c r="M292" s="20">
        <f>IF(A292="","",IF(F292&lt;&gt;"Yes",0,IF(L292&lt;&gt;"",L292,E292*K292)))</f>
        <v/>
      </c>
      <c r="N292" s="20">
        <f>IF($A292="","",$A292-WEEKDAY($A292,2)+1)</f>
        <v/>
      </c>
      <c r="O292" s="20">
        <f>IF($A292="","",TEXT($A292,"yyyy-mm"))</f>
        <v/>
      </c>
      <c r="P292" s="21">
        <f>IF($A292="","",TEXT(YEAR($A292),"0000")&amp;"-Q"&amp;ROUNDUP(MONTH($A292)/3,0))</f>
        <v/>
      </c>
    </row>
    <row r="293">
      <c r="A293" s="22" t="n"/>
      <c r="B293" s="20" t="n"/>
      <c r="C293" s="20" t="n"/>
      <c r="D293" s="20">
        <f>IFERROR(INDEX(XPMenu!$A$2:$A$1000, MATCH(C293, XPMenu!$B$2:$B$1000, 0)), "")</f>
        <v/>
      </c>
      <c r="E293" s="20" t="n"/>
      <c r="F293" s="20" t="n"/>
      <c r="G293" s="20" t="n"/>
      <c r="H293" s="20" t="n"/>
      <c r="I293" s="20">
        <f>IFERROR(VLOOKUP(D293,XPMenu!$A:$F,2,FALSE),"")</f>
        <v/>
      </c>
      <c r="J293" s="20">
        <f>IFERROR(VLOOKUP(D293,XPMenu!$A:$F,3,FALSE),"")</f>
        <v/>
      </c>
      <c r="K293" s="20">
        <f>IFERROR(VLOOKUP(D293,XPMenu!$A:$F,4,FALSE),"")</f>
        <v/>
      </c>
      <c r="L293" s="20" t="n"/>
      <c r="M293" s="20">
        <f>IF(A293="","",IF(F293&lt;&gt;"Yes",0,IF(L293&lt;&gt;"",L293,E293*K293)))</f>
        <v/>
      </c>
      <c r="N293" s="20">
        <f>IF($A293="","",$A293-WEEKDAY($A293,2)+1)</f>
        <v/>
      </c>
      <c r="O293" s="20">
        <f>IF($A293="","",TEXT($A293,"yyyy-mm"))</f>
        <v/>
      </c>
      <c r="P293" s="21">
        <f>IF($A293="","",TEXT(YEAR($A293),"0000")&amp;"-Q"&amp;ROUNDUP(MONTH($A293)/3,0))</f>
        <v/>
      </c>
    </row>
    <row r="294">
      <c r="A294" s="22" t="n"/>
      <c r="B294" s="20" t="n"/>
      <c r="C294" s="20" t="n"/>
      <c r="D294" s="20">
        <f>IFERROR(INDEX(XPMenu!$A$2:$A$1000, MATCH(C294, XPMenu!$B$2:$B$1000, 0)), "")</f>
        <v/>
      </c>
      <c r="E294" s="20" t="n"/>
      <c r="F294" s="20" t="n"/>
      <c r="G294" s="20" t="n"/>
      <c r="H294" s="20" t="n"/>
      <c r="I294" s="20">
        <f>IFERROR(VLOOKUP(D294,XPMenu!$A:$F,2,FALSE),"")</f>
        <v/>
      </c>
      <c r="J294" s="20">
        <f>IFERROR(VLOOKUP(D294,XPMenu!$A:$F,3,FALSE),"")</f>
        <v/>
      </c>
      <c r="K294" s="20">
        <f>IFERROR(VLOOKUP(D294,XPMenu!$A:$F,4,FALSE),"")</f>
        <v/>
      </c>
      <c r="L294" s="20" t="n"/>
      <c r="M294" s="20">
        <f>IF(A294="","",IF(F294&lt;&gt;"Yes",0,IF(L294&lt;&gt;"",L294,E294*K294)))</f>
        <v/>
      </c>
      <c r="N294" s="20">
        <f>IF($A294="","",$A294-WEEKDAY($A294,2)+1)</f>
        <v/>
      </c>
      <c r="O294" s="20">
        <f>IF($A294="","",TEXT($A294,"yyyy-mm"))</f>
        <v/>
      </c>
      <c r="P294" s="21">
        <f>IF($A294="","",TEXT(YEAR($A294),"0000")&amp;"-Q"&amp;ROUNDUP(MONTH($A294)/3,0))</f>
        <v/>
      </c>
    </row>
    <row r="295">
      <c r="A295" s="22" t="n"/>
      <c r="B295" s="20" t="n"/>
      <c r="C295" s="20" t="n"/>
      <c r="D295" s="20">
        <f>IFERROR(INDEX(XPMenu!$A$2:$A$1000, MATCH(C295, XPMenu!$B$2:$B$1000, 0)), "")</f>
        <v/>
      </c>
      <c r="E295" s="20" t="n"/>
      <c r="F295" s="20" t="n"/>
      <c r="G295" s="20" t="n"/>
      <c r="H295" s="20" t="n"/>
      <c r="I295" s="20">
        <f>IFERROR(VLOOKUP(D295,XPMenu!$A:$F,2,FALSE),"")</f>
        <v/>
      </c>
      <c r="J295" s="20">
        <f>IFERROR(VLOOKUP(D295,XPMenu!$A:$F,3,FALSE),"")</f>
        <v/>
      </c>
      <c r="K295" s="20">
        <f>IFERROR(VLOOKUP(D295,XPMenu!$A:$F,4,FALSE),"")</f>
        <v/>
      </c>
      <c r="L295" s="20" t="n"/>
      <c r="M295" s="20">
        <f>IF(A295="","",IF(F295&lt;&gt;"Yes",0,IF(L295&lt;&gt;"",L295,E295*K295)))</f>
        <v/>
      </c>
      <c r="N295" s="20">
        <f>IF($A295="","",$A295-WEEKDAY($A295,2)+1)</f>
        <v/>
      </c>
      <c r="O295" s="20">
        <f>IF($A295="","",TEXT($A295,"yyyy-mm"))</f>
        <v/>
      </c>
      <c r="P295" s="21">
        <f>IF($A295="","",TEXT(YEAR($A295),"0000")&amp;"-Q"&amp;ROUNDUP(MONTH($A295)/3,0))</f>
        <v/>
      </c>
    </row>
    <row r="296">
      <c r="A296" s="22" t="n"/>
      <c r="B296" s="20" t="n"/>
      <c r="C296" s="20" t="n"/>
      <c r="D296" s="20">
        <f>IFERROR(INDEX(XPMenu!$A$2:$A$1000, MATCH(C296, XPMenu!$B$2:$B$1000, 0)), "")</f>
        <v/>
      </c>
      <c r="E296" s="20" t="n"/>
      <c r="F296" s="20" t="n"/>
      <c r="G296" s="20" t="n"/>
      <c r="H296" s="20" t="n"/>
      <c r="I296" s="20">
        <f>IFERROR(VLOOKUP(D296,XPMenu!$A:$F,2,FALSE),"")</f>
        <v/>
      </c>
      <c r="J296" s="20">
        <f>IFERROR(VLOOKUP(D296,XPMenu!$A:$F,3,FALSE),"")</f>
        <v/>
      </c>
      <c r="K296" s="20">
        <f>IFERROR(VLOOKUP(D296,XPMenu!$A:$F,4,FALSE),"")</f>
        <v/>
      </c>
      <c r="L296" s="20" t="n"/>
      <c r="M296" s="20">
        <f>IF(A296="","",IF(F296&lt;&gt;"Yes",0,IF(L296&lt;&gt;"",L296,E296*K296)))</f>
        <v/>
      </c>
      <c r="N296" s="20">
        <f>IF($A296="","",$A296-WEEKDAY($A296,2)+1)</f>
        <v/>
      </c>
      <c r="O296" s="20">
        <f>IF($A296="","",TEXT($A296,"yyyy-mm"))</f>
        <v/>
      </c>
      <c r="P296" s="21">
        <f>IF($A296="","",TEXT(YEAR($A296),"0000")&amp;"-Q"&amp;ROUNDUP(MONTH($A296)/3,0))</f>
        <v/>
      </c>
    </row>
    <row r="297">
      <c r="A297" s="22" t="n"/>
      <c r="B297" s="20" t="n"/>
      <c r="C297" s="20" t="n"/>
      <c r="D297" s="20">
        <f>IFERROR(INDEX(XPMenu!$A$2:$A$1000, MATCH(C297, XPMenu!$B$2:$B$1000, 0)), "")</f>
        <v/>
      </c>
      <c r="E297" s="20" t="n"/>
      <c r="F297" s="20" t="n"/>
      <c r="G297" s="20" t="n"/>
      <c r="H297" s="20" t="n"/>
      <c r="I297" s="20">
        <f>IFERROR(VLOOKUP(D297,XPMenu!$A:$F,2,FALSE),"")</f>
        <v/>
      </c>
      <c r="J297" s="20">
        <f>IFERROR(VLOOKUP(D297,XPMenu!$A:$F,3,FALSE),"")</f>
        <v/>
      </c>
      <c r="K297" s="20">
        <f>IFERROR(VLOOKUP(D297,XPMenu!$A:$F,4,FALSE),"")</f>
        <v/>
      </c>
      <c r="L297" s="20" t="n"/>
      <c r="M297" s="20">
        <f>IF(A297="","",IF(F297&lt;&gt;"Yes",0,IF(L297&lt;&gt;"",L297,E297*K297)))</f>
        <v/>
      </c>
      <c r="N297" s="20">
        <f>IF($A297="","",$A297-WEEKDAY($A297,2)+1)</f>
        <v/>
      </c>
      <c r="O297" s="20">
        <f>IF($A297="","",TEXT($A297,"yyyy-mm"))</f>
        <v/>
      </c>
      <c r="P297" s="21">
        <f>IF($A297="","",TEXT(YEAR($A297),"0000")&amp;"-Q"&amp;ROUNDUP(MONTH($A297)/3,0))</f>
        <v/>
      </c>
    </row>
    <row r="298">
      <c r="A298" s="22" t="n"/>
      <c r="B298" s="20" t="n"/>
      <c r="C298" s="20" t="n"/>
      <c r="D298" s="20">
        <f>IFERROR(INDEX(XPMenu!$A$2:$A$1000, MATCH(C298, XPMenu!$B$2:$B$1000, 0)), "")</f>
        <v/>
      </c>
      <c r="E298" s="20" t="n"/>
      <c r="F298" s="20" t="n"/>
      <c r="G298" s="20" t="n"/>
      <c r="H298" s="20" t="n"/>
      <c r="I298" s="20">
        <f>IFERROR(VLOOKUP(D298,XPMenu!$A:$F,2,FALSE),"")</f>
        <v/>
      </c>
      <c r="J298" s="20">
        <f>IFERROR(VLOOKUP(D298,XPMenu!$A:$F,3,FALSE),"")</f>
        <v/>
      </c>
      <c r="K298" s="20">
        <f>IFERROR(VLOOKUP(D298,XPMenu!$A:$F,4,FALSE),"")</f>
        <v/>
      </c>
      <c r="L298" s="20" t="n"/>
      <c r="M298" s="20">
        <f>IF(A298="","",IF(F298&lt;&gt;"Yes",0,IF(L298&lt;&gt;"",L298,E298*K298)))</f>
        <v/>
      </c>
      <c r="N298" s="20">
        <f>IF($A298="","",$A298-WEEKDAY($A298,2)+1)</f>
        <v/>
      </c>
      <c r="O298" s="20">
        <f>IF($A298="","",TEXT($A298,"yyyy-mm"))</f>
        <v/>
      </c>
      <c r="P298" s="21">
        <f>IF($A298="","",TEXT(YEAR($A298),"0000")&amp;"-Q"&amp;ROUNDUP(MONTH($A298)/3,0))</f>
        <v/>
      </c>
    </row>
    <row r="299">
      <c r="A299" s="22" t="n"/>
      <c r="B299" s="20" t="n"/>
      <c r="C299" s="20" t="n"/>
      <c r="D299" s="20">
        <f>IFERROR(INDEX(XPMenu!$A$2:$A$1000, MATCH(C299, XPMenu!$B$2:$B$1000, 0)), "")</f>
        <v/>
      </c>
      <c r="E299" s="20" t="n"/>
      <c r="F299" s="20" t="n"/>
      <c r="G299" s="20" t="n"/>
      <c r="H299" s="20" t="n"/>
      <c r="I299" s="20">
        <f>IFERROR(VLOOKUP(D299,XPMenu!$A:$F,2,FALSE),"")</f>
        <v/>
      </c>
      <c r="J299" s="20">
        <f>IFERROR(VLOOKUP(D299,XPMenu!$A:$F,3,FALSE),"")</f>
        <v/>
      </c>
      <c r="K299" s="20">
        <f>IFERROR(VLOOKUP(D299,XPMenu!$A:$F,4,FALSE),"")</f>
        <v/>
      </c>
      <c r="L299" s="20" t="n"/>
      <c r="M299" s="20">
        <f>IF(A299="","",IF(F299&lt;&gt;"Yes",0,IF(L299&lt;&gt;"",L299,E299*K299)))</f>
        <v/>
      </c>
      <c r="N299" s="20">
        <f>IF($A299="","",$A299-WEEKDAY($A299,2)+1)</f>
        <v/>
      </c>
      <c r="O299" s="20">
        <f>IF($A299="","",TEXT($A299,"yyyy-mm"))</f>
        <v/>
      </c>
      <c r="P299" s="21">
        <f>IF($A299="","",TEXT(YEAR($A299),"0000")&amp;"-Q"&amp;ROUNDUP(MONTH($A299)/3,0))</f>
        <v/>
      </c>
    </row>
    <row r="300">
      <c r="A300" s="22" t="n"/>
      <c r="B300" s="20" t="n"/>
      <c r="C300" s="20" t="n"/>
      <c r="D300" s="20">
        <f>IFERROR(INDEX(XPMenu!$A$2:$A$1000, MATCH(C300, XPMenu!$B$2:$B$1000, 0)), "")</f>
        <v/>
      </c>
      <c r="E300" s="20" t="n"/>
      <c r="F300" s="20" t="n"/>
      <c r="G300" s="20" t="n"/>
      <c r="H300" s="20" t="n"/>
      <c r="I300" s="20">
        <f>IFERROR(VLOOKUP(D300,XPMenu!$A:$F,2,FALSE),"")</f>
        <v/>
      </c>
      <c r="J300" s="20">
        <f>IFERROR(VLOOKUP(D300,XPMenu!$A:$F,3,FALSE),"")</f>
        <v/>
      </c>
      <c r="K300" s="20">
        <f>IFERROR(VLOOKUP(D300,XPMenu!$A:$F,4,FALSE),"")</f>
        <v/>
      </c>
      <c r="L300" s="20" t="n"/>
      <c r="M300" s="20">
        <f>IF(A300="","",IF(F300&lt;&gt;"Yes",0,IF(L300&lt;&gt;"",L300,E300*K300)))</f>
        <v/>
      </c>
      <c r="N300" s="20">
        <f>IF($A300="","",$A300-WEEKDAY($A300,2)+1)</f>
        <v/>
      </c>
      <c r="O300" s="20">
        <f>IF($A300="","",TEXT($A300,"yyyy-mm"))</f>
        <v/>
      </c>
      <c r="P300" s="21">
        <f>IF($A300="","",TEXT(YEAR($A300),"0000")&amp;"-Q"&amp;ROUNDUP(MONTH($A300)/3,0))</f>
        <v/>
      </c>
    </row>
    <row r="301">
      <c r="A301" s="22" t="n"/>
      <c r="B301" s="20" t="n"/>
      <c r="C301" s="20" t="n"/>
      <c r="D301" s="20">
        <f>IFERROR(INDEX(XPMenu!$A$2:$A$1000, MATCH(C301, XPMenu!$B$2:$B$1000, 0)), "")</f>
        <v/>
      </c>
      <c r="E301" s="20" t="n"/>
      <c r="F301" s="20" t="n"/>
      <c r="G301" s="20" t="n"/>
      <c r="H301" s="20" t="n"/>
      <c r="I301" s="20">
        <f>IFERROR(VLOOKUP(D301,XPMenu!$A:$F,2,FALSE),"")</f>
        <v/>
      </c>
      <c r="J301" s="20">
        <f>IFERROR(VLOOKUP(D301,XPMenu!$A:$F,3,FALSE),"")</f>
        <v/>
      </c>
      <c r="K301" s="20">
        <f>IFERROR(VLOOKUP(D301,XPMenu!$A:$F,4,FALSE),"")</f>
        <v/>
      </c>
      <c r="L301" s="20" t="n"/>
      <c r="M301" s="20">
        <f>IF(A301="","",IF(F301&lt;&gt;"Yes",0,IF(L301&lt;&gt;"",L301,E301*K301)))</f>
        <v/>
      </c>
      <c r="N301" s="20">
        <f>IF($A301="","",$A301-WEEKDAY($A301,2)+1)</f>
        <v/>
      </c>
      <c r="O301" s="20">
        <f>IF($A301="","",TEXT($A301,"yyyy-mm"))</f>
        <v/>
      </c>
      <c r="P301" s="21">
        <f>IF($A301="","",TEXT(YEAR($A301),"0000")&amp;"-Q"&amp;ROUNDUP(MONTH($A301)/3,0))</f>
        <v/>
      </c>
    </row>
    <row r="302">
      <c r="A302" s="22" t="n"/>
      <c r="B302" s="20" t="n"/>
      <c r="C302" s="20" t="n"/>
      <c r="D302" s="20">
        <f>IFERROR(INDEX(XPMenu!$A$2:$A$1000, MATCH(C302, XPMenu!$B$2:$B$1000, 0)), "")</f>
        <v/>
      </c>
      <c r="E302" s="20" t="n"/>
      <c r="F302" s="20" t="n"/>
      <c r="G302" s="20" t="n"/>
      <c r="H302" s="20" t="n"/>
      <c r="I302" s="20">
        <f>IFERROR(VLOOKUP(D302,XPMenu!$A:$F,2,FALSE),"")</f>
        <v/>
      </c>
      <c r="J302" s="20">
        <f>IFERROR(VLOOKUP(D302,XPMenu!$A:$F,3,FALSE),"")</f>
        <v/>
      </c>
      <c r="K302" s="20">
        <f>IFERROR(VLOOKUP(D302,XPMenu!$A:$F,4,FALSE),"")</f>
        <v/>
      </c>
      <c r="L302" s="20" t="n"/>
      <c r="M302" s="20">
        <f>IF(A302="","",IF(F302&lt;&gt;"Yes",0,IF(L302&lt;&gt;"",L302,E302*K302)))</f>
        <v/>
      </c>
      <c r="N302" s="20">
        <f>IF($A302="","",$A302-WEEKDAY($A302,2)+1)</f>
        <v/>
      </c>
      <c r="O302" s="20">
        <f>IF($A302="","",TEXT($A302,"yyyy-mm"))</f>
        <v/>
      </c>
      <c r="P302" s="21">
        <f>IF($A302="","",TEXT(YEAR($A302),"0000")&amp;"-Q"&amp;ROUNDUP(MONTH($A302)/3,0))</f>
        <v/>
      </c>
    </row>
    <row r="303">
      <c r="A303" s="22" t="n"/>
      <c r="B303" s="20" t="n"/>
      <c r="C303" s="20" t="n"/>
      <c r="D303" s="20">
        <f>IFERROR(INDEX(XPMenu!$A$2:$A$1000, MATCH(C303, XPMenu!$B$2:$B$1000, 0)), "")</f>
        <v/>
      </c>
      <c r="E303" s="20" t="n"/>
      <c r="F303" s="20" t="n"/>
      <c r="G303" s="20" t="n"/>
      <c r="H303" s="20" t="n"/>
      <c r="I303" s="20">
        <f>IFERROR(VLOOKUP(D303,XPMenu!$A:$F,2,FALSE),"")</f>
        <v/>
      </c>
      <c r="J303" s="20">
        <f>IFERROR(VLOOKUP(D303,XPMenu!$A:$F,3,FALSE),"")</f>
        <v/>
      </c>
      <c r="K303" s="20">
        <f>IFERROR(VLOOKUP(D303,XPMenu!$A:$F,4,FALSE),"")</f>
        <v/>
      </c>
      <c r="L303" s="20" t="n"/>
      <c r="M303" s="20">
        <f>IF(A303="","",IF(F303&lt;&gt;"Yes",0,IF(L303&lt;&gt;"",L303,E303*K303)))</f>
        <v/>
      </c>
      <c r="N303" s="20">
        <f>IF($A303="","",$A303-WEEKDAY($A303,2)+1)</f>
        <v/>
      </c>
      <c r="O303" s="20">
        <f>IF($A303="","",TEXT($A303,"yyyy-mm"))</f>
        <v/>
      </c>
      <c r="P303" s="21">
        <f>IF($A303="","",TEXT(YEAR($A303),"0000")&amp;"-Q"&amp;ROUNDUP(MONTH($A303)/3,0))</f>
        <v/>
      </c>
    </row>
    <row r="304">
      <c r="A304" s="22" t="n"/>
      <c r="B304" s="20" t="n"/>
      <c r="C304" s="20" t="n"/>
      <c r="D304" s="20">
        <f>IFERROR(INDEX(XPMenu!$A$2:$A$1000, MATCH(C304, XPMenu!$B$2:$B$1000, 0)), "")</f>
        <v/>
      </c>
      <c r="E304" s="20" t="n"/>
      <c r="F304" s="20" t="n"/>
      <c r="G304" s="20" t="n"/>
      <c r="H304" s="20" t="n"/>
      <c r="I304" s="20">
        <f>IFERROR(VLOOKUP(D304,XPMenu!$A:$F,2,FALSE),"")</f>
        <v/>
      </c>
      <c r="J304" s="20">
        <f>IFERROR(VLOOKUP(D304,XPMenu!$A:$F,3,FALSE),"")</f>
        <v/>
      </c>
      <c r="K304" s="20">
        <f>IFERROR(VLOOKUP(D304,XPMenu!$A:$F,4,FALSE),"")</f>
        <v/>
      </c>
      <c r="L304" s="20" t="n"/>
      <c r="M304" s="20">
        <f>IF(A304="","",IF(F304&lt;&gt;"Yes",0,IF(L304&lt;&gt;"",L304,E304*K304)))</f>
        <v/>
      </c>
      <c r="N304" s="20">
        <f>IF($A304="","",$A304-WEEKDAY($A304,2)+1)</f>
        <v/>
      </c>
      <c r="O304" s="20">
        <f>IF($A304="","",TEXT($A304,"yyyy-mm"))</f>
        <v/>
      </c>
      <c r="P304" s="21">
        <f>IF($A304="","",TEXT(YEAR($A304),"0000")&amp;"-Q"&amp;ROUNDUP(MONTH($A304)/3,0))</f>
        <v/>
      </c>
    </row>
    <row r="305">
      <c r="A305" s="22" t="n"/>
      <c r="B305" s="20" t="n"/>
      <c r="C305" s="20" t="n"/>
      <c r="D305" s="20">
        <f>IFERROR(INDEX(XPMenu!$A$2:$A$1000, MATCH(C305, XPMenu!$B$2:$B$1000, 0)), "")</f>
        <v/>
      </c>
      <c r="E305" s="20" t="n"/>
      <c r="F305" s="20" t="n"/>
      <c r="G305" s="20" t="n"/>
      <c r="H305" s="20" t="n"/>
      <c r="I305" s="20">
        <f>IFERROR(VLOOKUP(D305,XPMenu!$A:$F,2,FALSE),"")</f>
        <v/>
      </c>
      <c r="J305" s="20">
        <f>IFERROR(VLOOKUP(D305,XPMenu!$A:$F,3,FALSE),"")</f>
        <v/>
      </c>
      <c r="K305" s="20">
        <f>IFERROR(VLOOKUP(D305,XPMenu!$A:$F,4,FALSE),"")</f>
        <v/>
      </c>
      <c r="L305" s="20" t="n"/>
      <c r="M305" s="20">
        <f>IF(A305="","",IF(F305&lt;&gt;"Yes",0,IF(L305&lt;&gt;"",L305,E305*K305)))</f>
        <v/>
      </c>
      <c r="N305" s="20">
        <f>IF($A305="","",$A305-WEEKDAY($A305,2)+1)</f>
        <v/>
      </c>
      <c r="O305" s="20">
        <f>IF($A305="","",TEXT($A305,"yyyy-mm"))</f>
        <v/>
      </c>
      <c r="P305" s="21">
        <f>IF($A305="","",TEXT(YEAR($A305),"0000")&amp;"-Q"&amp;ROUNDUP(MONTH($A305)/3,0))</f>
        <v/>
      </c>
    </row>
    <row r="306">
      <c r="A306" s="22" t="n"/>
      <c r="B306" s="20" t="n"/>
      <c r="C306" s="20" t="n"/>
      <c r="D306" s="20">
        <f>IFERROR(INDEX(XPMenu!$A$2:$A$1000, MATCH(C306, XPMenu!$B$2:$B$1000, 0)), "")</f>
        <v/>
      </c>
      <c r="E306" s="20" t="n"/>
      <c r="F306" s="20" t="n"/>
      <c r="G306" s="20" t="n"/>
      <c r="H306" s="20" t="n"/>
      <c r="I306" s="20">
        <f>IFERROR(VLOOKUP(D306,XPMenu!$A:$F,2,FALSE),"")</f>
        <v/>
      </c>
      <c r="J306" s="20">
        <f>IFERROR(VLOOKUP(D306,XPMenu!$A:$F,3,FALSE),"")</f>
        <v/>
      </c>
      <c r="K306" s="20">
        <f>IFERROR(VLOOKUP(D306,XPMenu!$A:$F,4,FALSE),"")</f>
        <v/>
      </c>
      <c r="L306" s="20" t="n"/>
      <c r="M306" s="20">
        <f>IF(A306="","",IF(F306&lt;&gt;"Yes",0,IF(L306&lt;&gt;"",L306,E306*K306)))</f>
        <v/>
      </c>
      <c r="N306" s="20">
        <f>IF($A306="","",$A306-WEEKDAY($A306,2)+1)</f>
        <v/>
      </c>
      <c r="O306" s="20">
        <f>IF($A306="","",TEXT($A306,"yyyy-mm"))</f>
        <v/>
      </c>
      <c r="P306" s="21">
        <f>IF($A306="","",TEXT(YEAR($A306),"0000")&amp;"-Q"&amp;ROUNDUP(MONTH($A306)/3,0))</f>
        <v/>
      </c>
    </row>
    <row r="307">
      <c r="A307" s="22" t="n"/>
      <c r="B307" s="20" t="n"/>
      <c r="C307" s="20" t="n"/>
      <c r="D307" s="20">
        <f>IFERROR(INDEX(XPMenu!$A$2:$A$1000, MATCH(C307, XPMenu!$B$2:$B$1000, 0)), "")</f>
        <v/>
      </c>
      <c r="E307" s="20" t="n"/>
      <c r="F307" s="20" t="n"/>
      <c r="G307" s="20" t="n"/>
      <c r="H307" s="20" t="n"/>
      <c r="I307" s="20">
        <f>IFERROR(VLOOKUP(D307,XPMenu!$A:$F,2,FALSE),"")</f>
        <v/>
      </c>
      <c r="J307" s="20">
        <f>IFERROR(VLOOKUP(D307,XPMenu!$A:$F,3,FALSE),"")</f>
        <v/>
      </c>
      <c r="K307" s="20">
        <f>IFERROR(VLOOKUP(D307,XPMenu!$A:$F,4,FALSE),"")</f>
        <v/>
      </c>
      <c r="L307" s="20" t="n"/>
      <c r="M307" s="20">
        <f>IF(A307="","",IF(F307&lt;&gt;"Yes",0,IF(L307&lt;&gt;"",L307,E307*K307)))</f>
        <v/>
      </c>
      <c r="N307" s="20">
        <f>IF($A307="","",$A307-WEEKDAY($A307,2)+1)</f>
        <v/>
      </c>
      <c r="O307" s="20">
        <f>IF($A307="","",TEXT($A307,"yyyy-mm"))</f>
        <v/>
      </c>
      <c r="P307" s="21">
        <f>IF($A307="","",TEXT(YEAR($A307),"0000")&amp;"-Q"&amp;ROUNDUP(MONTH($A307)/3,0))</f>
        <v/>
      </c>
    </row>
    <row r="308">
      <c r="A308" s="22" t="n"/>
      <c r="B308" s="20" t="n"/>
      <c r="C308" s="20" t="n"/>
      <c r="D308" s="20">
        <f>IFERROR(INDEX(XPMenu!$A$2:$A$1000, MATCH(C308, XPMenu!$B$2:$B$1000, 0)), "")</f>
        <v/>
      </c>
      <c r="E308" s="20" t="n"/>
      <c r="F308" s="20" t="n"/>
      <c r="G308" s="20" t="n"/>
      <c r="H308" s="20" t="n"/>
      <c r="I308" s="20">
        <f>IFERROR(VLOOKUP(D308,XPMenu!$A:$F,2,FALSE),"")</f>
        <v/>
      </c>
      <c r="J308" s="20">
        <f>IFERROR(VLOOKUP(D308,XPMenu!$A:$F,3,FALSE),"")</f>
        <v/>
      </c>
      <c r="K308" s="20">
        <f>IFERROR(VLOOKUP(D308,XPMenu!$A:$F,4,FALSE),"")</f>
        <v/>
      </c>
      <c r="L308" s="20" t="n"/>
      <c r="M308" s="20">
        <f>IF(A308="","",IF(F308&lt;&gt;"Yes",0,IF(L308&lt;&gt;"",L308,E308*K308)))</f>
        <v/>
      </c>
      <c r="N308" s="20">
        <f>IF($A308="","",$A308-WEEKDAY($A308,2)+1)</f>
        <v/>
      </c>
      <c r="O308" s="20">
        <f>IF($A308="","",TEXT($A308,"yyyy-mm"))</f>
        <v/>
      </c>
      <c r="P308" s="21">
        <f>IF($A308="","",TEXT(YEAR($A308),"0000")&amp;"-Q"&amp;ROUNDUP(MONTH($A308)/3,0))</f>
        <v/>
      </c>
    </row>
    <row r="309">
      <c r="A309" s="22" t="n"/>
      <c r="B309" s="20" t="n"/>
      <c r="C309" s="20" t="n"/>
      <c r="D309" s="20">
        <f>IFERROR(INDEX(XPMenu!$A$2:$A$1000, MATCH(C309, XPMenu!$B$2:$B$1000, 0)), "")</f>
        <v/>
      </c>
      <c r="E309" s="20" t="n"/>
      <c r="F309" s="20" t="n"/>
      <c r="G309" s="20" t="n"/>
      <c r="H309" s="20" t="n"/>
      <c r="I309" s="20">
        <f>IFERROR(VLOOKUP(D309,XPMenu!$A:$F,2,FALSE),"")</f>
        <v/>
      </c>
      <c r="J309" s="20">
        <f>IFERROR(VLOOKUP(D309,XPMenu!$A:$F,3,FALSE),"")</f>
        <v/>
      </c>
      <c r="K309" s="20">
        <f>IFERROR(VLOOKUP(D309,XPMenu!$A:$F,4,FALSE),"")</f>
        <v/>
      </c>
      <c r="L309" s="20" t="n"/>
      <c r="M309" s="20">
        <f>IF(A309="","",IF(F309&lt;&gt;"Yes",0,IF(L309&lt;&gt;"",L309,E309*K309)))</f>
        <v/>
      </c>
      <c r="N309" s="20">
        <f>IF($A309="","",$A309-WEEKDAY($A309,2)+1)</f>
        <v/>
      </c>
      <c r="O309" s="20">
        <f>IF($A309="","",TEXT($A309,"yyyy-mm"))</f>
        <v/>
      </c>
      <c r="P309" s="21">
        <f>IF($A309="","",TEXT(YEAR($A309),"0000")&amp;"-Q"&amp;ROUNDUP(MONTH($A309)/3,0))</f>
        <v/>
      </c>
    </row>
    <row r="310">
      <c r="A310" s="22" t="n"/>
      <c r="B310" s="20" t="n"/>
      <c r="C310" s="20" t="n"/>
      <c r="D310" s="20">
        <f>IFERROR(INDEX(XPMenu!$A$2:$A$1000, MATCH(C310, XPMenu!$B$2:$B$1000, 0)), "")</f>
        <v/>
      </c>
      <c r="E310" s="20" t="n"/>
      <c r="F310" s="20" t="n"/>
      <c r="G310" s="20" t="n"/>
      <c r="H310" s="20" t="n"/>
      <c r="I310" s="20">
        <f>IFERROR(VLOOKUP(D310,XPMenu!$A:$F,2,FALSE),"")</f>
        <v/>
      </c>
      <c r="J310" s="20">
        <f>IFERROR(VLOOKUP(D310,XPMenu!$A:$F,3,FALSE),"")</f>
        <v/>
      </c>
      <c r="K310" s="20">
        <f>IFERROR(VLOOKUP(D310,XPMenu!$A:$F,4,FALSE),"")</f>
        <v/>
      </c>
      <c r="L310" s="20" t="n"/>
      <c r="M310" s="20">
        <f>IF(A310="","",IF(F310&lt;&gt;"Yes",0,IF(L310&lt;&gt;"",L310,E310*K310)))</f>
        <v/>
      </c>
      <c r="N310" s="20">
        <f>IF($A310="","",$A310-WEEKDAY($A310,2)+1)</f>
        <v/>
      </c>
      <c r="O310" s="20">
        <f>IF($A310="","",TEXT($A310,"yyyy-mm"))</f>
        <v/>
      </c>
      <c r="P310" s="21">
        <f>IF($A310="","",TEXT(YEAR($A310),"0000")&amp;"-Q"&amp;ROUNDUP(MONTH($A310)/3,0))</f>
        <v/>
      </c>
    </row>
    <row r="311">
      <c r="A311" s="22" t="n"/>
      <c r="B311" s="20" t="n"/>
      <c r="C311" s="20" t="n"/>
      <c r="D311" s="20">
        <f>IFERROR(INDEX(XPMenu!$A$2:$A$1000, MATCH(C311, XPMenu!$B$2:$B$1000, 0)), "")</f>
        <v/>
      </c>
      <c r="E311" s="20" t="n"/>
      <c r="F311" s="20" t="n"/>
      <c r="G311" s="20" t="n"/>
      <c r="H311" s="20" t="n"/>
      <c r="I311" s="20">
        <f>IFERROR(VLOOKUP(D311,XPMenu!$A:$F,2,FALSE),"")</f>
        <v/>
      </c>
      <c r="J311" s="20">
        <f>IFERROR(VLOOKUP(D311,XPMenu!$A:$F,3,FALSE),"")</f>
        <v/>
      </c>
      <c r="K311" s="20">
        <f>IFERROR(VLOOKUP(D311,XPMenu!$A:$F,4,FALSE),"")</f>
        <v/>
      </c>
      <c r="L311" s="20" t="n"/>
      <c r="M311" s="20">
        <f>IF(A311="","",IF(F311&lt;&gt;"Yes",0,IF(L311&lt;&gt;"",L311,E311*K311)))</f>
        <v/>
      </c>
      <c r="N311" s="20">
        <f>IF($A311="","",$A311-WEEKDAY($A311,2)+1)</f>
        <v/>
      </c>
      <c r="O311" s="20">
        <f>IF($A311="","",TEXT($A311,"yyyy-mm"))</f>
        <v/>
      </c>
      <c r="P311" s="21">
        <f>IF($A311="","",TEXT(YEAR($A311),"0000")&amp;"-Q"&amp;ROUNDUP(MONTH($A311)/3,0))</f>
        <v/>
      </c>
    </row>
    <row r="312">
      <c r="A312" s="22" t="n"/>
      <c r="B312" s="20" t="n"/>
      <c r="C312" s="20" t="n"/>
      <c r="D312" s="20">
        <f>IFERROR(INDEX(XPMenu!$A$2:$A$1000, MATCH(C312, XPMenu!$B$2:$B$1000, 0)), "")</f>
        <v/>
      </c>
      <c r="E312" s="20" t="n"/>
      <c r="F312" s="20" t="n"/>
      <c r="G312" s="20" t="n"/>
      <c r="H312" s="20" t="n"/>
      <c r="I312" s="20">
        <f>IFERROR(VLOOKUP(D312,XPMenu!$A:$F,2,FALSE),"")</f>
        <v/>
      </c>
      <c r="J312" s="20">
        <f>IFERROR(VLOOKUP(D312,XPMenu!$A:$F,3,FALSE),"")</f>
        <v/>
      </c>
      <c r="K312" s="20">
        <f>IFERROR(VLOOKUP(D312,XPMenu!$A:$F,4,FALSE),"")</f>
        <v/>
      </c>
      <c r="L312" s="20" t="n"/>
      <c r="M312" s="20">
        <f>IF(A312="","",IF(F312&lt;&gt;"Yes",0,IF(L312&lt;&gt;"",L312,E312*K312)))</f>
        <v/>
      </c>
      <c r="N312" s="20">
        <f>IF($A312="","",$A312-WEEKDAY($A312,2)+1)</f>
        <v/>
      </c>
      <c r="O312" s="20">
        <f>IF($A312="","",TEXT($A312,"yyyy-mm"))</f>
        <v/>
      </c>
      <c r="P312" s="21">
        <f>IF($A312="","",TEXT(YEAR($A312),"0000")&amp;"-Q"&amp;ROUNDUP(MONTH($A312)/3,0))</f>
        <v/>
      </c>
    </row>
    <row r="313">
      <c r="A313" s="22" t="n"/>
      <c r="B313" s="20" t="n"/>
      <c r="C313" s="20" t="n"/>
      <c r="D313" s="20">
        <f>IFERROR(INDEX(XPMenu!$A$2:$A$1000, MATCH(C313, XPMenu!$B$2:$B$1000, 0)), "")</f>
        <v/>
      </c>
      <c r="E313" s="20" t="n"/>
      <c r="F313" s="20" t="n"/>
      <c r="G313" s="20" t="n"/>
      <c r="H313" s="20" t="n"/>
      <c r="I313" s="20">
        <f>IFERROR(VLOOKUP(D313,XPMenu!$A:$F,2,FALSE),"")</f>
        <v/>
      </c>
      <c r="J313" s="20">
        <f>IFERROR(VLOOKUP(D313,XPMenu!$A:$F,3,FALSE),"")</f>
        <v/>
      </c>
      <c r="K313" s="20">
        <f>IFERROR(VLOOKUP(D313,XPMenu!$A:$F,4,FALSE),"")</f>
        <v/>
      </c>
      <c r="L313" s="20" t="n"/>
      <c r="M313" s="20">
        <f>IF(A313="","",IF(F313&lt;&gt;"Yes",0,IF(L313&lt;&gt;"",L313,E313*K313)))</f>
        <v/>
      </c>
      <c r="N313" s="20">
        <f>IF($A313="","",$A313-WEEKDAY($A313,2)+1)</f>
        <v/>
      </c>
      <c r="O313" s="20">
        <f>IF($A313="","",TEXT($A313,"yyyy-mm"))</f>
        <v/>
      </c>
      <c r="P313" s="21">
        <f>IF($A313="","",TEXT(YEAR($A313),"0000")&amp;"-Q"&amp;ROUNDUP(MONTH($A313)/3,0))</f>
        <v/>
      </c>
    </row>
    <row r="314">
      <c r="A314" s="22" t="n"/>
      <c r="B314" s="20" t="n"/>
      <c r="C314" s="20" t="n"/>
      <c r="D314" s="20">
        <f>IFERROR(INDEX(XPMenu!$A$2:$A$1000, MATCH(C314, XPMenu!$B$2:$B$1000, 0)), "")</f>
        <v/>
      </c>
      <c r="E314" s="20" t="n"/>
      <c r="F314" s="20" t="n"/>
      <c r="G314" s="20" t="n"/>
      <c r="H314" s="20" t="n"/>
      <c r="I314" s="20">
        <f>IFERROR(VLOOKUP(D314,XPMenu!$A:$F,2,FALSE),"")</f>
        <v/>
      </c>
      <c r="J314" s="20">
        <f>IFERROR(VLOOKUP(D314,XPMenu!$A:$F,3,FALSE),"")</f>
        <v/>
      </c>
      <c r="K314" s="20">
        <f>IFERROR(VLOOKUP(D314,XPMenu!$A:$F,4,FALSE),"")</f>
        <v/>
      </c>
      <c r="L314" s="20" t="n"/>
      <c r="M314" s="20">
        <f>IF(A314="","",IF(F314&lt;&gt;"Yes",0,IF(L314&lt;&gt;"",L314,E314*K314)))</f>
        <v/>
      </c>
      <c r="N314" s="20">
        <f>IF($A314="","",$A314-WEEKDAY($A314,2)+1)</f>
        <v/>
      </c>
      <c r="O314" s="20">
        <f>IF($A314="","",TEXT($A314,"yyyy-mm"))</f>
        <v/>
      </c>
      <c r="P314" s="21">
        <f>IF($A314="","",TEXT(YEAR($A314),"0000")&amp;"-Q"&amp;ROUNDUP(MONTH($A314)/3,0))</f>
        <v/>
      </c>
    </row>
    <row r="315">
      <c r="A315" s="22" t="n"/>
      <c r="B315" s="20" t="n"/>
      <c r="C315" s="20" t="n"/>
      <c r="D315" s="20">
        <f>IFERROR(INDEX(XPMenu!$A$2:$A$1000, MATCH(C315, XPMenu!$B$2:$B$1000, 0)), "")</f>
        <v/>
      </c>
      <c r="E315" s="20" t="n"/>
      <c r="F315" s="20" t="n"/>
      <c r="G315" s="20" t="n"/>
      <c r="H315" s="20" t="n"/>
      <c r="I315" s="20">
        <f>IFERROR(VLOOKUP(D315,XPMenu!$A:$F,2,FALSE),"")</f>
        <v/>
      </c>
      <c r="J315" s="20">
        <f>IFERROR(VLOOKUP(D315,XPMenu!$A:$F,3,FALSE),"")</f>
        <v/>
      </c>
      <c r="K315" s="20">
        <f>IFERROR(VLOOKUP(D315,XPMenu!$A:$F,4,FALSE),"")</f>
        <v/>
      </c>
      <c r="L315" s="20" t="n"/>
      <c r="M315" s="20">
        <f>IF(A315="","",IF(F315&lt;&gt;"Yes",0,IF(L315&lt;&gt;"",L315,E315*K315)))</f>
        <v/>
      </c>
      <c r="N315" s="20">
        <f>IF($A315="","",$A315-WEEKDAY($A315,2)+1)</f>
        <v/>
      </c>
      <c r="O315" s="20">
        <f>IF($A315="","",TEXT($A315,"yyyy-mm"))</f>
        <v/>
      </c>
      <c r="P315" s="21">
        <f>IF($A315="","",TEXT(YEAR($A315),"0000")&amp;"-Q"&amp;ROUNDUP(MONTH($A315)/3,0))</f>
        <v/>
      </c>
    </row>
    <row r="316">
      <c r="A316" s="22" t="n"/>
      <c r="B316" s="20" t="n"/>
      <c r="C316" s="20" t="n"/>
      <c r="D316" s="20">
        <f>IFERROR(INDEX(XPMenu!$A$2:$A$1000, MATCH(C316, XPMenu!$B$2:$B$1000, 0)), "")</f>
        <v/>
      </c>
      <c r="E316" s="20" t="n"/>
      <c r="F316" s="20" t="n"/>
      <c r="G316" s="20" t="n"/>
      <c r="H316" s="20" t="n"/>
      <c r="I316" s="20">
        <f>IFERROR(VLOOKUP(D316,XPMenu!$A:$F,2,FALSE),"")</f>
        <v/>
      </c>
      <c r="J316" s="20">
        <f>IFERROR(VLOOKUP(D316,XPMenu!$A:$F,3,FALSE),"")</f>
        <v/>
      </c>
      <c r="K316" s="20">
        <f>IFERROR(VLOOKUP(D316,XPMenu!$A:$F,4,FALSE),"")</f>
        <v/>
      </c>
      <c r="L316" s="20" t="n"/>
      <c r="M316" s="20">
        <f>IF(A316="","",IF(F316&lt;&gt;"Yes",0,IF(L316&lt;&gt;"",L316,E316*K316)))</f>
        <v/>
      </c>
      <c r="N316" s="20">
        <f>IF($A316="","",$A316-WEEKDAY($A316,2)+1)</f>
        <v/>
      </c>
      <c r="O316" s="20">
        <f>IF($A316="","",TEXT($A316,"yyyy-mm"))</f>
        <v/>
      </c>
      <c r="P316" s="21">
        <f>IF($A316="","",TEXT(YEAR($A316),"0000")&amp;"-Q"&amp;ROUNDUP(MONTH($A316)/3,0))</f>
        <v/>
      </c>
    </row>
    <row r="317">
      <c r="A317" s="22" t="n"/>
      <c r="B317" s="20" t="n"/>
      <c r="C317" s="20" t="n"/>
      <c r="D317" s="20">
        <f>IFERROR(INDEX(XPMenu!$A$2:$A$1000, MATCH(C317, XPMenu!$B$2:$B$1000, 0)), "")</f>
        <v/>
      </c>
      <c r="E317" s="20" t="n"/>
      <c r="F317" s="20" t="n"/>
      <c r="G317" s="20" t="n"/>
      <c r="H317" s="20" t="n"/>
      <c r="I317" s="20">
        <f>IFERROR(VLOOKUP(D317,XPMenu!$A:$F,2,FALSE),"")</f>
        <v/>
      </c>
      <c r="J317" s="20">
        <f>IFERROR(VLOOKUP(D317,XPMenu!$A:$F,3,FALSE),"")</f>
        <v/>
      </c>
      <c r="K317" s="20">
        <f>IFERROR(VLOOKUP(D317,XPMenu!$A:$F,4,FALSE),"")</f>
        <v/>
      </c>
      <c r="L317" s="20" t="n"/>
      <c r="M317" s="20">
        <f>IF(A317="","",IF(F317&lt;&gt;"Yes",0,IF(L317&lt;&gt;"",L317,E317*K317)))</f>
        <v/>
      </c>
      <c r="N317" s="20">
        <f>IF($A317="","",$A317-WEEKDAY($A317,2)+1)</f>
        <v/>
      </c>
      <c r="O317" s="20">
        <f>IF($A317="","",TEXT($A317,"yyyy-mm"))</f>
        <v/>
      </c>
      <c r="P317" s="21">
        <f>IF($A317="","",TEXT(YEAR($A317),"0000")&amp;"-Q"&amp;ROUNDUP(MONTH($A317)/3,0))</f>
        <v/>
      </c>
    </row>
    <row r="318">
      <c r="A318" s="22" t="n"/>
      <c r="B318" s="20" t="n"/>
      <c r="C318" s="20" t="n"/>
      <c r="D318" s="20">
        <f>IFERROR(INDEX(XPMenu!$A$2:$A$1000, MATCH(C318, XPMenu!$B$2:$B$1000, 0)), "")</f>
        <v/>
      </c>
      <c r="E318" s="20" t="n"/>
      <c r="F318" s="20" t="n"/>
      <c r="G318" s="20" t="n"/>
      <c r="H318" s="20" t="n"/>
      <c r="I318" s="20">
        <f>IFERROR(VLOOKUP(D318,XPMenu!$A:$F,2,FALSE),"")</f>
        <v/>
      </c>
      <c r="J318" s="20">
        <f>IFERROR(VLOOKUP(D318,XPMenu!$A:$F,3,FALSE),"")</f>
        <v/>
      </c>
      <c r="K318" s="20">
        <f>IFERROR(VLOOKUP(D318,XPMenu!$A:$F,4,FALSE),"")</f>
        <v/>
      </c>
      <c r="L318" s="20" t="n"/>
      <c r="M318" s="20">
        <f>IF(A318="","",IF(F318&lt;&gt;"Yes",0,IF(L318&lt;&gt;"",L318,E318*K318)))</f>
        <v/>
      </c>
      <c r="N318" s="20">
        <f>IF($A318="","",$A318-WEEKDAY($A318,2)+1)</f>
        <v/>
      </c>
      <c r="O318" s="20">
        <f>IF($A318="","",TEXT($A318,"yyyy-mm"))</f>
        <v/>
      </c>
      <c r="P318" s="21">
        <f>IF($A318="","",TEXT(YEAR($A318),"0000")&amp;"-Q"&amp;ROUNDUP(MONTH($A318)/3,0))</f>
        <v/>
      </c>
    </row>
    <row r="319">
      <c r="A319" s="22" t="n"/>
      <c r="B319" s="20" t="n"/>
      <c r="C319" s="20" t="n"/>
      <c r="D319" s="20">
        <f>IFERROR(INDEX(XPMenu!$A$2:$A$1000, MATCH(C319, XPMenu!$B$2:$B$1000, 0)), "")</f>
        <v/>
      </c>
      <c r="E319" s="20" t="n"/>
      <c r="F319" s="20" t="n"/>
      <c r="G319" s="20" t="n"/>
      <c r="H319" s="20" t="n"/>
      <c r="I319" s="20">
        <f>IFERROR(VLOOKUP(D319,XPMenu!$A:$F,2,FALSE),"")</f>
        <v/>
      </c>
      <c r="J319" s="20">
        <f>IFERROR(VLOOKUP(D319,XPMenu!$A:$F,3,FALSE),"")</f>
        <v/>
      </c>
      <c r="K319" s="20">
        <f>IFERROR(VLOOKUP(D319,XPMenu!$A:$F,4,FALSE),"")</f>
        <v/>
      </c>
      <c r="L319" s="20" t="n"/>
      <c r="M319" s="20">
        <f>IF(A319="","",IF(F319&lt;&gt;"Yes",0,IF(L319&lt;&gt;"",L319,E319*K319)))</f>
        <v/>
      </c>
      <c r="N319" s="20">
        <f>IF($A319="","",$A319-WEEKDAY($A319,2)+1)</f>
        <v/>
      </c>
      <c r="O319" s="20">
        <f>IF($A319="","",TEXT($A319,"yyyy-mm"))</f>
        <v/>
      </c>
      <c r="P319" s="21">
        <f>IF($A319="","",TEXT(YEAR($A319),"0000")&amp;"-Q"&amp;ROUNDUP(MONTH($A319)/3,0))</f>
        <v/>
      </c>
    </row>
    <row r="320">
      <c r="A320" s="22" t="n"/>
      <c r="B320" s="20" t="n"/>
      <c r="C320" s="20" t="n"/>
      <c r="D320" s="20">
        <f>IFERROR(INDEX(XPMenu!$A$2:$A$1000, MATCH(C320, XPMenu!$B$2:$B$1000, 0)), "")</f>
        <v/>
      </c>
      <c r="E320" s="20" t="n"/>
      <c r="F320" s="20" t="n"/>
      <c r="G320" s="20" t="n"/>
      <c r="H320" s="20" t="n"/>
      <c r="I320" s="20">
        <f>IFERROR(VLOOKUP(D320,XPMenu!$A:$F,2,FALSE),"")</f>
        <v/>
      </c>
      <c r="J320" s="20">
        <f>IFERROR(VLOOKUP(D320,XPMenu!$A:$F,3,FALSE),"")</f>
        <v/>
      </c>
      <c r="K320" s="20">
        <f>IFERROR(VLOOKUP(D320,XPMenu!$A:$F,4,FALSE),"")</f>
        <v/>
      </c>
      <c r="L320" s="20" t="n"/>
      <c r="M320" s="20">
        <f>IF(A320="","",IF(F320&lt;&gt;"Yes",0,IF(L320&lt;&gt;"",L320,E320*K320)))</f>
        <v/>
      </c>
      <c r="N320" s="20">
        <f>IF($A320="","",$A320-WEEKDAY($A320,2)+1)</f>
        <v/>
      </c>
      <c r="O320" s="20">
        <f>IF($A320="","",TEXT($A320,"yyyy-mm"))</f>
        <v/>
      </c>
      <c r="P320" s="21">
        <f>IF($A320="","",TEXT(YEAR($A320),"0000")&amp;"-Q"&amp;ROUNDUP(MONTH($A320)/3,0))</f>
        <v/>
      </c>
    </row>
    <row r="321">
      <c r="A321" s="22" t="n"/>
      <c r="B321" s="20" t="n"/>
      <c r="C321" s="20" t="n"/>
      <c r="D321" s="20">
        <f>IFERROR(INDEX(XPMenu!$A$2:$A$1000, MATCH(C321, XPMenu!$B$2:$B$1000, 0)), "")</f>
        <v/>
      </c>
      <c r="E321" s="20" t="n"/>
      <c r="F321" s="20" t="n"/>
      <c r="G321" s="20" t="n"/>
      <c r="H321" s="20" t="n"/>
      <c r="I321" s="20">
        <f>IFERROR(VLOOKUP(D321,XPMenu!$A:$F,2,FALSE),"")</f>
        <v/>
      </c>
      <c r="J321" s="20">
        <f>IFERROR(VLOOKUP(D321,XPMenu!$A:$F,3,FALSE),"")</f>
        <v/>
      </c>
      <c r="K321" s="20">
        <f>IFERROR(VLOOKUP(D321,XPMenu!$A:$F,4,FALSE),"")</f>
        <v/>
      </c>
      <c r="L321" s="20" t="n"/>
      <c r="M321" s="20">
        <f>IF(A321="","",IF(F321&lt;&gt;"Yes",0,IF(L321&lt;&gt;"",L321,E321*K321)))</f>
        <v/>
      </c>
      <c r="N321" s="20">
        <f>IF($A321="","",$A321-WEEKDAY($A321,2)+1)</f>
        <v/>
      </c>
      <c r="O321" s="20">
        <f>IF($A321="","",TEXT($A321,"yyyy-mm"))</f>
        <v/>
      </c>
      <c r="P321" s="21">
        <f>IF($A321="","",TEXT(YEAR($A321),"0000")&amp;"-Q"&amp;ROUNDUP(MONTH($A321)/3,0))</f>
        <v/>
      </c>
    </row>
    <row r="322">
      <c r="A322" s="22" t="n"/>
      <c r="B322" s="20" t="n"/>
      <c r="C322" s="20" t="n"/>
      <c r="D322" s="20">
        <f>IFERROR(INDEX(XPMenu!$A$2:$A$1000, MATCH(C322, XPMenu!$B$2:$B$1000, 0)), "")</f>
        <v/>
      </c>
      <c r="E322" s="20" t="n"/>
      <c r="F322" s="20" t="n"/>
      <c r="G322" s="20" t="n"/>
      <c r="H322" s="20" t="n"/>
      <c r="I322" s="20">
        <f>IFERROR(VLOOKUP(D322,XPMenu!$A:$F,2,FALSE),"")</f>
        <v/>
      </c>
      <c r="J322" s="20">
        <f>IFERROR(VLOOKUP(D322,XPMenu!$A:$F,3,FALSE),"")</f>
        <v/>
      </c>
      <c r="K322" s="20">
        <f>IFERROR(VLOOKUP(D322,XPMenu!$A:$F,4,FALSE),"")</f>
        <v/>
      </c>
      <c r="L322" s="20" t="n"/>
      <c r="M322" s="20">
        <f>IF(A322="","",IF(F322&lt;&gt;"Yes",0,IF(L322&lt;&gt;"",L322,E322*K322)))</f>
        <v/>
      </c>
      <c r="N322" s="20">
        <f>IF($A322="","",$A322-WEEKDAY($A322,2)+1)</f>
        <v/>
      </c>
      <c r="O322" s="20">
        <f>IF($A322="","",TEXT($A322,"yyyy-mm"))</f>
        <v/>
      </c>
      <c r="P322" s="21">
        <f>IF($A322="","",TEXT(YEAR($A322),"0000")&amp;"-Q"&amp;ROUNDUP(MONTH($A322)/3,0))</f>
        <v/>
      </c>
    </row>
    <row r="323">
      <c r="A323" s="22" t="n"/>
      <c r="B323" s="20" t="n"/>
      <c r="C323" s="20" t="n"/>
      <c r="D323" s="20">
        <f>IFERROR(INDEX(XPMenu!$A$2:$A$1000, MATCH(C323, XPMenu!$B$2:$B$1000, 0)), "")</f>
        <v/>
      </c>
      <c r="E323" s="20" t="n"/>
      <c r="F323" s="20" t="n"/>
      <c r="G323" s="20" t="n"/>
      <c r="H323" s="20" t="n"/>
      <c r="I323" s="20">
        <f>IFERROR(VLOOKUP(D323,XPMenu!$A:$F,2,FALSE),"")</f>
        <v/>
      </c>
      <c r="J323" s="20">
        <f>IFERROR(VLOOKUP(D323,XPMenu!$A:$F,3,FALSE),"")</f>
        <v/>
      </c>
      <c r="K323" s="20">
        <f>IFERROR(VLOOKUP(D323,XPMenu!$A:$F,4,FALSE),"")</f>
        <v/>
      </c>
      <c r="L323" s="20" t="n"/>
      <c r="M323" s="20">
        <f>IF(A323="","",IF(F323&lt;&gt;"Yes",0,IF(L323&lt;&gt;"",L323,E323*K323)))</f>
        <v/>
      </c>
      <c r="N323" s="20">
        <f>IF($A323="","",$A323-WEEKDAY($A323,2)+1)</f>
        <v/>
      </c>
      <c r="O323" s="20">
        <f>IF($A323="","",TEXT($A323,"yyyy-mm"))</f>
        <v/>
      </c>
      <c r="P323" s="21">
        <f>IF($A323="","",TEXT(YEAR($A323),"0000")&amp;"-Q"&amp;ROUNDUP(MONTH($A323)/3,0))</f>
        <v/>
      </c>
    </row>
    <row r="324">
      <c r="A324" s="22" t="n"/>
      <c r="B324" s="20" t="n"/>
      <c r="C324" s="20" t="n"/>
      <c r="D324" s="20">
        <f>IFERROR(INDEX(XPMenu!$A$2:$A$1000, MATCH(C324, XPMenu!$B$2:$B$1000, 0)), "")</f>
        <v/>
      </c>
      <c r="E324" s="20" t="n"/>
      <c r="F324" s="20" t="n"/>
      <c r="G324" s="20" t="n"/>
      <c r="H324" s="20" t="n"/>
      <c r="I324" s="20">
        <f>IFERROR(VLOOKUP(D324,XPMenu!$A:$F,2,FALSE),"")</f>
        <v/>
      </c>
      <c r="J324" s="20">
        <f>IFERROR(VLOOKUP(D324,XPMenu!$A:$F,3,FALSE),"")</f>
        <v/>
      </c>
      <c r="K324" s="20">
        <f>IFERROR(VLOOKUP(D324,XPMenu!$A:$F,4,FALSE),"")</f>
        <v/>
      </c>
      <c r="L324" s="20" t="n"/>
      <c r="M324" s="20">
        <f>IF(A324="","",IF(F324&lt;&gt;"Yes",0,IF(L324&lt;&gt;"",L324,E324*K324)))</f>
        <v/>
      </c>
      <c r="N324" s="20">
        <f>IF($A324="","",$A324-WEEKDAY($A324,2)+1)</f>
        <v/>
      </c>
      <c r="O324" s="20">
        <f>IF($A324="","",TEXT($A324,"yyyy-mm"))</f>
        <v/>
      </c>
      <c r="P324" s="21">
        <f>IF($A324="","",TEXT(YEAR($A324),"0000")&amp;"-Q"&amp;ROUNDUP(MONTH($A324)/3,0))</f>
        <v/>
      </c>
    </row>
    <row r="325">
      <c r="A325" s="22" t="n"/>
      <c r="B325" s="20" t="n"/>
      <c r="C325" s="20" t="n"/>
      <c r="D325" s="20">
        <f>IFERROR(INDEX(XPMenu!$A$2:$A$1000, MATCH(C325, XPMenu!$B$2:$B$1000, 0)), "")</f>
        <v/>
      </c>
      <c r="E325" s="20" t="n"/>
      <c r="F325" s="20" t="n"/>
      <c r="G325" s="20" t="n"/>
      <c r="H325" s="20" t="n"/>
      <c r="I325" s="20">
        <f>IFERROR(VLOOKUP(D325,XPMenu!$A:$F,2,FALSE),"")</f>
        <v/>
      </c>
      <c r="J325" s="20">
        <f>IFERROR(VLOOKUP(D325,XPMenu!$A:$F,3,FALSE),"")</f>
        <v/>
      </c>
      <c r="K325" s="20">
        <f>IFERROR(VLOOKUP(D325,XPMenu!$A:$F,4,FALSE),"")</f>
        <v/>
      </c>
      <c r="L325" s="20" t="n"/>
      <c r="M325" s="20">
        <f>IF(A325="","",IF(F325&lt;&gt;"Yes",0,IF(L325&lt;&gt;"",L325,E325*K325)))</f>
        <v/>
      </c>
      <c r="N325" s="20">
        <f>IF($A325="","",$A325-WEEKDAY($A325,2)+1)</f>
        <v/>
      </c>
      <c r="O325" s="20">
        <f>IF($A325="","",TEXT($A325,"yyyy-mm"))</f>
        <v/>
      </c>
      <c r="P325" s="21">
        <f>IF($A325="","",TEXT(YEAR($A325),"0000")&amp;"-Q"&amp;ROUNDUP(MONTH($A325)/3,0))</f>
        <v/>
      </c>
    </row>
    <row r="326">
      <c r="A326" s="22" t="n"/>
      <c r="B326" s="20" t="n"/>
      <c r="C326" s="20" t="n"/>
      <c r="D326" s="20">
        <f>IFERROR(INDEX(XPMenu!$A$2:$A$1000, MATCH(C326, XPMenu!$B$2:$B$1000, 0)), "")</f>
        <v/>
      </c>
      <c r="E326" s="20" t="n"/>
      <c r="F326" s="20" t="n"/>
      <c r="G326" s="20" t="n"/>
      <c r="H326" s="20" t="n"/>
      <c r="I326" s="20">
        <f>IFERROR(VLOOKUP(D326,XPMenu!$A:$F,2,FALSE),"")</f>
        <v/>
      </c>
      <c r="J326" s="20">
        <f>IFERROR(VLOOKUP(D326,XPMenu!$A:$F,3,FALSE),"")</f>
        <v/>
      </c>
      <c r="K326" s="20">
        <f>IFERROR(VLOOKUP(D326,XPMenu!$A:$F,4,FALSE),"")</f>
        <v/>
      </c>
      <c r="L326" s="20" t="n"/>
      <c r="M326" s="20">
        <f>IF(A326="","",IF(F326&lt;&gt;"Yes",0,IF(L326&lt;&gt;"",L326,E326*K326)))</f>
        <v/>
      </c>
      <c r="N326" s="20">
        <f>IF($A326="","",$A326-WEEKDAY($A326,2)+1)</f>
        <v/>
      </c>
      <c r="O326" s="20">
        <f>IF($A326="","",TEXT($A326,"yyyy-mm"))</f>
        <v/>
      </c>
      <c r="P326" s="21">
        <f>IF($A326="","",TEXT(YEAR($A326),"0000")&amp;"-Q"&amp;ROUNDUP(MONTH($A326)/3,0))</f>
        <v/>
      </c>
    </row>
    <row r="327">
      <c r="A327" s="22" t="n"/>
      <c r="B327" s="20" t="n"/>
      <c r="C327" s="20" t="n"/>
      <c r="D327" s="20">
        <f>IFERROR(INDEX(XPMenu!$A$2:$A$1000, MATCH(C327, XPMenu!$B$2:$B$1000, 0)), "")</f>
        <v/>
      </c>
      <c r="E327" s="20" t="n"/>
      <c r="F327" s="20" t="n"/>
      <c r="G327" s="20" t="n"/>
      <c r="H327" s="20" t="n"/>
      <c r="I327" s="20">
        <f>IFERROR(VLOOKUP(D327,XPMenu!$A:$F,2,FALSE),"")</f>
        <v/>
      </c>
      <c r="J327" s="20">
        <f>IFERROR(VLOOKUP(D327,XPMenu!$A:$F,3,FALSE),"")</f>
        <v/>
      </c>
      <c r="K327" s="20">
        <f>IFERROR(VLOOKUP(D327,XPMenu!$A:$F,4,FALSE),"")</f>
        <v/>
      </c>
      <c r="L327" s="20" t="n"/>
      <c r="M327" s="20">
        <f>IF(A327="","",IF(F327&lt;&gt;"Yes",0,IF(L327&lt;&gt;"",L327,E327*K327)))</f>
        <v/>
      </c>
      <c r="N327" s="20">
        <f>IF($A327="","",$A327-WEEKDAY($A327,2)+1)</f>
        <v/>
      </c>
      <c r="O327" s="20">
        <f>IF($A327="","",TEXT($A327,"yyyy-mm"))</f>
        <v/>
      </c>
      <c r="P327" s="21">
        <f>IF($A327="","",TEXT(YEAR($A327),"0000")&amp;"-Q"&amp;ROUNDUP(MONTH($A327)/3,0))</f>
        <v/>
      </c>
    </row>
    <row r="328">
      <c r="A328" s="22" t="n"/>
      <c r="B328" s="20" t="n"/>
      <c r="C328" s="20" t="n"/>
      <c r="D328" s="20">
        <f>IFERROR(INDEX(XPMenu!$A$2:$A$1000, MATCH(C328, XPMenu!$B$2:$B$1000, 0)), "")</f>
        <v/>
      </c>
      <c r="E328" s="20" t="n"/>
      <c r="F328" s="20" t="n"/>
      <c r="G328" s="20" t="n"/>
      <c r="H328" s="20" t="n"/>
      <c r="I328" s="20">
        <f>IFERROR(VLOOKUP(D328,XPMenu!$A:$F,2,FALSE),"")</f>
        <v/>
      </c>
      <c r="J328" s="20">
        <f>IFERROR(VLOOKUP(D328,XPMenu!$A:$F,3,FALSE),"")</f>
        <v/>
      </c>
      <c r="K328" s="20">
        <f>IFERROR(VLOOKUP(D328,XPMenu!$A:$F,4,FALSE),"")</f>
        <v/>
      </c>
      <c r="L328" s="20" t="n"/>
      <c r="M328" s="20">
        <f>IF(A328="","",IF(F328&lt;&gt;"Yes",0,IF(L328&lt;&gt;"",L328,E328*K328)))</f>
        <v/>
      </c>
      <c r="N328" s="20">
        <f>IF($A328="","",$A328-WEEKDAY($A328,2)+1)</f>
        <v/>
      </c>
      <c r="O328" s="20">
        <f>IF($A328="","",TEXT($A328,"yyyy-mm"))</f>
        <v/>
      </c>
      <c r="P328" s="21">
        <f>IF($A328="","",TEXT(YEAR($A328),"0000")&amp;"-Q"&amp;ROUNDUP(MONTH($A328)/3,0))</f>
        <v/>
      </c>
    </row>
    <row r="329">
      <c r="A329" s="22" t="n"/>
      <c r="B329" s="20" t="n"/>
      <c r="C329" s="20" t="n"/>
      <c r="D329" s="20">
        <f>IFERROR(INDEX(XPMenu!$A$2:$A$1000, MATCH(C329, XPMenu!$B$2:$B$1000, 0)), "")</f>
        <v/>
      </c>
      <c r="E329" s="20" t="n"/>
      <c r="F329" s="20" t="n"/>
      <c r="G329" s="20" t="n"/>
      <c r="H329" s="20" t="n"/>
      <c r="I329" s="20">
        <f>IFERROR(VLOOKUP(D329,XPMenu!$A:$F,2,FALSE),"")</f>
        <v/>
      </c>
      <c r="J329" s="20">
        <f>IFERROR(VLOOKUP(D329,XPMenu!$A:$F,3,FALSE),"")</f>
        <v/>
      </c>
      <c r="K329" s="20">
        <f>IFERROR(VLOOKUP(D329,XPMenu!$A:$F,4,FALSE),"")</f>
        <v/>
      </c>
      <c r="L329" s="20" t="n"/>
      <c r="M329" s="20">
        <f>IF(A329="","",IF(F329&lt;&gt;"Yes",0,IF(L329&lt;&gt;"",L329,E329*K329)))</f>
        <v/>
      </c>
      <c r="N329" s="20">
        <f>IF($A329="","",$A329-WEEKDAY($A329,2)+1)</f>
        <v/>
      </c>
      <c r="O329" s="20">
        <f>IF($A329="","",TEXT($A329,"yyyy-mm"))</f>
        <v/>
      </c>
      <c r="P329" s="21">
        <f>IF($A329="","",TEXT(YEAR($A329),"0000")&amp;"-Q"&amp;ROUNDUP(MONTH($A329)/3,0))</f>
        <v/>
      </c>
    </row>
    <row r="330">
      <c r="A330" s="22" t="n"/>
      <c r="B330" s="20" t="n"/>
      <c r="C330" s="20" t="n"/>
      <c r="D330" s="20">
        <f>IFERROR(INDEX(XPMenu!$A$2:$A$1000, MATCH(C330, XPMenu!$B$2:$B$1000, 0)), "")</f>
        <v/>
      </c>
      <c r="E330" s="20" t="n"/>
      <c r="F330" s="20" t="n"/>
      <c r="G330" s="20" t="n"/>
      <c r="H330" s="20" t="n"/>
      <c r="I330" s="20">
        <f>IFERROR(VLOOKUP(D330,XPMenu!$A:$F,2,FALSE),"")</f>
        <v/>
      </c>
      <c r="J330" s="20">
        <f>IFERROR(VLOOKUP(D330,XPMenu!$A:$F,3,FALSE),"")</f>
        <v/>
      </c>
      <c r="K330" s="20">
        <f>IFERROR(VLOOKUP(D330,XPMenu!$A:$F,4,FALSE),"")</f>
        <v/>
      </c>
      <c r="L330" s="20" t="n"/>
      <c r="M330" s="20">
        <f>IF(A330="","",IF(F330&lt;&gt;"Yes",0,IF(L330&lt;&gt;"",L330,E330*K330)))</f>
        <v/>
      </c>
      <c r="N330" s="20">
        <f>IF($A330="","",$A330-WEEKDAY($A330,2)+1)</f>
        <v/>
      </c>
      <c r="O330" s="20">
        <f>IF($A330="","",TEXT($A330,"yyyy-mm"))</f>
        <v/>
      </c>
      <c r="P330" s="21">
        <f>IF($A330="","",TEXT(YEAR($A330),"0000")&amp;"-Q"&amp;ROUNDUP(MONTH($A330)/3,0))</f>
        <v/>
      </c>
    </row>
    <row r="331">
      <c r="A331" s="22" t="n"/>
      <c r="B331" s="20" t="n"/>
      <c r="C331" s="20" t="n"/>
      <c r="D331" s="20">
        <f>IFERROR(INDEX(XPMenu!$A$2:$A$1000, MATCH(C331, XPMenu!$B$2:$B$1000, 0)), "")</f>
        <v/>
      </c>
      <c r="E331" s="20" t="n"/>
      <c r="F331" s="20" t="n"/>
      <c r="G331" s="20" t="n"/>
      <c r="H331" s="20" t="n"/>
      <c r="I331" s="20">
        <f>IFERROR(VLOOKUP(D331,XPMenu!$A:$F,2,FALSE),"")</f>
        <v/>
      </c>
      <c r="J331" s="20">
        <f>IFERROR(VLOOKUP(D331,XPMenu!$A:$F,3,FALSE),"")</f>
        <v/>
      </c>
      <c r="K331" s="20">
        <f>IFERROR(VLOOKUP(D331,XPMenu!$A:$F,4,FALSE),"")</f>
        <v/>
      </c>
      <c r="L331" s="20" t="n"/>
      <c r="M331" s="20">
        <f>IF(A331="","",IF(F331&lt;&gt;"Yes",0,IF(L331&lt;&gt;"",L331,E331*K331)))</f>
        <v/>
      </c>
      <c r="N331" s="20">
        <f>IF($A331="","",$A331-WEEKDAY($A331,2)+1)</f>
        <v/>
      </c>
      <c r="O331" s="20">
        <f>IF($A331="","",TEXT($A331,"yyyy-mm"))</f>
        <v/>
      </c>
      <c r="P331" s="21">
        <f>IF($A331="","",TEXT(YEAR($A331),"0000")&amp;"-Q"&amp;ROUNDUP(MONTH($A331)/3,0))</f>
        <v/>
      </c>
    </row>
    <row r="332">
      <c r="A332" s="22" t="n"/>
      <c r="B332" s="20" t="n"/>
      <c r="C332" s="20" t="n"/>
      <c r="D332" s="20">
        <f>IFERROR(INDEX(XPMenu!$A$2:$A$1000, MATCH(C332, XPMenu!$B$2:$B$1000, 0)), "")</f>
        <v/>
      </c>
      <c r="E332" s="20" t="n"/>
      <c r="F332" s="20" t="n"/>
      <c r="G332" s="20" t="n"/>
      <c r="H332" s="20" t="n"/>
      <c r="I332" s="20">
        <f>IFERROR(VLOOKUP(D332,XPMenu!$A:$F,2,FALSE),"")</f>
        <v/>
      </c>
      <c r="J332" s="20">
        <f>IFERROR(VLOOKUP(D332,XPMenu!$A:$F,3,FALSE),"")</f>
        <v/>
      </c>
      <c r="K332" s="20">
        <f>IFERROR(VLOOKUP(D332,XPMenu!$A:$F,4,FALSE),"")</f>
        <v/>
      </c>
      <c r="L332" s="20" t="n"/>
      <c r="M332" s="20">
        <f>IF(A332="","",IF(F332&lt;&gt;"Yes",0,IF(L332&lt;&gt;"",L332,E332*K332)))</f>
        <v/>
      </c>
      <c r="N332" s="20">
        <f>IF($A332="","",$A332-WEEKDAY($A332,2)+1)</f>
        <v/>
      </c>
      <c r="O332" s="20">
        <f>IF($A332="","",TEXT($A332,"yyyy-mm"))</f>
        <v/>
      </c>
      <c r="P332" s="21">
        <f>IF($A332="","",TEXT(YEAR($A332),"0000")&amp;"-Q"&amp;ROUNDUP(MONTH($A332)/3,0))</f>
        <v/>
      </c>
    </row>
    <row r="333">
      <c r="A333" s="22" t="n"/>
      <c r="B333" s="20" t="n"/>
      <c r="C333" s="20" t="n"/>
      <c r="D333" s="20">
        <f>IFERROR(INDEX(XPMenu!$A$2:$A$1000, MATCH(C333, XPMenu!$B$2:$B$1000, 0)), "")</f>
        <v/>
      </c>
      <c r="E333" s="20" t="n"/>
      <c r="F333" s="20" t="n"/>
      <c r="G333" s="20" t="n"/>
      <c r="H333" s="20" t="n"/>
      <c r="I333" s="20">
        <f>IFERROR(VLOOKUP(D333,XPMenu!$A:$F,2,FALSE),"")</f>
        <v/>
      </c>
      <c r="J333" s="20">
        <f>IFERROR(VLOOKUP(D333,XPMenu!$A:$F,3,FALSE),"")</f>
        <v/>
      </c>
      <c r="K333" s="20">
        <f>IFERROR(VLOOKUP(D333,XPMenu!$A:$F,4,FALSE),"")</f>
        <v/>
      </c>
      <c r="L333" s="20" t="n"/>
      <c r="M333" s="20">
        <f>IF(A333="","",IF(F333&lt;&gt;"Yes",0,IF(L333&lt;&gt;"",L333,E333*K333)))</f>
        <v/>
      </c>
      <c r="N333" s="20">
        <f>IF($A333="","",$A333-WEEKDAY($A333,2)+1)</f>
        <v/>
      </c>
      <c r="O333" s="20">
        <f>IF($A333="","",TEXT($A333,"yyyy-mm"))</f>
        <v/>
      </c>
      <c r="P333" s="21">
        <f>IF($A333="","",TEXT(YEAR($A333),"0000")&amp;"-Q"&amp;ROUNDUP(MONTH($A333)/3,0))</f>
        <v/>
      </c>
    </row>
    <row r="334">
      <c r="A334" s="22" t="n"/>
      <c r="B334" s="20" t="n"/>
      <c r="C334" s="20" t="n"/>
      <c r="D334" s="20">
        <f>IFERROR(INDEX(XPMenu!$A$2:$A$1000, MATCH(C334, XPMenu!$B$2:$B$1000, 0)), "")</f>
        <v/>
      </c>
      <c r="E334" s="20" t="n"/>
      <c r="F334" s="20" t="n"/>
      <c r="G334" s="20" t="n"/>
      <c r="H334" s="20" t="n"/>
      <c r="I334" s="20">
        <f>IFERROR(VLOOKUP(D334,XPMenu!$A:$F,2,FALSE),"")</f>
        <v/>
      </c>
      <c r="J334" s="20">
        <f>IFERROR(VLOOKUP(D334,XPMenu!$A:$F,3,FALSE),"")</f>
        <v/>
      </c>
      <c r="K334" s="20">
        <f>IFERROR(VLOOKUP(D334,XPMenu!$A:$F,4,FALSE),"")</f>
        <v/>
      </c>
      <c r="L334" s="20" t="n"/>
      <c r="M334" s="20">
        <f>IF(A334="","",IF(F334&lt;&gt;"Yes",0,IF(L334&lt;&gt;"",L334,E334*K334)))</f>
        <v/>
      </c>
      <c r="N334" s="20">
        <f>IF($A334="","",$A334-WEEKDAY($A334,2)+1)</f>
        <v/>
      </c>
      <c r="O334" s="20">
        <f>IF($A334="","",TEXT($A334,"yyyy-mm"))</f>
        <v/>
      </c>
      <c r="P334" s="21">
        <f>IF($A334="","",TEXT(YEAR($A334),"0000")&amp;"-Q"&amp;ROUNDUP(MONTH($A334)/3,0))</f>
        <v/>
      </c>
    </row>
    <row r="335">
      <c r="A335" s="22" t="n"/>
      <c r="B335" s="20" t="n"/>
      <c r="C335" s="20" t="n"/>
      <c r="D335" s="20">
        <f>IFERROR(INDEX(XPMenu!$A$2:$A$1000, MATCH(C335, XPMenu!$B$2:$B$1000, 0)), "")</f>
        <v/>
      </c>
      <c r="E335" s="20" t="n"/>
      <c r="F335" s="20" t="n"/>
      <c r="G335" s="20" t="n"/>
      <c r="H335" s="20" t="n"/>
      <c r="I335" s="20">
        <f>IFERROR(VLOOKUP(D335,XPMenu!$A:$F,2,FALSE),"")</f>
        <v/>
      </c>
      <c r="J335" s="20">
        <f>IFERROR(VLOOKUP(D335,XPMenu!$A:$F,3,FALSE),"")</f>
        <v/>
      </c>
      <c r="K335" s="20">
        <f>IFERROR(VLOOKUP(D335,XPMenu!$A:$F,4,FALSE),"")</f>
        <v/>
      </c>
      <c r="L335" s="20" t="n"/>
      <c r="M335" s="20">
        <f>IF(A335="","",IF(F335&lt;&gt;"Yes",0,IF(L335&lt;&gt;"",L335,E335*K335)))</f>
        <v/>
      </c>
      <c r="N335" s="20">
        <f>IF($A335="","",$A335-WEEKDAY($A335,2)+1)</f>
        <v/>
      </c>
      <c r="O335" s="20">
        <f>IF($A335="","",TEXT($A335,"yyyy-mm"))</f>
        <v/>
      </c>
      <c r="P335" s="21">
        <f>IF($A335="","",TEXT(YEAR($A335),"0000")&amp;"-Q"&amp;ROUNDUP(MONTH($A335)/3,0))</f>
        <v/>
      </c>
    </row>
    <row r="336">
      <c r="A336" s="22" t="n"/>
      <c r="B336" s="20" t="n"/>
      <c r="C336" s="20" t="n"/>
      <c r="D336" s="20">
        <f>IFERROR(INDEX(XPMenu!$A$2:$A$1000, MATCH(C336, XPMenu!$B$2:$B$1000, 0)), "")</f>
        <v/>
      </c>
      <c r="E336" s="20" t="n"/>
      <c r="F336" s="20" t="n"/>
      <c r="G336" s="20" t="n"/>
      <c r="H336" s="20" t="n"/>
      <c r="I336" s="20">
        <f>IFERROR(VLOOKUP(D336,XPMenu!$A:$F,2,FALSE),"")</f>
        <v/>
      </c>
      <c r="J336" s="20">
        <f>IFERROR(VLOOKUP(D336,XPMenu!$A:$F,3,FALSE),"")</f>
        <v/>
      </c>
      <c r="K336" s="20">
        <f>IFERROR(VLOOKUP(D336,XPMenu!$A:$F,4,FALSE),"")</f>
        <v/>
      </c>
      <c r="L336" s="20" t="n"/>
      <c r="M336" s="20">
        <f>IF(A336="","",IF(F336&lt;&gt;"Yes",0,IF(L336&lt;&gt;"",L336,E336*K336)))</f>
        <v/>
      </c>
      <c r="N336" s="20">
        <f>IF($A336="","",$A336-WEEKDAY($A336,2)+1)</f>
        <v/>
      </c>
      <c r="O336" s="20">
        <f>IF($A336="","",TEXT($A336,"yyyy-mm"))</f>
        <v/>
      </c>
      <c r="P336" s="21">
        <f>IF($A336="","",TEXT(YEAR($A336),"0000")&amp;"-Q"&amp;ROUNDUP(MONTH($A336)/3,0))</f>
        <v/>
      </c>
    </row>
    <row r="337">
      <c r="A337" s="22" t="n"/>
      <c r="B337" s="20" t="n"/>
      <c r="C337" s="20" t="n"/>
      <c r="D337" s="20">
        <f>IFERROR(INDEX(XPMenu!$A$2:$A$1000, MATCH(C337, XPMenu!$B$2:$B$1000, 0)), "")</f>
        <v/>
      </c>
      <c r="E337" s="20" t="n"/>
      <c r="F337" s="20" t="n"/>
      <c r="G337" s="20" t="n"/>
      <c r="H337" s="20" t="n"/>
      <c r="I337" s="20">
        <f>IFERROR(VLOOKUP(D337,XPMenu!$A:$F,2,FALSE),"")</f>
        <v/>
      </c>
      <c r="J337" s="20">
        <f>IFERROR(VLOOKUP(D337,XPMenu!$A:$F,3,FALSE),"")</f>
        <v/>
      </c>
      <c r="K337" s="20">
        <f>IFERROR(VLOOKUP(D337,XPMenu!$A:$F,4,FALSE),"")</f>
        <v/>
      </c>
      <c r="L337" s="20" t="n"/>
      <c r="M337" s="20">
        <f>IF(A337="","",IF(F337&lt;&gt;"Yes",0,IF(L337&lt;&gt;"",L337,E337*K337)))</f>
        <v/>
      </c>
      <c r="N337" s="20">
        <f>IF($A337="","",$A337-WEEKDAY($A337,2)+1)</f>
        <v/>
      </c>
      <c r="O337" s="20">
        <f>IF($A337="","",TEXT($A337,"yyyy-mm"))</f>
        <v/>
      </c>
      <c r="P337" s="21">
        <f>IF($A337="","",TEXT(YEAR($A337),"0000")&amp;"-Q"&amp;ROUNDUP(MONTH($A337)/3,0))</f>
        <v/>
      </c>
    </row>
    <row r="338">
      <c r="A338" s="22" t="n"/>
      <c r="B338" s="20" t="n"/>
      <c r="C338" s="20" t="n"/>
      <c r="D338" s="20">
        <f>IFERROR(INDEX(XPMenu!$A$2:$A$1000, MATCH(C338, XPMenu!$B$2:$B$1000, 0)), "")</f>
        <v/>
      </c>
      <c r="E338" s="20" t="n"/>
      <c r="F338" s="20" t="n"/>
      <c r="G338" s="20" t="n"/>
      <c r="H338" s="20" t="n"/>
      <c r="I338" s="20">
        <f>IFERROR(VLOOKUP(D338,XPMenu!$A:$F,2,FALSE),"")</f>
        <v/>
      </c>
      <c r="J338" s="20">
        <f>IFERROR(VLOOKUP(D338,XPMenu!$A:$F,3,FALSE),"")</f>
        <v/>
      </c>
      <c r="K338" s="20">
        <f>IFERROR(VLOOKUP(D338,XPMenu!$A:$F,4,FALSE),"")</f>
        <v/>
      </c>
      <c r="L338" s="20" t="n"/>
      <c r="M338" s="20">
        <f>IF(A338="","",IF(F338&lt;&gt;"Yes",0,IF(L338&lt;&gt;"",L338,E338*K338)))</f>
        <v/>
      </c>
      <c r="N338" s="20">
        <f>IF($A338="","",$A338-WEEKDAY($A338,2)+1)</f>
        <v/>
      </c>
      <c r="O338" s="20">
        <f>IF($A338="","",TEXT($A338,"yyyy-mm"))</f>
        <v/>
      </c>
      <c r="P338" s="21">
        <f>IF($A338="","",TEXT(YEAR($A338),"0000")&amp;"-Q"&amp;ROUNDUP(MONTH($A338)/3,0))</f>
        <v/>
      </c>
    </row>
    <row r="339">
      <c r="A339" s="22" t="n"/>
      <c r="B339" s="20" t="n"/>
      <c r="C339" s="20" t="n"/>
      <c r="D339" s="20">
        <f>IFERROR(INDEX(XPMenu!$A$2:$A$1000, MATCH(C339, XPMenu!$B$2:$B$1000, 0)), "")</f>
        <v/>
      </c>
      <c r="E339" s="20" t="n"/>
      <c r="F339" s="20" t="n"/>
      <c r="G339" s="20" t="n"/>
      <c r="H339" s="20" t="n"/>
      <c r="I339" s="20">
        <f>IFERROR(VLOOKUP(D339,XPMenu!$A:$F,2,FALSE),"")</f>
        <v/>
      </c>
      <c r="J339" s="20">
        <f>IFERROR(VLOOKUP(D339,XPMenu!$A:$F,3,FALSE),"")</f>
        <v/>
      </c>
      <c r="K339" s="20">
        <f>IFERROR(VLOOKUP(D339,XPMenu!$A:$F,4,FALSE),"")</f>
        <v/>
      </c>
      <c r="L339" s="20" t="n"/>
      <c r="M339" s="20">
        <f>IF(A339="","",IF(F339&lt;&gt;"Yes",0,IF(L339&lt;&gt;"",L339,E339*K339)))</f>
        <v/>
      </c>
      <c r="N339" s="20">
        <f>IF($A339="","",$A339-WEEKDAY($A339,2)+1)</f>
        <v/>
      </c>
      <c r="O339" s="20">
        <f>IF($A339="","",TEXT($A339,"yyyy-mm"))</f>
        <v/>
      </c>
      <c r="P339" s="21">
        <f>IF($A339="","",TEXT(YEAR($A339),"0000")&amp;"-Q"&amp;ROUNDUP(MONTH($A339)/3,0))</f>
        <v/>
      </c>
    </row>
    <row r="340">
      <c r="A340" s="22" t="n"/>
      <c r="B340" s="20" t="n"/>
      <c r="C340" s="20" t="n"/>
      <c r="D340" s="20">
        <f>IFERROR(INDEX(XPMenu!$A$2:$A$1000, MATCH(C340, XPMenu!$B$2:$B$1000, 0)), "")</f>
        <v/>
      </c>
      <c r="E340" s="20" t="n"/>
      <c r="F340" s="20" t="n"/>
      <c r="G340" s="20" t="n"/>
      <c r="H340" s="20" t="n"/>
      <c r="I340" s="20">
        <f>IFERROR(VLOOKUP(D340,XPMenu!$A:$F,2,FALSE),"")</f>
        <v/>
      </c>
      <c r="J340" s="20">
        <f>IFERROR(VLOOKUP(D340,XPMenu!$A:$F,3,FALSE),"")</f>
        <v/>
      </c>
      <c r="K340" s="20">
        <f>IFERROR(VLOOKUP(D340,XPMenu!$A:$F,4,FALSE),"")</f>
        <v/>
      </c>
      <c r="L340" s="20" t="n"/>
      <c r="M340" s="20">
        <f>IF(A340="","",IF(F340&lt;&gt;"Yes",0,IF(L340&lt;&gt;"",L340,E340*K340)))</f>
        <v/>
      </c>
      <c r="N340" s="20">
        <f>IF($A340="","",$A340-WEEKDAY($A340,2)+1)</f>
        <v/>
      </c>
      <c r="O340" s="20">
        <f>IF($A340="","",TEXT($A340,"yyyy-mm"))</f>
        <v/>
      </c>
      <c r="P340" s="21">
        <f>IF($A340="","",TEXT(YEAR($A340),"0000")&amp;"-Q"&amp;ROUNDUP(MONTH($A340)/3,0))</f>
        <v/>
      </c>
    </row>
    <row r="341">
      <c r="A341" s="22" t="n"/>
      <c r="B341" s="20" t="n"/>
      <c r="C341" s="20" t="n"/>
      <c r="D341" s="20">
        <f>IFERROR(INDEX(XPMenu!$A$2:$A$1000, MATCH(C341, XPMenu!$B$2:$B$1000, 0)), "")</f>
        <v/>
      </c>
      <c r="E341" s="20" t="n"/>
      <c r="F341" s="20" t="n"/>
      <c r="G341" s="20" t="n"/>
      <c r="H341" s="20" t="n"/>
      <c r="I341" s="20">
        <f>IFERROR(VLOOKUP(D341,XPMenu!$A:$F,2,FALSE),"")</f>
        <v/>
      </c>
      <c r="J341" s="20">
        <f>IFERROR(VLOOKUP(D341,XPMenu!$A:$F,3,FALSE),"")</f>
        <v/>
      </c>
      <c r="K341" s="20">
        <f>IFERROR(VLOOKUP(D341,XPMenu!$A:$F,4,FALSE),"")</f>
        <v/>
      </c>
      <c r="L341" s="20" t="n"/>
      <c r="M341" s="20">
        <f>IF(A341="","",IF(F341&lt;&gt;"Yes",0,IF(L341&lt;&gt;"",L341,E341*K341)))</f>
        <v/>
      </c>
      <c r="N341" s="20">
        <f>IF($A341="","",$A341-WEEKDAY($A341,2)+1)</f>
        <v/>
      </c>
      <c r="O341" s="20">
        <f>IF($A341="","",TEXT($A341,"yyyy-mm"))</f>
        <v/>
      </c>
      <c r="P341" s="21">
        <f>IF($A341="","",TEXT(YEAR($A341),"0000")&amp;"-Q"&amp;ROUNDUP(MONTH($A341)/3,0))</f>
        <v/>
      </c>
    </row>
    <row r="342">
      <c r="A342" s="22" t="n"/>
      <c r="B342" s="20" t="n"/>
      <c r="C342" s="20" t="n"/>
      <c r="D342" s="20">
        <f>IFERROR(INDEX(XPMenu!$A$2:$A$1000, MATCH(C342, XPMenu!$B$2:$B$1000, 0)), "")</f>
        <v/>
      </c>
      <c r="E342" s="20" t="n"/>
      <c r="F342" s="20" t="n"/>
      <c r="G342" s="20" t="n"/>
      <c r="H342" s="20" t="n"/>
      <c r="I342" s="20">
        <f>IFERROR(VLOOKUP(D342,XPMenu!$A:$F,2,FALSE),"")</f>
        <v/>
      </c>
      <c r="J342" s="20">
        <f>IFERROR(VLOOKUP(D342,XPMenu!$A:$F,3,FALSE),"")</f>
        <v/>
      </c>
      <c r="K342" s="20">
        <f>IFERROR(VLOOKUP(D342,XPMenu!$A:$F,4,FALSE),"")</f>
        <v/>
      </c>
      <c r="L342" s="20" t="n"/>
      <c r="M342" s="20">
        <f>IF(A342="","",IF(F342&lt;&gt;"Yes",0,IF(L342&lt;&gt;"",L342,E342*K342)))</f>
        <v/>
      </c>
      <c r="N342" s="20">
        <f>IF($A342="","",$A342-WEEKDAY($A342,2)+1)</f>
        <v/>
      </c>
      <c r="O342" s="20">
        <f>IF($A342="","",TEXT($A342,"yyyy-mm"))</f>
        <v/>
      </c>
      <c r="P342" s="21">
        <f>IF($A342="","",TEXT(YEAR($A342),"0000")&amp;"-Q"&amp;ROUNDUP(MONTH($A342)/3,0))</f>
        <v/>
      </c>
    </row>
    <row r="343">
      <c r="A343" s="22" t="n"/>
      <c r="B343" s="20" t="n"/>
      <c r="C343" s="20" t="n"/>
      <c r="D343" s="20">
        <f>IFERROR(INDEX(XPMenu!$A$2:$A$1000, MATCH(C343, XPMenu!$B$2:$B$1000, 0)), "")</f>
        <v/>
      </c>
      <c r="E343" s="20" t="n"/>
      <c r="F343" s="20" t="n"/>
      <c r="G343" s="20" t="n"/>
      <c r="H343" s="20" t="n"/>
      <c r="I343" s="20">
        <f>IFERROR(VLOOKUP(D343,XPMenu!$A:$F,2,FALSE),"")</f>
        <v/>
      </c>
      <c r="J343" s="20">
        <f>IFERROR(VLOOKUP(D343,XPMenu!$A:$F,3,FALSE),"")</f>
        <v/>
      </c>
      <c r="K343" s="20">
        <f>IFERROR(VLOOKUP(D343,XPMenu!$A:$F,4,FALSE),"")</f>
        <v/>
      </c>
      <c r="L343" s="20" t="n"/>
      <c r="M343" s="20">
        <f>IF(A343="","",IF(F343&lt;&gt;"Yes",0,IF(L343&lt;&gt;"",L343,E343*K343)))</f>
        <v/>
      </c>
      <c r="N343" s="20">
        <f>IF($A343="","",$A343-WEEKDAY($A343,2)+1)</f>
        <v/>
      </c>
      <c r="O343" s="20">
        <f>IF($A343="","",TEXT($A343,"yyyy-mm"))</f>
        <v/>
      </c>
      <c r="P343" s="21">
        <f>IF($A343="","",TEXT(YEAR($A343),"0000")&amp;"-Q"&amp;ROUNDUP(MONTH($A343)/3,0))</f>
        <v/>
      </c>
    </row>
    <row r="344">
      <c r="A344" s="22" t="n"/>
      <c r="B344" s="20" t="n"/>
      <c r="C344" s="20" t="n"/>
      <c r="D344" s="20">
        <f>IFERROR(INDEX(XPMenu!$A$2:$A$1000, MATCH(C344, XPMenu!$B$2:$B$1000, 0)), "")</f>
        <v/>
      </c>
      <c r="E344" s="20" t="n"/>
      <c r="F344" s="20" t="n"/>
      <c r="G344" s="20" t="n"/>
      <c r="H344" s="20" t="n"/>
      <c r="I344" s="20">
        <f>IFERROR(VLOOKUP(D344,XPMenu!$A:$F,2,FALSE),"")</f>
        <v/>
      </c>
      <c r="J344" s="20">
        <f>IFERROR(VLOOKUP(D344,XPMenu!$A:$F,3,FALSE),"")</f>
        <v/>
      </c>
      <c r="K344" s="20">
        <f>IFERROR(VLOOKUP(D344,XPMenu!$A:$F,4,FALSE),"")</f>
        <v/>
      </c>
      <c r="L344" s="20" t="n"/>
      <c r="M344" s="20">
        <f>IF(A344="","",IF(F344&lt;&gt;"Yes",0,IF(L344&lt;&gt;"",L344,E344*K344)))</f>
        <v/>
      </c>
      <c r="N344" s="20">
        <f>IF($A344="","",$A344-WEEKDAY($A344,2)+1)</f>
        <v/>
      </c>
      <c r="O344" s="20">
        <f>IF($A344="","",TEXT($A344,"yyyy-mm"))</f>
        <v/>
      </c>
      <c r="P344" s="21">
        <f>IF($A344="","",TEXT(YEAR($A344),"0000")&amp;"-Q"&amp;ROUNDUP(MONTH($A344)/3,0))</f>
        <v/>
      </c>
    </row>
    <row r="345">
      <c r="A345" s="22" t="n"/>
      <c r="B345" s="20" t="n"/>
      <c r="C345" s="20" t="n"/>
      <c r="D345" s="20">
        <f>IFERROR(INDEX(XPMenu!$A$2:$A$1000, MATCH(C345, XPMenu!$B$2:$B$1000, 0)), "")</f>
        <v/>
      </c>
      <c r="E345" s="20" t="n"/>
      <c r="F345" s="20" t="n"/>
      <c r="G345" s="20" t="n"/>
      <c r="H345" s="20" t="n"/>
      <c r="I345" s="20">
        <f>IFERROR(VLOOKUP(D345,XPMenu!$A:$F,2,FALSE),"")</f>
        <v/>
      </c>
      <c r="J345" s="20">
        <f>IFERROR(VLOOKUP(D345,XPMenu!$A:$F,3,FALSE),"")</f>
        <v/>
      </c>
      <c r="K345" s="20">
        <f>IFERROR(VLOOKUP(D345,XPMenu!$A:$F,4,FALSE),"")</f>
        <v/>
      </c>
      <c r="L345" s="20" t="n"/>
      <c r="M345" s="20">
        <f>IF(A345="","",IF(F345&lt;&gt;"Yes",0,IF(L345&lt;&gt;"",L345,E345*K345)))</f>
        <v/>
      </c>
      <c r="N345" s="20">
        <f>IF($A345="","",$A345-WEEKDAY($A345,2)+1)</f>
        <v/>
      </c>
      <c r="O345" s="20">
        <f>IF($A345="","",TEXT($A345,"yyyy-mm"))</f>
        <v/>
      </c>
      <c r="P345" s="21">
        <f>IF($A345="","",TEXT(YEAR($A345),"0000")&amp;"-Q"&amp;ROUNDUP(MONTH($A345)/3,0))</f>
        <v/>
      </c>
    </row>
    <row r="346">
      <c r="A346" s="22" t="n"/>
      <c r="B346" s="20" t="n"/>
      <c r="C346" s="20" t="n"/>
      <c r="D346" s="20">
        <f>IFERROR(INDEX(XPMenu!$A$2:$A$1000, MATCH(C346, XPMenu!$B$2:$B$1000, 0)), "")</f>
        <v/>
      </c>
      <c r="E346" s="20" t="n"/>
      <c r="F346" s="20" t="n"/>
      <c r="G346" s="20" t="n"/>
      <c r="H346" s="20" t="n"/>
      <c r="I346" s="20">
        <f>IFERROR(VLOOKUP(D346,XPMenu!$A:$F,2,FALSE),"")</f>
        <v/>
      </c>
      <c r="J346" s="20">
        <f>IFERROR(VLOOKUP(D346,XPMenu!$A:$F,3,FALSE),"")</f>
        <v/>
      </c>
      <c r="K346" s="20">
        <f>IFERROR(VLOOKUP(D346,XPMenu!$A:$F,4,FALSE),"")</f>
        <v/>
      </c>
      <c r="L346" s="20" t="n"/>
      <c r="M346" s="20">
        <f>IF(A346="","",IF(F346&lt;&gt;"Yes",0,IF(L346&lt;&gt;"",L346,E346*K346)))</f>
        <v/>
      </c>
      <c r="N346" s="20">
        <f>IF($A346="","",$A346-WEEKDAY($A346,2)+1)</f>
        <v/>
      </c>
      <c r="O346" s="20">
        <f>IF($A346="","",TEXT($A346,"yyyy-mm"))</f>
        <v/>
      </c>
      <c r="P346" s="21">
        <f>IF($A346="","",TEXT(YEAR($A346),"0000")&amp;"-Q"&amp;ROUNDUP(MONTH($A346)/3,0))</f>
        <v/>
      </c>
    </row>
    <row r="347">
      <c r="A347" s="22" t="n"/>
      <c r="B347" s="20" t="n"/>
      <c r="C347" s="20" t="n"/>
      <c r="D347" s="20">
        <f>IFERROR(INDEX(XPMenu!$A$2:$A$1000, MATCH(C347, XPMenu!$B$2:$B$1000, 0)), "")</f>
        <v/>
      </c>
      <c r="E347" s="20" t="n"/>
      <c r="F347" s="20" t="n"/>
      <c r="G347" s="20" t="n"/>
      <c r="H347" s="20" t="n"/>
      <c r="I347" s="20">
        <f>IFERROR(VLOOKUP(D347,XPMenu!$A:$F,2,FALSE),"")</f>
        <v/>
      </c>
      <c r="J347" s="20">
        <f>IFERROR(VLOOKUP(D347,XPMenu!$A:$F,3,FALSE),"")</f>
        <v/>
      </c>
      <c r="K347" s="20">
        <f>IFERROR(VLOOKUP(D347,XPMenu!$A:$F,4,FALSE),"")</f>
        <v/>
      </c>
      <c r="L347" s="20" t="n"/>
      <c r="M347" s="20">
        <f>IF(A347="","",IF(F347&lt;&gt;"Yes",0,IF(L347&lt;&gt;"",L347,E347*K347)))</f>
        <v/>
      </c>
      <c r="N347" s="20">
        <f>IF($A347="","",$A347-WEEKDAY($A347,2)+1)</f>
        <v/>
      </c>
      <c r="O347" s="20">
        <f>IF($A347="","",TEXT($A347,"yyyy-mm"))</f>
        <v/>
      </c>
      <c r="P347" s="21">
        <f>IF($A347="","",TEXT(YEAR($A347),"0000")&amp;"-Q"&amp;ROUNDUP(MONTH($A347)/3,0))</f>
        <v/>
      </c>
    </row>
    <row r="348">
      <c r="A348" s="22" t="n"/>
      <c r="B348" s="20" t="n"/>
      <c r="C348" s="20" t="n"/>
      <c r="D348" s="20">
        <f>IFERROR(INDEX(XPMenu!$A$2:$A$1000, MATCH(C348, XPMenu!$B$2:$B$1000, 0)), "")</f>
        <v/>
      </c>
      <c r="E348" s="20" t="n"/>
      <c r="F348" s="20" t="n"/>
      <c r="G348" s="20" t="n"/>
      <c r="H348" s="20" t="n"/>
      <c r="I348" s="20">
        <f>IFERROR(VLOOKUP(D348,XPMenu!$A:$F,2,FALSE),"")</f>
        <v/>
      </c>
      <c r="J348" s="20">
        <f>IFERROR(VLOOKUP(D348,XPMenu!$A:$F,3,FALSE),"")</f>
        <v/>
      </c>
      <c r="K348" s="20">
        <f>IFERROR(VLOOKUP(D348,XPMenu!$A:$F,4,FALSE),"")</f>
        <v/>
      </c>
      <c r="L348" s="20" t="n"/>
      <c r="M348" s="20">
        <f>IF(A348="","",IF(F348&lt;&gt;"Yes",0,IF(L348&lt;&gt;"",L348,E348*K348)))</f>
        <v/>
      </c>
      <c r="N348" s="20">
        <f>IF($A348="","",$A348-WEEKDAY($A348,2)+1)</f>
        <v/>
      </c>
      <c r="O348" s="20">
        <f>IF($A348="","",TEXT($A348,"yyyy-mm"))</f>
        <v/>
      </c>
      <c r="P348" s="21">
        <f>IF($A348="","",TEXT(YEAR($A348),"0000")&amp;"-Q"&amp;ROUNDUP(MONTH($A348)/3,0))</f>
        <v/>
      </c>
    </row>
    <row r="349">
      <c r="A349" s="22" t="n"/>
      <c r="B349" s="20" t="n"/>
      <c r="C349" s="20" t="n"/>
      <c r="D349" s="20">
        <f>IFERROR(INDEX(XPMenu!$A$2:$A$1000, MATCH(C349, XPMenu!$B$2:$B$1000, 0)), "")</f>
        <v/>
      </c>
      <c r="E349" s="20" t="n"/>
      <c r="F349" s="20" t="n"/>
      <c r="G349" s="20" t="n"/>
      <c r="H349" s="20" t="n"/>
      <c r="I349" s="20">
        <f>IFERROR(VLOOKUP(D349,XPMenu!$A:$F,2,FALSE),"")</f>
        <v/>
      </c>
      <c r="J349" s="20">
        <f>IFERROR(VLOOKUP(D349,XPMenu!$A:$F,3,FALSE),"")</f>
        <v/>
      </c>
      <c r="K349" s="20">
        <f>IFERROR(VLOOKUP(D349,XPMenu!$A:$F,4,FALSE),"")</f>
        <v/>
      </c>
      <c r="L349" s="20" t="n"/>
      <c r="M349" s="20">
        <f>IF(A349="","",IF(F349&lt;&gt;"Yes",0,IF(L349&lt;&gt;"",L349,E349*K349)))</f>
        <v/>
      </c>
      <c r="N349" s="20">
        <f>IF($A349="","",$A349-WEEKDAY($A349,2)+1)</f>
        <v/>
      </c>
      <c r="O349" s="20">
        <f>IF($A349="","",TEXT($A349,"yyyy-mm"))</f>
        <v/>
      </c>
      <c r="P349" s="21">
        <f>IF($A349="","",TEXT(YEAR($A349),"0000")&amp;"-Q"&amp;ROUNDUP(MONTH($A349)/3,0))</f>
        <v/>
      </c>
    </row>
    <row r="350">
      <c r="A350" s="22" t="n"/>
      <c r="B350" s="20" t="n"/>
      <c r="C350" s="20" t="n"/>
      <c r="D350" s="20">
        <f>IFERROR(INDEX(XPMenu!$A$2:$A$1000, MATCH(C350, XPMenu!$B$2:$B$1000, 0)), "")</f>
        <v/>
      </c>
      <c r="E350" s="20" t="n"/>
      <c r="F350" s="20" t="n"/>
      <c r="G350" s="20" t="n"/>
      <c r="H350" s="20" t="n"/>
      <c r="I350" s="20">
        <f>IFERROR(VLOOKUP(D350,XPMenu!$A:$F,2,FALSE),"")</f>
        <v/>
      </c>
      <c r="J350" s="20">
        <f>IFERROR(VLOOKUP(D350,XPMenu!$A:$F,3,FALSE),"")</f>
        <v/>
      </c>
      <c r="K350" s="20">
        <f>IFERROR(VLOOKUP(D350,XPMenu!$A:$F,4,FALSE),"")</f>
        <v/>
      </c>
      <c r="L350" s="20" t="n"/>
      <c r="M350" s="20">
        <f>IF(A350="","",IF(F350&lt;&gt;"Yes",0,IF(L350&lt;&gt;"",L350,E350*K350)))</f>
        <v/>
      </c>
      <c r="N350" s="20">
        <f>IF($A350="","",$A350-WEEKDAY($A350,2)+1)</f>
        <v/>
      </c>
      <c r="O350" s="20">
        <f>IF($A350="","",TEXT($A350,"yyyy-mm"))</f>
        <v/>
      </c>
      <c r="P350" s="21">
        <f>IF($A350="","",TEXT(YEAR($A350),"0000")&amp;"-Q"&amp;ROUNDUP(MONTH($A350)/3,0))</f>
        <v/>
      </c>
    </row>
    <row r="351">
      <c r="A351" s="22" t="n"/>
      <c r="B351" s="20" t="n"/>
      <c r="C351" s="20" t="n"/>
      <c r="D351" s="20">
        <f>IFERROR(INDEX(XPMenu!$A$2:$A$1000, MATCH(C351, XPMenu!$B$2:$B$1000, 0)), "")</f>
        <v/>
      </c>
      <c r="E351" s="20" t="n"/>
      <c r="F351" s="20" t="n"/>
      <c r="G351" s="20" t="n"/>
      <c r="H351" s="20" t="n"/>
      <c r="I351" s="20">
        <f>IFERROR(VLOOKUP(D351,XPMenu!$A:$F,2,FALSE),"")</f>
        <v/>
      </c>
      <c r="J351" s="20">
        <f>IFERROR(VLOOKUP(D351,XPMenu!$A:$F,3,FALSE),"")</f>
        <v/>
      </c>
      <c r="K351" s="20">
        <f>IFERROR(VLOOKUP(D351,XPMenu!$A:$F,4,FALSE),"")</f>
        <v/>
      </c>
      <c r="L351" s="20" t="n"/>
      <c r="M351" s="20">
        <f>IF(A351="","",IF(F351&lt;&gt;"Yes",0,IF(L351&lt;&gt;"",L351,E351*K351)))</f>
        <v/>
      </c>
      <c r="N351" s="20">
        <f>IF($A351="","",$A351-WEEKDAY($A351,2)+1)</f>
        <v/>
      </c>
      <c r="O351" s="20">
        <f>IF($A351="","",TEXT($A351,"yyyy-mm"))</f>
        <v/>
      </c>
      <c r="P351" s="21">
        <f>IF($A351="","",TEXT(YEAR($A351),"0000")&amp;"-Q"&amp;ROUNDUP(MONTH($A351)/3,0))</f>
        <v/>
      </c>
    </row>
    <row r="352">
      <c r="A352" s="22" t="n"/>
      <c r="B352" s="20" t="n"/>
      <c r="C352" s="20" t="n"/>
      <c r="D352" s="20">
        <f>IFERROR(INDEX(XPMenu!$A$2:$A$1000, MATCH(C352, XPMenu!$B$2:$B$1000, 0)), "")</f>
        <v/>
      </c>
      <c r="E352" s="20" t="n"/>
      <c r="F352" s="20" t="n"/>
      <c r="G352" s="20" t="n"/>
      <c r="H352" s="20" t="n"/>
      <c r="I352" s="20">
        <f>IFERROR(VLOOKUP(D352,XPMenu!$A:$F,2,FALSE),"")</f>
        <v/>
      </c>
      <c r="J352" s="20">
        <f>IFERROR(VLOOKUP(D352,XPMenu!$A:$F,3,FALSE),"")</f>
        <v/>
      </c>
      <c r="K352" s="20">
        <f>IFERROR(VLOOKUP(D352,XPMenu!$A:$F,4,FALSE),"")</f>
        <v/>
      </c>
      <c r="L352" s="20" t="n"/>
      <c r="M352" s="20">
        <f>IF(A352="","",IF(F352&lt;&gt;"Yes",0,IF(L352&lt;&gt;"",L352,E352*K352)))</f>
        <v/>
      </c>
      <c r="N352" s="20">
        <f>IF($A352="","",$A352-WEEKDAY($A352,2)+1)</f>
        <v/>
      </c>
      <c r="O352" s="20">
        <f>IF($A352="","",TEXT($A352,"yyyy-mm"))</f>
        <v/>
      </c>
      <c r="P352" s="21">
        <f>IF($A352="","",TEXT(YEAR($A352),"0000")&amp;"-Q"&amp;ROUNDUP(MONTH($A352)/3,0))</f>
        <v/>
      </c>
    </row>
    <row r="353">
      <c r="A353" s="22" t="n"/>
      <c r="B353" s="20" t="n"/>
      <c r="C353" s="20" t="n"/>
      <c r="D353" s="20">
        <f>IFERROR(INDEX(XPMenu!$A$2:$A$1000, MATCH(C353, XPMenu!$B$2:$B$1000, 0)), "")</f>
        <v/>
      </c>
      <c r="E353" s="20" t="n"/>
      <c r="F353" s="20" t="n"/>
      <c r="G353" s="20" t="n"/>
      <c r="H353" s="20" t="n"/>
      <c r="I353" s="20">
        <f>IFERROR(VLOOKUP(D353,XPMenu!$A:$F,2,FALSE),"")</f>
        <v/>
      </c>
      <c r="J353" s="20">
        <f>IFERROR(VLOOKUP(D353,XPMenu!$A:$F,3,FALSE),"")</f>
        <v/>
      </c>
      <c r="K353" s="20">
        <f>IFERROR(VLOOKUP(D353,XPMenu!$A:$F,4,FALSE),"")</f>
        <v/>
      </c>
      <c r="L353" s="20" t="n"/>
      <c r="M353" s="20">
        <f>IF(A353="","",IF(F353&lt;&gt;"Yes",0,IF(L353&lt;&gt;"",L353,E353*K353)))</f>
        <v/>
      </c>
      <c r="N353" s="20">
        <f>IF($A353="","",$A353-WEEKDAY($A353,2)+1)</f>
        <v/>
      </c>
      <c r="O353" s="20">
        <f>IF($A353="","",TEXT($A353,"yyyy-mm"))</f>
        <v/>
      </c>
      <c r="P353" s="21">
        <f>IF($A353="","",TEXT(YEAR($A353),"0000")&amp;"-Q"&amp;ROUNDUP(MONTH($A353)/3,0))</f>
        <v/>
      </c>
    </row>
    <row r="354">
      <c r="A354" s="22" t="n"/>
      <c r="B354" s="20" t="n"/>
      <c r="C354" s="20" t="n"/>
      <c r="D354" s="20">
        <f>IFERROR(INDEX(XPMenu!$A$2:$A$1000, MATCH(C354, XPMenu!$B$2:$B$1000, 0)), "")</f>
        <v/>
      </c>
      <c r="E354" s="20" t="n"/>
      <c r="F354" s="20" t="n"/>
      <c r="G354" s="20" t="n"/>
      <c r="H354" s="20" t="n"/>
      <c r="I354" s="20">
        <f>IFERROR(VLOOKUP(D354,XPMenu!$A:$F,2,FALSE),"")</f>
        <v/>
      </c>
      <c r="J354" s="20">
        <f>IFERROR(VLOOKUP(D354,XPMenu!$A:$F,3,FALSE),"")</f>
        <v/>
      </c>
      <c r="K354" s="20">
        <f>IFERROR(VLOOKUP(D354,XPMenu!$A:$F,4,FALSE),"")</f>
        <v/>
      </c>
      <c r="L354" s="20" t="n"/>
      <c r="M354" s="20">
        <f>IF(A354="","",IF(F354&lt;&gt;"Yes",0,IF(L354&lt;&gt;"",L354,E354*K354)))</f>
        <v/>
      </c>
      <c r="N354" s="20">
        <f>IF($A354="","",$A354-WEEKDAY($A354,2)+1)</f>
        <v/>
      </c>
      <c r="O354" s="20">
        <f>IF($A354="","",TEXT($A354,"yyyy-mm"))</f>
        <v/>
      </c>
      <c r="P354" s="21">
        <f>IF($A354="","",TEXT(YEAR($A354),"0000")&amp;"-Q"&amp;ROUNDUP(MONTH($A354)/3,0))</f>
        <v/>
      </c>
    </row>
    <row r="355">
      <c r="A355" s="22" t="n"/>
      <c r="B355" s="20" t="n"/>
      <c r="C355" s="20" t="n"/>
      <c r="D355" s="20">
        <f>IFERROR(INDEX(XPMenu!$A$2:$A$1000, MATCH(C355, XPMenu!$B$2:$B$1000, 0)), "")</f>
        <v/>
      </c>
      <c r="E355" s="20" t="n"/>
      <c r="F355" s="20" t="n"/>
      <c r="G355" s="20" t="n"/>
      <c r="H355" s="20" t="n"/>
      <c r="I355" s="20">
        <f>IFERROR(VLOOKUP(D355,XPMenu!$A:$F,2,FALSE),"")</f>
        <v/>
      </c>
      <c r="J355" s="20">
        <f>IFERROR(VLOOKUP(D355,XPMenu!$A:$F,3,FALSE),"")</f>
        <v/>
      </c>
      <c r="K355" s="20">
        <f>IFERROR(VLOOKUP(D355,XPMenu!$A:$F,4,FALSE),"")</f>
        <v/>
      </c>
      <c r="L355" s="20" t="n"/>
      <c r="M355" s="20">
        <f>IF(A355="","",IF(F355&lt;&gt;"Yes",0,IF(L355&lt;&gt;"",L355,E355*K355)))</f>
        <v/>
      </c>
      <c r="N355" s="20">
        <f>IF($A355="","",$A355-WEEKDAY($A355,2)+1)</f>
        <v/>
      </c>
      <c r="O355" s="20">
        <f>IF($A355="","",TEXT($A355,"yyyy-mm"))</f>
        <v/>
      </c>
      <c r="P355" s="21">
        <f>IF($A355="","",TEXT(YEAR($A355),"0000")&amp;"-Q"&amp;ROUNDUP(MONTH($A355)/3,0))</f>
        <v/>
      </c>
    </row>
    <row r="356">
      <c r="A356" s="22" t="n"/>
      <c r="B356" s="20" t="n"/>
      <c r="C356" s="20" t="n"/>
      <c r="D356" s="20">
        <f>IFERROR(INDEX(XPMenu!$A$2:$A$1000, MATCH(C356, XPMenu!$B$2:$B$1000, 0)), "")</f>
        <v/>
      </c>
      <c r="E356" s="20" t="n"/>
      <c r="F356" s="20" t="n"/>
      <c r="G356" s="20" t="n"/>
      <c r="H356" s="20" t="n"/>
      <c r="I356" s="20">
        <f>IFERROR(VLOOKUP(D356,XPMenu!$A:$F,2,FALSE),"")</f>
        <v/>
      </c>
      <c r="J356" s="20">
        <f>IFERROR(VLOOKUP(D356,XPMenu!$A:$F,3,FALSE),"")</f>
        <v/>
      </c>
      <c r="K356" s="20">
        <f>IFERROR(VLOOKUP(D356,XPMenu!$A:$F,4,FALSE),"")</f>
        <v/>
      </c>
      <c r="L356" s="20" t="n"/>
      <c r="M356" s="20">
        <f>IF(A356="","",IF(F356&lt;&gt;"Yes",0,IF(L356&lt;&gt;"",L356,E356*K356)))</f>
        <v/>
      </c>
      <c r="N356" s="20">
        <f>IF($A356="","",$A356-WEEKDAY($A356,2)+1)</f>
        <v/>
      </c>
      <c r="O356" s="20">
        <f>IF($A356="","",TEXT($A356,"yyyy-mm"))</f>
        <v/>
      </c>
      <c r="P356" s="21">
        <f>IF($A356="","",TEXT(YEAR($A356),"0000")&amp;"-Q"&amp;ROUNDUP(MONTH($A356)/3,0))</f>
        <v/>
      </c>
    </row>
    <row r="357">
      <c r="A357" s="22" t="n"/>
      <c r="B357" s="20" t="n"/>
      <c r="C357" s="20" t="n"/>
      <c r="D357" s="20">
        <f>IFERROR(INDEX(XPMenu!$A$2:$A$1000, MATCH(C357, XPMenu!$B$2:$B$1000, 0)), "")</f>
        <v/>
      </c>
      <c r="E357" s="20" t="n"/>
      <c r="F357" s="20" t="n"/>
      <c r="G357" s="20" t="n"/>
      <c r="H357" s="20" t="n"/>
      <c r="I357" s="20">
        <f>IFERROR(VLOOKUP(D357,XPMenu!$A:$F,2,FALSE),"")</f>
        <v/>
      </c>
      <c r="J357" s="20">
        <f>IFERROR(VLOOKUP(D357,XPMenu!$A:$F,3,FALSE),"")</f>
        <v/>
      </c>
      <c r="K357" s="20">
        <f>IFERROR(VLOOKUP(D357,XPMenu!$A:$F,4,FALSE),"")</f>
        <v/>
      </c>
      <c r="L357" s="20" t="n"/>
      <c r="M357" s="20">
        <f>IF(A357="","",IF(F357&lt;&gt;"Yes",0,IF(L357&lt;&gt;"",L357,E357*K357)))</f>
        <v/>
      </c>
      <c r="N357" s="20">
        <f>IF($A357="","",$A357-WEEKDAY($A357,2)+1)</f>
        <v/>
      </c>
      <c r="O357" s="20">
        <f>IF($A357="","",TEXT($A357,"yyyy-mm"))</f>
        <v/>
      </c>
      <c r="P357" s="21">
        <f>IF($A357="","",TEXT(YEAR($A357),"0000")&amp;"-Q"&amp;ROUNDUP(MONTH($A357)/3,0))</f>
        <v/>
      </c>
    </row>
    <row r="358">
      <c r="A358" s="22" t="n"/>
      <c r="B358" s="20" t="n"/>
      <c r="C358" s="20" t="n"/>
      <c r="D358" s="20">
        <f>IFERROR(INDEX(XPMenu!$A$2:$A$1000, MATCH(C358, XPMenu!$B$2:$B$1000, 0)), "")</f>
        <v/>
      </c>
      <c r="E358" s="20" t="n"/>
      <c r="F358" s="20" t="n"/>
      <c r="G358" s="20" t="n"/>
      <c r="H358" s="20" t="n"/>
      <c r="I358" s="20">
        <f>IFERROR(VLOOKUP(D358,XPMenu!$A:$F,2,FALSE),"")</f>
        <v/>
      </c>
      <c r="J358" s="20">
        <f>IFERROR(VLOOKUP(D358,XPMenu!$A:$F,3,FALSE),"")</f>
        <v/>
      </c>
      <c r="K358" s="20">
        <f>IFERROR(VLOOKUP(D358,XPMenu!$A:$F,4,FALSE),"")</f>
        <v/>
      </c>
      <c r="L358" s="20" t="n"/>
      <c r="M358" s="20">
        <f>IF(A358="","",IF(F358&lt;&gt;"Yes",0,IF(L358&lt;&gt;"",L358,E358*K358)))</f>
        <v/>
      </c>
      <c r="N358" s="20">
        <f>IF($A358="","",$A358-WEEKDAY($A358,2)+1)</f>
        <v/>
      </c>
      <c r="O358" s="20">
        <f>IF($A358="","",TEXT($A358,"yyyy-mm"))</f>
        <v/>
      </c>
      <c r="P358" s="21">
        <f>IF($A358="","",TEXT(YEAR($A358),"0000")&amp;"-Q"&amp;ROUNDUP(MONTH($A358)/3,0))</f>
        <v/>
      </c>
    </row>
    <row r="359">
      <c r="A359" s="22" t="n"/>
      <c r="B359" s="20" t="n"/>
      <c r="C359" s="20" t="n"/>
      <c r="D359" s="20">
        <f>IFERROR(INDEX(XPMenu!$A$2:$A$1000, MATCH(C359, XPMenu!$B$2:$B$1000, 0)), "")</f>
        <v/>
      </c>
      <c r="E359" s="20" t="n"/>
      <c r="F359" s="20" t="n"/>
      <c r="G359" s="20" t="n"/>
      <c r="H359" s="20" t="n"/>
      <c r="I359" s="20">
        <f>IFERROR(VLOOKUP(D359,XPMenu!$A:$F,2,FALSE),"")</f>
        <v/>
      </c>
      <c r="J359" s="20">
        <f>IFERROR(VLOOKUP(D359,XPMenu!$A:$F,3,FALSE),"")</f>
        <v/>
      </c>
      <c r="K359" s="20">
        <f>IFERROR(VLOOKUP(D359,XPMenu!$A:$F,4,FALSE),"")</f>
        <v/>
      </c>
      <c r="L359" s="20" t="n"/>
      <c r="M359" s="20">
        <f>IF(A359="","",IF(F359&lt;&gt;"Yes",0,IF(L359&lt;&gt;"",L359,E359*K359)))</f>
        <v/>
      </c>
      <c r="N359" s="20">
        <f>IF($A359="","",$A359-WEEKDAY($A359,2)+1)</f>
        <v/>
      </c>
      <c r="O359" s="20">
        <f>IF($A359="","",TEXT($A359,"yyyy-mm"))</f>
        <v/>
      </c>
      <c r="P359" s="21">
        <f>IF($A359="","",TEXT(YEAR($A359),"0000")&amp;"-Q"&amp;ROUNDUP(MONTH($A359)/3,0))</f>
        <v/>
      </c>
    </row>
    <row r="360">
      <c r="A360" s="22" t="n"/>
      <c r="B360" s="20" t="n"/>
      <c r="C360" s="20" t="n"/>
      <c r="D360" s="20">
        <f>IFERROR(INDEX(XPMenu!$A$2:$A$1000, MATCH(C360, XPMenu!$B$2:$B$1000, 0)), "")</f>
        <v/>
      </c>
      <c r="E360" s="20" t="n"/>
      <c r="F360" s="20" t="n"/>
      <c r="G360" s="20" t="n"/>
      <c r="H360" s="20" t="n"/>
      <c r="I360" s="20">
        <f>IFERROR(VLOOKUP(D360,XPMenu!$A:$F,2,FALSE),"")</f>
        <v/>
      </c>
      <c r="J360" s="20">
        <f>IFERROR(VLOOKUP(D360,XPMenu!$A:$F,3,FALSE),"")</f>
        <v/>
      </c>
      <c r="K360" s="20">
        <f>IFERROR(VLOOKUP(D360,XPMenu!$A:$F,4,FALSE),"")</f>
        <v/>
      </c>
      <c r="L360" s="20" t="n"/>
      <c r="M360" s="20">
        <f>IF(A360="","",IF(F360&lt;&gt;"Yes",0,IF(L360&lt;&gt;"",L360,E360*K360)))</f>
        <v/>
      </c>
      <c r="N360" s="20">
        <f>IF($A360="","",$A360-WEEKDAY($A360,2)+1)</f>
        <v/>
      </c>
      <c r="O360" s="20">
        <f>IF($A360="","",TEXT($A360,"yyyy-mm"))</f>
        <v/>
      </c>
      <c r="P360" s="21">
        <f>IF($A360="","",TEXT(YEAR($A360),"0000")&amp;"-Q"&amp;ROUNDUP(MONTH($A360)/3,0))</f>
        <v/>
      </c>
    </row>
    <row r="361">
      <c r="A361" s="22" t="n"/>
      <c r="B361" s="20" t="n"/>
      <c r="C361" s="20" t="n"/>
      <c r="D361" s="20">
        <f>IFERROR(INDEX(XPMenu!$A$2:$A$1000, MATCH(C361, XPMenu!$B$2:$B$1000, 0)), "")</f>
        <v/>
      </c>
      <c r="E361" s="20" t="n"/>
      <c r="F361" s="20" t="n"/>
      <c r="G361" s="20" t="n"/>
      <c r="H361" s="20" t="n"/>
      <c r="I361" s="20">
        <f>IFERROR(VLOOKUP(D361,XPMenu!$A:$F,2,FALSE),"")</f>
        <v/>
      </c>
      <c r="J361" s="20">
        <f>IFERROR(VLOOKUP(D361,XPMenu!$A:$F,3,FALSE),"")</f>
        <v/>
      </c>
      <c r="K361" s="20">
        <f>IFERROR(VLOOKUP(D361,XPMenu!$A:$F,4,FALSE),"")</f>
        <v/>
      </c>
      <c r="L361" s="20" t="n"/>
      <c r="M361" s="20">
        <f>IF(A361="","",IF(F361&lt;&gt;"Yes",0,IF(L361&lt;&gt;"",L361,E361*K361)))</f>
        <v/>
      </c>
      <c r="N361" s="20">
        <f>IF($A361="","",$A361-WEEKDAY($A361,2)+1)</f>
        <v/>
      </c>
      <c r="O361" s="20">
        <f>IF($A361="","",TEXT($A361,"yyyy-mm"))</f>
        <v/>
      </c>
      <c r="P361" s="21">
        <f>IF($A361="","",TEXT(YEAR($A361),"0000")&amp;"-Q"&amp;ROUNDUP(MONTH($A361)/3,0))</f>
        <v/>
      </c>
    </row>
    <row r="362">
      <c r="A362" s="22" t="n"/>
      <c r="B362" s="20" t="n"/>
      <c r="C362" s="20" t="n"/>
      <c r="D362" s="20">
        <f>IFERROR(INDEX(XPMenu!$A$2:$A$1000, MATCH(C362, XPMenu!$B$2:$B$1000, 0)), "")</f>
        <v/>
      </c>
      <c r="E362" s="20" t="n"/>
      <c r="F362" s="20" t="n"/>
      <c r="G362" s="20" t="n"/>
      <c r="H362" s="20" t="n"/>
      <c r="I362" s="20">
        <f>IFERROR(VLOOKUP(D362,XPMenu!$A:$F,2,FALSE),"")</f>
        <v/>
      </c>
      <c r="J362" s="20">
        <f>IFERROR(VLOOKUP(D362,XPMenu!$A:$F,3,FALSE),"")</f>
        <v/>
      </c>
      <c r="K362" s="20">
        <f>IFERROR(VLOOKUP(D362,XPMenu!$A:$F,4,FALSE),"")</f>
        <v/>
      </c>
      <c r="L362" s="20" t="n"/>
      <c r="M362" s="20">
        <f>IF(A362="","",IF(F362&lt;&gt;"Yes",0,IF(L362&lt;&gt;"",L362,E362*K362)))</f>
        <v/>
      </c>
      <c r="N362" s="20">
        <f>IF($A362="","",$A362-WEEKDAY($A362,2)+1)</f>
        <v/>
      </c>
      <c r="O362" s="20">
        <f>IF($A362="","",TEXT($A362,"yyyy-mm"))</f>
        <v/>
      </c>
      <c r="P362" s="21">
        <f>IF($A362="","",TEXT(YEAR($A362),"0000")&amp;"-Q"&amp;ROUNDUP(MONTH($A362)/3,0))</f>
        <v/>
      </c>
    </row>
    <row r="363">
      <c r="A363" s="22" t="n"/>
      <c r="B363" s="20" t="n"/>
      <c r="C363" s="20" t="n"/>
      <c r="D363" s="20">
        <f>IFERROR(INDEX(XPMenu!$A$2:$A$1000, MATCH(C363, XPMenu!$B$2:$B$1000, 0)), "")</f>
        <v/>
      </c>
      <c r="E363" s="20" t="n"/>
      <c r="F363" s="20" t="n"/>
      <c r="G363" s="20" t="n"/>
      <c r="H363" s="20" t="n"/>
      <c r="I363" s="20">
        <f>IFERROR(VLOOKUP(D363,XPMenu!$A:$F,2,FALSE),"")</f>
        <v/>
      </c>
      <c r="J363" s="20">
        <f>IFERROR(VLOOKUP(D363,XPMenu!$A:$F,3,FALSE),"")</f>
        <v/>
      </c>
      <c r="K363" s="20">
        <f>IFERROR(VLOOKUP(D363,XPMenu!$A:$F,4,FALSE),"")</f>
        <v/>
      </c>
      <c r="L363" s="20" t="n"/>
      <c r="M363" s="20">
        <f>IF(A363="","",IF(F363&lt;&gt;"Yes",0,IF(L363&lt;&gt;"",L363,E363*K363)))</f>
        <v/>
      </c>
      <c r="N363" s="20">
        <f>IF($A363="","",$A363-WEEKDAY($A363,2)+1)</f>
        <v/>
      </c>
      <c r="O363" s="20">
        <f>IF($A363="","",TEXT($A363,"yyyy-mm"))</f>
        <v/>
      </c>
      <c r="P363" s="21">
        <f>IF($A363="","",TEXT(YEAR($A363),"0000")&amp;"-Q"&amp;ROUNDUP(MONTH($A363)/3,0))</f>
        <v/>
      </c>
    </row>
    <row r="364">
      <c r="A364" s="22" t="n"/>
      <c r="B364" s="20" t="n"/>
      <c r="C364" s="20" t="n"/>
      <c r="D364" s="20">
        <f>IFERROR(INDEX(XPMenu!$A$2:$A$1000, MATCH(C364, XPMenu!$B$2:$B$1000, 0)), "")</f>
        <v/>
      </c>
      <c r="E364" s="20" t="n"/>
      <c r="F364" s="20" t="n"/>
      <c r="G364" s="20" t="n"/>
      <c r="H364" s="20" t="n"/>
      <c r="I364" s="20">
        <f>IFERROR(VLOOKUP(D364,XPMenu!$A:$F,2,FALSE),"")</f>
        <v/>
      </c>
      <c r="J364" s="20">
        <f>IFERROR(VLOOKUP(D364,XPMenu!$A:$F,3,FALSE),"")</f>
        <v/>
      </c>
      <c r="K364" s="20">
        <f>IFERROR(VLOOKUP(D364,XPMenu!$A:$F,4,FALSE),"")</f>
        <v/>
      </c>
      <c r="L364" s="20" t="n"/>
      <c r="M364" s="20">
        <f>IF(A364="","",IF(F364&lt;&gt;"Yes",0,IF(L364&lt;&gt;"",L364,E364*K364)))</f>
        <v/>
      </c>
      <c r="N364" s="20">
        <f>IF($A364="","",$A364-WEEKDAY($A364,2)+1)</f>
        <v/>
      </c>
      <c r="O364" s="20">
        <f>IF($A364="","",TEXT($A364,"yyyy-mm"))</f>
        <v/>
      </c>
      <c r="P364" s="21">
        <f>IF($A364="","",TEXT(YEAR($A364),"0000")&amp;"-Q"&amp;ROUNDUP(MONTH($A364)/3,0))</f>
        <v/>
      </c>
    </row>
    <row r="365">
      <c r="A365" s="22" t="n"/>
      <c r="B365" s="20" t="n"/>
      <c r="C365" s="20" t="n"/>
      <c r="D365" s="20">
        <f>IFERROR(INDEX(XPMenu!$A$2:$A$1000, MATCH(C365, XPMenu!$B$2:$B$1000, 0)), "")</f>
        <v/>
      </c>
      <c r="E365" s="20" t="n"/>
      <c r="F365" s="20" t="n"/>
      <c r="G365" s="20" t="n"/>
      <c r="H365" s="20" t="n"/>
      <c r="I365" s="20">
        <f>IFERROR(VLOOKUP(D365,XPMenu!$A:$F,2,FALSE),"")</f>
        <v/>
      </c>
      <c r="J365" s="20">
        <f>IFERROR(VLOOKUP(D365,XPMenu!$A:$F,3,FALSE),"")</f>
        <v/>
      </c>
      <c r="K365" s="20">
        <f>IFERROR(VLOOKUP(D365,XPMenu!$A:$F,4,FALSE),"")</f>
        <v/>
      </c>
      <c r="L365" s="20" t="n"/>
      <c r="M365" s="20">
        <f>IF(A365="","",IF(F365&lt;&gt;"Yes",0,IF(L365&lt;&gt;"",L365,E365*K365)))</f>
        <v/>
      </c>
      <c r="N365" s="20">
        <f>IF($A365="","",$A365-WEEKDAY($A365,2)+1)</f>
        <v/>
      </c>
      <c r="O365" s="20">
        <f>IF($A365="","",TEXT($A365,"yyyy-mm"))</f>
        <v/>
      </c>
      <c r="P365" s="21">
        <f>IF($A365="","",TEXT(YEAR($A365),"0000")&amp;"-Q"&amp;ROUNDUP(MONTH($A365)/3,0))</f>
        <v/>
      </c>
    </row>
    <row r="366">
      <c r="A366" s="22" t="n"/>
      <c r="B366" s="20" t="n"/>
      <c r="C366" s="20" t="n"/>
      <c r="D366" s="20">
        <f>IFERROR(INDEX(XPMenu!$A$2:$A$1000, MATCH(C366, XPMenu!$B$2:$B$1000, 0)), "")</f>
        <v/>
      </c>
      <c r="E366" s="20" t="n"/>
      <c r="F366" s="20" t="n"/>
      <c r="G366" s="20" t="n"/>
      <c r="H366" s="20" t="n"/>
      <c r="I366" s="20">
        <f>IFERROR(VLOOKUP(D366,XPMenu!$A:$F,2,FALSE),"")</f>
        <v/>
      </c>
      <c r="J366" s="20">
        <f>IFERROR(VLOOKUP(D366,XPMenu!$A:$F,3,FALSE),"")</f>
        <v/>
      </c>
      <c r="K366" s="20">
        <f>IFERROR(VLOOKUP(D366,XPMenu!$A:$F,4,FALSE),"")</f>
        <v/>
      </c>
      <c r="L366" s="20" t="n"/>
      <c r="M366" s="20">
        <f>IF(A366="","",IF(F366&lt;&gt;"Yes",0,IF(L366&lt;&gt;"",L366,E366*K366)))</f>
        <v/>
      </c>
      <c r="N366" s="20">
        <f>IF($A366="","",$A366-WEEKDAY($A366,2)+1)</f>
        <v/>
      </c>
      <c r="O366" s="20">
        <f>IF($A366="","",TEXT($A366,"yyyy-mm"))</f>
        <v/>
      </c>
      <c r="P366" s="21">
        <f>IF($A366="","",TEXT(YEAR($A366),"0000")&amp;"-Q"&amp;ROUNDUP(MONTH($A366)/3,0))</f>
        <v/>
      </c>
    </row>
    <row r="367">
      <c r="A367" s="22" t="n"/>
      <c r="B367" s="20" t="n"/>
      <c r="C367" s="20" t="n"/>
      <c r="D367" s="20">
        <f>IFERROR(INDEX(XPMenu!$A$2:$A$1000, MATCH(C367, XPMenu!$B$2:$B$1000, 0)), "")</f>
        <v/>
      </c>
      <c r="E367" s="20" t="n"/>
      <c r="F367" s="20" t="n"/>
      <c r="G367" s="20" t="n"/>
      <c r="H367" s="20" t="n"/>
      <c r="I367" s="20">
        <f>IFERROR(VLOOKUP(D367,XPMenu!$A:$F,2,FALSE),"")</f>
        <v/>
      </c>
      <c r="J367" s="20">
        <f>IFERROR(VLOOKUP(D367,XPMenu!$A:$F,3,FALSE),"")</f>
        <v/>
      </c>
      <c r="K367" s="20">
        <f>IFERROR(VLOOKUP(D367,XPMenu!$A:$F,4,FALSE),"")</f>
        <v/>
      </c>
      <c r="L367" s="20" t="n"/>
      <c r="M367" s="20">
        <f>IF(A367="","",IF(F367&lt;&gt;"Yes",0,IF(L367&lt;&gt;"",L367,E367*K367)))</f>
        <v/>
      </c>
      <c r="N367" s="20">
        <f>IF($A367="","",$A367-WEEKDAY($A367,2)+1)</f>
        <v/>
      </c>
      <c r="O367" s="20">
        <f>IF($A367="","",TEXT($A367,"yyyy-mm"))</f>
        <v/>
      </c>
      <c r="P367" s="21">
        <f>IF($A367="","",TEXT(YEAR($A367),"0000")&amp;"-Q"&amp;ROUNDUP(MONTH($A367)/3,0))</f>
        <v/>
      </c>
    </row>
    <row r="368">
      <c r="A368" s="22" t="n"/>
      <c r="B368" s="20" t="n"/>
      <c r="C368" s="20" t="n"/>
      <c r="D368" s="20">
        <f>IFERROR(INDEX(XPMenu!$A$2:$A$1000, MATCH(C368, XPMenu!$B$2:$B$1000, 0)), "")</f>
        <v/>
      </c>
      <c r="E368" s="20" t="n"/>
      <c r="F368" s="20" t="n"/>
      <c r="G368" s="20" t="n"/>
      <c r="H368" s="20" t="n"/>
      <c r="I368" s="20">
        <f>IFERROR(VLOOKUP(D368,XPMenu!$A:$F,2,FALSE),"")</f>
        <v/>
      </c>
      <c r="J368" s="20">
        <f>IFERROR(VLOOKUP(D368,XPMenu!$A:$F,3,FALSE),"")</f>
        <v/>
      </c>
      <c r="K368" s="20">
        <f>IFERROR(VLOOKUP(D368,XPMenu!$A:$F,4,FALSE),"")</f>
        <v/>
      </c>
      <c r="L368" s="20" t="n"/>
      <c r="M368" s="20">
        <f>IF(A368="","",IF(F368&lt;&gt;"Yes",0,IF(L368&lt;&gt;"",L368,E368*K368)))</f>
        <v/>
      </c>
      <c r="N368" s="20">
        <f>IF($A368="","",$A368-WEEKDAY($A368,2)+1)</f>
        <v/>
      </c>
      <c r="O368" s="20">
        <f>IF($A368="","",TEXT($A368,"yyyy-mm"))</f>
        <v/>
      </c>
      <c r="P368" s="21">
        <f>IF($A368="","",TEXT(YEAR($A368),"0000")&amp;"-Q"&amp;ROUNDUP(MONTH($A368)/3,0))</f>
        <v/>
      </c>
    </row>
    <row r="369">
      <c r="A369" s="22" t="n"/>
      <c r="B369" s="20" t="n"/>
      <c r="C369" s="20" t="n"/>
      <c r="D369" s="20">
        <f>IFERROR(INDEX(XPMenu!$A$2:$A$1000, MATCH(C369, XPMenu!$B$2:$B$1000, 0)), "")</f>
        <v/>
      </c>
      <c r="E369" s="20" t="n"/>
      <c r="F369" s="20" t="n"/>
      <c r="G369" s="20" t="n"/>
      <c r="H369" s="20" t="n"/>
      <c r="I369" s="20">
        <f>IFERROR(VLOOKUP(D369,XPMenu!$A:$F,2,FALSE),"")</f>
        <v/>
      </c>
      <c r="J369" s="20">
        <f>IFERROR(VLOOKUP(D369,XPMenu!$A:$F,3,FALSE),"")</f>
        <v/>
      </c>
      <c r="K369" s="20">
        <f>IFERROR(VLOOKUP(D369,XPMenu!$A:$F,4,FALSE),"")</f>
        <v/>
      </c>
      <c r="L369" s="20" t="n"/>
      <c r="M369" s="20">
        <f>IF(A369="","",IF(F369&lt;&gt;"Yes",0,IF(L369&lt;&gt;"",L369,E369*K369)))</f>
        <v/>
      </c>
      <c r="N369" s="20">
        <f>IF($A369="","",$A369-WEEKDAY($A369,2)+1)</f>
        <v/>
      </c>
      <c r="O369" s="20">
        <f>IF($A369="","",TEXT($A369,"yyyy-mm"))</f>
        <v/>
      </c>
      <c r="P369" s="21">
        <f>IF($A369="","",TEXT(YEAR($A369),"0000")&amp;"-Q"&amp;ROUNDUP(MONTH($A369)/3,0))</f>
        <v/>
      </c>
    </row>
    <row r="370">
      <c r="A370" s="22" t="n"/>
      <c r="B370" s="20" t="n"/>
      <c r="C370" s="20" t="n"/>
      <c r="D370" s="20">
        <f>IFERROR(INDEX(XPMenu!$A$2:$A$1000, MATCH(C370, XPMenu!$B$2:$B$1000, 0)), "")</f>
        <v/>
      </c>
      <c r="E370" s="20" t="n"/>
      <c r="F370" s="20" t="n"/>
      <c r="G370" s="20" t="n"/>
      <c r="H370" s="20" t="n"/>
      <c r="I370" s="20">
        <f>IFERROR(VLOOKUP(D370,XPMenu!$A:$F,2,FALSE),"")</f>
        <v/>
      </c>
      <c r="J370" s="20">
        <f>IFERROR(VLOOKUP(D370,XPMenu!$A:$F,3,FALSE),"")</f>
        <v/>
      </c>
      <c r="K370" s="20">
        <f>IFERROR(VLOOKUP(D370,XPMenu!$A:$F,4,FALSE),"")</f>
        <v/>
      </c>
      <c r="L370" s="20" t="n"/>
      <c r="M370" s="20">
        <f>IF(A370="","",IF(F370&lt;&gt;"Yes",0,IF(L370&lt;&gt;"",L370,E370*K370)))</f>
        <v/>
      </c>
      <c r="N370" s="20">
        <f>IF($A370="","",$A370-WEEKDAY($A370,2)+1)</f>
        <v/>
      </c>
      <c r="O370" s="20">
        <f>IF($A370="","",TEXT($A370,"yyyy-mm"))</f>
        <v/>
      </c>
      <c r="P370" s="21">
        <f>IF($A370="","",TEXT(YEAR($A370),"0000")&amp;"-Q"&amp;ROUNDUP(MONTH($A370)/3,0))</f>
        <v/>
      </c>
    </row>
    <row r="371">
      <c r="A371" s="22" t="n"/>
      <c r="B371" s="20" t="n"/>
      <c r="C371" s="20" t="n"/>
      <c r="D371" s="20">
        <f>IFERROR(INDEX(XPMenu!$A$2:$A$1000, MATCH(C371, XPMenu!$B$2:$B$1000, 0)), "")</f>
        <v/>
      </c>
      <c r="E371" s="20" t="n"/>
      <c r="F371" s="20" t="n"/>
      <c r="G371" s="20" t="n"/>
      <c r="H371" s="20" t="n"/>
      <c r="I371" s="20">
        <f>IFERROR(VLOOKUP(D371,XPMenu!$A:$F,2,FALSE),"")</f>
        <v/>
      </c>
      <c r="J371" s="20">
        <f>IFERROR(VLOOKUP(D371,XPMenu!$A:$F,3,FALSE),"")</f>
        <v/>
      </c>
      <c r="K371" s="20">
        <f>IFERROR(VLOOKUP(D371,XPMenu!$A:$F,4,FALSE),"")</f>
        <v/>
      </c>
      <c r="L371" s="20" t="n"/>
      <c r="M371" s="20">
        <f>IF(A371="","",IF(F371&lt;&gt;"Yes",0,IF(L371&lt;&gt;"",L371,E371*K371)))</f>
        <v/>
      </c>
      <c r="N371" s="20">
        <f>IF($A371="","",$A371-WEEKDAY($A371,2)+1)</f>
        <v/>
      </c>
      <c r="O371" s="20">
        <f>IF($A371="","",TEXT($A371,"yyyy-mm"))</f>
        <v/>
      </c>
      <c r="P371" s="21">
        <f>IF($A371="","",TEXT(YEAR($A371),"0000")&amp;"-Q"&amp;ROUNDUP(MONTH($A371)/3,0))</f>
        <v/>
      </c>
    </row>
    <row r="372">
      <c r="A372" s="22" t="n"/>
      <c r="B372" s="20" t="n"/>
      <c r="C372" s="20" t="n"/>
      <c r="D372" s="20">
        <f>IFERROR(INDEX(XPMenu!$A$2:$A$1000, MATCH(C372, XPMenu!$B$2:$B$1000, 0)), "")</f>
        <v/>
      </c>
      <c r="E372" s="20" t="n"/>
      <c r="F372" s="20" t="n"/>
      <c r="G372" s="20" t="n"/>
      <c r="H372" s="20" t="n"/>
      <c r="I372" s="20">
        <f>IFERROR(VLOOKUP(D372,XPMenu!$A:$F,2,FALSE),"")</f>
        <v/>
      </c>
      <c r="J372" s="20">
        <f>IFERROR(VLOOKUP(D372,XPMenu!$A:$F,3,FALSE),"")</f>
        <v/>
      </c>
      <c r="K372" s="20">
        <f>IFERROR(VLOOKUP(D372,XPMenu!$A:$F,4,FALSE),"")</f>
        <v/>
      </c>
      <c r="L372" s="20" t="n"/>
      <c r="M372" s="20">
        <f>IF(A372="","",IF(F372&lt;&gt;"Yes",0,IF(L372&lt;&gt;"",L372,E372*K372)))</f>
        <v/>
      </c>
      <c r="N372" s="20">
        <f>IF($A372="","",$A372-WEEKDAY($A372,2)+1)</f>
        <v/>
      </c>
      <c r="O372" s="20">
        <f>IF($A372="","",TEXT($A372,"yyyy-mm"))</f>
        <v/>
      </c>
      <c r="P372" s="21">
        <f>IF($A372="","",TEXT(YEAR($A372),"0000")&amp;"-Q"&amp;ROUNDUP(MONTH($A372)/3,0))</f>
        <v/>
      </c>
    </row>
    <row r="373">
      <c r="A373" s="22" t="n"/>
      <c r="B373" s="20" t="n"/>
      <c r="C373" s="20" t="n"/>
      <c r="D373" s="20">
        <f>IFERROR(INDEX(XPMenu!$A$2:$A$1000, MATCH(C373, XPMenu!$B$2:$B$1000, 0)), "")</f>
        <v/>
      </c>
      <c r="E373" s="20" t="n"/>
      <c r="F373" s="20" t="n"/>
      <c r="G373" s="20" t="n"/>
      <c r="H373" s="20" t="n"/>
      <c r="I373" s="20">
        <f>IFERROR(VLOOKUP(D373,XPMenu!$A:$F,2,FALSE),"")</f>
        <v/>
      </c>
      <c r="J373" s="20">
        <f>IFERROR(VLOOKUP(D373,XPMenu!$A:$F,3,FALSE),"")</f>
        <v/>
      </c>
      <c r="K373" s="20">
        <f>IFERROR(VLOOKUP(D373,XPMenu!$A:$F,4,FALSE),"")</f>
        <v/>
      </c>
      <c r="L373" s="20" t="n"/>
      <c r="M373" s="20">
        <f>IF(A373="","",IF(F373&lt;&gt;"Yes",0,IF(L373&lt;&gt;"",L373,E373*K373)))</f>
        <v/>
      </c>
      <c r="N373" s="20">
        <f>IF($A373="","",$A373-WEEKDAY($A373,2)+1)</f>
        <v/>
      </c>
      <c r="O373" s="20">
        <f>IF($A373="","",TEXT($A373,"yyyy-mm"))</f>
        <v/>
      </c>
      <c r="P373" s="21">
        <f>IF($A373="","",TEXT(YEAR($A373),"0000")&amp;"-Q"&amp;ROUNDUP(MONTH($A373)/3,0))</f>
        <v/>
      </c>
    </row>
    <row r="374">
      <c r="A374" s="22" t="n"/>
      <c r="B374" s="20" t="n"/>
      <c r="C374" s="20" t="n"/>
      <c r="D374" s="20">
        <f>IFERROR(INDEX(XPMenu!$A$2:$A$1000, MATCH(C374, XPMenu!$B$2:$B$1000, 0)), "")</f>
        <v/>
      </c>
      <c r="E374" s="20" t="n"/>
      <c r="F374" s="20" t="n"/>
      <c r="G374" s="20" t="n"/>
      <c r="H374" s="20" t="n"/>
      <c r="I374" s="20">
        <f>IFERROR(VLOOKUP(D374,XPMenu!$A:$F,2,FALSE),"")</f>
        <v/>
      </c>
      <c r="J374" s="20">
        <f>IFERROR(VLOOKUP(D374,XPMenu!$A:$F,3,FALSE),"")</f>
        <v/>
      </c>
      <c r="K374" s="20">
        <f>IFERROR(VLOOKUP(D374,XPMenu!$A:$F,4,FALSE),"")</f>
        <v/>
      </c>
      <c r="L374" s="20" t="n"/>
      <c r="M374" s="20">
        <f>IF(A374="","",IF(F374&lt;&gt;"Yes",0,IF(L374&lt;&gt;"",L374,E374*K374)))</f>
        <v/>
      </c>
      <c r="N374" s="20">
        <f>IF($A374="","",$A374-WEEKDAY($A374,2)+1)</f>
        <v/>
      </c>
      <c r="O374" s="20">
        <f>IF($A374="","",TEXT($A374,"yyyy-mm"))</f>
        <v/>
      </c>
      <c r="P374" s="21">
        <f>IF($A374="","",TEXT(YEAR($A374),"0000")&amp;"-Q"&amp;ROUNDUP(MONTH($A374)/3,0))</f>
        <v/>
      </c>
    </row>
    <row r="375">
      <c r="A375" s="22" t="n"/>
      <c r="B375" s="20" t="n"/>
      <c r="C375" s="20" t="n"/>
      <c r="D375" s="20">
        <f>IFERROR(INDEX(XPMenu!$A$2:$A$1000, MATCH(C375, XPMenu!$B$2:$B$1000, 0)), "")</f>
        <v/>
      </c>
      <c r="E375" s="20" t="n"/>
      <c r="F375" s="20" t="n"/>
      <c r="G375" s="20" t="n"/>
      <c r="H375" s="20" t="n"/>
      <c r="I375" s="20">
        <f>IFERROR(VLOOKUP(D375,XPMenu!$A:$F,2,FALSE),"")</f>
        <v/>
      </c>
      <c r="J375" s="20">
        <f>IFERROR(VLOOKUP(D375,XPMenu!$A:$F,3,FALSE),"")</f>
        <v/>
      </c>
      <c r="K375" s="20">
        <f>IFERROR(VLOOKUP(D375,XPMenu!$A:$F,4,FALSE),"")</f>
        <v/>
      </c>
      <c r="L375" s="20" t="n"/>
      <c r="M375" s="20">
        <f>IF(A375="","",IF(F375&lt;&gt;"Yes",0,IF(L375&lt;&gt;"",L375,E375*K375)))</f>
        <v/>
      </c>
      <c r="N375" s="20">
        <f>IF($A375="","",$A375-WEEKDAY($A375,2)+1)</f>
        <v/>
      </c>
      <c r="O375" s="20">
        <f>IF($A375="","",TEXT($A375,"yyyy-mm"))</f>
        <v/>
      </c>
      <c r="P375" s="21">
        <f>IF($A375="","",TEXT(YEAR($A375),"0000")&amp;"-Q"&amp;ROUNDUP(MONTH($A375)/3,0))</f>
        <v/>
      </c>
    </row>
    <row r="376">
      <c r="A376" s="22" t="n"/>
      <c r="B376" s="20" t="n"/>
      <c r="C376" s="20" t="n"/>
      <c r="D376" s="20">
        <f>IFERROR(INDEX(XPMenu!$A$2:$A$1000, MATCH(C376, XPMenu!$B$2:$B$1000, 0)), "")</f>
        <v/>
      </c>
      <c r="E376" s="20" t="n"/>
      <c r="F376" s="20" t="n"/>
      <c r="G376" s="20" t="n"/>
      <c r="H376" s="20" t="n"/>
      <c r="I376" s="20">
        <f>IFERROR(VLOOKUP(D376,XPMenu!$A:$F,2,FALSE),"")</f>
        <v/>
      </c>
      <c r="J376" s="20">
        <f>IFERROR(VLOOKUP(D376,XPMenu!$A:$F,3,FALSE),"")</f>
        <v/>
      </c>
      <c r="K376" s="20">
        <f>IFERROR(VLOOKUP(D376,XPMenu!$A:$F,4,FALSE),"")</f>
        <v/>
      </c>
      <c r="L376" s="20" t="n"/>
      <c r="M376" s="20">
        <f>IF(A376="","",IF(F376&lt;&gt;"Yes",0,IF(L376&lt;&gt;"",L376,E376*K376)))</f>
        <v/>
      </c>
      <c r="N376" s="20">
        <f>IF($A376="","",$A376-WEEKDAY($A376,2)+1)</f>
        <v/>
      </c>
      <c r="O376" s="20">
        <f>IF($A376="","",TEXT($A376,"yyyy-mm"))</f>
        <v/>
      </c>
      <c r="P376" s="21">
        <f>IF($A376="","",TEXT(YEAR($A376),"0000")&amp;"-Q"&amp;ROUNDUP(MONTH($A376)/3,0))</f>
        <v/>
      </c>
    </row>
    <row r="377">
      <c r="A377" s="22" t="n"/>
      <c r="B377" s="20" t="n"/>
      <c r="C377" s="20" t="n"/>
      <c r="D377" s="20">
        <f>IFERROR(INDEX(XPMenu!$A$2:$A$1000, MATCH(C377, XPMenu!$B$2:$B$1000, 0)), "")</f>
        <v/>
      </c>
      <c r="E377" s="20" t="n"/>
      <c r="F377" s="20" t="n"/>
      <c r="G377" s="20" t="n"/>
      <c r="H377" s="20" t="n"/>
      <c r="I377" s="20">
        <f>IFERROR(VLOOKUP(D377,XPMenu!$A:$F,2,FALSE),"")</f>
        <v/>
      </c>
      <c r="J377" s="20">
        <f>IFERROR(VLOOKUP(D377,XPMenu!$A:$F,3,FALSE),"")</f>
        <v/>
      </c>
      <c r="K377" s="20">
        <f>IFERROR(VLOOKUP(D377,XPMenu!$A:$F,4,FALSE),"")</f>
        <v/>
      </c>
      <c r="L377" s="20" t="n"/>
      <c r="M377" s="20">
        <f>IF(A377="","",IF(F377&lt;&gt;"Yes",0,IF(L377&lt;&gt;"",L377,E377*K377)))</f>
        <v/>
      </c>
      <c r="N377" s="20">
        <f>IF($A377="","",$A377-WEEKDAY($A377,2)+1)</f>
        <v/>
      </c>
      <c r="O377" s="20">
        <f>IF($A377="","",TEXT($A377,"yyyy-mm"))</f>
        <v/>
      </c>
      <c r="P377" s="21">
        <f>IF($A377="","",TEXT(YEAR($A377),"0000")&amp;"-Q"&amp;ROUNDUP(MONTH($A377)/3,0))</f>
        <v/>
      </c>
    </row>
    <row r="378">
      <c r="A378" s="22" t="n"/>
      <c r="B378" s="20" t="n"/>
      <c r="C378" s="20" t="n"/>
      <c r="D378" s="20">
        <f>IFERROR(INDEX(XPMenu!$A$2:$A$1000, MATCH(C378, XPMenu!$B$2:$B$1000, 0)), "")</f>
        <v/>
      </c>
      <c r="E378" s="20" t="n"/>
      <c r="F378" s="20" t="n"/>
      <c r="G378" s="20" t="n"/>
      <c r="H378" s="20" t="n"/>
      <c r="I378" s="20">
        <f>IFERROR(VLOOKUP(D378,XPMenu!$A:$F,2,FALSE),"")</f>
        <v/>
      </c>
      <c r="J378" s="20">
        <f>IFERROR(VLOOKUP(D378,XPMenu!$A:$F,3,FALSE),"")</f>
        <v/>
      </c>
      <c r="K378" s="20">
        <f>IFERROR(VLOOKUP(D378,XPMenu!$A:$F,4,FALSE),"")</f>
        <v/>
      </c>
      <c r="L378" s="20" t="n"/>
      <c r="M378" s="20">
        <f>IF(A378="","",IF(F378&lt;&gt;"Yes",0,IF(L378&lt;&gt;"",L378,E378*K378)))</f>
        <v/>
      </c>
      <c r="N378" s="20">
        <f>IF($A378="","",$A378-WEEKDAY($A378,2)+1)</f>
        <v/>
      </c>
      <c r="O378" s="20">
        <f>IF($A378="","",TEXT($A378,"yyyy-mm"))</f>
        <v/>
      </c>
      <c r="P378" s="21">
        <f>IF($A378="","",TEXT(YEAR($A378),"0000")&amp;"-Q"&amp;ROUNDUP(MONTH($A378)/3,0))</f>
        <v/>
      </c>
    </row>
    <row r="379">
      <c r="A379" s="22" t="n"/>
      <c r="B379" s="20" t="n"/>
      <c r="C379" s="20" t="n"/>
      <c r="D379" s="20">
        <f>IFERROR(INDEX(XPMenu!$A$2:$A$1000, MATCH(C379, XPMenu!$B$2:$B$1000, 0)), "")</f>
        <v/>
      </c>
      <c r="E379" s="20" t="n"/>
      <c r="F379" s="20" t="n"/>
      <c r="G379" s="20" t="n"/>
      <c r="H379" s="20" t="n"/>
      <c r="I379" s="20">
        <f>IFERROR(VLOOKUP(D379,XPMenu!$A:$F,2,FALSE),"")</f>
        <v/>
      </c>
      <c r="J379" s="20">
        <f>IFERROR(VLOOKUP(D379,XPMenu!$A:$F,3,FALSE),"")</f>
        <v/>
      </c>
      <c r="K379" s="20">
        <f>IFERROR(VLOOKUP(D379,XPMenu!$A:$F,4,FALSE),"")</f>
        <v/>
      </c>
      <c r="L379" s="20" t="n"/>
      <c r="M379" s="20">
        <f>IF(A379="","",IF(F379&lt;&gt;"Yes",0,IF(L379&lt;&gt;"",L379,E379*K379)))</f>
        <v/>
      </c>
      <c r="N379" s="20">
        <f>IF($A379="","",$A379-WEEKDAY($A379,2)+1)</f>
        <v/>
      </c>
      <c r="O379" s="20">
        <f>IF($A379="","",TEXT($A379,"yyyy-mm"))</f>
        <v/>
      </c>
      <c r="P379" s="21">
        <f>IF($A379="","",TEXT(YEAR($A379),"0000")&amp;"-Q"&amp;ROUNDUP(MONTH($A379)/3,0))</f>
        <v/>
      </c>
    </row>
    <row r="380">
      <c r="A380" s="22" t="n"/>
      <c r="B380" s="20" t="n"/>
      <c r="C380" s="20" t="n"/>
      <c r="D380" s="20">
        <f>IFERROR(INDEX(XPMenu!$A$2:$A$1000, MATCH(C380, XPMenu!$B$2:$B$1000, 0)), "")</f>
        <v/>
      </c>
      <c r="E380" s="20" t="n"/>
      <c r="F380" s="20" t="n"/>
      <c r="G380" s="20" t="n"/>
      <c r="H380" s="20" t="n"/>
      <c r="I380" s="20">
        <f>IFERROR(VLOOKUP(D380,XPMenu!$A:$F,2,FALSE),"")</f>
        <v/>
      </c>
      <c r="J380" s="20">
        <f>IFERROR(VLOOKUP(D380,XPMenu!$A:$F,3,FALSE),"")</f>
        <v/>
      </c>
      <c r="K380" s="20">
        <f>IFERROR(VLOOKUP(D380,XPMenu!$A:$F,4,FALSE),"")</f>
        <v/>
      </c>
      <c r="L380" s="20" t="n"/>
      <c r="M380" s="20">
        <f>IF(A380="","",IF(F380&lt;&gt;"Yes",0,IF(L380&lt;&gt;"",L380,E380*K380)))</f>
        <v/>
      </c>
      <c r="N380" s="20">
        <f>IF($A380="","",$A380-WEEKDAY($A380,2)+1)</f>
        <v/>
      </c>
      <c r="O380" s="20">
        <f>IF($A380="","",TEXT($A380,"yyyy-mm"))</f>
        <v/>
      </c>
      <c r="P380" s="21">
        <f>IF($A380="","",TEXT(YEAR($A380),"0000")&amp;"-Q"&amp;ROUNDUP(MONTH($A380)/3,0))</f>
        <v/>
      </c>
    </row>
    <row r="381">
      <c r="A381" s="22" t="n"/>
      <c r="B381" s="20" t="n"/>
      <c r="C381" s="20" t="n"/>
      <c r="D381" s="20">
        <f>IFERROR(INDEX(XPMenu!$A$2:$A$1000, MATCH(C381, XPMenu!$B$2:$B$1000, 0)), "")</f>
        <v/>
      </c>
      <c r="E381" s="20" t="n"/>
      <c r="F381" s="20" t="n"/>
      <c r="G381" s="20" t="n"/>
      <c r="H381" s="20" t="n"/>
      <c r="I381" s="20">
        <f>IFERROR(VLOOKUP(D381,XPMenu!$A:$F,2,FALSE),"")</f>
        <v/>
      </c>
      <c r="J381" s="20">
        <f>IFERROR(VLOOKUP(D381,XPMenu!$A:$F,3,FALSE),"")</f>
        <v/>
      </c>
      <c r="K381" s="20">
        <f>IFERROR(VLOOKUP(D381,XPMenu!$A:$F,4,FALSE),"")</f>
        <v/>
      </c>
      <c r="L381" s="20" t="n"/>
      <c r="M381" s="20">
        <f>IF(A381="","",IF(F381&lt;&gt;"Yes",0,IF(L381&lt;&gt;"",L381,E381*K381)))</f>
        <v/>
      </c>
      <c r="N381" s="20">
        <f>IF($A381="","",$A381-WEEKDAY($A381,2)+1)</f>
        <v/>
      </c>
      <c r="O381" s="20">
        <f>IF($A381="","",TEXT($A381,"yyyy-mm"))</f>
        <v/>
      </c>
      <c r="P381" s="21">
        <f>IF($A381="","",TEXT(YEAR($A381),"0000")&amp;"-Q"&amp;ROUNDUP(MONTH($A381)/3,0))</f>
        <v/>
      </c>
    </row>
    <row r="382">
      <c r="A382" s="22" t="n"/>
      <c r="B382" s="20" t="n"/>
      <c r="C382" s="20" t="n"/>
      <c r="D382" s="20">
        <f>IFERROR(INDEX(XPMenu!$A$2:$A$1000, MATCH(C382, XPMenu!$B$2:$B$1000, 0)), "")</f>
        <v/>
      </c>
      <c r="E382" s="20" t="n"/>
      <c r="F382" s="20" t="n"/>
      <c r="G382" s="20" t="n"/>
      <c r="H382" s="20" t="n"/>
      <c r="I382" s="20">
        <f>IFERROR(VLOOKUP(D382,XPMenu!$A:$F,2,FALSE),"")</f>
        <v/>
      </c>
      <c r="J382" s="20">
        <f>IFERROR(VLOOKUP(D382,XPMenu!$A:$F,3,FALSE),"")</f>
        <v/>
      </c>
      <c r="K382" s="20">
        <f>IFERROR(VLOOKUP(D382,XPMenu!$A:$F,4,FALSE),"")</f>
        <v/>
      </c>
      <c r="L382" s="20" t="n"/>
      <c r="M382" s="20">
        <f>IF(A382="","",IF(F382&lt;&gt;"Yes",0,IF(L382&lt;&gt;"",L382,E382*K382)))</f>
        <v/>
      </c>
      <c r="N382" s="20">
        <f>IF($A382="","",$A382-WEEKDAY($A382,2)+1)</f>
        <v/>
      </c>
      <c r="O382" s="20">
        <f>IF($A382="","",TEXT($A382,"yyyy-mm"))</f>
        <v/>
      </c>
      <c r="P382" s="21">
        <f>IF($A382="","",TEXT(YEAR($A382),"0000")&amp;"-Q"&amp;ROUNDUP(MONTH($A382)/3,0))</f>
        <v/>
      </c>
    </row>
    <row r="383">
      <c r="A383" s="22" t="n"/>
      <c r="B383" s="20" t="n"/>
      <c r="C383" s="20" t="n"/>
      <c r="D383" s="20">
        <f>IFERROR(INDEX(XPMenu!$A$2:$A$1000, MATCH(C383, XPMenu!$B$2:$B$1000, 0)), "")</f>
        <v/>
      </c>
      <c r="E383" s="20" t="n"/>
      <c r="F383" s="20" t="n"/>
      <c r="G383" s="20" t="n"/>
      <c r="H383" s="20" t="n"/>
      <c r="I383" s="20">
        <f>IFERROR(VLOOKUP(D383,XPMenu!$A:$F,2,FALSE),"")</f>
        <v/>
      </c>
      <c r="J383" s="20">
        <f>IFERROR(VLOOKUP(D383,XPMenu!$A:$F,3,FALSE),"")</f>
        <v/>
      </c>
      <c r="K383" s="20">
        <f>IFERROR(VLOOKUP(D383,XPMenu!$A:$F,4,FALSE),"")</f>
        <v/>
      </c>
      <c r="L383" s="20" t="n"/>
      <c r="M383" s="20">
        <f>IF(A383="","",IF(F383&lt;&gt;"Yes",0,IF(L383&lt;&gt;"",L383,E383*K383)))</f>
        <v/>
      </c>
      <c r="N383" s="20">
        <f>IF($A383="","",$A383-WEEKDAY($A383,2)+1)</f>
        <v/>
      </c>
      <c r="O383" s="20">
        <f>IF($A383="","",TEXT($A383,"yyyy-mm"))</f>
        <v/>
      </c>
      <c r="P383" s="21">
        <f>IF($A383="","",TEXT(YEAR($A383),"0000")&amp;"-Q"&amp;ROUNDUP(MONTH($A383)/3,0))</f>
        <v/>
      </c>
    </row>
    <row r="384">
      <c r="A384" s="22" t="n"/>
      <c r="B384" s="20" t="n"/>
      <c r="C384" s="20" t="n"/>
      <c r="D384" s="20">
        <f>IFERROR(INDEX(XPMenu!$A$2:$A$1000, MATCH(C384, XPMenu!$B$2:$B$1000, 0)), "")</f>
        <v/>
      </c>
      <c r="E384" s="20" t="n"/>
      <c r="F384" s="20" t="n"/>
      <c r="G384" s="20" t="n"/>
      <c r="H384" s="20" t="n"/>
      <c r="I384" s="20">
        <f>IFERROR(VLOOKUP(D384,XPMenu!$A:$F,2,FALSE),"")</f>
        <v/>
      </c>
      <c r="J384" s="20">
        <f>IFERROR(VLOOKUP(D384,XPMenu!$A:$F,3,FALSE),"")</f>
        <v/>
      </c>
      <c r="K384" s="20">
        <f>IFERROR(VLOOKUP(D384,XPMenu!$A:$F,4,FALSE),"")</f>
        <v/>
      </c>
      <c r="L384" s="20" t="n"/>
      <c r="M384" s="20">
        <f>IF(A384="","",IF(F384&lt;&gt;"Yes",0,IF(L384&lt;&gt;"",L384,E384*K384)))</f>
        <v/>
      </c>
      <c r="N384" s="20">
        <f>IF($A384="","",$A384-WEEKDAY($A384,2)+1)</f>
        <v/>
      </c>
      <c r="O384" s="20">
        <f>IF($A384="","",TEXT($A384,"yyyy-mm"))</f>
        <v/>
      </c>
      <c r="P384" s="21">
        <f>IF($A384="","",TEXT(YEAR($A384),"0000")&amp;"-Q"&amp;ROUNDUP(MONTH($A384)/3,0))</f>
        <v/>
      </c>
    </row>
    <row r="385">
      <c r="A385" s="22" t="n"/>
      <c r="B385" s="20" t="n"/>
      <c r="C385" s="20" t="n"/>
      <c r="D385" s="20">
        <f>IFERROR(INDEX(XPMenu!$A$2:$A$1000, MATCH(C385, XPMenu!$B$2:$B$1000, 0)), "")</f>
        <v/>
      </c>
      <c r="E385" s="20" t="n"/>
      <c r="F385" s="20" t="n"/>
      <c r="G385" s="20" t="n"/>
      <c r="H385" s="20" t="n"/>
      <c r="I385" s="20">
        <f>IFERROR(VLOOKUP(D385,XPMenu!$A:$F,2,FALSE),"")</f>
        <v/>
      </c>
      <c r="J385" s="20">
        <f>IFERROR(VLOOKUP(D385,XPMenu!$A:$F,3,FALSE),"")</f>
        <v/>
      </c>
      <c r="K385" s="20">
        <f>IFERROR(VLOOKUP(D385,XPMenu!$A:$F,4,FALSE),"")</f>
        <v/>
      </c>
      <c r="L385" s="20" t="n"/>
      <c r="M385" s="20">
        <f>IF(A385="","",IF(F385&lt;&gt;"Yes",0,IF(L385&lt;&gt;"",L385,E385*K385)))</f>
        <v/>
      </c>
      <c r="N385" s="20">
        <f>IF($A385="","",$A385-WEEKDAY($A385,2)+1)</f>
        <v/>
      </c>
      <c r="O385" s="20">
        <f>IF($A385="","",TEXT($A385,"yyyy-mm"))</f>
        <v/>
      </c>
      <c r="P385" s="21">
        <f>IF($A385="","",TEXT(YEAR($A385),"0000")&amp;"-Q"&amp;ROUNDUP(MONTH($A385)/3,0))</f>
        <v/>
      </c>
    </row>
    <row r="386">
      <c r="A386" s="22" t="n"/>
      <c r="B386" s="20" t="n"/>
      <c r="C386" s="20" t="n"/>
      <c r="D386" s="20">
        <f>IFERROR(INDEX(XPMenu!$A$2:$A$1000, MATCH(C386, XPMenu!$B$2:$B$1000, 0)), "")</f>
        <v/>
      </c>
      <c r="E386" s="20" t="n"/>
      <c r="F386" s="20" t="n"/>
      <c r="G386" s="20" t="n"/>
      <c r="H386" s="20" t="n"/>
      <c r="I386" s="20">
        <f>IFERROR(VLOOKUP(D386,XPMenu!$A:$F,2,FALSE),"")</f>
        <v/>
      </c>
      <c r="J386" s="20">
        <f>IFERROR(VLOOKUP(D386,XPMenu!$A:$F,3,FALSE),"")</f>
        <v/>
      </c>
      <c r="K386" s="20">
        <f>IFERROR(VLOOKUP(D386,XPMenu!$A:$F,4,FALSE),"")</f>
        <v/>
      </c>
      <c r="L386" s="20" t="n"/>
      <c r="M386" s="20">
        <f>IF(A386="","",IF(F386&lt;&gt;"Yes",0,IF(L386&lt;&gt;"",L386,E386*K386)))</f>
        <v/>
      </c>
      <c r="N386" s="20">
        <f>IF($A386="","",$A386-WEEKDAY($A386,2)+1)</f>
        <v/>
      </c>
      <c r="O386" s="20">
        <f>IF($A386="","",TEXT($A386,"yyyy-mm"))</f>
        <v/>
      </c>
      <c r="P386" s="21">
        <f>IF($A386="","",TEXT(YEAR($A386),"0000")&amp;"-Q"&amp;ROUNDUP(MONTH($A386)/3,0))</f>
        <v/>
      </c>
    </row>
    <row r="387">
      <c r="A387" s="22" t="n"/>
      <c r="B387" s="20" t="n"/>
      <c r="C387" s="20" t="n"/>
      <c r="D387" s="20">
        <f>IFERROR(INDEX(XPMenu!$A$2:$A$1000, MATCH(C387, XPMenu!$B$2:$B$1000, 0)), "")</f>
        <v/>
      </c>
      <c r="E387" s="20" t="n"/>
      <c r="F387" s="20" t="n"/>
      <c r="G387" s="20" t="n"/>
      <c r="H387" s="20" t="n"/>
      <c r="I387" s="20">
        <f>IFERROR(VLOOKUP(D387,XPMenu!$A:$F,2,FALSE),"")</f>
        <v/>
      </c>
      <c r="J387" s="20">
        <f>IFERROR(VLOOKUP(D387,XPMenu!$A:$F,3,FALSE),"")</f>
        <v/>
      </c>
      <c r="K387" s="20">
        <f>IFERROR(VLOOKUP(D387,XPMenu!$A:$F,4,FALSE),"")</f>
        <v/>
      </c>
      <c r="L387" s="20" t="n"/>
      <c r="M387" s="20">
        <f>IF(A387="","",IF(F387&lt;&gt;"Yes",0,IF(L387&lt;&gt;"",L387,E387*K387)))</f>
        <v/>
      </c>
      <c r="N387" s="20">
        <f>IF($A387="","",$A387-WEEKDAY($A387,2)+1)</f>
        <v/>
      </c>
      <c r="O387" s="20">
        <f>IF($A387="","",TEXT($A387,"yyyy-mm"))</f>
        <v/>
      </c>
      <c r="P387" s="21">
        <f>IF($A387="","",TEXT(YEAR($A387),"0000")&amp;"-Q"&amp;ROUNDUP(MONTH($A387)/3,0))</f>
        <v/>
      </c>
    </row>
    <row r="388">
      <c r="A388" s="22" t="n"/>
      <c r="B388" s="20" t="n"/>
      <c r="C388" s="20" t="n"/>
      <c r="D388" s="20">
        <f>IFERROR(INDEX(XPMenu!$A$2:$A$1000, MATCH(C388, XPMenu!$B$2:$B$1000, 0)), "")</f>
        <v/>
      </c>
      <c r="E388" s="20" t="n"/>
      <c r="F388" s="20" t="n"/>
      <c r="G388" s="20" t="n"/>
      <c r="H388" s="20" t="n"/>
      <c r="I388" s="20">
        <f>IFERROR(VLOOKUP(D388,XPMenu!$A:$F,2,FALSE),"")</f>
        <v/>
      </c>
      <c r="J388" s="20">
        <f>IFERROR(VLOOKUP(D388,XPMenu!$A:$F,3,FALSE),"")</f>
        <v/>
      </c>
      <c r="K388" s="20">
        <f>IFERROR(VLOOKUP(D388,XPMenu!$A:$F,4,FALSE),"")</f>
        <v/>
      </c>
      <c r="L388" s="20" t="n"/>
      <c r="M388" s="20">
        <f>IF(A388="","",IF(F388&lt;&gt;"Yes",0,IF(L388&lt;&gt;"",L388,E388*K388)))</f>
        <v/>
      </c>
      <c r="N388" s="20">
        <f>IF($A388="","",$A388-WEEKDAY($A388,2)+1)</f>
        <v/>
      </c>
      <c r="O388" s="20">
        <f>IF($A388="","",TEXT($A388,"yyyy-mm"))</f>
        <v/>
      </c>
      <c r="P388" s="21">
        <f>IF($A388="","",TEXT(YEAR($A388),"0000")&amp;"-Q"&amp;ROUNDUP(MONTH($A388)/3,0))</f>
        <v/>
      </c>
    </row>
    <row r="389">
      <c r="A389" s="22" t="n"/>
      <c r="B389" s="20" t="n"/>
      <c r="C389" s="20" t="n"/>
      <c r="D389" s="20">
        <f>IFERROR(INDEX(XPMenu!$A$2:$A$1000, MATCH(C389, XPMenu!$B$2:$B$1000, 0)), "")</f>
        <v/>
      </c>
      <c r="E389" s="20" t="n"/>
      <c r="F389" s="20" t="n"/>
      <c r="G389" s="20" t="n"/>
      <c r="H389" s="20" t="n"/>
      <c r="I389" s="20">
        <f>IFERROR(VLOOKUP(D389,XPMenu!$A:$F,2,FALSE),"")</f>
        <v/>
      </c>
      <c r="J389" s="20">
        <f>IFERROR(VLOOKUP(D389,XPMenu!$A:$F,3,FALSE),"")</f>
        <v/>
      </c>
      <c r="K389" s="20">
        <f>IFERROR(VLOOKUP(D389,XPMenu!$A:$F,4,FALSE),"")</f>
        <v/>
      </c>
      <c r="L389" s="20" t="n"/>
      <c r="M389" s="20">
        <f>IF(A389="","",IF(F389&lt;&gt;"Yes",0,IF(L389&lt;&gt;"",L389,E389*K389)))</f>
        <v/>
      </c>
      <c r="N389" s="20">
        <f>IF($A389="","",$A389-WEEKDAY($A389,2)+1)</f>
        <v/>
      </c>
      <c r="O389" s="20">
        <f>IF($A389="","",TEXT($A389,"yyyy-mm"))</f>
        <v/>
      </c>
      <c r="P389" s="21">
        <f>IF($A389="","",TEXT(YEAR($A389),"0000")&amp;"-Q"&amp;ROUNDUP(MONTH($A389)/3,0))</f>
        <v/>
      </c>
    </row>
    <row r="390">
      <c r="A390" s="22" t="n"/>
      <c r="B390" s="20" t="n"/>
      <c r="C390" s="20" t="n"/>
      <c r="D390" s="20">
        <f>IFERROR(INDEX(XPMenu!$A$2:$A$1000, MATCH(C390, XPMenu!$B$2:$B$1000, 0)), "")</f>
        <v/>
      </c>
      <c r="E390" s="20" t="n"/>
      <c r="F390" s="20" t="n"/>
      <c r="G390" s="20" t="n"/>
      <c r="H390" s="20" t="n"/>
      <c r="I390" s="20">
        <f>IFERROR(VLOOKUP(D390,XPMenu!$A:$F,2,FALSE),"")</f>
        <v/>
      </c>
      <c r="J390" s="20">
        <f>IFERROR(VLOOKUP(D390,XPMenu!$A:$F,3,FALSE),"")</f>
        <v/>
      </c>
      <c r="K390" s="20">
        <f>IFERROR(VLOOKUP(D390,XPMenu!$A:$F,4,FALSE),"")</f>
        <v/>
      </c>
      <c r="L390" s="20" t="n"/>
      <c r="M390" s="20">
        <f>IF(A390="","",IF(F390&lt;&gt;"Yes",0,IF(L390&lt;&gt;"",L390,E390*K390)))</f>
        <v/>
      </c>
      <c r="N390" s="20">
        <f>IF($A390="","",$A390-WEEKDAY($A390,2)+1)</f>
        <v/>
      </c>
      <c r="O390" s="20">
        <f>IF($A390="","",TEXT($A390,"yyyy-mm"))</f>
        <v/>
      </c>
      <c r="P390" s="21">
        <f>IF($A390="","",TEXT(YEAR($A390),"0000")&amp;"-Q"&amp;ROUNDUP(MONTH($A390)/3,0))</f>
        <v/>
      </c>
    </row>
    <row r="391">
      <c r="A391" s="22" t="n"/>
      <c r="B391" s="20" t="n"/>
      <c r="C391" s="20" t="n"/>
      <c r="D391" s="20">
        <f>IFERROR(INDEX(XPMenu!$A$2:$A$1000, MATCH(C391, XPMenu!$B$2:$B$1000, 0)), "")</f>
        <v/>
      </c>
      <c r="E391" s="20" t="n"/>
      <c r="F391" s="20" t="n"/>
      <c r="G391" s="20" t="n"/>
      <c r="H391" s="20" t="n"/>
      <c r="I391" s="20">
        <f>IFERROR(VLOOKUP(D391,XPMenu!$A:$F,2,FALSE),"")</f>
        <v/>
      </c>
      <c r="J391" s="20">
        <f>IFERROR(VLOOKUP(D391,XPMenu!$A:$F,3,FALSE),"")</f>
        <v/>
      </c>
      <c r="K391" s="20">
        <f>IFERROR(VLOOKUP(D391,XPMenu!$A:$F,4,FALSE),"")</f>
        <v/>
      </c>
      <c r="L391" s="20" t="n"/>
      <c r="M391" s="20">
        <f>IF(A391="","",IF(F391&lt;&gt;"Yes",0,IF(L391&lt;&gt;"",L391,E391*K391)))</f>
        <v/>
      </c>
      <c r="N391" s="20">
        <f>IF($A391="","",$A391-WEEKDAY($A391,2)+1)</f>
        <v/>
      </c>
      <c r="O391" s="20">
        <f>IF($A391="","",TEXT($A391,"yyyy-mm"))</f>
        <v/>
      </c>
      <c r="P391" s="21">
        <f>IF($A391="","",TEXT(YEAR($A391),"0000")&amp;"-Q"&amp;ROUNDUP(MONTH($A391)/3,0))</f>
        <v/>
      </c>
    </row>
    <row r="392">
      <c r="A392" s="22" t="n"/>
      <c r="B392" s="20" t="n"/>
      <c r="C392" s="20" t="n"/>
      <c r="D392" s="20">
        <f>IFERROR(INDEX(XPMenu!$A$2:$A$1000, MATCH(C392, XPMenu!$B$2:$B$1000, 0)), "")</f>
        <v/>
      </c>
      <c r="E392" s="20" t="n"/>
      <c r="F392" s="20" t="n"/>
      <c r="G392" s="20" t="n"/>
      <c r="H392" s="20" t="n"/>
      <c r="I392" s="20">
        <f>IFERROR(VLOOKUP(D392,XPMenu!$A:$F,2,FALSE),"")</f>
        <v/>
      </c>
      <c r="J392" s="20">
        <f>IFERROR(VLOOKUP(D392,XPMenu!$A:$F,3,FALSE),"")</f>
        <v/>
      </c>
      <c r="K392" s="20">
        <f>IFERROR(VLOOKUP(D392,XPMenu!$A:$F,4,FALSE),"")</f>
        <v/>
      </c>
      <c r="L392" s="20" t="n"/>
      <c r="M392" s="20">
        <f>IF(A392="","",IF(F392&lt;&gt;"Yes",0,IF(L392&lt;&gt;"",L392,E392*K392)))</f>
        <v/>
      </c>
      <c r="N392" s="20">
        <f>IF($A392="","",$A392-WEEKDAY($A392,2)+1)</f>
        <v/>
      </c>
      <c r="O392" s="20">
        <f>IF($A392="","",TEXT($A392,"yyyy-mm"))</f>
        <v/>
      </c>
      <c r="P392" s="21">
        <f>IF($A392="","",TEXT(YEAR($A392),"0000")&amp;"-Q"&amp;ROUNDUP(MONTH($A392)/3,0))</f>
        <v/>
      </c>
    </row>
    <row r="393">
      <c r="A393" s="22" t="n"/>
      <c r="B393" s="20" t="n"/>
      <c r="C393" s="20" t="n"/>
      <c r="D393" s="20">
        <f>IFERROR(INDEX(XPMenu!$A$2:$A$1000, MATCH(C393, XPMenu!$B$2:$B$1000, 0)), "")</f>
        <v/>
      </c>
      <c r="E393" s="20" t="n"/>
      <c r="F393" s="20" t="n"/>
      <c r="G393" s="20" t="n"/>
      <c r="H393" s="20" t="n"/>
      <c r="I393" s="20">
        <f>IFERROR(VLOOKUP(D393,XPMenu!$A:$F,2,FALSE),"")</f>
        <v/>
      </c>
      <c r="J393" s="20">
        <f>IFERROR(VLOOKUP(D393,XPMenu!$A:$F,3,FALSE),"")</f>
        <v/>
      </c>
      <c r="K393" s="20">
        <f>IFERROR(VLOOKUP(D393,XPMenu!$A:$F,4,FALSE),"")</f>
        <v/>
      </c>
      <c r="L393" s="20" t="n"/>
      <c r="M393" s="20">
        <f>IF(A393="","",IF(F393&lt;&gt;"Yes",0,IF(L393&lt;&gt;"",L393,E393*K393)))</f>
        <v/>
      </c>
      <c r="N393" s="20">
        <f>IF($A393="","",$A393-WEEKDAY($A393,2)+1)</f>
        <v/>
      </c>
      <c r="O393" s="20">
        <f>IF($A393="","",TEXT($A393,"yyyy-mm"))</f>
        <v/>
      </c>
      <c r="P393" s="21">
        <f>IF($A393="","",TEXT(YEAR($A393),"0000")&amp;"-Q"&amp;ROUNDUP(MONTH($A393)/3,0))</f>
        <v/>
      </c>
    </row>
    <row r="394">
      <c r="A394" s="22" t="n"/>
      <c r="B394" s="20" t="n"/>
      <c r="C394" s="20" t="n"/>
      <c r="D394" s="20">
        <f>IFERROR(INDEX(XPMenu!$A$2:$A$1000, MATCH(C394, XPMenu!$B$2:$B$1000, 0)), "")</f>
        <v/>
      </c>
      <c r="E394" s="20" t="n"/>
      <c r="F394" s="20" t="n"/>
      <c r="G394" s="20" t="n"/>
      <c r="H394" s="20" t="n"/>
      <c r="I394" s="20">
        <f>IFERROR(VLOOKUP(D394,XPMenu!$A:$F,2,FALSE),"")</f>
        <v/>
      </c>
      <c r="J394" s="20">
        <f>IFERROR(VLOOKUP(D394,XPMenu!$A:$F,3,FALSE),"")</f>
        <v/>
      </c>
      <c r="K394" s="20">
        <f>IFERROR(VLOOKUP(D394,XPMenu!$A:$F,4,FALSE),"")</f>
        <v/>
      </c>
      <c r="L394" s="20" t="n"/>
      <c r="M394" s="20">
        <f>IF(A394="","",IF(F394&lt;&gt;"Yes",0,IF(L394&lt;&gt;"",L394,E394*K394)))</f>
        <v/>
      </c>
      <c r="N394" s="20">
        <f>IF($A394="","",$A394-WEEKDAY($A394,2)+1)</f>
        <v/>
      </c>
      <c r="O394" s="20">
        <f>IF($A394="","",TEXT($A394,"yyyy-mm"))</f>
        <v/>
      </c>
      <c r="P394" s="21">
        <f>IF($A394="","",TEXT(YEAR($A394),"0000")&amp;"-Q"&amp;ROUNDUP(MONTH($A394)/3,0))</f>
        <v/>
      </c>
    </row>
    <row r="395">
      <c r="A395" s="22" t="n"/>
      <c r="B395" s="20" t="n"/>
      <c r="C395" s="20" t="n"/>
      <c r="D395" s="20">
        <f>IFERROR(INDEX(XPMenu!$A$2:$A$1000, MATCH(C395, XPMenu!$B$2:$B$1000, 0)), "")</f>
        <v/>
      </c>
      <c r="E395" s="20" t="n"/>
      <c r="F395" s="20" t="n"/>
      <c r="G395" s="20" t="n"/>
      <c r="H395" s="20" t="n"/>
      <c r="I395" s="20">
        <f>IFERROR(VLOOKUP(D395,XPMenu!$A:$F,2,FALSE),"")</f>
        <v/>
      </c>
      <c r="J395" s="20">
        <f>IFERROR(VLOOKUP(D395,XPMenu!$A:$F,3,FALSE),"")</f>
        <v/>
      </c>
      <c r="K395" s="20">
        <f>IFERROR(VLOOKUP(D395,XPMenu!$A:$F,4,FALSE),"")</f>
        <v/>
      </c>
      <c r="L395" s="20" t="n"/>
      <c r="M395" s="20">
        <f>IF(A395="","",IF(F395&lt;&gt;"Yes",0,IF(L395&lt;&gt;"",L395,E395*K395)))</f>
        <v/>
      </c>
      <c r="N395" s="20">
        <f>IF($A395="","",$A395-WEEKDAY($A395,2)+1)</f>
        <v/>
      </c>
      <c r="O395" s="20">
        <f>IF($A395="","",TEXT($A395,"yyyy-mm"))</f>
        <v/>
      </c>
      <c r="P395" s="21">
        <f>IF($A395="","",TEXT(YEAR($A395),"0000")&amp;"-Q"&amp;ROUNDUP(MONTH($A395)/3,0))</f>
        <v/>
      </c>
    </row>
    <row r="396">
      <c r="A396" s="22" t="n"/>
      <c r="B396" s="20" t="n"/>
      <c r="C396" s="20" t="n"/>
      <c r="D396" s="20">
        <f>IFERROR(INDEX(XPMenu!$A$2:$A$1000, MATCH(C396, XPMenu!$B$2:$B$1000, 0)), "")</f>
        <v/>
      </c>
      <c r="E396" s="20" t="n"/>
      <c r="F396" s="20" t="n"/>
      <c r="G396" s="20" t="n"/>
      <c r="H396" s="20" t="n"/>
      <c r="I396" s="20">
        <f>IFERROR(VLOOKUP(D396,XPMenu!$A:$F,2,FALSE),"")</f>
        <v/>
      </c>
      <c r="J396" s="20">
        <f>IFERROR(VLOOKUP(D396,XPMenu!$A:$F,3,FALSE),"")</f>
        <v/>
      </c>
      <c r="K396" s="20">
        <f>IFERROR(VLOOKUP(D396,XPMenu!$A:$F,4,FALSE),"")</f>
        <v/>
      </c>
      <c r="L396" s="20" t="n"/>
      <c r="M396" s="20">
        <f>IF(A396="","",IF(F396&lt;&gt;"Yes",0,IF(L396&lt;&gt;"",L396,E396*K396)))</f>
        <v/>
      </c>
      <c r="N396" s="20">
        <f>IF($A396="","",$A396-WEEKDAY($A396,2)+1)</f>
        <v/>
      </c>
      <c r="O396" s="20">
        <f>IF($A396="","",TEXT($A396,"yyyy-mm"))</f>
        <v/>
      </c>
      <c r="P396" s="21">
        <f>IF($A396="","",TEXT(YEAR($A396),"0000")&amp;"-Q"&amp;ROUNDUP(MONTH($A396)/3,0))</f>
        <v/>
      </c>
    </row>
    <row r="397">
      <c r="A397" s="22" t="n"/>
      <c r="B397" s="20" t="n"/>
      <c r="C397" s="20" t="n"/>
      <c r="D397" s="20">
        <f>IFERROR(INDEX(XPMenu!$A$2:$A$1000, MATCH(C397, XPMenu!$B$2:$B$1000, 0)), "")</f>
        <v/>
      </c>
      <c r="E397" s="20" t="n"/>
      <c r="F397" s="20" t="n"/>
      <c r="G397" s="20" t="n"/>
      <c r="H397" s="20" t="n"/>
      <c r="I397" s="20">
        <f>IFERROR(VLOOKUP(D397,XPMenu!$A:$F,2,FALSE),"")</f>
        <v/>
      </c>
      <c r="J397" s="20">
        <f>IFERROR(VLOOKUP(D397,XPMenu!$A:$F,3,FALSE),"")</f>
        <v/>
      </c>
      <c r="K397" s="20">
        <f>IFERROR(VLOOKUP(D397,XPMenu!$A:$F,4,FALSE),"")</f>
        <v/>
      </c>
      <c r="L397" s="20" t="n"/>
      <c r="M397" s="20">
        <f>IF(A397="","",IF(F397&lt;&gt;"Yes",0,IF(L397&lt;&gt;"",L397,E397*K397)))</f>
        <v/>
      </c>
      <c r="N397" s="20">
        <f>IF($A397="","",$A397-WEEKDAY($A397,2)+1)</f>
        <v/>
      </c>
      <c r="O397" s="20">
        <f>IF($A397="","",TEXT($A397,"yyyy-mm"))</f>
        <v/>
      </c>
      <c r="P397" s="21">
        <f>IF($A397="","",TEXT(YEAR($A397),"0000")&amp;"-Q"&amp;ROUNDUP(MONTH($A397)/3,0))</f>
        <v/>
      </c>
    </row>
    <row r="398">
      <c r="A398" s="22" t="n"/>
      <c r="B398" s="20" t="n"/>
      <c r="C398" s="20" t="n"/>
      <c r="D398" s="20">
        <f>IFERROR(INDEX(XPMenu!$A$2:$A$1000, MATCH(C398, XPMenu!$B$2:$B$1000, 0)), "")</f>
        <v/>
      </c>
      <c r="E398" s="20" t="n"/>
      <c r="F398" s="20" t="n"/>
      <c r="G398" s="20" t="n"/>
      <c r="H398" s="20" t="n"/>
      <c r="I398" s="20">
        <f>IFERROR(VLOOKUP(D398,XPMenu!$A:$F,2,FALSE),"")</f>
        <v/>
      </c>
      <c r="J398" s="20">
        <f>IFERROR(VLOOKUP(D398,XPMenu!$A:$F,3,FALSE),"")</f>
        <v/>
      </c>
      <c r="K398" s="20">
        <f>IFERROR(VLOOKUP(D398,XPMenu!$A:$F,4,FALSE),"")</f>
        <v/>
      </c>
      <c r="L398" s="20" t="n"/>
      <c r="M398" s="20">
        <f>IF(A398="","",IF(F398&lt;&gt;"Yes",0,IF(L398&lt;&gt;"",L398,E398*K398)))</f>
        <v/>
      </c>
      <c r="N398" s="20">
        <f>IF($A398="","",$A398-WEEKDAY($A398,2)+1)</f>
        <v/>
      </c>
      <c r="O398" s="20">
        <f>IF($A398="","",TEXT($A398,"yyyy-mm"))</f>
        <v/>
      </c>
      <c r="P398" s="21">
        <f>IF($A398="","",TEXT(YEAR($A398),"0000")&amp;"-Q"&amp;ROUNDUP(MONTH($A398)/3,0))</f>
        <v/>
      </c>
    </row>
    <row r="399">
      <c r="A399" s="22" t="n"/>
      <c r="B399" s="20" t="n"/>
      <c r="C399" s="20" t="n"/>
      <c r="D399" s="20">
        <f>IFERROR(INDEX(XPMenu!$A$2:$A$1000, MATCH(C399, XPMenu!$B$2:$B$1000, 0)), "")</f>
        <v/>
      </c>
      <c r="E399" s="20" t="n"/>
      <c r="F399" s="20" t="n"/>
      <c r="G399" s="20" t="n"/>
      <c r="H399" s="20" t="n"/>
      <c r="I399" s="20">
        <f>IFERROR(VLOOKUP(D399,XPMenu!$A:$F,2,FALSE),"")</f>
        <v/>
      </c>
      <c r="J399" s="20">
        <f>IFERROR(VLOOKUP(D399,XPMenu!$A:$F,3,FALSE),"")</f>
        <v/>
      </c>
      <c r="K399" s="20">
        <f>IFERROR(VLOOKUP(D399,XPMenu!$A:$F,4,FALSE),"")</f>
        <v/>
      </c>
      <c r="L399" s="20" t="n"/>
      <c r="M399" s="20">
        <f>IF(A399="","",IF(F399&lt;&gt;"Yes",0,IF(L399&lt;&gt;"",L399,E399*K399)))</f>
        <v/>
      </c>
      <c r="N399" s="20">
        <f>IF($A399="","",$A399-WEEKDAY($A399,2)+1)</f>
        <v/>
      </c>
      <c r="O399" s="20">
        <f>IF($A399="","",TEXT($A399,"yyyy-mm"))</f>
        <v/>
      </c>
      <c r="P399" s="21">
        <f>IF($A399="","",TEXT(YEAR($A399),"0000")&amp;"-Q"&amp;ROUNDUP(MONTH($A399)/3,0))</f>
        <v/>
      </c>
    </row>
    <row r="400">
      <c r="A400" s="22" t="n"/>
      <c r="B400" s="20" t="n"/>
      <c r="C400" s="20" t="n"/>
      <c r="D400" s="20">
        <f>IFERROR(INDEX(XPMenu!$A$2:$A$1000, MATCH(C400, XPMenu!$B$2:$B$1000, 0)), "")</f>
        <v/>
      </c>
      <c r="E400" s="20" t="n"/>
      <c r="F400" s="20" t="n"/>
      <c r="G400" s="20" t="n"/>
      <c r="H400" s="20" t="n"/>
      <c r="I400" s="20">
        <f>IFERROR(VLOOKUP(D400,XPMenu!$A:$F,2,FALSE),"")</f>
        <v/>
      </c>
      <c r="J400" s="20">
        <f>IFERROR(VLOOKUP(D400,XPMenu!$A:$F,3,FALSE),"")</f>
        <v/>
      </c>
      <c r="K400" s="20">
        <f>IFERROR(VLOOKUP(D400,XPMenu!$A:$F,4,FALSE),"")</f>
        <v/>
      </c>
      <c r="L400" s="20" t="n"/>
      <c r="M400" s="20">
        <f>IF(A400="","",IF(F400&lt;&gt;"Yes",0,IF(L400&lt;&gt;"",L400,E400*K400)))</f>
        <v/>
      </c>
      <c r="N400" s="20">
        <f>IF($A400="","",$A400-WEEKDAY($A400,2)+1)</f>
        <v/>
      </c>
      <c r="O400" s="20">
        <f>IF($A400="","",TEXT($A400,"yyyy-mm"))</f>
        <v/>
      </c>
      <c r="P400" s="21">
        <f>IF($A400="","",TEXT(YEAR($A400),"0000")&amp;"-Q"&amp;ROUNDUP(MONTH($A400)/3,0))</f>
        <v/>
      </c>
    </row>
    <row r="401">
      <c r="A401" s="22" t="n"/>
      <c r="B401" s="20" t="n"/>
      <c r="C401" s="20" t="n"/>
      <c r="D401" s="20">
        <f>IFERROR(INDEX(XPMenu!$A$2:$A$1000, MATCH(C401, XPMenu!$B$2:$B$1000, 0)), "")</f>
        <v/>
      </c>
      <c r="E401" s="20" t="n"/>
      <c r="F401" s="20" t="n"/>
      <c r="G401" s="20" t="n"/>
      <c r="H401" s="20" t="n"/>
      <c r="I401" s="20">
        <f>IFERROR(VLOOKUP(D401,XPMenu!$A:$F,2,FALSE),"")</f>
        <v/>
      </c>
      <c r="J401" s="20">
        <f>IFERROR(VLOOKUP(D401,XPMenu!$A:$F,3,FALSE),"")</f>
        <v/>
      </c>
      <c r="K401" s="20">
        <f>IFERROR(VLOOKUP(D401,XPMenu!$A:$F,4,FALSE),"")</f>
        <v/>
      </c>
      <c r="L401" s="20" t="n"/>
      <c r="M401" s="20">
        <f>IF(A401="","",IF(F401&lt;&gt;"Yes",0,IF(L401&lt;&gt;"",L401,E401*K401)))</f>
        <v/>
      </c>
      <c r="N401" s="20">
        <f>IF($A401="","",$A401-WEEKDAY($A401,2)+1)</f>
        <v/>
      </c>
      <c r="O401" s="20">
        <f>IF($A401="","",TEXT($A401,"yyyy-mm"))</f>
        <v/>
      </c>
      <c r="P401" s="21">
        <f>IF($A401="","",TEXT(YEAR($A401),"0000")&amp;"-Q"&amp;ROUNDUP(MONTH($A401)/3,0))</f>
        <v/>
      </c>
    </row>
    <row r="402">
      <c r="A402" s="22" t="n"/>
      <c r="B402" s="20" t="n"/>
      <c r="C402" s="20" t="n"/>
      <c r="D402" s="20">
        <f>IFERROR(INDEX(XPMenu!$A$2:$A$1000, MATCH(C402, XPMenu!$B$2:$B$1000, 0)), "")</f>
        <v/>
      </c>
      <c r="E402" s="20" t="n"/>
      <c r="F402" s="20" t="n"/>
      <c r="G402" s="20" t="n"/>
      <c r="H402" s="20" t="n"/>
      <c r="I402" s="20">
        <f>IFERROR(VLOOKUP(D402,XPMenu!$A:$F,2,FALSE),"")</f>
        <v/>
      </c>
      <c r="J402" s="20">
        <f>IFERROR(VLOOKUP(D402,XPMenu!$A:$F,3,FALSE),"")</f>
        <v/>
      </c>
      <c r="K402" s="20">
        <f>IFERROR(VLOOKUP(D402,XPMenu!$A:$F,4,FALSE),"")</f>
        <v/>
      </c>
      <c r="L402" s="20" t="n"/>
      <c r="M402" s="20">
        <f>IF(A402="","",IF(F402&lt;&gt;"Yes",0,IF(L402&lt;&gt;"",L402,E402*K402)))</f>
        <v/>
      </c>
      <c r="N402" s="20">
        <f>IF($A402="","",$A402-WEEKDAY($A402,2)+1)</f>
        <v/>
      </c>
      <c r="O402" s="20">
        <f>IF($A402="","",TEXT($A402,"yyyy-mm"))</f>
        <v/>
      </c>
      <c r="P402" s="21">
        <f>IF($A402="","",TEXT(YEAR($A402),"0000")&amp;"-Q"&amp;ROUNDUP(MONTH($A402)/3,0))</f>
        <v/>
      </c>
    </row>
    <row r="403">
      <c r="A403" s="22" t="n"/>
      <c r="B403" s="20" t="n"/>
      <c r="C403" s="20" t="n"/>
      <c r="D403" s="20">
        <f>IFERROR(INDEX(XPMenu!$A$2:$A$1000, MATCH(C403, XPMenu!$B$2:$B$1000, 0)), "")</f>
        <v/>
      </c>
      <c r="E403" s="20" t="n"/>
      <c r="F403" s="20" t="n"/>
      <c r="G403" s="20" t="n"/>
      <c r="H403" s="20" t="n"/>
      <c r="I403" s="20">
        <f>IFERROR(VLOOKUP(D403,XPMenu!$A:$F,2,FALSE),"")</f>
        <v/>
      </c>
      <c r="J403" s="20">
        <f>IFERROR(VLOOKUP(D403,XPMenu!$A:$F,3,FALSE),"")</f>
        <v/>
      </c>
      <c r="K403" s="20">
        <f>IFERROR(VLOOKUP(D403,XPMenu!$A:$F,4,FALSE),"")</f>
        <v/>
      </c>
      <c r="L403" s="20" t="n"/>
      <c r="M403" s="20">
        <f>IF(A403="","",IF(F403&lt;&gt;"Yes",0,IF(L403&lt;&gt;"",L403,E403*K403)))</f>
        <v/>
      </c>
      <c r="N403" s="20">
        <f>IF($A403="","",$A403-WEEKDAY($A403,2)+1)</f>
        <v/>
      </c>
      <c r="O403" s="20">
        <f>IF($A403="","",TEXT($A403,"yyyy-mm"))</f>
        <v/>
      </c>
      <c r="P403" s="21">
        <f>IF($A403="","",TEXT(YEAR($A403),"0000")&amp;"-Q"&amp;ROUNDUP(MONTH($A403)/3,0))</f>
        <v/>
      </c>
    </row>
    <row r="404">
      <c r="A404" s="22" t="n"/>
      <c r="B404" s="20" t="n"/>
      <c r="C404" s="20" t="n"/>
      <c r="D404" s="20">
        <f>IFERROR(INDEX(XPMenu!$A$2:$A$1000, MATCH(C404, XPMenu!$B$2:$B$1000, 0)), "")</f>
        <v/>
      </c>
      <c r="E404" s="20" t="n"/>
      <c r="F404" s="20" t="n"/>
      <c r="G404" s="20" t="n"/>
      <c r="H404" s="20" t="n"/>
      <c r="I404" s="20">
        <f>IFERROR(VLOOKUP(D404,XPMenu!$A:$F,2,FALSE),"")</f>
        <v/>
      </c>
      <c r="J404" s="20">
        <f>IFERROR(VLOOKUP(D404,XPMenu!$A:$F,3,FALSE),"")</f>
        <v/>
      </c>
      <c r="K404" s="20">
        <f>IFERROR(VLOOKUP(D404,XPMenu!$A:$F,4,FALSE),"")</f>
        <v/>
      </c>
      <c r="L404" s="20" t="n"/>
      <c r="M404" s="20">
        <f>IF(A404="","",IF(F404&lt;&gt;"Yes",0,IF(L404&lt;&gt;"",L404,E404*K404)))</f>
        <v/>
      </c>
      <c r="N404" s="20">
        <f>IF($A404="","",$A404-WEEKDAY($A404,2)+1)</f>
        <v/>
      </c>
      <c r="O404" s="20">
        <f>IF($A404="","",TEXT($A404,"yyyy-mm"))</f>
        <v/>
      </c>
      <c r="P404" s="21">
        <f>IF($A404="","",TEXT(YEAR($A404),"0000")&amp;"-Q"&amp;ROUNDUP(MONTH($A404)/3,0))</f>
        <v/>
      </c>
    </row>
    <row r="405">
      <c r="A405" s="22" t="n"/>
      <c r="B405" s="20" t="n"/>
      <c r="C405" s="20" t="n"/>
      <c r="D405" s="20">
        <f>IFERROR(INDEX(XPMenu!$A$2:$A$1000, MATCH(C405, XPMenu!$B$2:$B$1000, 0)), "")</f>
        <v/>
      </c>
      <c r="E405" s="20" t="n"/>
      <c r="F405" s="20" t="n"/>
      <c r="G405" s="20" t="n"/>
      <c r="H405" s="20" t="n"/>
      <c r="I405" s="20">
        <f>IFERROR(VLOOKUP(D405,XPMenu!$A:$F,2,FALSE),"")</f>
        <v/>
      </c>
      <c r="J405" s="20">
        <f>IFERROR(VLOOKUP(D405,XPMenu!$A:$F,3,FALSE),"")</f>
        <v/>
      </c>
      <c r="K405" s="20">
        <f>IFERROR(VLOOKUP(D405,XPMenu!$A:$F,4,FALSE),"")</f>
        <v/>
      </c>
      <c r="L405" s="20" t="n"/>
      <c r="M405" s="20">
        <f>IF(A405="","",IF(F405&lt;&gt;"Yes",0,IF(L405&lt;&gt;"",L405,E405*K405)))</f>
        <v/>
      </c>
      <c r="N405" s="20">
        <f>IF($A405="","",$A405-WEEKDAY($A405,2)+1)</f>
        <v/>
      </c>
      <c r="O405" s="20">
        <f>IF($A405="","",TEXT($A405,"yyyy-mm"))</f>
        <v/>
      </c>
      <c r="P405" s="21">
        <f>IF($A405="","",TEXT(YEAR($A405),"0000")&amp;"-Q"&amp;ROUNDUP(MONTH($A405)/3,0))</f>
        <v/>
      </c>
    </row>
    <row r="406">
      <c r="A406" s="22" t="n"/>
      <c r="B406" s="20" t="n"/>
      <c r="C406" s="20" t="n"/>
      <c r="D406" s="20">
        <f>IFERROR(INDEX(XPMenu!$A$2:$A$1000, MATCH(C406, XPMenu!$B$2:$B$1000, 0)), "")</f>
        <v/>
      </c>
      <c r="E406" s="20" t="n"/>
      <c r="F406" s="20" t="n"/>
      <c r="G406" s="20" t="n"/>
      <c r="H406" s="20" t="n"/>
      <c r="I406" s="20">
        <f>IFERROR(VLOOKUP(D406,XPMenu!$A:$F,2,FALSE),"")</f>
        <v/>
      </c>
      <c r="J406" s="20">
        <f>IFERROR(VLOOKUP(D406,XPMenu!$A:$F,3,FALSE),"")</f>
        <v/>
      </c>
      <c r="K406" s="20">
        <f>IFERROR(VLOOKUP(D406,XPMenu!$A:$F,4,FALSE),"")</f>
        <v/>
      </c>
      <c r="L406" s="20" t="n"/>
      <c r="M406" s="20">
        <f>IF(A406="","",IF(F406&lt;&gt;"Yes",0,IF(L406&lt;&gt;"",L406,E406*K406)))</f>
        <v/>
      </c>
      <c r="N406" s="20">
        <f>IF($A406="","",$A406-WEEKDAY($A406,2)+1)</f>
        <v/>
      </c>
      <c r="O406" s="20">
        <f>IF($A406="","",TEXT($A406,"yyyy-mm"))</f>
        <v/>
      </c>
      <c r="P406" s="21">
        <f>IF($A406="","",TEXT(YEAR($A406),"0000")&amp;"-Q"&amp;ROUNDUP(MONTH($A406)/3,0))</f>
        <v/>
      </c>
    </row>
    <row r="407">
      <c r="A407" s="22" t="n"/>
      <c r="B407" s="20" t="n"/>
      <c r="C407" s="20" t="n"/>
      <c r="D407" s="20">
        <f>IFERROR(INDEX(XPMenu!$A$2:$A$1000, MATCH(C407, XPMenu!$B$2:$B$1000, 0)), "")</f>
        <v/>
      </c>
      <c r="E407" s="20" t="n"/>
      <c r="F407" s="20" t="n"/>
      <c r="G407" s="20" t="n"/>
      <c r="H407" s="20" t="n"/>
      <c r="I407" s="20">
        <f>IFERROR(VLOOKUP(D407,XPMenu!$A:$F,2,FALSE),"")</f>
        <v/>
      </c>
      <c r="J407" s="20">
        <f>IFERROR(VLOOKUP(D407,XPMenu!$A:$F,3,FALSE),"")</f>
        <v/>
      </c>
      <c r="K407" s="20">
        <f>IFERROR(VLOOKUP(D407,XPMenu!$A:$F,4,FALSE),"")</f>
        <v/>
      </c>
      <c r="L407" s="20" t="n"/>
      <c r="M407" s="20">
        <f>IF(A407="","",IF(F407&lt;&gt;"Yes",0,IF(L407&lt;&gt;"",L407,E407*K407)))</f>
        <v/>
      </c>
      <c r="N407" s="20">
        <f>IF($A407="","",$A407-WEEKDAY($A407,2)+1)</f>
        <v/>
      </c>
      <c r="O407" s="20">
        <f>IF($A407="","",TEXT($A407,"yyyy-mm"))</f>
        <v/>
      </c>
      <c r="P407" s="21">
        <f>IF($A407="","",TEXT(YEAR($A407),"0000")&amp;"-Q"&amp;ROUNDUP(MONTH($A407)/3,0))</f>
        <v/>
      </c>
    </row>
    <row r="408">
      <c r="A408" s="22" t="n"/>
      <c r="B408" s="20" t="n"/>
      <c r="C408" s="20" t="n"/>
      <c r="D408" s="20">
        <f>IFERROR(INDEX(XPMenu!$A$2:$A$1000, MATCH(C408, XPMenu!$B$2:$B$1000, 0)), "")</f>
        <v/>
      </c>
      <c r="E408" s="20" t="n"/>
      <c r="F408" s="20" t="n"/>
      <c r="G408" s="20" t="n"/>
      <c r="H408" s="20" t="n"/>
      <c r="I408" s="20">
        <f>IFERROR(VLOOKUP(D408,XPMenu!$A:$F,2,FALSE),"")</f>
        <v/>
      </c>
      <c r="J408" s="20">
        <f>IFERROR(VLOOKUP(D408,XPMenu!$A:$F,3,FALSE),"")</f>
        <v/>
      </c>
      <c r="K408" s="20">
        <f>IFERROR(VLOOKUP(D408,XPMenu!$A:$F,4,FALSE),"")</f>
        <v/>
      </c>
      <c r="L408" s="20" t="n"/>
      <c r="M408" s="20">
        <f>IF(A408="","",IF(F408&lt;&gt;"Yes",0,IF(L408&lt;&gt;"",L408,E408*K408)))</f>
        <v/>
      </c>
      <c r="N408" s="20">
        <f>IF($A408="","",$A408-WEEKDAY($A408,2)+1)</f>
        <v/>
      </c>
      <c r="O408" s="20">
        <f>IF($A408="","",TEXT($A408,"yyyy-mm"))</f>
        <v/>
      </c>
      <c r="P408" s="21">
        <f>IF($A408="","",TEXT(YEAR($A408),"0000")&amp;"-Q"&amp;ROUNDUP(MONTH($A408)/3,0))</f>
        <v/>
      </c>
    </row>
    <row r="409">
      <c r="A409" s="22" t="n"/>
      <c r="B409" s="20" t="n"/>
      <c r="C409" s="20" t="n"/>
      <c r="D409" s="20">
        <f>IFERROR(INDEX(XPMenu!$A$2:$A$1000, MATCH(C409, XPMenu!$B$2:$B$1000, 0)), "")</f>
        <v/>
      </c>
      <c r="E409" s="20" t="n"/>
      <c r="F409" s="20" t="n"/>
      <c r="G409" s="20" t="n"/>
      <c r="H409" s="20" t="n"/>
      <c r="I409" s="20">
        <f>IFERROR(VLOOKUP(D409,XPMenu!$A:$F,2,FALSE),"")</f>
        <v/>
      </c>
      <c r="J409" s="20">
        <f>IFERROR(VLOOKUP(D409,XPMenu!$A:$F,3,FALSE),"")</f>
        <v/>
      </c>
      <c r="K409" s="20">
        <f>IFERROR(VLOOKUP(D409,XPMenu!$A:$F,4,FALSE),"")</f>
        <v/>
      </c>
      <c r="L409" s="20" t="n"/>
      <c r="M409" s="20">
        <f>IF(A409="","",IF(F409&lt;&gt;"Yes",0,IF(L409&lt;&gt;"",L409,E409*K409)))</f>
        <v/>
      </c>
      <c r="N409" s="20">
        <f>IF($A409="","",$A409-WEEKDAY($A409,2)+1)</f>
        <v/>
      </c>
      <c r="O409" s="20">
        <f>IF($A409="","",TEXT($A409,"yyyy-mm"))</f>
        <v/>
      </c>
      <c r="P409" s="21">
        <f>IF($A409="","",TEXT(YEAR($A409),"0000")&amp;"-Q"&amp;ROUNDUP(MONTH($A409)/3,0))</f>
        <v/>
      </c>
    </row>
    <row r="410">
      <c r="A410" s="22" t="n"/>
      <c r="B410" s="20" t="n"/>
      <c r="C410" s="20" t="n"/>
      <c r="D410" s="20">
        <f>IFERROR(INDEX(XPMenu!$A$2:$A$1000, MATCH(C410, XPMenu!$B$2:$B$1000, 0)), "")</f>
        <v/>
      </c>
      <c r="E410" s="20" t="n"/>
      <c r="F410" s="20" t="n"/>
      <c r="G410" s="20" t="n"/>
      <c r="H410" s="20" t="n"/>
      <c r="I410" s="20">
        <f>IFERROR(VLOOKUP(D410,XPMenu!$A:$F,2,FALSE),"")</f>
        <v/>
      </c>
      <c r="J410" s="20">
        <f>IFERROR(VLOOKUP(D410,XPMenu!$A:$F,3,FALSE),"")</f>
        <v/>
      </c>
      <c r="K410" s="20">
        <f>IFERROR(VLOOKUP(D410,XPMenu!$A:$F,4,FALSE),"")</f>
        <v/>
      </c>
      <c r="L410" s="20" t="n"/>
      <c r="M410" s="20">
        <f>IF(A410="","",IF(F410&lt;&gt;"Yes",0,IF(L410&lt;&gt;"",L410,E410*K410)))</f>
        <v/>
      </c>
      <c r="N410" s="20">
        <f>IF($A410="","",$A410-WEEKDAY($A410,2)+1)</f>
        <v/>
      </c>
      <c r="O410" s="20">
        <f>IF($A410="","",TEXT($A410,"yyyy-mm"))</f>
        <v/>
      </c>
      <c r="P410" s="21">
        <f>IF($A410="","",TEXT(YEAR($A410),"0000")&amp;"-Q"&amp;ROUNDUP(MONTH($A410)/3,0))</f>
        <v/>
      </c>
    </row>
    <row r="411">
      <c r="A411" s="22" t="n"/>
      <c r="B411" s="20" t="n"/>
      <c r="C411" s="20" t="n"/>
      <c r="D411" s="20">
        <f>IFERROR(INDEX(XPMenu!$A$2:$A$1000, MATCH(C411, XPMenu!$B$2:$B$1000, 0)), "")</f>
        <v/>
      </c>
      <c r="E411" s="20" t="n"/>
      <c r="F411" s="20" t="n"/>
      <c r="G411" s="20" t="n"/>
      <c r="H411" s="20" t="n"/>
      <c r="I411" s="20">
        <f>IFERROR(VLOOKUP(D411,XPMenu!$A:$F,2,FALSE),"")</f>
        <v/>
      </c>
      <c r="J411" s="20">
        <f>IFERROR(VLOOKUP(D411,XPMenu!$A:$F,3,FALSE),"")</f>
        <v/>
      </c>
      <c r="K411" s="20">
        <f>IFERROR(VLOOKUP(D411,XPMenu!$A:$F,4,FALSE),"")</f>
        <v/>
      </c>
      <c r="L411" s="20" t="n"/>
      <c r="M411" s="20">
        <f>IF(A411="","",IF(F411&lt;&gt;"Yes",0,IF(L411&lt;&gt;"",L411,E411*K411)))</f>
        <v/>
      </c>
      <c r="N411" s="20">
        <f>IF($A411="","",$A411-WEEKDAY($A411,2)+1)</f>
        <v/>
      </c>
      <c r="O411" s="20">
        <f>IF($A411="","",TEXT($A411,"yyyy-mm"))</f>
        <v/>
      </c>
      <c r="P411" s="21">
        <f>IF($A411="","",TEXT(YEAR($A411),"0000")&amp;"-Q"&amp;ROUNDUP(MONTH($A411)/3,0))</f>
        <v/>
      </c>
    </row>
    <row r="412">
      <c r="A412" s="22" t="n"/>
      <c r="B412" s="20" t="n"/>
      <c r="C412" s="20" t="n"/>
      <c r="D412" s="20">
        <f>IFERROR(INDEX(XPMenu!$A$2:$A$1000, MATCH(C412, XPMenu!$B$2:$B$1000, 0)), "")</f>
        <v/>
      </c>
      <c r="E412" s="20" t="n"/>
      <c r="F412" s="20" t="n"/>
      <c r="G412" s="20" t="n"/>
      <c r="H412" s="20" t="n"/>
      <c r="I412" s="20">
        <f>IFERROR(VLOOKUP(D412,XPMenu!$A:$F,2,FALSE),"")</f>
        <v/>
      </c>
      <c r="J412" s="20">
        <f>IFERROR(VLOOKUP(D412,XPMenu!$A:$F,3,FALSE),"")</f>
        <v/>
      </c>
      <c r="K412" s="20">
        <f>IFERROR(VLOOKUP(D412,XPMenu!$A:$F,4,FALSE),"")</f>
        <v/>
      </c>
      <c r="L412" s="20" t="n"/>
      <c r="M412" s="20">
        <f>IF(A412="","",IF(F412&lt;&gt;"Yes",0,IF(L412&lt;&gt;"",L412,E412*K412)))</f>
        <v/>
      </c>
      <c r="N412" s="20">
        <f>IF($A412="","",$A412-WEEKDAY($A412,2)+1)</f>
        <v/>
      </c>
      <c r="O412" s="20">
        <f>IF($A412="","",TEXT($A412,"yyyy-mm"))</f>
        <v/>
      </c>
      <c r="P412" s="21">
        <f>IF($A412="","",TEXT(YEAR($A412),"0000")&amp;"-Q"&amp;ROUNDUP(MONTH($A412)/3,0))</f>
        <v/>
      </c>
    </row>
    <row r="413">
      <c r="A413" s="22" t="n"/>
      <c r="B413" s="20" t="n"/>
      <c r="C413" s="20" t="n"/>
      <c r="D413" s="20">
        <f>IFERROR(INDEX(XPMenu!$A$2:$A$1000, MATCH(C413, XPMenu!$B$2:$B$1000, 0)), "")</f>
        <v/>
      </c>
      <c r="E413" s="20" t="n"/>
      <c r="F413" s="20" t="n"/>
      <c r="G413" s="20" t="n"/>
      <c r="H413" s="20" t="n"/>
      <c r="I413" s="20">
        <f>IFERROR(VLOOKUP(D413,XPMenu!$A:$F,2,FALSE),"")</f>
        <v/>
      </c>
      <c r="J413" s="20">
        <f>IFERROR(VLOOKUP(D413,XPMenu!$A:$F,3,FALSE),"")</f>
        <v/>
      </c>
      <c r="K413" s="20">
        <f>IFERROR(VLOOKUP(D413,XPMenu!$A:$F,4,FALSE),"")</f>
        <v/>
      </c>
      <c r="L413" s="20" t="n"/>
      <c r="M413" s="20">
        <f>IF(A413="","",IF(F413&lt;&gt;"Yes",0,IF(L413&lt;&gt;"",L413,E413*K413)))</f>
        <v/>
      </c>
      <c r="N413" s="20">
        <f>IF($A413="","",$A413-WEEKDAY($A413,2)+1)</f>
        <v/>
      </c>
      <c r="O413" s="20">
        <f>IF($A413="","",TEXT($A413,"yyyy-mm"))</f>
        <v/>
      </c>
      <c r="P413" s="21">
        <f>IF($A413="","",TEXT(YEAR($A413),"0000")&amp;"-Q"&amp;ROUNDUP(MONTH($A413)/3,0))</f>
        <v/>
      </c>
    </row>
    <row r="414">
      <c r="A414" s="22" t="n"/>
      <c r="B414" s="20" t="n"/>
      <c r="C414" s="20" t="n"/>
      <c r="D414" s="20">
        <f>IFERROR(INDEX(XPMenu!$A$2:$A$1000, MATCH(C414, XPMenu!$B$2:$B$1000, 0)), "")</f>
        <v/>
      </c>
      <c r="E414" s="20" t="n"/>
      <c r="F414" s="20" t="n"/>
      <c r="G414" s="20" t="n"/>
      <c r="H414" s="20" t="n"/>
      <c r="I414" s="20">
        <f>IFERROR(VLOOKUP(D414,XPMenu!$A:$F,2,FALSE),"")</f>
        <v/>
      </c>
      <c r="J414" s="20">
        <f>IFERROR(VLOOKUP(D414,XPMenu!$A:$F,3,FALSE),"")</f>
        <v/>
      </c>
      <c r="K414" s="20">
        <f>IFERROR(VLOOKUP(D414,XPMenu!$A:$F,4,FALSE),"")</f>
        <v/>
      </c>
      <c r="L414" s="20" t="n"/>
      <c r="M414" s="20">
        <f>IF(A414="","",IF(F414&lt;&gt;"Yes",0,IF(L414&lt;&gt;"",L414,E414*K414)))</f>
        <v/>
      </c>
      <c r="N414" s="20">
        <f>IF($A414="","",$A414-WEEKDAY($A414,2)+1)</f>
        <v/>
      </c>
      <c r="O414" s="20">
        <f>IF($A414="","",TEXT($A414,"yyyy-mm"))</f>
        <v/>
      </c>
      <c r="P414" s="21">
        <f>IF($A414="","",TEXT(YEAR($A414),"0000")&amp;"-Q"&amp;ROUNDUP(MONTH($A414)/3,0))</f>
        <v/>
      </c>
    </row>
    <row r="415">
      <c r="A415" s="22" t="n"/>
      <c r="B415" s="20" t="n"/>
      <c r="C415" s="20" t="n"/>
      <c r="D415" s="20">
        <f>IFERROR(INDEX(XPMenu!$A$2:$A$1000, MATCH(C415, XPMenu!$B$2:$B$1000, 0)), "")</f>
        <v/>
      </c>
      <c r="E415" s="20" t="n"/>
      <c r="F415" s="20" t="n"/>
      <c r="G415" s="20" t="n"/>
      <c r="H415" s="20" t="n"/>
      <c r="I415" s="20">
        <f>IFERROR(VLOOKUP(D415,XPMenu!$A:$F,2,FALSE),"")</f>
        <v/>
      </c>
      <c r="J415" s="20">
        <f>IFERROR(VLOOKUP(D415,XPMenu!$A:$F,3,FALSE),"")</f>
        <v/>
      </c>
      <c r="K415" s="20">
        <f>IFERROR(VLOOKUP(D415,XPMenu!$A:$F,4,FALSE),"")</f>
        <v/>
      </c>
      <c r="L415" s="20" t="n"/>
      <c r="M415" s="20">
        <f>IF(A415="","",IF(F415&lt;&gt;"Yes",0,IF(L415&lt;&gt;"",L415,E415*K415)))</f>
        <v/>
      </c>
      <c r="N415" s="20">
        <f>IF($A415="","",$A415-WEEKDAY($A415,2)+1)</f>
        <v/>
      </c>
      <c r="O415" s="20">
        <f>IF($A415="","",TEXT($A415,"yyyy-mm"))</f>
        <v/>
      </c>
      <c r="P415" s="21">
        <f>IF($A415="","",TEXT(YEAR($A415),"0000")&amp;"-Q"&amp;ROUNDUP(MONTH($A415)/3,0))</f>
        <v/>
      </c>
    </row>
    <row r="416">
      <c r="A416" s="22" t="n"/>
      <c r="B416" s="20" t="n"/>
      <c r="C416" s="20" t="n"/>
      <c r="D416" s="20">
        <f>IFERROR(INDEX(XPMenu!$A$2:$A$1000, MATCH(C416, XPMenu!$B$2:$B$1000, 0)), "")</f>
        <v/>
      </c>
      <c r="E416" s="20" t="n"/>
      <c r="F416" s="20" t="n"/>
      <c r="G416" s="20" t="n"/>
      <c r="H416" s="20" t="n"/>
      <c r="I416" s="20">
        <f>IFERROR(VLOOKUP(D416,XPMenu!$A:$F,2,FALSE),"")</f>
        <v/>
      </c>
      <c r="J416" s="20">
        <f>IFERROR(VLOOKUP(D416,XPMenu!$A:$F,3,FALSE),"")</f>
        <v/>
      </c>
      <c r="K416" s="20">
        <f>IFERROR(VLOOKUP(D416,XPMenu!$A:$F,4,FALSE),"")</f>
        <v/>
      </c>
      <c r="L416" s="20" t="n"/>
      <c r="M416" s="20">
        <f>IF(A416="","",IF(F416&lt;&gt;"Yes",0,IF(L416&lt;&gt;"",L416,E416*K416)))</f>
        <v/>
      </c>
      <c r="N416" s="20">
        <f>IF($A416="","",$A416-WEEKDAY($A416,2)+1)</f>
        <v/>
      </c>
      <c r="O416" s="20">
        <f>IF($A416="","",TEXT($A416,"yyyy-mm"))</f>
        <v/>
      </c>
      <c r="P416" s="21">
        <f>IF($A416="","",TEXT(YEAR($A416),"0000")&amp;"-Q"&amp;ROUNDUP(MONTH($A416)/3,0))</f>
        <v/>
      </c>
    </row>
    <row r="417">
      <c r="A417" s="22" t="n"/>
      <c r="B417" s="20" t="n"/>
      <c r="C417" s="20" t="n"/>
      <c r="D417" s="20">
        <f>IFERROR(INDEX(XPMenu!$A$2:$A$1000, MATCH(C417, XPMenu!$B$2:$B$1000, 0)), "")</f>
        <v/>
      </c>
      <c r="E417" s="20" t="n"/>
      <c r="F417" s="20" t="n"/>
      <c r="G417" s="20" t="n"/>
      <c r="H417" s="20" t="n"/>
      <c r="I417" s="20">
        <f>IFERROR(VLOOKUP(D417,XPMenu!$A:$F,2,FALSE),"")</f>
        <v/>
      </c>
      <c r="J417" s="20">
        <f>IFERROR(VLOOKUP(D417,XPMenu!$A:$F,3,FALSE),"")</f>
        <v/>
      </c>
      <c r="K417" s="20">
        <f>IFERROR(VLOOKUP(D417,XPMenu!$A:$F,4,FALSE),"")</f>
        <v/>
      </c>
      <c r="L417" s="20" t="n"/>
      <c r="M417" s="20">
        <f>IF(A417="","",IF(F417&lt;&gt;"Yes",0,IF(L417&lt;&gt;"",L417,E417*K417)))</f>
        <v/>
      </c>
      <c r="N417" s="20">
        <f>IF($A417="","",$A417-WEEKDAY($A417,2)+1)</f>
        <v/>
      </c>
      <c r="O417" s="20">
        <f>IF($A417="","",TEXT($A417,"yyyy-mm"))</f>
        <v/>
      </c>
      <c r="P417" s="21">
        <f>IF($A417="","",TEXT(YEAR($A417),"0000")&amp;"-Q"&amp;ROUNDUP(MONTH($A417)/3,0))</f>
        <v/>
      </c>
    </row>
    <row r="418">
      <c r="A418" s="22" t="n"/>
      <c r="B418" s="20" t="n"/>
      <c r="C418" s="20" t="n"/>
      <c r="D418" s="20">
        <f>IFERROR(INDEX(XPMenu!$A$2:$A$1000, MATCH(C418, XPMenu!$B$2:$B$1000, 0)), "")</f>
        <v/>
      </c>
      <c r="E418" s="20" t="n"/>
      <c r="F418" s="20" t="n"/>
      <c r="G418" s="20" t="n"/>
      <c r="H418" s="20" t="n"/>
      <c r="I418" s="20">
        <f>IFERROR(VLOOKUP(D418,XPMenu!$A:$F,2,FALSE),"")</f>
        <v/>
      </c>
      <c r="J418" s="20">
        <f>IFERROR(VLOOKUP(D418,XPMenu!$A:$F,3,FALSE),"")</f>
        <v/>
      </c>
      <c r="K418" s="20">
        <f>IFERROR(VLOOKUP(D418,XPMenu!$A:$F,4,FALSE),"")</f>
        <v/>
      </c>
      <c r="L418" s="20" t="n"/>
      <c r="M418" s="20">
        <f>IF(A418="","",IF(F418&lt;&gt;"Yes",0,IF(L418&lt;&gt;"",L418,E418*K418)))</f>
        <v/>
      </c>
      <c r="N418" s="20">
        <f>IF($A418="","",$A418-WEEKDAY($A418,2)+1)</f>
        <v/>
      </c>
      <c r="O418" s="20">
        <f>IF($A418="","",TEXT($A418,"yyyy-mm"))</f>
        <v/>
      </c>
      <c r="P418" s="21">
        <f>IF($A418="","",TEXT(YEAR($A418),"0000")&amp;"-Q"&amp;ROUNDUP(MONTH($A418)/3,0))</f>
        <v/>
      </c>
    </row>
    <row r="419">
      <c r="A419" s="22" t="n"/>
      <c r="B419" s="20" t="n"/>
      <c r="C419" s="20" t="n"/>
      <c r="D419" s="20">
        <f>IFERROR(INDEX(XPMenu!$A$2:$A$1000, MATCH(C419, XPMenu!$B$2:$B$1000, 0)), "")</f>
        <v/>
      </c>
      <c r="E419" s="20" t="n"/>
      <c r="F419" s="20" t="n"/>
      <c r="G419" s="20" t="n"/>
      <c r="H419" s="20" t="n"/>
      <c r="I419" s="20">
        <f>IFERROR(VLOOKUP(D419,XPMenu!$A:$F,2,FALSE),"")</f>
        <v/>
      </c>
      <c r="J419" s="20">
        <f>IFERROR(VLOOKUP(D419,XPMenu!$A:$F,3,FALSE),"")</f>
        <v/>
      </c>
      <c r="K419" s="20">
        <f>IFERROR(VLOOKUP(D419,XPMenu!$A:$F,4,FALSE),"")</f>
        <v/>
      </c>
      <c r="L419" s="20" t="n"/>
      <c r="M419" s="20">
        <f>IF(A419="","",IF(F419&lt;&gt;"Yes",0,IF(L419&lt;&gt;"",L419,E419*K419)))</f>
        <v/>
      </c>
      <c r="N419" s="20">
        <f>IF($A419="","",$A419-WEEKDAY($A419,2)+1)</f>
        <v/>
      </c>
      <c r="O419" s="20">
        <f>IF($A419="","",TEXT($A419,"yyyy-mm"))</f>
        <v/>
      </c>
      <c r="P419" s="21">
        <f>IF($A419="","",TEXT(YEAR($A419),"0000")&amp;"-Q"&amp;ROUNDUP(MONTH($A419)/3,0))</f>
        <v/>
      </c>
    </row>
    <row r="420">
      <c r="A420" s="22" t="n"/>
      <c r="B420" s="20" t="n"/>
      <c r="C420" s="20" t="n"/>
      <c r="D420" s="20">
        <f>IFERROR(INDEX(XPMenu!$A$2:$A$1000, MATCH(C420, XPMenu!$B$2:$B$1000, 0)), "")</f>
        <v/>
      </c>
      <c r="E420" s="20" t="n"/>
      <c r="F420" s="20" t="n"/>
      <c r="G420" s="20" t="n"/>
      <c r="H420" s="20" t="n"/>
      <c r="I420" s="20">
        <f>IFERROR(VLOOKUP(D420,XPMenu!$A:$F,2,FALSE),"")</f>
        <v/>
      </c>
      <c r="J420" s="20">
        <f>IFERROR(VLOOKUP(D420,XPMenu!$A:$F,3,FALSE),"")</f>
        <v/>
      </c>
      <c r="K420" s="20">
        <f>IFERROR(VLOOKUP(D420,XPMenu!$A:$F,4,FALSE),"")</f>
        <v/>
      </c>
      <c r="L420" s="20" t="n"/>
      <c r="M420" s="20">
        <f>IF(A420="","",IF(F420&lt;&gt;"Yes",0,IF(L420&lt;&gt;"",L420,E420*K420)))</f>
        <v/>
      </c>
      <c r="N420" s="20">
        <f>IF($A420="","",$A420-WEEKDAY($A420,2)+1)</f>
        <v/>
      </c>
      <c r="O420" s="20">
        <f>IF($A420="","",TEXT($A420,"yyyy-mm"))</f>
        <v/>
      </c>
      <c r="P420" s="21">
        <f>IF($A420="","",TEXT(YEAR($A420),"0000")&amp;"-Q"&amp;ROUNDUP(MONTH($A420)/3,0))</f>
        <v/>
      </c>
    </row>
    <row r="421">
      <c r="A421" s="22" t="n"/>
      <c r="B421" s="20" t="n"/>
      <c r="C421" s="20" t="n"/>
      <c r="D421" s="20">
        <f>IFERROR(INDEX(XPMenu!$A$2:$A$1000, MATCH(C421, XPMenu!$B$2:$B$1000, 0)), "")</f>
        <v/>
      </c>
      <c r="E421" s="20" t="n"/>
      <c r="F421" s="20" t="n"/>
      <c r="G421" s="20" t="n"/>
      <c r="H421" s="20" t="n"/>
      <c r="I421" s="20">
        <f>IFERROR(VLOOKUP(D421,XPMenu!$A:$F,2,FALSE),"")</f>
        <v/>
      </c>
      <c r="J421" s="20">
        <f>IFERROR(VLOOKUP(D421,XPMenu!$A:$F,3,FALSE),"")</f>
        <v/>
      </c>
      <c r="K421" s="20">
        <f>IFERROR(VLOOKUP(D421,XPMenu!$A:$F,4,FALSE),"")</f>
        <v/>
      </c>
      <c r="L421" s="20" t="n"/>
      <c r="M421" s="20">
        <f>IF(A421="","",IF(F421&lt;&gt;"Yes",0,IF(L421&lt;&gt;"",L421,E421*K421)))</f>
        <v/>
      </c>
      <c r="N421" s="20">
        <f>IF($A421="","",$A421-WEEKDAY($A421,2)+1)</f>
        <v/>
      </c>
      <c r="O421" s="20">
        <f>IF($A421="","",TEXT($A421,"yyyy-mm"))</f>
        <v/>
      </c>
      <c r="P421" s="21">
        <f>IF($A421="","",TEXT(YEAR($A421),"0000")&amp;"-Q"&amp;ROUNDUP(MONTH($A421)/3,0))</f>
        <v/>
      </c>
    </row>
    <row r="422">
      <c r="A422" s="22" t="n"/>
      <c r="B422" s="20" t="n"/>
      <c r="C422" s="20" t="n"/>
      <c r="D422" s="20">
        <f>IFERROR(INDEX(XPMenu!$A$2:$A$1000, MATCH(C422, XPMenu!$B$2:$B$1000, 0)), "")</f>
        <v/>
      </c>
      <c r="E422" s="20" t="n"/>
      <c r="F422" s="20" t="n"/>
      <c r="G422" s="20" t="n"/>
      <c r="H422" s="20" t="n"/>
      <c r="I422" s="20">
        <f>IFERROR(VLOOKUP(D422,XPMenu!$A:$F,2,FALSE),"")</f>
        <v/>
      </c>
      <c r="J422" s="20">
        <f>IFERROR(VLOOKUP(D422,XPMenu!$A:$F,3,FALSE),"")</f>
        <v/>
      </c>
      <c r="K422" s="20">
        <f>IFERROR(VLOOKUP(D422,XPMenu!$A:$F,4,FALSE),"")</f>
        <v/>
      </c>
      <c r="L422" s="20" t="n"/>
      <c r="M422" s="20">
        <f>IF(A422="","",IF(F422&lt;&gt;"Yes",0,IF(L422&lt;&gt;"",L422,E422*K422)))</f>
        <v/>
      </c>
      <c r="N422" s="20">
        <f>IF($A422="","",$A422-WEEKDAY($A422,2)+1)</f>
        <v/>
      </c>
      <c r="O422" s="20">
        <f>IF($A422="","",TEXT($A422,"yyyy-mm"))</f>
        <v/>
      </c>
      <c r="P422" s="21">
        <f>IF($A422="","",TEXT(YEAR($A422),"0000")&amp;"-Q"&amp;ROUNDUP(MONTH($A422)/3,0))</f>
        <v/>
      </c>
    </row>
    <row r="423">
      <c r="A423" s="22" t="n"/>
      <c r="B423" s="20" t="n"/>
      <c r="C423" s="20" t="n"/>
      <c r="D423" s="20">
        <f>IFERROR(INDEX(XPMenu!$A$2:$A$1000, MATCH(C423, XPMenu!$B$2:$B$1000, 0)), "")</f>
        <v/>
      </c>
      <c r="E423" s="20" t="n"/>
      <c r="F423" s="20" t="n"/>
      <c r="G423" s="20" t="n"/>
      <c r="H423" s="20" t="n"/>
      <c r="I423" s="20">
        <f>IFERROR(VLOOKUP(D423,XPMenu!$A:$F,2,FALSE),"")</f>
        <v/>
      </c>
      <c r="J423" s="20">
        <f>IFERROR(VLOOKUP(D423,XPMenu!$A:$F,3,FALSE),"")</f>
        <v/>
      </c>
      <c r="K423" s="20">
        <f>IFERROR(VLOOKUP(D423,XPMenu!$A:$F,4,FALSE),"")</f>
        <v/>
      </c>
      <c r="L423" s="20" t="n"/>
      <c r="M423" s="20">
        <f>IF(A423="","",IF(F423&lt;&gt;"Yes",0,IF(L423&lt;&gt;"",L423,E423*K423)))</f>
        <v/>
      </c>
      <c r="N423" s="20">
        <f>IF($A423="","",$A423-WEEKDAY($A423,2)+1)</f>
        <v/>
      </c>
      <c r="O423" s="20">
        <f>IF($A423="","",TEXT($A423,"yyyy-mm"))</f>
        <v/>
      </c>
      <c r="P423" s="21">
        <f>IF($A423="","",TEXT(YEAR($A423),"0000")&amp;"-Q"&amp;ROUNDUP(MONTH($A423)/3,0))</f>
        <v/>
      </c>
    </row>
    <row r="424">
      <c r="A424" s="22" t="n"/>
      <c r="B424" s="20" t="n"/>
      <c r="C424" s="20" t="n"/>
      <c r="D424" s="20">
        <f>IFERROR(INDEX(XPMenu!$A$2:$A$1000, MATCH(C424, XPMenu!$B$2:$B$1000, 0)), "")</f>
        <v/>
      </c>
      <c r="E424" s="20" t="n"/>
      <c r="F424" s="20" t="n"/>
      <c r="G424" s="20" t="n"/>
      <c r="H424" s="20" t="n"/>
      <c r="I424" s="20">
        <f>IFERROR(VLOOKUP(D424,XPMenu!$A:$F,2,FALSE),"")</f>
        <v/>
      </c>
      <c r="J424" s="20">
        <f>IFERROR(VLOOKUP(D424,XPMenu!$A:$F,3,FALSE),"")</f>
        <v/>
      </c>
      <c r="K424" s="20">
        <f>IFERROR(VLOOKUP(D424,XPMenu!$A:$F,4,FALSE),"")</f>
        <v/>
      </c>
      <c r="L424" s="20" t="n"/>
      <c r="M424" s="20">
        <f>IF(A424="","",IF(F424&lt;&gt;"Yes",0,IF(L424&lt;&gt;"",L424,E424*K424)))</f>
        <v/>
      </c>
      <c r="N424" s="20">
        <f>IF($A424="","",$A424-WEEKDAY($A424,2)+1)</f>
        <v/>
      </c>
      <c r="O424" s="20">
        <f>IF($A424="","",TEXT($A424,"yyyy-mm"))</f>
        <v/>
      </c>
      <c r="P424" s="21">
        <f>IF($A424="","",TEXT(YEAR($A424),"0000")&amp;"-Q"&amp;ROUNDUP(MONTH($A424)/3,0))</f>
        <v/>
      </c>
    </row>
    <row r="425">
      <c r="A425" s="22" t="n"/>
      <c r="B425" s="20" t="n"/>
      <c r="C425" s="20" t="n"/>
      <c r="D425" s="20">
        <f>IFERROR(INDEX(XPMenu!$A$2:$A$1000, MATCH(C425, XPMenu!$B$2:$B$1000, 0)), "")</f>
        <v/>
      </c>
      <c r="E425" s="20" t="n"/>
      <c r="F425" s="20" t="n"/>
      <c r="G425" s="20" t="n"/>
      <c r="H425" s="20" t="n"/>
      <c r="I425" s="20">
        <f>IFERROR(VLOOKUP(D425,XPMenu!$A:$F,2,FALSE),"")</f>
        <v/>
      </c>
      <c r="J425" s="20">
        <f>IFERROR(VLOOKUP(D425,XPMenu!$A:$F,3,FALSE),"")</f>
        <v/>
      </c>
      <c r="K425" s="20">
        <f>IFERROR(VLOOKUP(D425,XPMenu!$A:$F,4,FALSE),"")</f>
        <v/>
      </c>
      <c r="L425" s="20" t="n"/>
      <c r="M425" s="20">
        <f>IF(A425="","",IF(F425&lt;&gt;"Yes",0,IF(L425&lt;&gt;"",L425,E425*K425)))</f>
        <v/>
      </c>
      <c r="N425" s="20">
        <f>IF($A425="","",$A425-WEEKDAY($A425,2)+1)</f>
        <v/>
      </c>
      <c r="O425" s="20">
        <f>IF($A425="","",TEXT($A425,"yyyy-mm"))</f>
        <v/>
      </c>
      <c r="P425" s="21">
        <f>IF($A425="","",TEXT(YEAR($A425),"0000")&amp;"-Q"&amp;ROUNDUP(MONTH($A425)/3,0))</f>
        <v/>
      </c>
    </row>
    <row r="426">
      <c r="A426" s="22" t="n"/>
      <c r="B426" s="20" t="n"/>
      <c r="C426" s="20" t="n"/>
      <c r="D426" s="20">
        <f>IFERROR(INDEX(XPMenu!$A$2:$A$1000, MATCH(C426, XPMenu!$B$2:$B$1000, 0)), "")</f>
        <v/>
      </c>
      <c r="E426" s="20" t="n"/>
      <c r="F426" s="20" t="n"/>
      <c r="G426" s="20" t="n"/>
      <c r="H426" s="20" t="n"/>
      <c r="I426" s="20">
        <f>IFERROR(VLOOKUP(D426,XPMenu!$A:$F,2,FALSE),"")</f>
        <v/>
      </c>
      <c r="J426" s="20">
        <f>IFERROR(VLOOKUP(D426,XPMenu!$A:$F,3,FALSE),"")</f>
        <v/>
      </c>
      <c r="K426" s="20">
        <f>IFERROR(VLOOKUP(D426,XPMenu!$A:$F,4,FALSE),"")</f>
        <v/>
      </c>
      <c r="L426" s="20" t="n"/>
      <c r="M426" s="20">
        <f>IF(A426="","",IF(F426&lt;&gt;"Yes",0,IF(L426&lt;&gt;"",L426,E426*K426)))</f>
        <v/>
      </c>
      <c r="N426" s="20">
        <f>IF($A426="","",$A426-WEEKDAY($A426,2)+1)</f>
        <v/>
      </c>
      <c r="O426" s="20">
        <f>IF($A426="","",TEXT($A426,"yyyy-mm"))</f>
        <v/>
      </c>
      <c r="P426" s="21">
        <f>IF($A426="","",TEXT(YEAR($A426),"0000")&amp;"-Q"&amp;ROUNDUP(MONTH($A426)/3,0))</f>
        <v/>
      </c>
    </row>
    <row r="427">
      <c r="A427" s="22" t="n"/>
      <c r="B427" s="20" t="n"/>
      <c r="C427" s="20" t="n"/>
      <c r="D427" s="20">
        <f>IFERROR(INDEX(XPMenu!$A$2:$A$1000, MATCH(C427, XPMenu!$B$2:$B$1000, 0)), "")</f>
        <v/>
      </c>
      <c r="E427" s="20" t="n"/>
      <c r="F427" s="20" t="n"/>
      <c r="G427" s="20" t="n"/>
      <c r="H427" s="20" t="n"/>
      <c r="I427" s="20">
        <f>IFERROR(VLOOKUP(D427,XPMenu!$A:$F,2,FALSE),"")</f>
        <v/>
      </c>
      <c r="J427" s="20">
        <f>IFERROR(VLOOKUP(D427,XPMenu!$A:$F,3,FALSE),"")</f>
        <v/>
      </c>
      <c r="K427" s="20">
        <f>IFERROR(VLOOKUP(D427,XPMenu!$A:$F,4,FALSE),"")</f>
        <v/>
      </c>
      <c r="L427" s="20" t="n"/>
      <c r="M427" s="20">
        <f>IF(A427="","",IF(F427&lt;&gt;"Yes",0,IF(L427&lt;&gt;"",L427,E427*K427)))</f>
        <v/>
      </c>
      <c r="N427" s="20">
        <f>IF($A427="","",$A427-WEEKDAY($A427,2)+1)</f>
        <v/>
      </c>
      <c r="O427" s="20">
        <f>IF($A427="","",TEXT($A427,"yyyy-mm"))</f>
        <v/>
      </c>
      <c r="P427" s="21">
        <f>IF($A427="","",TEXT(YEAR($A427),"0000")&amp;"-Q"&amp;ROUNDUP(MONTH($A427)/3,0))</f>
        <v/>
      </c>
    </row>
    <row r="428">
      <c r="A428" s="22" t="n"/>
      <c r="B428" s="20" t="n"/>
      <c r="C428" s="20" t="n"/>
      <c r="D428" s="20">
        <f>IFERROR(INDEX(XPMenu!$A$2:$A$1000, MATCH(C428, XPMenu!$B$2:$B$1000, 0)), "")</f>
        <v/>
      </c>
      <c r="E428" s="20" t="n"/>
      <c r="F428" s="20" t="n"/>
      <c r="G428" s="20" t="n"/>
      <c r="H428" s="20" t="n"/>
      <c r="I428" s="20">
        <f>IFERROR(VLOOKUP(D428,XPMenu!$A:$F,2,FALSE),"")</f>
        <v/>
      </c>
      <c r="J428" s="20">
        <f>IFERROR(VLOOKUP(D428,XPMenu!$A:$F,3,FALSE),"")</f>
        <v/>
      </c>
      <c r="K428" s="20">
        <f>IFERROR(VLOOKUP(D428,XPMenu!$A:$F,4,FALSE),"")</f>
        <v/>
      </c>
      <c r="L428" s="20" t="n"/>
      <c r="M428" s="20">
        <f>IF(A428="","",IF(F428&lt;&gt;"Yes",0,IF(L428&lt;&gt;"",L428,E428*K428)))</f>
        <v/>
      </c>
      <c r="N428" s="20">
        <f>IF($A428="","",$A428-WEEKDAY($A428,2)+1)</f>
        <v/>
      </c>
      <c r="O428" s="20">
        <f>IF($A428="","",TEXT($A428,"yyyy-mm"))</f>
        <v/>
      </c>
      <c r="P428" s="21">
        <f>IF($A428="","",TEXT(YEAR($A428),"0000")&amp;"-Q"&amp;ROUNDUP(MONTH($A428)/3,0))</f>
        <v/>
      </c>
    </row>
    <row r="429">
      <c r="A429" s="22" t="n"/>
      <c r="B429" s="20" t="n"/>
      <c r="C429" s="20" t="n"/>
      <c r="D429" s="20">
        <f>IFERROR(INDEX(XPMenu!$A$2:$A$1000, MATCH(C429, XPMenu!$B$2:$B$1000, 0)), "")</f>
        <v/>
      </c>
      <c r="E429" s="20" t="n"/>
      <c r="F429" s="20" t="n"/>
      <c r="G429" s="20" t="n"/>
      <c r="H429" s="20" t="n"/>
      <c r="I429" s="20">
        <f>IFERROR(VLOOKUP(D429,XPMenu!$A:$F,2,FALSE),"")</f>
        <v/>
      </c>
      <c r="J429" s="20">
        <f>IFERROR(VLOOKUP(D429,XPMenu!$A:$F,3,FALSE),"")</f>
        <v/>
      </c>
      <c r="K429" s="20">
        <f>IFERROR(VLOOKUP(D429,XPMenu!$A:$F,4,FALSE),"")</f>
        <v/>
      </c>
      <c r="L429" s="20" t="n"/>
      <c r="M429" s="20">
        <f>IF(A429="","",IF(F429&lt;&gt;"Yes",0,IF(L429&lt;&gt;"",L429,E429*K429)))</f>
        <v/>
      </c>
      <c r="N429" s="20">
        <f>IF($A429="","",$A429-WEEKDAY($A429,2)+1)</f>
        <v/>
      </c>
      <c r="O429" s="20">
        <f>IF($A429="","",TEXT($A429,"yyyy-mm"))</f>
        <v/>
      </c>
      <c r="P429" s="21">
        <f>IF($A429="","",TEXT(YEAR($A429),"0000")&amp;"-Q"&amp;ROUNDUP(MONTH($A429)/3,0))</f>
        <v/>
      </c>
    </row>
    <row r="430">
      <c r="A430" s="22" t="n"/>
      <c r="B430" s="20" t="n"/>
      <c r="C430" s="20" t="n"/>
      <c r="D430" s="20">
        <f>IFERROR(INDEX(XPMenu!$A$2:$A$1000, MATCH(C430, XPMenu!$B$2:$B$1000, 0)), "")</f>
        <v/>
      </c>
      <c r="E430" s="20" t="n"/>
      <c r="F430" s="20" t="n"/>
      <c r="G430" s="20" t="n"/>
      <c r="H430" s="20" t="n"/>
      <c r="I430" s="20">
        <f>IFERROR(VLOOKUP(D430,XPMenu!$A:$F,2,FALSE),"")</f>
        <v/>
      </c>
      <c r="J430" s="20">
        <f>IFERROR(VLOOKUP(D430,XPMenu!$A:$F,3,FALSE),"")</f>
        <v/>
      </c>
      <c r="K430" s="20">
        <f>IFERROR(VLOOKUP(D430,XPMenu!$A:$F,4,FALSE),"")</f>
        <v/>
      </c>
      <c r="L430" s="20" t="n"/>
      <c r="M430" s="20">
        <f>IF(A430="","",IF(F430&lt;&gt;"Yes",0,IF(L430&lt;&gt;"",L430,E430*K430)))</f>
        <v/>
      </c>
      <c r="N430" s="20">
        <f>IF($A430="","",$A430-WEEKDAY($A430,2)+1)</f>
        <v/>
      </c>
      <c r="O430" s="20">
        <f>IF($A430="","",TEXT($A430,"yyyy-mm"))</f>
        <v/>
      </c>
      <c r="P430" s="21">
        <f>IF($A430="","",TEXT(YEAR($A430),"0000")&amp;"-Q"&amp;ROUNDUP(MONTH($A430)/3,0))</f>
        <v/>
      </c>
    </row>
    <row r="431">
      <c r="A431" s="22" t="n"/>
      <c r="B431" s="20" t="n"/>
      <c r="C431" s="20" t="n"/>
      <c r="D431" s="20">
        <f>IFERROR(INDEX(XPMenu!$A$2:$A$1000, MATCH(C431, XPMenu!$B$2:$B$1000, 0)), "")</f>
        <v/>
      </c>
      <c r="E431" s="20" t="n"/>
      <c r="F431" s="20" t="n"/>
      <c r="G431" s="20" t="n"/>
      <c r="H431" s="20" t="n"/>
      <c r="I431" s="20">
        <f>IFERROR(VLOOKUP(D431,XPMenu!$A:$F,2,FALSE),"")</f>
        <v/>
      </c>
      <c r="J431" s="20">
        <f>IFERROR(VLOOKUP(D431,XPMenu!$A:$F,3,FALSE),"")</f>
        <v/>
      </c>
      <c r="K431" s="20">
        <f>IFERROR(VLOOKUP(D431,XPMenu!$A:$F,4,FALSE),"")</f>
        <v/>
      </c>
      <c r="L431" s="20" t="n"/>
      <c r="M431" s="20">
        <f>IF(A431="","",IF(F431&lt;&gt;"Yes",0,IF(L431&lt;&gt;"",L431,E431*K431)))</f>
        <v/>
      </c>
      <c r="N431" s="20">
        <f>IF($A431="","",$A431-WEEKDAY($A431,2)+1)</f>
        <v/>
      </c>
      <c r="O431" s="20">
        <f>IF($A431="","",TEXT($A431,"yyyy-mm"))</f>
        <v/>
      </c>
      <c r="P431" s="21">
        <f>IF($A431="","",TEXT(YEAR($A431),"0000")&amp;"-Q"&amp;ROUNDUP(MONTH($A431)/3,0))</f>
        <v/>
      </c>
    </row>
    <row r="432">
      <c r="A432" s="22" t="n"/>
      <c r="B432" s="20" t="n"/>
      <c r="C432" s="20" t="n"/>
      <c r="D432" s="20">
        <f>IFERROR(INDEX(XPMenu!$A$2:$A$1000, MATCH(C432, XPMenu!$B$2:$B$1000, 0)), "")</f>
        <v/>
      </c>
      <c r="E432" s="20" t="n"/>
      <c r="F432" s="20" t="n"/>
      <c r="G432" s="20" t="n"/>
      <c r="H432" s="20" t="n"/>
      <c r="I432" s="20">
        <f>IFERROR(VLOOKUP(D432,XPMenu!$A:$F,2,FALSE),"")</f>
        <v/>
      </c>
      <c r="J432" s="20">
        <f>IFERROR(VLOOKUP(D432,XPMenu!$A:$F,3,FALSE),"")</f>
        <v/>
      </c>
      <c r="K432" s="20">
        <f>IFERROR(VLOOKUP(D432,XPMenu!$A:$F,4,FALSE),"")</f>
        <v/>
      </c>
      <c r="L432" s="20" t="n"/>
      <c r="M432" s="20">
        <f>IF(A432="","",IF(F432&lt;&gt;"Yes",0,IF(L432&lt;&gt;"",L432,E432*K432)))</f>
        <v/>
      </c>
      <c r="N432" s="20">
        <f>IF($A432="","",$A432-WEEKDAY($A432,2)+1)</f>
        <v/>
      </c>
      <c r="O432" s="20">
        <f>IF($A432="","",TEXT($A432,"yyyy-mm"))</f>
        <v/>
      </c>
      <c r="P432" s="21">
        <f>IF($A432="","",TEXT(YEAR($A432),"0000")&amp;"-Q"&amp;ROUNDUP(MONTH($A432)/3,0))</f>
        <v/>
      </c>
    </row>
    <row r="433">
      <c r="A433" s="22" t="n"/>
      <c r="B433" s="20" t="n"/>
      <c r="C433" s="20" t="n"/>
      <c r="D433" s="20">
        <f>IFERROR(INDEX(XPMenu!$A$2:$A$1000, MATCH(C433, XPMenu!$B$2:$B$1000, 0)), "")</f>
        <v/>
      </c>
      <c r="E433" s="20" t="n"/>
      <c r="F433" s="20" t="n"/>
      <c r="G433" s="20" t="n"/>
      <c r="H433" s="20" t="n"/>
      <c r="I433" s="20">
        <f>IFERROR(VLOOKUP(D433,XPMenu!$A:$F,2,FALSE),"")</f>
        <v/>
      </c>
      <c r="J433" s="20">
        <f>IFERROR(VLOOKUP(D433,XPMenu!$A:$F,3,FALSE),"")</f>
        <v/>
      </c>
      <c r="K433" s="20">
        <f>IFERROR(VLOOKUP(D433,XPMenu!$A:$F,4,FALSE),"")</f>
        <v/>
      </c>
      <c r="L433" s="20" t="n"/>
      <c r="M433" s="20">
        <f>IF(A433="","",IF(F433&lt;&gt;"Yes",0,IF(L433&lt;&gt;"",L433,E433*K433)))</f>
        <v/>
      </c>
      <c r="N433" s="20">
        <f>IF($A433="","",$A433-WEEKDAY($A433,2)+1)</f>
        <v/>
      </c>
      <c r="O433" s="20">
        <f>IF($A433="","",TEXT($A433,"yyyy-mm"))</f>
        <v/>
      </c>
      <c r="P433" s="21">
        <f>IF($A433="","",TEXT(YEAR($A433),"0000")&amp;"-Q"&amp;ROUNDUP(MONTH($A433)/3,0))</f>
        <v/>
      </c>
    </row>
    <row r="434">
      <c r="A434" s="22" t="n"/>
      <c r="B434" s="20" t="n"/>
      <c r="C434" s="20" t="n"/>
      <c r="D434" s="20">
        <f>IFERROR(INDEX(XPMenu!$A$2:$A$1000, MATCH(C434, XPMenu!$B$2:$B$1000, 0)), "")</f>
        <v/>
      </c>
      <c r="E434" s="20" t="n"/>
      <c r="F434" s="20" t="n"/>
      <c r="G434" s="20" t="n"/>
      <c r="H434" s="20" t="n"/>
      <c r="I434" s="20">
        <f>IFERROR(VLOOKUP(D434,XPMenu!$A:$F,2,FALSE),"")</f>
        <v/>
      </c>
      <c r="J434" s="20">
        <f>IFERROR(VLOOKUP(D434,XPMenu!$A:$F,3,FALSE),"")</f>
        <v/>
      </c>
      <c r="K434" s="20">
        <f>IFERROR(VLOOKUP(D434,XPMenu!$A:$F,4,FALSE),"")</f>
        <v/>
      </c>
      <c r="L434" s="20" t="n"/>
      <c r="M434" s="20">
        <f>IF(A434="","",IF(F434&lt;&gt;"Yes",0,IF(L434&lt;&gt;"",L434,E434*K434)))</f>
        <v/>
      </c>
      <c r="N434" s="20">
        <f>IF($A434="","",$A434-WEEKDAY($A434,2)+1)</f>
        <v/>
      </c>
      <c r="O434" s="20">
        <f>IF($A434="","",TEXT($A434,"yyyy-mm"))</f>
        <v/>
      </c>
      <c r="P434" s="21">
        <f>IF($A434="","",TEXT(YEAR($A434),"0000")&amp;"-Q"&amp;ROUNDUP(MONTH($A434)/3,0))</f>
        <v/>
      </c>
    </row>
    <row r="435">
      <c r="A435" s="22" t="n"/>
      <c r="B435" s="20" t="n"/>
      <c r="C435" s="20" t="n"/>
      <c r="D435" s="20">
        <f>IFERROR(INDEX(XPMenu!$A$2:$A$1000, MATCH(C435, XPMenu!$B$2:$B$1000, 0)), "")</f>
        <v/>
      </c>
      <c r="E435" s="20" t="n"/>
      <c r="F435" s="20" t="n"/>
      <c r="G435" s="20" t="n"/>
      <c r="H435" s="20" t="n"/>
      <c r="I435" s="20">
        <f>IFERROR(VLOOKUP(D435,XPMenu!$A:$F,2,FALSE),"")</f>
        <v/>
      </c>
      <c r="J435" s="20">
        <f>IFERROR(VLOOKUP(D435,XPMenu!$A:$F,3,FALSE),"")</f>
        <v/>
      </c>
      <c r="K435" s="20">
        <f>IFERROR(VLOOKUP(D435,XPMenu!$A:$F,4,FALSE),"")</f>
        <v/>
      </c>
      <c r="L435" s="20" t="n"/>
      <c r="M435" s="20">
        <f>IF(A435="","",IF(F435&lt;&gt;"Yes",0,IF(L435&lt;&gt;"",L435,E435*K435)))</f>
        <v/>
      </c>
      <c r="N435" s="20">
        <f>IF($A435="","",$A435-WEEKDAY($A435,2)+1)</f>
        <v/>
      </c>
      <c r="O435" s="20">
        <f>IF($A435="","",TEXT($A435,"yyyy-mm"))</f>
        <v/>
      </c>
      <c r="P435" s="21">
        <f>IF($A435="","",TEXT(YEAR($A435),"0000")&amp;"-Q"&amp;ROUNDUP(MONTH($A435)/3,0))</f>
        <v/>
      </c>
    </row>
    <row r="436">
      <c r="A436" s="22" t="n"/>
      <c r="B436" s="20" t="n"/>
      <c r="C436" s="20" t="n"/>
      <c r="D436" s="20">
        <f>IFERROR(INDEX(XPMenu!$A$2:$A$1000, MATCH(C436, XPMenu!$B$2:$B$1000, 0)), "")</f>
        <v/>
      </c>
      <c r="E436" s="20" t="n"/>
      <c r="F436" s="20" t="n"/>
      <c r="G436" s="20" t="n"/>
      <c r="H436" s="20" t="n"/>
      <c r="I436" s="20">
        <f>IFERROR(VLOOKUP(D436,XPMenu!$A:$F,2,FALSE),"")</f>
        <v/>
      </c>
      <c r="J436" s="20">
        <f>IFERROR(VLOOKUP(D436,XPMenu!$A:$F,3,FALSE),"")</f>
        <v/>
      </c>
      <c r="K436" s="20">
        <f>IFERROR(VLOOKUP(D436,XPMenu!$A:$F,4,FALSE),"")</f>
        <v/>
      </c>
      <c r="L436" s="20" t="n"/>
      <c r="M436" s="20">
        <f>IF(A436="","",IF(F436&lt;&gt;"Yes",0,IF(L436&lt;&gt;"",L436,E436*K436)))</f>
        <v/>
      </c>
      <c r="N436" s="20">
        <f>IF($A436="","",$A436-WEEKDAY($A436,2)+1)</f>
        <v/>
      </c>
      <c r="O436" s="20">
        <f>IF($A436="","",TEXT($A436,"yyyy-mm"))</f>
        <v/>
      </c>
      <c r="P436" s="21">
        <f>IF($A436="","",TEXT(YEAR($A436),"0000")&amp;"-Q"&amp;ROUNDUP(MONTH($A436)/3,0))</f>
        <v/>
      </c>
    </row>
    <row r="437">
      <c r="A437" s="22" t="n"/>
      <c r="B437" s="20" t="n"/>
      <c r="C437" s="20" t="n"/>
      <c r="D437" s="20">
        <f>IFERROR(INDEX(XPMenu!$A$2:$A$1000, MATCH(C437, XPMenu!$B$2:$B$1000, 0)), "")</f>
        <v/>
      </c>
      <c r="E437" s="20" t="n"/>
      <c r="F437" s="20" t="n"/>
      <c r="G437" s="20" t="n"/>
      <c r="H437" s="20" t="n"/>
      <c r="I437" s="20">
        <f>IFERROR(VLOOKUP(D437,XPMenu!$A:$F,2,FALSE),"")</f>
        <v/>
      </c>
      <c r="J437" s="20">
        <f>IFERROR(VLOOKUP(D437,XPMenu!$A:$F,3,FALSE),"")</f>
        <v/>
      </c>
      <c r="K437" s="20">
        <f>IFERROR(VLOOKUP(D437,XPMenu!$A:$F,4,FALSE),"")</f>
        <v/>
      </c>
      <c r="L437" s="20" t="n"/>
      <c r="M437" s="20">
        <f>IF(A437="","",IF(F437&lt;&gt;"Yes",0,IF(L437&lt;&gt;"",L437,E437*K437)))</f>
        <v/>
      </c>
      <c r="N437" s="20">
        <f>IF($A437="","",$A437-WEEKDAY($A437,2)+1)</f>
        <v/>
      </c>
      <c r="O437" s="20">
        <f>IF($A437="","",TEXT($A437,"yyyy-mm"))</f>
        <v/>
      </c>
      <c r="P437" s="21">
        <f>IF($A437="","",TEXT(YEAR($A437),"0000")&amp;"-Q"&amp;ROUNDUP(MONTH($A437)/3,0))</f>
        <v/>
      </c>
    </row>
    <row r="438">
      <c r="A438" s="22" t="n"/>
      <c r="B438" s="20" t="n"/>
      <c r="C438" s="20" t="n"/>
      <c r="D438" s="20">
        <f>IFERROR(INDEX(XPMenu!$A$2:$A$1000, MATCH(C438, XPMenu!$B$2:$B$1000, 0)), "")</f>
        <v/>
      </c>
      <c r="E438" s="20" t="n"/>
      <c r="F438" s="20" t="n"/>
      <c r="G438" s="20" t="n"/>
      <c r="H438" s="20" t="n"/>
      <c r="I438" s="20">
        <f>IFERROR(VLOOKUP(D438,XPMenu!$A:$F,2,FALSE),"")</f>
        <v/>
      </c>
      <c r="J438" s="20">
        <f>IFERROR(VLOOKUP(D438,XPMenu!$A:$F,3,FALSE),"")</f>
        <v/>
      </c>
      <c r="K438" s="20">
        <f>IFERROR(VLOOKUP(D438,XPMenu!$A:$F,4,FALSE),"")</f>
        <v/>
      </c>
      <c r="L438" s="20" t="n"/>
      <c r="M438" s="20">
        <f>IF(A438="","",IF(F438&lt;&gt;"Yes",0,IF(L438&lt;&gt;"",L438,E438*K438)))</f>
        <v/>
      </c>
      <c r="N438" s="20">
        <f>IF($A438="","",$A438-WEEKDAY($A438,2)+1)</f>
        <v/>
      </c>
      <c r="O438" s="20">
        <f>IF($A438="","",TEXT($A438,"yyyy-mm"))</f>
        <v/>
      </c>
      <c r="P438" s="21">
        <f>IF($A438="","",TEXT(YEAR($A438),"0000")&amp;"-Q"&amp;ROUNDUP(MONTH($A438)/3,0))</f>
        <v/>
      </c>
    </row>
    <row r="439">
      <c r="A439" s="22" t="n"/>
      <c r="B439" s="20" t="n"/>
      <c r="C439" s="20" t="n"/>
      <c r="D439" s="20">
        <f>IFERROR(INDEX(XPMenu!$A$2:$A$1000, MATCH(C439, XPMenu!$B$2:$B$1000, 0)), "")</f>
        <v/>
      </c>
      <c r="E439" s="20" t="n"/>
      <c r="F439" s="20" t="n"/>
      <c r="G439" s="20" t="n"/>
      <c r="H439" s="20" t="n"/>
      <c r="I439" s="20">
        <f>IFERROR(VLOOKUP(D439,XPMenu!$A:$F,2,FALSE),"")</f>
        <v/>
      </c>
      <c r="J439" s="20">
        <f>IFERROR(VLOOKUP(D439,XPMenu!$A:$F,3,FALSE),"")</f>
        <v/>
      </c>
      <c r="K439" s="20">
        <f>IFERROR(VLOOKUP(D439,XPMenu!$A:$F,4,FALSE),"")</f>
        <v/>
      </c>
      <c r="L439" s="20" t="n"/>
      <c r="M439" s="20">
        <f>IF(A439="","",IF(F439&lt;&gt;"Yes",0,IF(L439&lt;&gt;"",L439,E439*K439)))</f>
        <v/>
      </c>
      <c r="N439" s="20">
        <f>IF($A439="","",$A439-WEEKDAY($A439,2)+1)</f>
        <v/>
      </c>
      <c r="O439" s="20">
        <f>IF($A439="","",TEXT($A439,"yyyy-mm"))</f>
        <v/>
      </c>
      <c r="P439" s="21">
        <f>IF($A439="","",TEXT(YEAR($A439),"0000")&amp;"-Q"&amp;ROUNDUP(MONTH($A439)/3,0))</f>
        <v/>
      </c>
    </row>
    <row r="440">
      <c r="A440" s="22" t="n"/>
      <c r="B440" s="20" t="n"/>
      <c r="C440" s="20" t="n"/>
      <c r="D440" s="20">
        <f>IFERROR(INDEX(XPMenu!$A$2:$A$1000, MATCH(C440, XPMenu!$B$2:$B$1000, 0)), "")</f>
        <v/>
      </c>
      <c r="E440" s="20" t="n"/>
      <c r="F440" s="20" t="n"/>
      <c r="G440" s="20" t="n"/>
      <c r="H440" s="20" t="n"/>
      <c r="I440" s="20">
        <f>IFERROR(VLOOKUP(D440,XPMenu!$A:$F,2,FALSE),"")</f>
        <v/>
      </c>
      <c r="J440" s="20">
        <f>IFERROR(VLOOKUP(D440,XPMenu!$A:$F,3,FALSE),"")</f>
        <v/>
      </c>
      <c r="K440" s="20">
        <f>IFERROR(VLOOKUP(D440,XPMenu!$A:$F,4,FALSE),"")</f>
        <v/>
      </c>
      <c r="L440" s="20" t="n"/>
      <c r="M440" s="20">
        <f>IF(A440="","",IF(F440&lt;&gt;"Yes",0,IF(L440&lt;&gt;"",L440,E440*K440)))</f>
        <v/>
      </c>
      <c r="N440" s="20">
        <f>IF($A440="","",$A440-WEEKDAY($A440,2)+1)</f>
        <v/>
      </c>
      <c r="O440" s="20">
        <f>IF($A440="","",TEXT($A440,"yyyy-mm"))</f>
        <v/>
      </c>
      <c r="P440" s="21">
        <f>IF($A440="","",TEXT(YEAR($A440),"0000")&amp;"-Q"&amp;ROUNDUP(MONTH($A440)/3,0))</f>
        <v/>
      </c>
    </row>
    <row r="441">
      <c r="A441" s="22" t="n"/>
      <c r="B441" s="20" t="n"/>
      <c r="C441" s="20" t="n"/>
      <c r="D441" s="20">
        <f>IFERROR(INDEX(XPMenu!$A$2:$A$1000, MATCH(C441, XPMenu!$B$2:$B$1000, 0)), "")</f>
        <v/>
      </c>
      <c r="E441" s="20" t="n"/>
      <c r="F441" s="20" t="n"/>
      <c r="G441" s="20" t="n"/>
      <c r="H441" s="20" t="n"/>
      <c r="I441" s="20">
        <f>IFERROR(VLOOKUP(D441,XPMenu!$A:$F,2,FALSE),"")</f>
        <v/>
      </c>
      <c r="J441" s="20">
        <f>IFERROR(VLOOKUP(D441,XPMenu!$A:$F,3,FALSE),"")</f>
        <v/>
      </c>
      <c r="K441" s="20">
        <f>IFERROR(VLOOKUP(D441,XPMenu!$A:$F,4,FALSE),"")</f>
        <v/>
      </c>
      <c r="L441" s="20" t="n"/>
      <c r="M441" s="20">
        <f>IF(A441="","",IF(F441&lt;&gt;"Yes",0,IF(L441&lt;&gt;"",L441,E441*K441)))</f>
        <v/>
      </c>
      <c r="N441" s="20">
        <f>IF($A441="","",$A441-WEEKDAY($A441,2)+1)</f>
        <v/>
      </c>
      <c r="O441" s="20">
        <f>IF($A441="","",TEXT($A441,"yyyy-mm"))</f>
        <v/>
      </c>
      <c r="P441" s="21">
        <f>IF($A441="","",TEXT(YEAR($A441),"0000")&amp;"-Q"&amp;ROUNDUP(MONTH($A441)/3,0))</f>
        <v/>
      </c>
    </row>
    <row r="442">
      <c r="A442" s="22" t="n"/>
      <c r="B442" s="20" t="n"/>
      <c r="C442" s="20" t="n"/>
      <c r="D442" s="20">
        <f>IFERROR(INDEX(XPMenu!$A$2:$A$1000, MATCH(C442, XPMenu!$B$2:$B$1000, 0)), "")</f>
        <v/>
      </c>
      <c r="E442" s="20" t="n"/>
      <c r="F442" s="20" t="n"/>
      <c r="G442" s="20" t="n"/>
      <c r="H442" s="20" t="n"/>
      <c r="I442" s="20">
        <f>IFERROR(VLOOKUP(D442,XPMenu!$A:$F,2,FALSE),"")</f>
        <v/>
      </c>
      <c r="J442" s="20">
        <f>IFERROR(VLOOKUP(D442,XPMenu!$A:$F,3,FALSE),"")</f>
        <v/>
      </c>
      <c r="K442" s="20">
        <f>IFERROR(VLOOKUP(D442,XPMenu!$A:$F,4,FALSE),"")</f>
        <v/>
      </c>
      <c r="L442" s="20" t="n"/>
      <c r="M442" s="20">
        <f>IF(A442="","",IF(F442&lt;&gt;"Yes",0,IF(L442&lt;&gt;"",L442,E442*K442)))</f>
        <v/>
      </c>
      <c r="N442" s="20">
        <f>IF($A442="","",$A442-WEEKDAY($A442,2)+1)</f>
        <v/>
      </c>
      <c r="O442" s="20">
        <f>IF($A442="","",TEXT($A442,"yyyy-mm"))</f>
        <v/>
      </c>
      <c r="P442" s="21">
        <f>IF($A442="","",TEXT(YEAR($A442),"0000")&amp;"-Q"&amp;ROUNDUP(MONTH($A442)/3,0))</f>
        <v/>
      </c>
    </row>
    <row r="443">
      <c r="A443" s="22" t="n"/>
      <c r="B443" s="20" t="n"/>
      <c r="C443" s="20" t="n"/>
      <c r="D443" s="20">
        <f>IFERROR(INDEX(XPMenu!$A$2:$A$1000, MATCH(C443, XPMenu!$B$2:$B$1000, 0)), "")</f>
        <v/>
      </c>
      <c r="E443" s="20" t="n"/>
      <c r="F443" s="20" t="n"/>
      <c r="G443" s="20" t="n"/>
      <c r="H443" s="20" t="n"/>
      <c r="I443" s="20">
        <f>IFERROR(VLOOKUP(D443,XPMenu!$A:$F,2,FALSE),"")</f>
        <v/>
      </c>
      <c r="J443" s="20">
        <f>IFERROR(VLOOKUP(D443,XPMenu!$A:$F,3,FALSE),"")</f>
        <v/>
      </c>
      <c r="K443" s="20">
        <f>IFERROR(VLOOKUP(D443,XPMenu!$A:$F,4,FALSE),"")</f>
        <v/>
      </c>
      <c r="L443" s="20" t="n"/>
      <c r="M443" s="20">
        <f>IF(A443="","",IF(F443&lt;&gt;"Yes",0,IF(L443&lt;&gt;"",L443,E443*K443)))</f>
        <v/>
      </c>
      <c r="N443" s="20">
        <f>IF($A443="","",$A443-WEEKDAY($A443,2)+1)</f>
        <v/>
      </c>
      <c r="O443" s="20">
        <f>IF($A443="","",TEXT($A443,"yyyy-mm"))</f>
        <v/>
      </c>
      <c r="P443" s="21">
        <f>IF($A443="","",TEXT(YEAR($A443),"0000")&amp;"-Q"&amp;ROUNDUP(MONTH($A443)/3,0))</f>
        <v/>
      </c>
    </row>
    <row r="444">
      <c r="A444" s="22" t="n"/>
      <c r="B444" s="20" t="n"/>
      <c r="C444" s="20" t="n"/>
      <c r="D444" s="20">
        <f>IFERROR(INDEX(XPMenu!$A$2:$A$1000, MATCH(C444, XPMenu!$B$2:$B$1000, 0)), "")</f>
        <v/>
      </c>
      <c r="E444" s="20" t="n"/>
      <c r="F444" s="20" t="n"/>
      <c r="G444" s="20" t="n"/>
      <c r="H444" s="20" t="n"/>
      <c r="I444" s="20">
        <f>IFERROR(VLOOKUP(D444,XPMenu!$A:$F,2,FALSE),"")</f>
        <v/>
      </c>
      <c r="J444" s="20">
        <f>IFERROR(VLOOKUP(D444,XPMenu!$A:$F,3,FALSE),"")</f>
        <v/>
      </c>
      <c r="K444" s="20">
        <f>IFERROR(VLOOKUP(D444,XPMenu!$A:$F,4,FALSE),"")</f>
        <v/>
      </c>
      <c r="L444" s="20" t="n"/>
      <c r="M444" s="20">
        <f>IF(A444="","",IF(F444&lt;&gt;"Yes",0,IF(L444&lt;&gt;"",L444,E444*K444)))</f>
        <v/>
      </c>
      <c r="N444" s="20">
        <f>IF($A444="","",$A444-WEEKDAY($A444,2)+1)</f>
        <v/>
      </c>
      <c r="O444" s="20">
        <f>IF($A444="","",TEXT($A444,"yyyy-mm"))</f>
        <v/>
      </c>
      <c r="P444" s="21">
        <f>IF($A444="","",TEXT(YEAR($A444),"0000")&amp;"-Q"&amp;ROUNDUP(MONTH($A444)/3,0))</f>
        <v/>
      </c>
    </row>
    <row r="445">
      <c r="A445" s="22" t="n"/>
      <c r="B445" s="20" t="n"/>
      <c r="C445" s="20" t="n"/>
      <c r="D445" s="20">
        <f>IFERROR(INDEX(XPMenu!$A$2:$A$1000, MATCH(C445, XPMenu!$B$2:$B$1000, 0)), "")</f>
        <v/>
      </c>
      <c r="E445" s="20" t="n"/>
      <c r="F445" s="20" t="n"/>
      <c r="G445" s="20" t="n"/>
      <c r="H445" s="20" t="n"/>
      <c r="I445" s="20">
        <f>IFERROR(VLOOKUP(D445,XPMenu!$A:$F,2,FALSE),"")</f>
        <v/>
      </c>
      <c r="J445" s="20">
        <f>IFERROR(VLOOKUP(D445,XPMenu!$A:$F,3,FALSE),"")</f>
        <v/>
      </c>
      <c r="K445" s="20">
        <f>IFERROR(VLOOKUP(D445,XPMenu!$A:$F,4,FALSE),"")</f>
        <v/>
      </c>
      <c r="L445" s="20" t="n"/>
      <c r="M445" s="20">
        <f>IF(A445="","",IF(F445&lt;&gt;"Yes",0,IF(L445&lt;&gt;"",L445,E445*K445)))</f>
        <v/>
      </c>
      <c r="N445" s="20">
        <f>IF($A445="","",$A445-WEEKDAY($A445,2)+1)</f>
        <v/>
      </c>
      <c r="O445" s="20">
        <f>IF($A445="","",TEXT($A445,"yyyy-mm"))</f>
        <v/>
      </c>
      <c r="P445" s="21">
        <f>IF($A445="","",TEXT(YEAR($A445),"0000")&amp;"-Q"&amp;ROUNDUP(MONTH($A445)/3,0))</f>
        <v/>
      </c>
    </row>
    <row r="446">
      <c r="A446" s="22" t="n"/>
      <c r="B446" s="20" t="n"/>
      <c r="C446" s="20" t="n"/>
      <c r="D446" s="20">
        <f>IFERROR(INDEX(XPMenu!$A$2:$A$1000, MATCH(C446, XPMenu!$B$2:$B$1000, 0)), "")</f>
        <v/>
      </c>
      <c r="E446" s="20" t="n"/>
      <c r="F446" s="20" t="n"/>
      <c r="G446" s="20" t="n"/>
      <c r="H446" s="20" t="n"/>
      <c r="I446" s="20">
        <f>IFERROR(VLOOKUP(D446,XPMenu!$A:$F,2,FALSE),"")</f>
        <v/>
      </c>
      <c r="J446" s="20">
        <f>IFERROR(VLOOKUP(D446,XPMenu!$A:$F,3,FALSE),"")</f>
        <v/>
      </c>
      <c r="K446" s="20">
        <f>IFERROR(VLOOKUP(D446,XPMenu!$A:$F,4,FALSE),"")</f>
        <v/>
      </c>
      <c r="L446" s="20" t="n"/>
      <c r="M446" s="20">
        <f>IF(A446="","",IF(F446&lt;&gt;"Yes",0,IF(L446&lt;&gt;"",L446,E446*K446)))</f>
        <v/>
      </c>
      <c r="N446" s="20">
        <f>IF($A446="","",$A446-WEEKDAY($A446,2)+1)</f>
        <v/>
      </c>
      <c r="O446" s="20">
        <f>IF($A446="","",TEXT($A446,"yyyy-mm"))</f>
        <v/>
      </c>
      <c r="P446" s="21">
        <f>IF($A446="","",TEXT(YEAR($A446),"0000")&amp;"-Q"&amp;ROUNDUP(MONTH($A446)/3,0))</f>
        <v/>
      </c>
    </row>
    <row r="447">
      <c r="A447" s="22" t="n"/>
      <c r="B447" s="20" t="n"/>
      <c r="C447" s="20" t="n"/>
      <c r="D447" s="20">
        <f>IFERROR(INDEX(XPMenu!$A$2:$A$1000, MATCH(C447, XPMenu!$B$2:$B$1000, 0)), "")</f>
        <v/>
      </c>
      <c r="E447" s="20" t="n"/>
      <c r="F447" s="20" t="n"/>
      <c r="G447" s="20" t="n"/>
      <c r="H447" s="20" t="n"/>
      <c r="I447" s="20">
        <f>IFERROR(VLOOKUP(D447,XPMenu!$A:$F,2,FALSE),"")</f>
        <v/>
      </c>
      <c r="J447" s="20">
        <f>IFERROR(VLOOKUP(D447,XPMenu!$A:$F,3,FALSE),"")</f>
        <v/>
      </c>
      <c r="K447" s="20">
        <f>IFERROR(VLOOKUP(D447,XPMenu!$A:$F,4,FALSE),"")</f>
        <v/>
      </c>
      <c r="L447" s="20" t="n"/>
      <c r="M447" s="20">
        <f>IF(A447="","",IF(F447&lt;&gt;"Yes",0,IF(L447&lt;&gt;"",L447,E447*K447)))</f>
        <v/>
      </c>
      <c r="N447" s="20">
        <f>IF($A447="","",$A447-WEEKDAY($A447,2)+1)</f>
        <v/>
      </c>
      <c r="O447" s="20">
        <f>IF($A447="","",TEXT($A447,"yyyy-mm"))</f>
        <v/>
      </c>
      <c r="P447" s="21">
        <f>IF($A447="","",TEXT(YEAR($A447),"0000")&amp;"-Q"&amp;ROUNDUP(MONTH($A447)/3,0))</f>
        <v/>
      </c>
    </row>
    <row r="448">
      <c r="A448" s="22" t="n"/>
      <c r="B448" s="20" t="n"/>
      <c r="C448" s="20" t="n"/>
      <c r="D448" s="20">
        <f>IFERROR(INDEX(XPMenu!$A$2:$A$1000, MATCH(C448, XPMenu!$B$2:$B$1000, 0)), "")</f>
        <v/>
      </c>
      <c r="E448" s="20" t="n"/>
      <c r="F448" s="20" t="n"/>
      <c r="G448" s="20" t="n"/>
      <c r="H448" s="20" t="n"/>
      <c r="I448" s="20">
        <f>IFERROR(VLOOKUP(D448,XPMenu!$A:$F,2,FALSE),"")</f>
        <v/>
      </c>
      <c r="J448" s="20">
        <f>IFERROR(VLOOKUP(D448,XPMenu!$A:$F,3,FALSE),"")</f>
        <v/>
      </c>
      <c r="K448" s="20">
        <f>IFERROR(VLOOKUP(D448,XPMenu!$A:$F,4,FALSE),"")</f>
        <v/>
      </c>
      <c r="L448" s="20" t="n"/>
      <c r="M448" s="20">
        <f>IF(A448="","",IF(F448&lt;&gt;"Yes",0,IF(L448&lt;&gt;"",L448,E448*K448)))</f>
        <v/>
      </c>
      <c r="N448" s="20">
        <f>IF($A448="","",$A448-WEEKDAY($A448,2)+1)</f>
        <v/>
      </c>
      <c r="O448" s="20">
        <f>IF($A448="","",TEXT($A448,"yyyy-mm"))</f>
        <v/>
      </c>
      <c r="P448" s="21">
        <f>IF($A448="","",TEXT(YEAR($A448),"0000")&amp;"-Q"&amp;ROUNDUP(MONTH($A448)/3,0))</f>
        <v/>
      </c>
    </row>
    <row r="449">
      <c r="A449" s="22" t="n"/>
      <c r="B449" s="20" t="n"/>
      <c r="C449" s="20" t="n"/>
      <c r="D449" s="20">
        <f>IFERROR(INDEX(XPMenu!$A$2:$A$1000, MATCH(C449, XPMenu!$B$2:$B$1000, 0)), "")</f>
        <v/>
      </c>
      <c r="E449" s="20" t="n"/>
      <c r="F449" s="20" t="n"/>
      <c r="G449" s="20" t="n"/>
      <c r="H449" s="20" t="n"/>
      <c r="I449" s="20">
        <f>IFERROR(VLOOKUP(D449,XPMenu!$A:$F,2,FALSE),"")</f>
        <v/>
      </c>
      <c r="J449" s="20">
        <f>IFERROR(VLOOKUP(D449,XPMenu!$A:$F,3,FALSE),"")</f>
        <v/>
      </c>
      <c r="K449" s="20">
        <f>IFERROR(VLOOKUP(D449,XPMenu!$A:$F,4,FALSE),"")</f>
        <v/>
      </c>
      <c r="L449" s="20" t="n"/>
      <c r="M449" s="20">
        <f>IF(A449="","",IF(F449&lt;&gt;"Yes",0,IF(L449&lt;&gt;"",L449,E449*K449)))</f>
        <v/>
      </c>
      <c r="N449" s="20">
        <f>IF($A449="","",$A449-WEEKDAY($A449,2)+1)</f>
        <v/>
      </c>
      <c r="O449" s="20">
        <f>IF($A449="","",TEXT($A449,"yyyy-mm"))</f>
        <v/>
      </c>
      <c r="P449" s="21">
        <f>IF($A449="","",TEXT(YEAR($A449),"0000")&amp;"-Q"&amp;ROUNDUP(MONTH($A449)/3,0))</f>
        <v/>
      </c>
    </row>
    <row r="450">
      <c r="A450" s="22" t="n"/>
      <c r="B450" s="20" t="n"/>
      <c r="C450" s="20" t="n"/>
      <c r="D450" s="20">
        <f>IFERROR(INDEX(XPMenu!$A$2:$A$1000, MATCH(C450, XPMenu!$B$2:$B$1000, 0)), "")</f>
        <v/>
      </c>
      <c r="E450" s="20" t="n"/>
      <c r="F450" s="20" t="n"/>
      <c r="G450" s="20" t="n"/>
      <c r="H450" s="20" t="n"/>
      <c r="I450" s="20">
        <f>IFERROR(VLOOKUP(D450,XPMenu!$A:$F,2,FALSE),"")</f>
        <v/>
      </c>
      <c r="J450" s="20">
        <f>IFERROR(VLOOKUP(D450,XPMenu!$A:$F,3,FALSE),"")</f>
        <v/>
      </c>
      <c r="K450" s="20">
        <f>IFERROR(VLOOKUP(D450,XPMenu!$A:$F,4,FALSE),"")</f>
        <v/>
      </c>
      <c r="L450" s="20" t="n"/>
      <c r="M450" s="20">
        <f>IF(A450="","",IF(F450&lt;&gt;"Yes",0,IF(L450&lt;&gt;"",L450,E450*K450)))</f>
        <v/>
      </c>
      <c r="N450" s="20">
        <f>IF($A450="","",$A450-WEEKDAY($A450,2)+1)</f>
        <v/>
      </c>
      <c r="O450" s="20">
        <f>IF($A450="","",TEXT($A450,"yyyy-mm"))</f>
        <v/>
      </c>
      <c r="P450" s="21">
        <f>IF($A450="","",TEXT(YEAR($A450),"0000")&amp;"-Q"&amp;ROUNDUP(MONTH($A450)/3,0))</f>
        <v/>
      </c>
    </row>
    <row r="451">
      <c r="A451" s="22" t="n"/>
      <c r="B451" s="20" t="n"/>
      <c r="C451" s="20" t="n"/>
      <c r="D451" s="20">
        <f>IFERROR(INDEX(XPMenu!$A$2:$A$1000, MATCH(C451, XPMenu!$B$2:$B$1000, 0)), "")</f>
        <v/>
      </c>
      <c r="E451" s="20" t="n"/>
      <c r="F451" s="20" t="n"/>
      <c r="G451" s="20" t="n"/>
      <c r="H451" s="20" t="n"/>
      <c r="I451" s="20">
        <f>IFERROR(VLOOKUP(D451,XPMenu!$A:$F,2,FALSE),"")</f>
        <v/>
      </c>
      <c r="J451" s="20">
        <f>IFERROR(VLOOKUP(D451,XPMenu!$A:$F,3,FALSE),"")</f>
        <v/>
      </c>
      <c r="K451" s="20">
        <f>IFERROR(VLOOKUP(D451,XPMenu!$A:$F,4,FALSE),"")</f>
        <v/>
      </c>
      <c r="L451" s="20" t="n"/>
      <c r="M451" s="20">
        <f>IF(A451="","",IF(F451&lt;&gt;"Yes",0,IF(L451&lt;&gt;"",L451,E451*K451)))</f>
        <v/>
      </c>
      <c r="N451" s="20">
        <f>IF($A451="","",$A451-WEEKDAY($A451,2)+1)</f>
        <v/>
      </c>
      <c r="O451" s="20">
        <f>IF($A451="","",TEXT($A451,"yyyy-mm"))</f>
        <v/>
      </c>
      <c r="P451" s="21">
        <f>IF($A451="","",TEXT(YEAR($A451),"0000")&amp;"-Q"&amp;ROUNDUP(MONTH($A451)/3,0))</f>
        <v/>
      </c>
    </row>
    <row r="452">
      <c r="A452" s="22" t="n"/>
      <c r="B452" s="20" t="n"/>
      <c r="C452" s="20" t="n"/>
      <c r="D452" s="20">
        <f>IFERROR(INDEX(XPMenu!$A$2:$A$1000, MATCH(C452, XPMenu!$B$2:$B$1000, 0)), "")</f>
        <v/>
      </c>
      <c r="E452" s="20" t="n"/>
      <c r="F452" s="20" t="n"/>
      <c r="G452" s="20" t="n"/>
      <c r="H452" s="20" t="n"/>
      <c r="I452" s="20">
        <f>IFERROR(VLOOKUP(D452,XPMenu!$A:$F,2,FALSE),"")</f>
        <v/>
      </c>
      <c r="J452" s="20">
        <f>IFERROR(VLOOKUP(D452,XPMenu!$A:$F,3,FALSE),"")</f>
        <v/>
      </c>
      <c r="K452" s="20">
        <f>IFERROR(VLOOKUP(D452,XPMenu!$A:$F,4,FALSE),"")</f>
        <v/>
      </c>
      <c r="L452" s="20" t="n"/>
      <c r="M452" s="20">
        <f>IF(A452="","",IF(F452&lt;&gt;"Yes",0,IF(L452&lt;&gt;"",L452,E452*K452)))</f>
        <v/>
      </c>
      <c r="N452" s="20">
        <f>IF($A452="","",$A452-WEEKDAY($A452,2)+1)</f>
        <v/>
      </c>
      <c r="O452" s="20">
        <f>IF($A452="","",TEXT($A452,"yyyy-mm"))</f>
        <v/>
      </c>
      <c r="P452" s="21">
        <f>IF($A452="","",TEXT(YEAR($A452),"0000")&amp;"-Q"&amp;ROUNDUP(MONTH($A452)/3,0))</f>
        <v/>
      </c>
    </row>
    <row r="453">
      <c r="A453" s="22" t="n"/>
      <c r="B453" s="20" t="n"/>
      <c r="C453" s="20" t="n"/>
      <c r="D453" s="20">
        <f>IFERROR(INDEX(XPMenu!$A$2:$A$1000, MATCH(C453, XPMenu!$B$2:$B$1000, 0)), "")</f>
        <v/>
      </c>
      <c r="E453" s="20" t="n"/>
      <c r="F453" s="20" t="n"/>
      <c r="G453" s="20" t="n"/>
      <c r="H453" s="20" t="n"/>
      <c r="I453" s="20">
        <f>IFERROR(VLOOKUP(D453,XPMenu!$A:$F,2,FALSE),"")</f>
        <v/>
      </c>
      <c r="J453" s="20">
        <f>IFERROR(VLOOKUP(D453,XPMenu!$A:$F,3,FALSE),"")</f>
        <v/>
      </c>
      <c r="K453" s="20">
        <f>IFERROR(VLOOKUP(D453,XPMenu!$A:$F,4,FALSE),"")</f>
        <v/>
      </c>
      <c r="L453" s="20" t="n"/>
      <c r="M453" s="20">
        <f>IF(A453="","",IF(F453&lt;&gt;"Yes",0,IF(L453&lt;&gt;"",L453,E453*K453)))</f>
        <v/>
      </c>
      <c r="N453" s="20">
        <f>IF($A453="","",$A453-WEEKDAY($A453,2)+1)</f>
        <v/>
      </c>
      <c r="O453" s="20">
        <f>IF($A453="","",TEXT($A453,"yyyy-mm"))</f>
        <v/>
      </c>
      <c r="P453" s="21">
        <f>IF($A453="","",TEXT(YEAR($A453),"0000")&amp;"-Q"&amp;ROUNDUP(MONTH($A453)/3,0))</f>
        <v/>
      </c>
    </row>
    <row r="454">
      <c r="A454" s="22" t="n"/>
      <c r="B454" s="20" t="n"/>
      <c r="C454" s="20" t="n"/>
      <c r="D454" s="20">
        <f>IFERROR(INDEX(XPMenu!$A$2:$A$1000, MATCH(C454, XPMenu!$B$2:$B$1000, 0)), "")</f>
        <v/>
      </c>
      <c r="E454" s="20" t="n"/>
      <c r="F454" s="20" t="n"/>
      <c r="G454" s="20" t="n"/>
      <c r="H454" s="20" t="n"/>
      <c r="I454" s="20">
        <f>IFERROR(VLOOKUP(D454,XPMenu!$A:$F,2,FALSE),"")</f>
        <v/>
      </c>
      <c r="J454" s="20">
        <f>IFERROR(VLOOKUP(D454,XPMenu!$A:$F,3,FALSE),"")</f>
        <v/>
      </c>
      <c r="K454" s="20">
        <f>IFERROR(VLOOKUP(D454,XPMenu!$A:$F,4,FALSE),"")</f>
        <v/>
      </c>
      <c r="L454" s="20" t="n"/>
      <c r="M454" s="20">
        <f>IF(A454="","",IF(F454&lt;&gt;"Yes",0,IF(L454&lt;&gt;"",L454,E454*K454)))</f>
        <v/>
      </c>
      <c r="N454" s="20">
        <f>IF($A454="","",$A454-WEEKDAY($A454,2)+1)</f>
        <v/>
      </c>
      <c r="O454" s="20">
        <f>IF($A454="","",TEXT($A454,"yyyy-mm"))</f>
        <v/>
      </c>
      <c r="P454" s="21">
        <f>IF($A454="","",TEXT(YEAR($A454),"0000")&amp;"-Q"&amp;ROUNDUP(MONTH($A454)/3,0))</f>
        <v/>
      </c>
    </row>
    <row r="455">
      <c r="A455" s="22" t="n"/>
      <c r="B455" s="20" t="n"/>
      <c r="C455" s="20" t="n"/>
      <c r="D455" s="20">
        <f>IFERROR(INDEX(XPMenu!$A$2:$A$1000, MATCH(C455, XPMenu!$B$2:$B$1000, 0)), "")</f>
        <v/>
      </c>
      <c r="E455" s="20" t="n"/>
      <c r="F455" s="20" t="n"/>
      <c r="G455" s="20" t="n"/>
      <c r="H455" s="20" t="n"/>
      <c r="I455" s="20">
        <f>IFERROR(VLOOKUP(D455,XPMenu!$A:$F,2,FALSE),"")</f>
        <v/>
      </c>
      <c r="J455" s="20">
        <f>IFERROR(VLOOKUP(D455,XPMenu!$A:$F,3,FALSE),"")</f>
        <v/>
      </c>
      <c r="K455" s="20">
        <f>IFERROR(VLOOKUP(D455,XPMenu!$A:$F,4,FALSE),"")</f>
        <v/>
      </c>
      <c r="L455" s="20" t="n"/>
      <c r="M455" s="20">
        <f>IF(A455="","",IF(F455&lt;&gt;"Yes",0,IF(L455&lt;&gt;"",L455,E455*K455)))</f>
        <v/>
      </c>
      <c r="N455" s="20">
        <f>IF($A455="","",$A455-WEEKDAY($A455,2)+1)</f>
        <v/>
      </c>
      <c r="O455" s="20">
        <f>IF($A455="","",TEXT($A455,"yyyy-mm"))</f>
        <v/>
      </c>
      <c r="P455" s="21">
        <f>IF($A455="","",TEXT(YEAR($A455),"0000")&amp;"-Q"&amp;ROUNDUP(MONTH($A455)/3,0))</f>
        <v/>
      </c>
    </row>
    <row r="456">
      <c r="A456" s="22" t="n"/>
      <c r="B456" s="20" t="n"/>
      <c r="C456" s="20" t="n"/>
      <c r="D456" s="20">
        <f>IFERROR(INDEX(XPMenu!$A$2:$A$1000, MATCH(C456, XPMenu!$B$2:$B$1000, 0)), "")</f>
        <v/>
      </c>
      <c r="E456" s="20" t="n"/>
      <c r="F456" s="20" t="n"/>
      <c r="G456" s="20" t="n"/>
      <c r="H456" s="20" t="n"/>
      <c r="I456" s="20">
        <f>IFERROR(VLOOKUP(D456,XPMenu!$A:$F,2,FALSE),"")</f>
        <v/>
      </c>
      <c r="J456" s="20">
        <f>IFERROR(VLOOKUP(D456,XPMenu!$A:$F,3,FALSE),"")</f>
        <v/>
      </c>
      <c r="K456" s="20">
        <f>IFERROR(VLOOKUP(D456,XPMenu!$A:$F,4,FALSE),"")</f>
        <v/>
      </c>
      <c r="L456" s="20" t="n"/>
      <c r="M456" s="20">
        <f>IF(A456="","",IF(F456&lt;&gt;"Yes",0,IF(L456&lt;&gt;"",L456,E456*K456)))</f>
        <v/>
      </c>
      <c r="N456" s="20">
        <f>IF($A456="","",$A456-WEEKDAY($A456,2)+1)</f>
        <v/>
      </c>
      <c r="O456" s="20">
        <f>IF($A456="","",TEXT($A456,"yyyy-mm"))</f>
        <v/>
      </c>
      <c r="P456" s="21">
        <f>IF($A456="","",TEXT(YEAR($A456),"0000")&amp;"-Q"&amp;ROUNDUP(MONTH($A456)/3,0))</f>
        <v/>
      </c>
    </row>
    <row r="457">
      <c r="A457" s="22" t="n"/>
      <c r="B457" s="20" t="n"/>
      <c r="C457" s="20" t="n"/>
      <c r="D457" s="20">
        <f>IFERROR(INDEX(XPMenu!$A$2:$A$1000, MATCH(C457, XPMenu!$B$2:$B$1000, 0)), "")</f>
        <v/>
      </c>
      <c r="E457" s="20" t="n"/>
      <c r="F457" s="20" t="n"/>
      <c r="G457" s="20" t="n"/>
      <c r="H457" s="20" t="n"/>
      <c r="I457" s="20">
        <f>IFERROR(VLOOKUP(D457,XPMenu!$A:$F,2,FALSE),"")</f>
        <v/>
      </c>
      <c r="J457" s="20">
        <f>IFERROR(VLOOKUP(D457,XPMenu!$A:$F,3,FALSE),"")</f>
        <v/>
      </c>
      <c r="K457" s="20">
        <f>IFERROR(VLOOKUP(D457,XPMenu!$A:$F,4,FALSE),"")</f>
        <v/>
      </c>
      <c r="L457" s="20" t="n"/>
      <c r="M457" s="20">
        <f>IF(A457="","",IF(F457&lt;&gt;"Yes",0,IF(L457&lt;&gt;"",L457,E457*K457)))</f>
        <v/>
      </c>
      <c r="N457" s="20">
        <f>IF($A457="","",$A457-WEEKDAY($A457,2)+1)</f>
        <v/>
      </c>
      <c r="O457" s="20">
        <f>IF($A457="","",TEXT($A457,"yyyy-mm"))</f>
        <v/>
      </c>
      <c r="P457" s="21">
        <f>IF($A457="","",TEXT(YEAR($A457),"0000")&amp;"-Q"&amp;ROUNDUP(MONTH($A457)/3,0))</f>
        <v/>
      </c>
    </row>
    <row r="458">
      <c r="A458" s="22" t="n"/>
      <c r="B458" s="20" t="n"/>
      <c r="C458" s="20" t="n"/>
      <c r="D458" s="20">
        <f>IFERROR(INDEX(XPMenu!$A$2:$A$1000, MATCH(C458, XPMenu!$B$2:$B$1000, 0)), "")</f>
        <v/>
      </c>
      <c r="E458" s="20" t="n"/>
      <c r="F458" s="20" t="n"/>
      <c r="G458" s="20" t="n"/>
      <c r="H458" s="20" t="n"/>
      <c r="I458" s="20">
        <f>IFERROR(VLOOKUP(D458,XPMenu!$A:$F,2,FALSE),"")</f>
        <v/>
      </c>
      <c r="J458" s="20">
        <f>IFERROR(VLOOKUP(D458,XPMenu!$A:$F,3,FALSE),"")</f>
        <v/>
      </c>
      <c r="K458" s="20">
        <f>IFERROR(VLOOKUP(D458,XPMenu!$A:$F,4,FALSE),"")</f>
        <v/>
      </c>
      <c r="L458" s="20" t="n"/>
      <c r="M458" s="20">
        <f>IF(A458="","",IF(F458&lt;&gt;"Yes",0,IF(L458&lt;&gt;"",L458,E458*K458)))</f>
        <v/>
      </c>
      <c r="N458" s="20">
        <f>IF($A458="","",$A458-WEEKDAY($A458,2)+1)</f>
        <v/>
      </c>
      <c r="O458" s="20">
        <f>IF($A458="","",TEXT($A458,"yyyy-mm"))</f>
        <v/>
      </c>
      <c r="P458" s="21">
        <f>IF($A458="","",TEXT(YEAR($A458),"0000")&amp;"-Q"&amp;ROUNDUP(MONTH($A458)/3,0))</f>
        <v/>
      </c>
    </row>
    <row r="459">
      <c r="A459" s="22" t="n"/>
      <c r="B459" s="20" t="n"/>
      <c r="C459" s="20" t="n"/>
      <c r="D459" s="20">
        <f>IFERROR(INDEX(XPMenu!$A$2:$A$1000, MATCH(C459, XPMenu!$B$2:$B$1000, 0)), "")</f>
        <v/>
      </c>
      <c r="E459" s="20" t="n"/>
      <c r="F459" s="20" t="n"/>
      <c r="G459" s="20" t="n"/>
      <c r="H459" s="20" t="n"/>
      <c r="I459" s="20">
        <f>IFERROR(VLOOKUP(D459,XPMenu!$A:$F,2,FALSE),"")</f>
        <v/>
      </c>
      <c r="J459" s="20">
        <f>IFERROR(VLOOKUP(D459,XPMenu!$A:$F,3,FALSE),"")</f>
        <v/>
      </c>
      <c r="K459" s="20">
        <f>IFERROR(VLOOKUP(D459,XPMenu!$A:$F,4,FALSE),"")</f>
        <v/>
      </c>
      <c r="L459" s="20" t="n"/>
      <c r="M459" s="20">
        <f>IF(A459="","",IF(F459&lt;&gt;"Yes",0,IF(L459&lt;&gt;"",L459,E459*K459)))</f>
        <v/>
      </c>
      <c r="N459" s="20">
        <f>IF($A459="","",$A459-WEEKDAY($A459,2)+1)</f>
        <v/>
      </c>
      <c r="O459" s="20">
        <f>IF($A459="","",TEXT($A459,"yyyy-mm"))</f>
        <v/>
      </c>
      <c r="P459" s="21">
        <f>IF($A459="","",TEXT(YEAR($A459),"0000")&amp;"-Q"&amp;ROUNDUP(MONTH($A459)/3,0))</f>
        <v/>
      </c>
    </row>
    <row r="460">
      <c r="A460" s="22" t="n"/>
      <c r="B460" s="20" t="n"/>
      <c r="C460" s="20" t="n"/>
      <c r="D460" s="20">
        <f>IFERROR(INDEX(XPMenu!$A$2:$A$1000, MATCH(C460, XPMenu!$B$2:$B$1000, 0)), "")</f>
        <v/>
      </c>
      <c r="E460" s="20" t="n"/>
      <c r="F460" s="20" t="n"/>
      <c r="G460" s="20" t="n"/>
      <c r="H460" s="20" t="n"/>
      <c r="I460" s="20">
        <f>IFERROR(VLOOKUP(D460,XPMenu!$A:$F,2,FALSE),"")</f>
        <v/>
      </c>
      <c r="J460" s="20">
        <f>IFERROR(VLOOKUP(D460,XPMenu!$A:$F,3,FALSE),"")</f>
        <v/>
      </c>
      <c r="K460" s="20">
        <f>IFERROR(VLOOKUP(D460,XPMenu!$A:$F,4,FALSE),"")</f>
        <v/>
      </c>
      <c r="L460" s="20" t="n"/>
      <c r="M460" s="20">
        <f>IF(A460="","",IF(F460&lt;&gt;"Yes",0,IF(L460&lt;&gt;"",L460,E460*K460)))</f>
        <v/>
      </c>
      <c r="N460" s="20">
        <f>IF($A460="","",$A460-WEEKDAY($A460,2)+1)</f>
        <v/>
      </c>
      <c r="O460" s="20">
        <f>IF($A460="","",TEXT($A460,"yyyy-mm"))</f>
        <v/>
      </c>
      <c r="P460" s="21">
        <f>IF($A460="","",TEXT(YEAR($A460),"0000")&amp;"-Q"&amp;ROUNDUP(MONTH($A460)/3,0))</f>
        <v/>
      </c>
    </row>
    <row r="461">
      <c r="A461" s="22" t="n"/>
      <c r="B461" s="20" t="n"/>
      <c r="C461" s="20" t="n"/>
      <c r="D461" s="20">
        <f>IFERROR(INDEX(XPMenu!$A$2:$A$1000, MATCH(C461, XPMenu!$B$2:$B$1000, 0)), "")</f>
        <v/>
      </c>
      <c r="E461" s="20" t="n"/>
      <c r="F461" s="20" t="n"/>
      <c r="G461" s="20" t="n"/>
      <c r="H461" s="20" t="n"/>
      <c r="I461" s="20">
        <f>IFERROR(VLOOKUP(D461,XPMenu!$A:$F,2,FALSE),"")</f>
        <v/>
      </c>
      <c r="J461" s="20">
        <f>IFERROR(VLOOKUP(D461,XPMenu!$A:$F,3,FALSE),"")</f>
        <v/>
      </c>
      <c r="K461" s="20">
        <f>IFERROR(VLOOKUP(D461,XPMenu!$A:$F,4,FALSE),"")</f>
        <v/>
      </c>
      <c r="L461" s="20" t="n"/>
      <c r="M461" s="20">
        <f>IF(A461="","",IF(F461&lt;&gt;"Yes",0,IF(L461&lt;&gt;"",L461,E461*K461)))</f>
        <v/>
      </c>
      <c r="N461" s="20">
        <f>IF($A461="","",$A461-WEEKDAY($A461,2)+1)</f>
        <v/>
      </c>
      <c r="O461" s="20">
        <f>IF($A461="","",TEXT($A461,"yyyy-mm"))</f>
        <v/>
      </c>
      <c r="P461" s="21">
        <f>IF($A461="","",TEXT(YEAR($A461),"0000")&amp;"-Q"&amp;ROUNDUP(MONTH($A461)/3,0))</f>
        <v/>
      </c>
    </row>
    <row r="462">
      <c r="A462" s="22" t="n"/>
      <c r="B462" s="20" t="n"/>
      <c r="C462" s="20" t="n"/>
      <c r="D462" s="20">
        <f>IFERROR(INDEX(XPMenu!$A$2:$A$1000, MATCH(C462, XPMenu!$B$2:$B$1000, 0)), "")</f>
        <v/>
      </c>
      <c r="E462" s="20" t="n"/>
      <c r="F462" s="20" t="n"/>
      <c r="G462" s="20" t="n"/>
      <c r="H462" s="20" t="n"/>
      <c r="I462" s="20">
        <f>IFERROR(VLOOKUP(D462,XPMenu!$A:$F,2,FALSE),"")</f>
        <v/>
      </c>
      <c r="J462" s="20">
        <f>IFERROR(VLOOKUP(D462,XPMenu!$A:$F,3,FALSE),"")</f>
        <v/>
      </c>
      <c r="K462" s="20">
        <f>IFERROR(VLOOKUP(D462,XPMenu!$A:$F,4,FALSE),"")</f>
        <v/>
      </c>
      <c r="L462" s="20" t="n"/>
      <c r="M462" s="20">
        <f>IF(A462="","",IF(F462&lt;&gt;"Yes",0,IF(L462&lt;&gt;"",L462,E462*K462)))</f>
        <v/>
      </c>
      <c r="N462" s="20">
        <f>IF($A462="","",$A462-WEEKDAY($A462,2)+1)</f>
        <v/>
      </c>
      <c r="O462" s="20">
        <f>IF($A462="","",TEXT($A462,"yyyy-mm"))</f>
        <v/>
      </c>
      <c r="P462" s="21">
        <f>IF($A462="","",TEXT(YEAR($A462),"0000")&amp;"-Q"&amp;ROUNDUP(MONTH($A462)/3,0))</f>
        <v/>
      </c>
    </row>
    <row r="463">
      <c r="A463" s="22" t="n"/>
      <c r="B463" s="20" t="n"/>
      <c r="C463" s="20" t="n"/>
      <c r="D463" s="20">
        <f>IFERROR(INDEX(XPMenu!$A$2:$A$1000, MATCH(C463, XPMenu!$B$2:$B$1000, 0)), "")</f>
        <v/>
      </c>
      <c r="E463" s="20" t="n"/>
      <c r="F463" s="20" t="n"/>
      <c r="G463" s="20" t="n"/>
      <c r="H463" s="20" t="n"/>
      <c r="I463" s="20">
        <f>IFERROR(VLOOKUP(D463,XPMenu!$A:$F,2,FALSE),"")</f>
        <v/>
      </c>
      <c r="J463" s="20">
        <f>IFERROR(VLOOKUP(D463,XPMenu!$A:$F,3,FALSE),"")</f>
        <v/>
      </c>
      <c r="K463" s="20">
        <f>IFERROR(VLOOKUP(D463,XPMenu!$A:$F,4,FALSE),"")</f>
        <v/>
      </c>
      <c r="L463" s="20" t="n"/>
      <c r="M463" s="20">
        <f>IF(A463="","",IF(F463&lt;&gt;"Yes",0,IF(L463&lt;&gt;"",L463,E463*K463)))</f>
        <v/>
      </c>
      <c r="N463" s="20">
        <f>IF($A463="","",$A463-WEEKDAY($A463,2)+1)</f>
        <v/>
      </c>
      <c r="O463" s="20">
        <f>IF($A463="","",TEXT($A463,"yyyy-mm"))</f>
        <v/>
      </c>
      <c r="P463" s="21">
        <f>IF($A463="","",TEXT(YEAR($A463),"0000")&amp;"-Q"&amp;ROUNDUP(MONTH($A463)/3,0))</f>
        <v/>
      </c>
    </row>
    <row r="464">
      <c r="A464" s="22" t="n"/>
      <c r="B464" s="20" t="n"/>
      <c r="C464" s="20" t="n"/>
      <c r="D464" s="20">
        <f>IFERROR(INDEX(XPMenu!$A$2:$A$1000, MATCH(C464, XPMenu!$B$2:$B$1000, 0)), "")</f>
        <v/>
      </c>
      <c r="E464" s="20" t="n"/>
      <c r="F464" s="20" t="n"/>
      <c r="G464" s="20" t="n"/>
      <c r="H464" s="20" t="n"/>
      <c r="I464" s="20">
        <f>IFERROR(VLOOKUP(D464,XPMenu!$A:$F,2,FALSE),"")</f>
        <v/>
      </c>
      <c r="J464" s="20">
        <f>IFERROR(VLOOKUP(D464,XPMenu!$A:$F,3,FALSE),"")</f>
        <v/>
      </c>
      <c r="K464" s="20">
        <f>IFERROR(VLOOKUP(D464,XPMenu!$A:$F,4,FALSE),"")</f>
        <v/>
      </c>
      <c r="L464" s="20" t="n"/>
      <c r="M464" s="20">
        <f>IF(A464="","",IF(F464&lt;&gt;"Yes",0,IF(L464&lt;&gt;"",L464,E464*K464)))</f>
        <v/>
      </c>
      <c r="N464" s="20">
        <f>IF($A464="","",$A464-WEEKDAY($A464,2)+1)</f>
        <v/>
      </c>
      <c r="O464" s="20">
        <f>IF($A464="","",TEXT($A464,"yyyy-mm"))</f>
        <v/>
      </c>
      <c r="P464" s="21">
        <f>IF($A464="","",TEXT(YEAR($A464),"0000")&amp;"-Q"&amp;ROUNDUP(MONTH($A464)/3,0))</f>
        <v/>
      </c>
    </row>
    <row r="465">
      <c r="A465" s="22" t="n"/>
      <c r="B465" s="20" t="n"/>
      <c r="C465" s="20" t="n"/>
      <c r="D465" s="20">
        <f>IFERROR(INDEX(XPMenu!$A$2:$A$1000, MATCH(C465, XPMenu!$B$2:$B$1000, 0)), "")</f>
        <v/>
      </c>
      <c r="E465" s="20" t="n"/>
      <c r="F465" s="20" t="n"/>
      <c r="G465" s="20" t="n"/>
      <c r="H465" s="20" t="n"/>
      <c r="I465" s="20">
        <f>IFERROR(VLOOKUP(D465,XPMenu!$A:$F,2,FALSE),"")</f>
        <v/>
      </c>
      <c r="J465" s="20">
        <f>IFERROR(VLOOKUP(D465,XPMenu!$A:$F,3,FALSE),"")</f>
        <v/>
      </c>
      <c r="K465" s="20">
        <f>IFERROR(VLOOKUP(D465,XPMenu!$A:$F,4,FALSE),"")</f>
        <v/>
      </c>
      <c r="L465" s="20" t="n"/>
      <c r="M465" s="20">
        <f>IF(A465="","",IF(F465&lt;&gt;"Yes",0,IF(L465&lt;&gt;"",L465,E465*K465)))</f>
        <v/>
      </c>
      <c r="N465" s="20">
        <f>IF($A465="","",$A465-WEEKDAY($A465,2)+1)</f>
        <v/>
      </c>
      <c r="O465" s="20">
        <f>IF($A465="","",TEXT($A465,"yyyy-mm"))</f>
        <v/>
      </c>
      <c r="P465" s="21">
        <f>IF($A465="","",TEXT(YEAR($A465),"0000")&amp;"-Q"&amp;ROUNDUP(MONTH($A465)/3,0))</f>
        <v/>
      </c>
    </row>
    <row r="466">
      <c r="A466" s="22" t="n"/>
      <c r="B466" s="20" t="n"/>
      <c r="C466" s="20" t="n"/>
      <c r="D466" s="20">
        <f>IFERROR(INDEX(XPMenu!$A$2:$A$1000, MATCH(C466, XPMenu!$B$2:$B$1000, 0)), "")</f>
        <v/>
      </c>
      <c r="E466" s="20" t="n"/>
      <c r="F466" s="20" t="n"/>
      <c r="G466" s="20" t="n"/>
      <c r="H466" s="20" t="n"/>
      <c r="I466" s="20">
        <f>IFERROR(VLOOKUP(D466,XPMenu!$A:$F,2,FALSE),"")</f>
        <v/>
      </c>
      <c r="J466" s="20">
        <f>IFERROR(VLOOKUP(D466,XPMenu!$A:$F,3,FALSE),"")</f>
        <v/>
      </c>
      <c r="K466" s="20">
        <f>IFERROR(VLOOKUP(D466,XPMenu!$A:$F,4,FALSE),"")</f>
        <v/>
      </c>
      <c r="L466" s="20" t="n"/>
      <c r="M466" s="20">
        <f>IF(A466="","",IF(F466&lt;&gt;"Yes",0,IF(L466&lt;&gt;"",L466,E466*K466)))</f>
        <v/>
      </c>
      <c r="N466" s="20">
        <f>IF($A466="","",$A466-WEEKDAY($A466,2)+1)</f>
        <v/>
      </c>
      <c r="O466" s="20">
        <f>IF($A466="","",TEXT($A466,"yyyy-mm"))</f>
        <v/>
      </c>
      <c r="P466" s="21">
        <f>IF($A466="","",TEXT(YEAR($A466),"0000")&amp;"-Q"&amp;ROUNDUP(MONTH($A466)/3,0))</f>
        <v/>
      </c>
    </row>
    <row r="467">
      <c r="A467" s="22" t="n"/>
      <c r="B467" s="20" t="n"/>
      <c r="C467" s="20" t="n"/>
      <c r="D467" s="20">
        <f>IFERROR(INDEX(XPMenu!$A$2:$A$1000, MATCH(C467, XPMenu!$B$2:$B$1000, 0)), "")</f>
        <v/>
      </c>
      <c r="E467" s="20" t="n"/>
      <c r="F467" s="20" t="n"/>
      <c r="G467" s="20" t="n"/>
      <c r="H467" s="20" t="n"/>
      <c r="I467" s="20">
        <f>IFERROR(VLOOKUP(D467,XPMenu!$A:$F,2,FALSE),"")</f>
        <v/>
      </c>
      <c r="J467" s="20">
        <f>IFERROR(VLOOKUP(D467,XPMenu!$A:$F,3,FALSE),"")</f>
        <v/>
      </c>
      <c r="K467" s="20">
        <f>IFERROR(VLOOKUP(D467,XPMenu!$A:$F,4,FALSE),"")</f>
        <v/>
      </c>
      <c r="L467" s="20" t="n"/>
      <c r="M467" s="20">
        <f>IF(A467="","",IF(F467&lt;&gt;"Yes",0,IF(L467&lt;&gt;"",L467,E467*K467)))</f>
        <v/>
      </c>
      <c r="N467" s="20">
        <f>IF($A467="","",$A467-WEEKDAY($A467,2)+1)</f>
        <v/>
      </c>
      <c r="O467" s="20">
        <f>IF($A467="","",TEXT($A467,"yyyy-mm"))</f>
        <v/>
      </c>
      <c r="P467" s="21">
        <f>IF($A467="","",TEXT(YEAR($A467),"0000")&amp;"-Q"&amp;ROUNDUP(MONTH($A467)/3,0))</f>
        <v/>
      </c>
    </row>
    <row r="468">
      <c r="A468" s="22" t="n"/>
      <c r="B468" s="20" t="n"/>
      <c r="C468" s="20" t="n"/>
      <c r="D468" s="20">
        <f>IFERROR(INDEX(XPMenu!$A$2:$A$1000, MATCH(C468, XPMenu!$B$2:$B$1000, 0)), "")</f>
        <v/>
      </c>
      <c r="E468" s="20" t="n"/>
      <c r="F468" s="20" t="n"/>
      <c r="G468" s="20" t="n"/>
      <c r="H468" s="20" t="n"/>
      <c r="I468" s="20">
        <f>IFERROR(VLOOKUP(D468,XPMenu!$A:$F,2,FALSE),"")</f>
        <v/>
      </c>
      <c r="J468" s="20">
        <f>IFERROR(VLOOKUP(D468,XPMenu!$A:$F,3,FALSE),"")</f>
        <v/>
      </c>
      <c r="K468" s="20">
        <f>IFERROR(VLOOKUP(D468,XPMenu!$A:$F,4,FALSE),"")</f>
        <v/>
      </c>
      <c r="L468" s="20" t="n"/>
      <c r="M468" s="20">
        <f>IF(A468="","",IF(F468&lt;&gt;"Yes",0,IF(L468&lt;&gt;"",L468,E468*K468)))</f>
        <v/>
      </c>
      <c r="N468" s="20">
        <f>IF($A468="","",$A468-WEEKDAY($A468,2)+1)</f>
        <v/>
      </c>
      <c r="O468" s="20">
        <f>IF($A468="","",TEXT($A468,"yyyy-mm"))</f>
        <v/>
      </c>
      <c r="P468" s="21">
        <f>IF($A468="","",TEXT(YEAR($A468),"0000")&amp;"-Q"&amp;ROUNDUP(MONTH($A468)/3,0))</f>
        <v/>
      </c>
    </row>
    <row r="469">
      <c r="A469" s="22" t="n"/>
      <c r="B469" s="20" t="n"/>
      <c r="C469" s="20" t="n"/>
      <c r="D469" s="20">
        <f>IFERROR(INDEX(XPMenu!$A$2:$A$1000, MATCH(C469, XPMenu!$B$2:$B$1000, 0)), "")</f>
        <v/>
      </c>
      <c r="E469" s="20" t="n"/>
      <c r="F469" s="20" t="n"/>
      <c r="G469" s="20" t="n"/>
      <c r="H469" s="20" t="n"/>
      <c r="I469" s="20">
        <f>IFERROR(VLOOKUP(D469,XPMenu!$A:$F,2,FALSE),"")</f>
        <v/>
      </c>
      <c r="J469" s="20">
        <f>IFERROR(VLOOKUP(D469,XPMenu!$A:$F,3,FALSE),"")</f>
        <v/>
      </c>
      <c r="K469" s="20">
        <f>IFERROR(VLOOKUP(D469,XPMenu!$A:$F,4,FALSE),"")</f>
        <v/>
      </c>
      <c r="L469" s="20" t="n"/>
      <c r="M469" s="20">
        <f>IF(A469="","",IF(F469&lt;&gt;"Yes",0,IF(L469&lt;&gt;"",L469,E469*K469)))</f>
        <v/>
      </c>
      <c r="N469" s="20">
        <f>IF($A469="","",$A469-WEEKDAY($A469,2)+1)</f>
        <v/>
      </c>
      <c r="O469" s="20">
        <f>IF($A469="","",TEXT($A469,"yyyy-mm"))</f>
        <v/>
      </c>
      <c r="P469" s="21">
        <f>IF($A469="","",TEXT(YEAR($A469),"0000")&amp;"-Q"&amp;ROUNDUP(MONTH($A469)/3,0))</f>
        <v/>
      </c>
    </row>
    <row r="470">
      <c r="A470" s="22" t="n"/>
      <c r="B470" s="20" t="n"/>
      <c r="C470" s="20" t="n"/>
      <c r="D470" s="20">
        <f>IFERROR(INDEX(XPMenu!$A$2:$A$1000, MATCH(C470, XPMenu!$B$2:$B$1000, 0)), "")</f>
        <v/>
      </c>
      <c r="E470" s="20" t="n"/>
      <c r="F470" s="20" t="n"/>
      <c r="G470" s="20" t="n"/>
      <c r="H470" s="20" t="n"/>
      <c r="I470" s="20">
        <f>IFERROR(VLOOKUP(D470,XPMenu!$A:$F,2,FALSE),"")</f>
        <v/>
      </c>
      <c r="J470" s="20">
        <f>IFERROR(VLOOKUP(D470,XPMenu!$A:$F,3,FALSE),"")</f>
        <v/>
      </c>
      <c r="K470" s="20">
        <f>IFERROR(VLOOKUP(D470,XPMenu!$A:$F,4,FALSE),"")</f>
        <v/>
      </c>
      <c r="L470" s="20" t="n"/>
      <c r="M470" s="20">
        <f>IF(A470="","",IF(F470&lt;&gt;"Yes",0,IF(L470&lt;&gt;"",L470,E470*K470)))</f>
        <v/>
      </c>
      <c r="N470" s="20">
        <f>IF($A470="","",$A470-WEEKDAY($A470,2)+1)</f>
        <v/>
      </c>
      <c r="O470" s="20">
        <f>IF($A470="","",TEXT($A470,"yyyy-mm"))</f>
        <v/>
      </c>
      <c r="P470" s="21">
        <f>IF($A470="","",TEXT(YEAR($A470),"0000")&amp;"-Q"&amp;ROUNDUP(MONTH($A470)/3,0))</f>
        <v/>
      </c>
    </row>
    <row r="471">
      <c r="A471" s="22" t="n"/>
      <c r="B471" s="20" t="n"/>
      <c r="C471" s="20" t="n"/>
      <c r="D471" s="20">
        <f>IFERROR(INDEX(XPMenu!$A$2:$A$1000, MATCH(C471, XPMenu!$B$2:$B$1000, 0)), "")</f>
        <v/>
      </c>
      <c r="E471" s="20" t="n"/>
      <c r="F471" s="20" t="n"/>
      <c r="G471" s="20" t="n"/>
      <c r="H471" s="20" t="n"/>
      <c r="I471" s="20">
        <f>IFERROR(VLOOKUP(D471,XPMenu!$A:$F,2,FALSE),"")</f>
        <v/>
      </c>
      <c r="J471" s="20">
        <f>IFERROR(VLOOKUP(D471,XPMenu!$A:$F,3,FALSE),"")</f>
        <v/>
      </c>
      <c r="K471" s="20">
        <f>IFERROR(VLOOKUP(D471,XPMenu!$A:$F,4,FALSE),"")</f>
        <v/>
      </c>
      <c r="L471" s="20" t="n"/>
      <c r="M471" s="20">
        <f>IF(A471="","",IF(F471&lt;&gt;"Yes",0,IF(L471&lt;&gt;"",L471,E471*K471)))</f>
        <v/>
      </c>
      <c r="N471" s="20">
        <f>IF($A471="","",$A471-WEEKDAY($A471,2)+1)</f>
        <v/>
      </c>
      <c r="O471" s="20">
        <f>IF($A471="","",TEXT($A471,"yyyy-mm"))</f>
        <v/>
      </c>
      <c r="P471" s="21">
        <f>IF($A471="","",TEXT(YEAR($A471),"0000")&amp;"-Q"&amp;ROUNDUP(MONTH($A471)/3,0))</f>
        <v/>
      </c>
    </row>
    <row r="472">
      <c r="A472" s="22" t="n"/>
      <c r="B472" s="20" t="n"/>
      <c r="C472" s="20" t="n"/>
      <c r="D472" s="20">
        <f>IFERROR(INDEX(XPMenu!$A$2:$A$1000, MATCH(C472, XPMenu!$B$2:$B$1000, 0)), "")</f>
        <v/>
      </c>
      <c r="E472" s="20" t="n"/>
      <c r="F472" s="20" t="n"/>
      <c r="G472" s="20" t="n"/>
      <c r="H472" s="20" t="n"/>
      <c r="I472" s="20">
        <f>IFERROR(VLOOKUP(D472,XPMenu!$A:$F,2,FALSE),"")</f>
        <v/>
      </c>
      <c r="J472" s="20">
        <f>IFERROR(VLOOKUP(D472,XPMenu!$A:$F,3,FALSE),"")</f>
        <v/>
      </c>
      <c r="K472" s="20">
        <f>IFERROR(VLOOKUP(D472,XPMenu!$A:$F,4,FALSE),"")</f>
        <v/>
      </c>
      <c r="L472" s="20" t="n"/>
      <c r="M472" s="20">
        <f>IF(A472="","",IF(F472&lt;&gt;"Yes",0,IF(L472&lt;&gt;"",L472,E472*K472)))</f>
        <v/>
      </c>
      <c r="N472" s="20">
        <f>IF($A472="","",$A472-WEEKDAY($A472,2)+1)</f>
        <v/>
      </c>
      <c r="O472" s="20">
        <f>IF($A472="","",TEXT($A472,"yyyy-mm"))</f>
        <v/>
      </c>
      <c r="P472" s="21">
        <f>IF($A472="","",TEXT(YEAR($A472),"0000")&amp;"-Q"&amp;ROUNDUP(MONTH($A472)/3,0))</f>
        <v/>
      </c>
    </row>
    <row r="473">
      <c r="A473" s="22" t="n"/>
      <c r="B473" s="20" t="n"/>
      <c r="C473" s="20" t="n"/>
      <c r="D473" s="20">
        <f>IFERROR(INDEX(XPMenu!$A$2:$A$1000, MATCH(C473, XPMenu!$B$2:$B$1000, 0)), "")</f>
        <v/>
      </c>
      <c r="E473" s="20" t="n"/>
      <c r="F473" s="20" t="n"/>
      <c r="G473" s="20" t="n"/>
      <c r="H473" s="20" t="n"/>
      <c r="I473" s="20">
        <f>IFERROR(VLOOKUP(D473,XPMenu!$A:$F,2,FALSE),"")</f>
        <v/>
      </c>
      <c r="J473" s="20">
        <f>IFERROR(VLOOKUP(D473,XPMenu!$A:$F,3,FALSE),"")</f>
        <v/>
      </c>
      <c r="K473" s="20">
        <f>IFERROR(VLOOKUP(D473,XPMenu!$A:$F,4,FALSE),"")</f>
        <v/>
      </c>
      <c r="L473" s="20" t="n"/>
      <c r="M473" s="20">
        <f>IF(A473="","",IF(F473&lt;&gt;"Yes",0,IF(L473&lt;&gt;"",L473,E473*K473)))</f>
        <v/>
      </c>
      <c r="N473" s="20">
        <f>IF($A473="","",$A473-WEEKDAY($A473,2)+1)</f>
        <v/>
      </c>
      <c r="O473" s="20">
        <f>IF($A473="","",TEXT($A473,"yyyy-mm"))</f>
        <v/>
      </c>
      <c r="P473" s="21">
        <f>IF($A473="","",TEXT(YEAR($A473),"0000")&amp;"-Q"&amp;ROUNDUP(MONTH($A473)/3,0))</f>
        <v/>
      </c>
    </row>
    <row r="474">
      <c r="A474" s="22" t="n"/>
      <c r="B474" s="20" t="n"/>
      <c r="C474" s="20" t="n"/>
      <c r="D474" s="20">
        <f>IFERROR(INDEX(XPMenu!$A$2:$A$1000, MATCH(C474, XPMenu!$B$2:$B$1000, 0)), "")</f>
        <v/>
      </c>
      <c r="E474" s="20" t="n"/>
      <c r="F474" s="20" t="n"/>
      <c r="G474" s="20" t="n"/>
      <c r="H474" s="20" t="n"/>
      <c r="I474" s="20">
        <f>IFERROR(VLOOKUP(D474,XPMenu!$A:$F,2,FALSE),"")</f>
        <v/>
      </c>
      <c r="J474" s="20">
        <f>IFERROR(VLOOKUP(D474,XPMenu!$A:$F,3,FALSE),"")</f>
        <v/>
      </c>
      <c r="K474" s="20">
        <f>IFERROR(VLOOKUP(D474,XPMenu!$A:$F,4,FALSE),"")</f>
        <v/>
      </c>
      <c r="L474" s="20" t="n"/>
      <c r="M474" s="20">
        <f>IF(A474="","",IF(F474&lt;&gt;"Yes",0,IF(L474&lt;&gt;"",L474,E474*K474)))</f>
        <v/>
      </c>
      <c r="N474" s="20">
        <f>IF($A474="","",$A474-WEEKDAY($A474,2)+1)</f>
        <v/>
      </c>
      <c r="O474" s="20">
        <f>IF($A474="","",TEXT($A474,"yyyy-mm"))</f>
        <v/>
      </c>
      <c r="P474" s="21">
        <f>IF($A474="","",TEXT(YEAR($A474),"0000")&amp;"-Q"&amp;ROUNDUP(MONTH($A474)/3,0))</f>
        <v/>
      </c>
    </row>
    <row r="475">
      <c r="A475" s="22" t="n"/>
      <c r="B475" s="20" t="n"/>
      <c r="C475" s="20" t="n"/>
      <c r="D475" s="20">
        <f>IFERROR(INDEX(XPMenu!$A$2:$A$1000, MATCH(C475, XPMenu!$B$2:$B$1000, 0)), "")</f>
        <v/>
      </c>
      <c r="E475" s="20" t="n"/>
      <c r="F475" s="20" t="n"/>
      <c r="G475" s="20" t="n"/>
      <c r="H475" s="20" t="n"/>
      <c r="I475" s="20">
        <f>IFERROR(VLOOKUP(D475,XPMenu!$A:$F,2,FALSE),"")</f>
        <v/>
      </c>
      <c r="J475" s="20">
        <f>IFERROR(VLOOKUP(D475,XPMenu!$A:$F,3,FALSE),"")</f>
        <v/>
      </c>
      <c r="K475" s="20">
        <f>IFERROR(VLOOKUP(D475,XPMenu!$A:$F,4,FALSE),"")</f>
        <v/>
      </c>
      <c r="L475" s="20" t="n"/>
      <c r="M475" s="20">
        <f>IF(A475="","",IF(F475&lt;&gt;"Yes",0,IF(L475&lt;&gt;"",L475,E475*K475)))</f>
        <v/>
      </c>
      <c r="N475" s="20">
        <f>IF($A475="","",$A475-WEEKDAY($A475,2)+1)</f>
        <v/>
      </c>
      <c r="O475" s="20">
        <f>IF($A475="","",TEXT($A475,"yyyy-mm"))</f>
        <v/>
      </c>
      <c r="P475" s="21">
        <f>IF($A475="","",TEXT(YEAR($A475),"0000")&amp;"-Q"&amp;ROUNDUP(MONTH($A475)/3,0))</f>
        <v/>
      </c>
    </row>
    <row r="476">
      <c r="A476" s="22" t="n"/>
      <c r="B476" s="20" t="n"/>
      <c r="C476" s="20" t="n"/>
      <c r="D476" s="20">
        <f>IFERROR(INDEX(XPMenu!$A$2:$A$1000, MATCH(C476, XPMenu!$B$2:$B$1000, 0)), "")</f>
        <v/>
      </c>
      <c r="E476" s="20" t="n"/>
      <c r="F476" s="20" t="n"/>
      <c r="G476" s="20" t="n"/>
      <c r="H476" s="20" t="n"/>
      <c r="I476" s="20">
        <f>IFERROR(VLOOKUP(D476,XPMenu!$A:$F,2,FALSE),"")</f>
        <v/>
      </c>
      <c r="J476" s="20">
        <f>IFERROR(VLOOKUP(D476,XPMenu!$A:$F,3,FALSE),"")</f>
        <v/>
      </c>
      <c r="K476" s="20">
        <f>IFERROR(VLOOKUP(D476,XPMenu!$A:$F,4,FALSE),"")</f>
        <v/>
      </c>
      <c r="L476" s="20" t="n"/>
      <c r="M476" s="20">
        <f>IF(A476="","",IF(F476&lt;&gt;"Yes",0,IF(L476&lt;&gt;"",L476,E476*K476)))</f>
        <v/>
      </c>
      <c r="N476" s="20">
        <f>IF($A476="","",$A476-WEEKDAY($A476,2)+1)</f>
        <v/>
      </c>
      <c r="O476" s="20">
        <f>IF($A476="","",TEXT($A476,"yyyy-mm"))</f>
        <v/>
      </c>
      <c r="P476" s="21">
        <f>IF($A476="","",TEXT(YEAR($A476),"0000")&amp;"-Q"&amp;ROUNDUP(MONTH($A476)/3,0))</f>
        <v/>
      </c>
    </row>
    <row r="477">
      <c r="A477" s="22" t="n"/>
      <c r="B477" s="20" t="n"/>
      <c r="C477" s="20" t="n"/>
      <c r="D477" s="20">
        <f>IFERROR(INDEX(XPMenu!$A$2:$A$1000, MATCH(C477, XPMenu!$B$2:$B$1000, 0)), "")</f>
        <v/>
      </c>
      <c r="E477" s="20" t="n"/>
      <c r="F477" s="20" t="n"/>
      <c r="G477" s="20" t="n"/>
      <c r="H477" s="20" t="n"/>
      <c r="I477" s="20">
        <f>IFERROR(VLOOKUP(D477,XPMenu!$A:$F,2,FALSE),"")</f>
        <v/>
      </c>
      <c r="J477" s="20">
        <f>IFERROR(VLOOKUP(D477,XPMenu!$A:$F,3,FALSE),"")</f>
        <v/>
      </c>
      <c r="K477" s="20">
        <f>IFERROR(VLOOKUP(D477,XPMenu!$A:$F,4,FALSE),"")</f>
        <v/>
      </c>
      <c r="L477" s="20" t="n"/>
      <c r="M477" s="20">
        <f>IF(A477="","",IF(F477&lt;&gt;"Yes",0,IF(L477&lt;&gt;"",L477,E477*K477)))</f>
        <v/>
      </c>
      <c r="N477" s="20">
        <f>IF($A477="","",$A477-WEEKDAY($A477,2)+1)</f>
        <v/>
      </c>
      <c r="O477" s="20">
        <f>IF($A477="","",TEXT($A477,"yyyy-mm"))</f>
        <v/>
      </c>
      <c r="P477" s="21">
        <f>IF($A477="","",TEXT(YEAR($A477),"0000")&amp;"-Q"&amp;ROUNDUP(MONTH($A477)/3,0))</f>
        <v/>
      </c>
    </row>
    <row r="478">
      <c r="A478" s="22" t="n"/>
      <c r="B478" s="20" t="n"/>
      <c r="C478" s="20" t="n"/>
      <c r="D478" s="20">
        <f>IFERROR(INDEX(XPMenu!$A$2:$A$1000, MATCH(C478, XPMenu!$B$2:$B$1000, 0)), "")</f>
        <v/>
      </c>
      <c r="E478" s="20" t="n"/>
      <c r="F478" s="20" t="n"/>
      <c r="G478" s="20" t="n"/>
      <c r="H478" s="20" t="n"/>
      <c r="I478" s="20">
        <f>IFERROR(VLOOKUP(D478,XPMenu!$A:$F,2,FALSE),"")</f>
        <v/>
      </c>
      <c r="J478" s="20">
        <f>IFERROR(VLOOKUP(D478,XPMenu!$A:$F,3,FALSE),"")</f>
        <v/>
      </c>
      <c r="K478" s="20">
        <f>IFERROR(VLOOKUP(D478,XPMenu!$A:$F,4,FALSE),"")</f>
        <v/>
      </c>
      <c r="L478" s="20" t="n"/>
      <c r="M478" s="20">
        <f>IF(A478="","",IF(F478&lt;&gt;"Yes",0,IF(L478&lt;&gt;"",L478,E478*K478)))</f>
        <v/>
      </c>
      <c r="N478" s="20">
        <f>IF($A478="","",$A478-WEEKDAY($A478,2)+1)</f>
        <v/>
      </c>
      <c r="O478" s="20">
        <f>IF($A478="","",TEXT($A478,"yyyy-mm"))</f>
        <v/>
      </c>
      <c r="P478" s="21">
        <f>IF($A478="","",TEXT(YEAR($A478),"0000")&amp;"-Q"&amp;ROUNDUP(MONTH($A478)/3,0))</f>
        <v/>
      </c>
    </row>
    <row r="479">
      <c r="A479" s="22" t="n"/>
      <c r="B479" s="20" t="n"/>
      <c r="C479" s="20" t="n"/>
      <c r="D479" s="20">
        <f>IFERROR(INDEX(XPMenu!$A$2:$A$1000, MATCH(C479, XPMenu!$B$2:$B$1000, 0)), "")</f>
        <v/>
      </c>
      <c r="E479" s="20" t="n"/>
      <c r="F479" s="20" t="n"/>
      <c r="G479" s="20" t="n"/>
      <c r="H479" s="20" t="n"/>
      <c r="I479" s="20">
        <f>IFERROR(VLOOKUP(D479,XPMenu!$A:$F,2,FALSE),"")</f>
        <v/>
      </c>
      <c r="J479" s="20">
        <f>IFERROR(VLOOKUP(D479,XPMenu!$A:$F,3,FALSE),"")</f>
        <v/>
      </c>
      <c r="K479" s="20">
        <f>IFERROR(VLOOKUP(D479,XPMenu!$A:$F,4,FALSE),"")</f>
        <v/>
      </c>
      <c r="L479" s="20" t="n"/>
      <c r="M479" s="20">
        <f>IF(A479="","",IF(F479&lt;&gt;"Yes",0,IF(L479&lt;&gt;"",L479,E479*K479)))</f>
        <v/>
      </c>
      <c r="N479" s="20">
        <f>IF($A479="","",$A479-WEEKDAY($A479,2)+1)</f>
        <v/>
      </c>
      <c r="O479" s="20">
        <f>IF($A479="","",TEXT($A479,"yyyy-mm"))</f>
        <v/>
      </c>
      <c r="P479" s="21">
        <f>IF($A479="","",TEXT(YEAR($A479),"0000")&amp;"-Q"&amp;ROUNDUP(MONTH($A479)/3,0))</f>
        <v/>
      </c>
    </row>
    <row r="480">
      <c r="A480" s="22" t="n"/>
      <c r="B480" s="20" t="n"/>
      <c r="C480" s="20" t="n"/>
      <c r="D480" s="20">
        <f>IFERROR(INDEX(XPMenu!$A$2:$A$1000, MATCH(C480, XPMenu!$B$2:$B$1000, 0)), "")</f>
        <v/>
      </c>
      <c r="E480" s="20" t="n"/>
      <c r="F480" s="20" t="n"/>
      <c r="G480" s="20" t="n"/>
      <c r="H480" s="20" t="n"/>
      <c r="I480" s="20">
        <f>IFERROR(VLOOKUP(D480,XPMenu!$A:$F,2,FALSE),"")</f>
        <v/>
      </c>
      <c r="J480" s="20">
        <f>IFERROR(VLOOKUP(D480,XPMenu!$A:$F,3,FALSE),"")</f>
        <v/>
      </c>
      <c r="K480" s="20">
        <f>IFERROR(VLOOKUP(D480,XPMenu!$A:$F,4,FALSE),"")</f>
        <v/>
      </c>
      <c r="L480" s="20" t="n"/>
      <c r="M480" s="20">
        <f>IF(A480="","",IF(F480&lt;&gt;"Yes",0,IF(L480&lt;&gt;"",L480,E480*K480)))</f>
        <v/>
      </c>
      <c r="N480" s="20">
        <f>IF($A480="","",$A480-WEEKDAY($A480,2)+1)</f>
        <v/>
      </c>
      <c r="O480" s="20">
        <f>IF($A480="","",TEXT($A480,"yyyy-mm"))</f>
        <v/>
      </c>
      <c r="P480" s="21">
        <f>IF($A480="","",TEXT(YEAR($A480),"0000")&amp;"-Q"&amp;ROUNDUP(MONTH($A480)/3,0))</f>
        <v/>
      </c>
    </row>
    <row r="481">
      <c r="A481" s="22" t="n"/>
      <c r="B481" s="20" t="n"/>
      <c r="C481" s="20" t="n"/>
      <c r="D481" s="20">
        <f>IFERROR(INDEX(XPMenu!$A$2:$A$1000, MATCH(C481, XPMenu!$B$2:$B$1000, 0)), "")</f>
        <v/>
      </c>
      <c r="E481" s="20" t="n"/>
      <c r="F481" s="20" t="n"/>
      <c r="G481" s="20" t="n"/>
      <c r="H481" s="20" t="n"/>
      <c r="I481" s="20">
        <f>IFERROR(VLOOKUP(D481,XPMenu!$A:$F,2,FALSE),"")</f>
        <v/>
      </c>
      <c r="J481" s="20">
        <f>IFERROR(VLOOKUP(D481,XPMenu!$A:$F,3,FALSE),"")</f>
        <v/>
      </c>
      <c r="K481" s="20">
        <f>IFERROR(VLOOKUP(D481,XPMenu!$A:$F,4,FALSE),"")</f>
        <v/>
      </c>
      <c r="L481" s="20" t="n"/>
      <c r="M481" s="20">
        <f>IF(A481="","",IF(F481&lt;&gt;"Yes",0,IF(L481&lt;&gt;"",L481,E481*K481)))</f>
        <v/>
      </c>
      <c r="N481" s="20">
        <f>IF($A481="","",$A481-WEEKDAY($A481,2)+1)</f>
        <v/>
      </c>
      <c r="O481" s="20">
        <f>IF($A481="","",TEXT($A481,"yyyy-mm"))</f>
        <v/>
      </c>
      <c r="P481" s="21">
        <f>IF($A481="","",TEXT(YEAR($A481),"0000")&amp;"-Q"&amp;ROUNDUP(MONTH($A481)/3,0))</f>
        <v/>
      </c>
    </row>
    <row r="482">
      <c r="A482" s="22" t="n"/>
      <c r="B482" s="20" t="n"/>
      <c r="C482" s="20" t="n"/>
      <c r="D482" s="20">
        <f>IFERROR(INDEX(XPMenu!$A$2:$A$1000, MATCH(C482, XPMenu!$B$2:$B$1000, 0)), "")</f>
        <v/>
      </c>
      <c r="E482" s="20" t="n"/>
      <c r="F482" s="20" t="n"/>
      <c r="G482" s="20" t="n"/>
      <c r="H482" s="20" t="n"/>
      <c r="I482" s="20">
        <f>IFERROR(VLOOKUP(D482,XPMenu!$A:$F,2,FALSE),"")</f>
        <v/>
      </c>
      <c r="J482" s="20">
        <f>IFERROR(VLOOKUP(D482,XPMenu!$A:$F,3,FALSE),"")</f>
        <v/>
      </c>
      <c r="K482" s="20">
        <f>IFERROR(VLOOKUP(D482,XPMenu!$A:$F,4,FALSE),"")</f>
        <v/>
      </c>
      <c r="L482" s="20" t="n"/>
      <c r="M482" s="20">
        <f>IF(A482="","",IF(F482&lt;&gt;"Yes",0,IF(L482&lt;&gt;"",L482,E482*K482)))</f>
        <v/>
      </c>
      <c r="N482" s="20">
        <f>IF($A482="","",$A482-WEEKDAY($A482,2)+1)</f>
        <v/>
      </c>
      <c r="O482" s="20">
        <f>IF($A482="","",TEXT($A482,"yyyy-mm"))</f>
        <v/>
      </c>
      <c r="P482" s="21">
        <f>IF($A482="","",TEXT(YEAR($A482),"0000")&amp;"-Q"&amp;ROUNDUP(MONTH($A482)/3,0))</f>
        <v/>
      </c>
    </row>
    <row r="483">
      <c r="A483" s="22" t="n"/>
      <c r="B483" s="20" t="n"/>
      <c r="C483" s="20" t="n"/>
      <c r="D483" s="20">
        <f>IFERROR(INDEX(XPMenu!$A$2:$A$1000, MATCH(C483, XPMenu!$B$2:$B$1000, 0)), "")</f>
        <v/>
      </c>
      <c r="E483" s="20" t="n"/>
      <c r="F483" s="20" t="n"/>
      <c r="G483" s="20" t="n"/>
      <c r="H483" s="20" t="n"/>
      <c r="I483" s="20">
        <f>IFERROR(VLOOKUP(D483,XPMenu!$A:$F,2,FALSE),"")</f>
        <v/>
      </c>
      <c r="J483" s="20">
        <f>IFERROR(VLOOKUP(D483,XPMenu!$A:$F,3,FALSE),"")</f>
        <v/>
      </c>
      <c r="K483" s="20">
        <f>IFERROR(VLOOKUP(D483,XPMenu!$A:$F,4,FALSE),"")</f>
        <v/>
      </c>
      <c r="L483" s="20" t="n"/>
      <c r="M483" s="20">
        <f>IF(A483="","",IF(F483&lt;&gt;"Yes",0,IF(L483&lt;&gt;"",L483,E483*K483)))</f>
        <v/>
      </c>
      <c r="N483" s="20">
        <f>IF($A483="","",$A483-WEEKDAY($A483,2)+1)</f>
        <v/>
      </c>
      <c r="O483" s="20">
        <f>IF($A483="","",TEXT($A483,"yyyy-mm"))</f>
        <v/>
      </c>
      <c r="P483" s="21">
        <f>IF($A483="","",TEXT(YEAR($A483),"0000")&amp;"-Q"&amp;ROUNDUP(MONTH($A483)/3,0))</f>
        <v/>
      </c>
    </row>
    <row r="484">
      <c r="A484" s="22" t="n"/>
      <c r="B484" s="20" t="n"/>
      <c r="C484" s="20" t="n"/>
      <c r="D484" s="20">
        <f>IFERROR(INDEX(XPMenu!$A$2:$A$1000, MATCH(C484, XPMenu!$B$2:$B$1000, 0)), "")</f>
        <v/>
      </c>
      <c r="E484" s="20" t="n"/>
      <c r="F484" s="20" t="n"/>
      <c r="G484" s="20" t="n"/>
      <c r="H484" s="20" t="n"/>
      <c r="I484" s="20">
        <f>IFERROR(VLOOKUP(D484,XPMenu!$A:$F,2,FALSE),"")</f>
        <v/>
      </c>
      <c r="J484" s="20">
        <f>IFERROR(VLOOKUP(D484,XPMenu!$A:$F,3,FALSE),"")</f>
        <v/>
      </c>
      <c r="K484" s="20">
        <f>IFERROR(VLOOKUP(D484,XPMenu!$A:$F,4,FALSE),"")</f>
        <v/>
      </c>
      <c r="L484" s="20" t="n"/>
      <c r="M484" s="20">
        <f>IF(A484="","",IF(F484&lt;&gt;"Yes",0,IF(L484&lt;&gt;"",L484,E484*K484)))</f>
        <v/>
      </c>
      <c r="N484" s="20">
        <f>IF($A484="","",$A484-WEEKDAY($A484,2)+1)</f>
        <v/>
      </c>
      <c r="O484" s="20">
        <f>IF($A484="","",TEXT($A484,"yyyy-mm"))</f>
        <v/>
      </c>
      <c r="P484" s="21">
        <f>IF($A484="","",TEXT(YEAR($A484),"0000")&amp;"-Q"&amp;ROUNDUP(MONTH($A484)/3,0))</f>
        <v/>
      </c>
    </row>
    <row r="485">
      <c r="A485" s="22" t="n"/>
      <c r="B485" s="20" t="n"/>
      <c r="C485" s="20" t="n"/>
      <c r="D485" s="20">
        <f>IFERROR(INDEX(XPMenu!$A$2:$A$1000, MATCH(C485, XPMenu!$B$2:$B$1000, 0)), "")</f>
        <v/>
      </c>
      <c r="E485" s="20" t="n"/>
      <c r="F485" s="20" t="n"/>
      <c r="G485" s="20" t="n"/>
      <c r="H485" s="20" t="n"/>
      <c r="I485" s="20">
        <f>IFERROR(VLOOKUP(D485,XPMenu!$A:$F,2,FALSE),"")</f>
        <v/>
      </c>
      <c r="J485" s="20">
        <f>IFERROR(VLOOKUP(D485,XPMenu!$A:$F,3,FALSE),"")</f>
        <v/>
      </c>
      <c r="K485" s="20">
        <f>IFERROR(VLOOKUP(D485,XPMenu!$A:$F,4,FALSE),"")</f>
        <v/>
      </c>
      <c r="L485" s="20" t="n"/>
      <c r="M485" s="20">
        <f>IF(A485="","",IF(F485&lt;&gt;"Yes",0,IF(L485&lt;&gt;"",L485,E485*K485)))</f>
        <v/>
      </c>
      <c r="N485" s="20">
        <f>IF($A485="","",$A485-WEEKDAY($A485,2)+1)</f>
        <v/>
      </c>
      <c r="O485" s="20">
        <f>IF($A485="","",TEXT($A485,"yyyy-mm"))</f>
        <v/>
      </c>
      <c r="P485" s="21">
        <f>IF($A485="","",TEXT(YEAR($A485),"0000")&amp;"-Q"&amp;ROUNDUP(MONTH($A485)/3,0))</f>
        <v/>
      </c>
    </row>
    <row r="486">
      <c r="A486" s="22" t="n"/>
      <c r="B486" s="20" t="n"/>
      <c r="C486" s="20" t="n"/>
      <c r="D486" s="20">
        <f>IFERROR(INDEX(XPMenu!$A$2:$A$1000, MATCH(C486, XPMenu!$B$2:$B$1000, 0)), "")</f>
        <v/>
      </c>
      <c r="E486" s="20" t="n"/>
      <c r="F486" s="20" t="n"/>
      <c r="G486" s="20" t="n"/>
      <c r="H486" s="20" t="n"/>
      <c r="I486" s="20">
        <f>IFERROR(VLOOKUP(D486,XPMenu!$A:$F,2,FALSE),"")</f>
        <v/>
      </c>
      <c r="J486" s="20">
        <f>IFERROR(VLOOKUP(D486,XPMenu!$A:$F,3,FALSE),"")</f>
        <v/>
      </c>
      <c r="K486" s="20">
        <f>IFERROR(VLOOKUP(D486,XPMenu!$A:$F,4,FALSE),"")</f>
        <v/>
      </c>
      <c r="L486" s="20" t="n"/>
      <c r="M486" s="20">
        <f>IF(A486="","",IF(F486&lt;&gt;"Yes",0,IF(L486&lt;&gt;"",L486,E486*K486)))</f>
        <v/>
      </c>
      <c r="N486" s="20">
        <f>IF($A486="","",$A486-WEEKDAY($A486,2)+1)</f>
        <v/>
      </c>
      <c r="O486" s="20">
        <f>IF($A486="","",TEXT($A486,"yyyy-mm"))</f>
        <v/>
      </c>
      <c r="P486" s="21">
        <f>IF($A486="","",TEXT(YEAR($A486),"0000")&amp;"-Q"&amp;ROUNDUP(MONTH($A486)/3,0))</f>
        <v/>
      </c>
    </row>
    <row r="487">
      <c r="A487" s="22" t="n"/>
      <c r="B487" s="20" t="n"/>
      <c r="C487" s="20" t="n"/>
      <c r="D487" s="20">
        <f>IFERROR(INDEX(XPMenu!$A$2:$A$1000, MATCH(C487, XPMenu!$B$2:$B$1000, 0)), "")</f>
        <v/>
      </c>
      <c r="E487" s="20" t="n"/>
      <c r="F487" s="20" t="n"/>
      <c r="G487" s="20" t="n"/>
      <c r="H487" s="20" t="n"/>
      <c r="I487" s="20">
        <f>IFERROR(VLOOKUP(D487,XPMenu!$A:$F,2,FALSE),"")</f>
        <v/>
      </c>
      <c r="J487" s="20">
        <f>IFERROR(VLOOKUP(D487,XPMenu!$A:$F,3,FALSE),"")</f>
        <v/>
      </c>
      <c r="K487" s="20">
        <f>IFERROR(VLOOKUP(D487,XPMenu!$A:$F,4,FALSE),"")</f>
        <v/>
      </c>
      <c r="L487" s="20" t="n"/>
      <c r="M487" s="20">
        <f>IF(A487="","",IF(F487&lt;&gt;"Yes",0,IF(L487&lt;&gt;"",L487,E487*K487)))</f>
        <v/>
      </c>
      <c r="N487" s="20">
        <f>IF($A487="","",$A487-WEEKDAY($A487,2)+1)</f>
        <v/>
      </c>
      <c r="O487" s="20">
        <f>IF($A487="","",TEXT($A487,"yyyy-mm"))</f>
        <v/>
      </c>
      <c r="P487" s="21">
        <f>IF($A487="","",TEXT(YEAR($A487),"0000")&amp;"-Q"&amp;ROUNDUP(MONTH($A487)/3,0))</f>
        <v/>
      </c>
    </row>
    <row r="488">
      <c r="A488" s="22" t="n"/>
      <c r="B488" s="20" t="n"/>
      <c r="C488" s="20" t="n"/>
      <c r="D488" s="20">
        <f>IFERROR(INDEX(XPMenu!$A$2:$A$1000, MATCH(C488, XPMenu!$B$2:$B$1000, 0)), "")</f>
        <v/>
      </c>
      <c r="E488" s="20" t="n"/>
      <c r="F488" s="20" t="n"/>
      <c r="G488" s="20" t="n"/>
      <c r="H488" s="20" t="n"/>
      <c r="I488" s="20">
        <f>IFERROR(VLOOKUP(D488,XPMenu!$A:$F,2,FALSE),"")</f>
        <v/>
      </c>
      <c r="J488" s="20">
        <f>IFERROR(VLOOKUP(D488,XPMenu!$A:$F,3,FALSE),"")</f>
        <v/>
      </c>
      <c r="K488" s="20">
        <f>IFERROR(VLOOKUP(D488,XPMenu!$A:$F,4,FALSE),"")</f>
        <v/>
      </c>
      <c r="L488" s="20" t="n"/>
      <c r="M488" s="20">
        <f>IF(A488="","",IF(F488&lt;&gt;"Yes",0,IF(L488&lt;&gt;"",L488,E488*K488)))</f>
        <v/>
      </c>
      <c r="N488" s="20">
        <f>IF($A488="","",$A488-WEEKDAY($A488,2)+1)</f>
        <v/>
      </c>
      <c r="O488" s="20">
        <f>IF($A488="","",TEXT($A488,"yyyy-mm"))</f>
        <v/>
      </c>
      <c r="P488" s="21">
        <f>IF($A488="","",TEXT(YEAR($A488),"0000")&amp;"-Q"&amp;ROUNDUP(MONTH($A488)/3,0))</f>
        <v/>
      </c>
    </row>
    <row r="489">
      <c r="A489" s="22" t="n"/>
      <c r="B489" s="20" t="n"/>
      <c r="C489" s="20" t="n"/>
      <c r="D489" s="20">
        <f>IFERROR(INDEX(XPMenu!$A$2:$A$1000, MATCH(C489, XPMenu!$B$2:$B$1000, 0)), "")</f>
        <v/>
      </c>
      <c r="E489" s="20" t="n"/>
      <c r="F489" s="20" t="n"/>
      <c r="G489" s="20" t="n"/>
      <c r="H489" s="20" t="n"/>
      <c r="I489" s="20">
        <f>IFERROR(VLOOKUP(D489,XPMenu!$A:$F,2,FALSE),"")</f>
        <v/>
      </c>
      <c r="J489" s="20">
        <f>IFERROR(VLOOKUP(D489,XPMenu!$A:$F,3,FALSE),"")</f>
        <v/>
      </c>
      <c r="K489" s="20">
        <f>IFERROR(VLOOKUP(D489,XPMenu!$A:$F,4,FALSE),"")</f>
        <v/>
      </c>
      <c r="L489" s="20" t="n"/>
      <c r="M489" s="20">
        <f>IF(A489="","",IF(F489&lt;&gt;"Yes",0,IF(L489&lt;&gt;"",L489,E489*K489)))</f>
        <v/>
      </c>
      <c r="N489" s="20">
        <f>IF($A489="","",$A489-WEEKDAY($A489,2)+1)</f>
        <v/>
      </c>
      <c r="O489" s="20">
        <f>IF($A489="","",TEXT($A489,"yyyy-mm"))</f>
        <v/>
      </c>
      <c r="P489" s="21">
        <f>IF($A489="","",TEXT(YEAR($A489),"0000")&amp;"-Q"&amp;ROUNDUP(MONTH($A489)/3,0))</f>
        <v/>
      </c>
    </row>
    <row r="490">
      <c r="A490" s="22" t="n"/>
      <c r="B490" s="20" t="n"/>
      <c r="C490" s="20" t="n"/>
      <c r="D490" s="20">
        <f>IFERROR(INDEX(XPMenu!$A$2:$A$1000, MATCH(C490, XPMenu!$B$2:$B$1000, 0)), "")</f>
        <v/>
      </c>
      <c r="E490" s="20" t="n"/>
      <c r="F490" s="20" t="n"/>
      <c r="G490" s="20" t="n"/>
      <c r="H490" s="20" t="n"/>
      <c r="I490" s="20">
        <f>IFERROR(VLOOKUP(D490,XPMenu!$A:$F,2,FALSE),"")</f>
        <v/>
      </c>
      <c r="J490" s="20">
        <f>IFERROR(VLOOKUP(D490,XPMenu!$A:$F,3,FALSE),"")</f>
        <v/>
      </c>
      <c r="K490" s="20">
        <f>IFERROR(VLOOKUP(D490,XPMenu!$A:$F,4,FALSE),"")</f>
        <v/>
      </c>
      <c r="L490" s="20" t="n"/>
      <c r="M490" s="20">
        <f>IF(A490="","",IF(F490&lt;&gt;"Yes",0,IF(L490&lt;&gt;"",L490,E490*K490)))</f>
        <v/>
      </c>
      <c r="N490" s="20">
        <f>IF($A490="","",$A490-WEEKDAY($A490,2)+1)</f>
        <v/>
      </c>
      <c r="O490" s="20">
        <f>IF($A490="","",TEXT($A490,"yyyy-mm"))</f>
        <v/>
      </c>
      <c r="P490" s="21">
        <f>IF($A490="","",TEXT(YEAR($A490),"0000")&amp;"-Q"&amp;ROUNDUP(MONTH($A490)/3,0))</f>
        <v/>
      </c>
    </row>
    <row r="491">
      <c r="A491" s="22" t="n"/>
      <c r="B491" s="20" t="n"/>
      <c r="C491" s="20" t="n"/>
      <c r="D491" s="20">
        <f>IFERROR(INDEX(XPMenu!$A$2:$A$1000, MATCH(C491, XPMenu!$B$2:$B$1000, 0)), "")</f>
        <v/>
      </c>
      <c r="E491" s="20" t="n"/>
      <c r="F491" s="20" t="n"/>
      <c r="G491" s="20" t="n"/>
      <c r="H491" s="20" t="n"/>
      <c r="I491" s="20">
        <f>IFERROR(VLOOKUP(D491,XPMenu!$A:$F,2,FALSE),"")</f>
        <v/>
      </c>
      <c r="J491" s="20">
        <f>IFERROR(VLOOKUP(D491,XPMenu!$A:$F,3,FALSE),"")</f>
        <v/>
      </c>
      <c r="K491" s="20">
        <f>IFERROR(VLOOKUP(D491,XPMenu!$A:$F,4,FALSE),"")</f>
        <v/>
      </c>
      <c r="L491" s="20" t="n"/>
      <c r="M491" s="20">
        <f>IF(A491="","",IF(F491&lt;&gt;"Yes",0,IF(L491&lt;&gt;"",L491,E491*K491)))</f>
        <v/>
      </c>
      <c r="N491" s="20">
        <f>IF($A491="","",$A491-WEEKDAY($A491,2)+1)</f>
        <v/>
      </c>
      <c r="O491" s="20">
        <f>IF($A491="","",TEXT($A491,"yyyy-mm"))</f>
        <v/>
      </c>
      <c r="P491" s="21">
        <f>IF($A491="","",TEXT(YEAR($A491),"0000")&amp;"-Q"&amp;ROUNDUP(MONTH($A491)/3,0))</f>
        <v/>
      </c>
    </row>
    <row r="492">
      <c r="A492" s="22" t="n"/>
      <c r="B492" s="20" t="n"/>
      <c r="C492" s="20" t="n"/>
      <c r="D492" s="20">
        <f>IFERROR(INDEX(XPMenu!$A$2:$A$1000, MATCH(C492, XPMenu!$B$2:$B$1000, 0)), "")</f>
        <v/>
      </c>
      <c r="E492" s="20" t="n"/>
      <c r="F492" s="20" t="n"/>
      <c r="G492" s="20" t="n"/>
      <c r="H492" s="20" t="n"/>
      <c r="I492" s="20">
        <f>IFERROR(VLOOKUP(D492,XPMenu!$A:$F,2,FALSE),"")</f>
        <v/>
      </c>
      <c r="J492" s="20">
        <f>IFERROR(VLOOKUP(D492,XPMenu!$A:$F,3,FALSE),"")</f>
        <v/>
      </c>
      <c r="K492" s="20">
        <f>IFERROR(VLOOKUP(D492,XPMenu!$A:$F,4,FALSE),"")</f>
        <v/>
      </c>
      <c r="L492" s="20" t="n"/>
      <c r="M492" s="20">
        <f>IF(A492="","",IF(F492&lt;&gt;"Yes",0,IF(L492&lt;&gt;"",L492,E492*K492)))</f>
        <v/>
      </c>
      <c r="N492" s="20">
        <f>IF($A492="","",$A492-WEEKDAY($A492,2)+1)</f>
        <v/>
      </c>
      <c r="O492" s="20">
        <f>IF($A492="","",TEXT($A492,"yyyy-mm"))</f>
        <v/>
      </c>
      <c r="P492" s="21">
        <f>IF($A492="","",TEXT(YEAR($A492),"0000")&amp;"-Q"&amp;ROUNDUP(MONTH($A492)/3,0))</f>
        <v/>
      </c>
    </row>
    <row r="493">
      <c r="A493" s="22" t="n"/>
      <c r="B493" s="20" t="n"/>
      <c r="C493" s="20" t="n"/>
      <c r="D493" s="20">
        <f>IFERROR(INDEX(XPMenu!$A$2:$A$1000, MATCH(C493, XPMenu!$B$2:$B$1000, 0)), "")</f>
        <v/>
      </c>
      <c r="E493" s="20" t="n"/>
      <c r="F493" s="20" t="n"/>
      <c r="G493" s="20" t="n"/>
      <c r="H493" s="20" t="n"/>
      <c r="I493" s="20">
        <f>IFERROR(VLOOKUP(D493,XPMenu!$A:$F,2,FALSE),"")</f>
        <v/>
      </c>
      <c r="J493" s="20">
        <f>IFERROR(VLOOKUP(D493,XPMenu!$A:$F,3,FALSE),"")</f>
        <v/>
      </c>
      <c r="K493" s="20">
        <f>IFERROR(VLOOKUP(D493,XPMenu!$A:$F,4,FALSE),"")</f>
        <v/>
      </c>
      <c r="L493" s="20" t="n"/>
      <c r="M493" s="20">
        <f>IF(A493="","",IF(F493&lt;&gt;"Yes",0,IF(L493&lt;&gt;"",L493,E493*K493)))</f>
        <v/>
      </c>
      <c r="N493" s="20">
        <f>IF($A493="","",$A493-WEEKDAY($A493,2)+1)</f>
        <v/>
      </c>
      <c r="O493" s="20">
        <f>IF($A493="","",TEXT($A493,"yyyy-mm"))</f>
        <v/>
      </c>
      <c r="P493" s="21">
        <f>IF($A493="","",TEXT(YEAR($A493),"0000")&amp;"-Q"&amp;ROUNDUP(MONTH($A493)/3,0))</f>
        <v/>
      </c>
    </row>
    <row r="494">
      <c r="A494" s="22" t="n"/>
      <c r="B494" s="20" t="n"/>
      <c r="C494" s="20" t="n"/>
      <c r="D494" s="20">
        <f>IFERROR(INDEX(XPMenu!$A$2:$A$1000, MATCH(C494, XPMenu!$B$2:$B$1000, 0)), "")</f>
        <v/>
      </c>
      <c r="E494" s="20" t="n"/>
      <c r="F494" s="20" t="n"/>
      <c r="G494" s="20" t="n"/>
      <c r="H494" s="20" t="n"/>
      <c r="I494" s="20">
        <f>IFERROR(VLOOKUP(D494,XPMenu!$A:$F,2,FALSE),"")</f>
        <v/>
      </c>
      <c r="J494" s="20">
        <f>IFERROR(VLOOKUP(D494,XPMenu!$A:$F,3,FALSE),"")</f>
        <v/>
      </c>
      <c r="K494" s="20">
        <f>IFERROR(VLOOKUP(D494,XPMenu!$A:$F,4,FALSE),"")</f>
        <v/>
      </c>
      <c r="L494" s="20" t="n"/>
      <c r="M494" s="20">
        <f>IF(A494="","",IF(F494&lt;&gt;"Yes",0,IF(L494&lt;&gt;"",L494,E494*K494)))</f>
        <v/>
      </c>
      <c r="N494" s="20">
        <f>IF($A494="","",$A494-WEEKDAY($A494,2)+1)</f>
        <v/>
      </c>
      <c r="O494" s="20">
        <f>IF($A494="","",TEXT($A494,"yyyy-mm"))</f>
        <v/>
      </c>
      <c r="P494" s="21">
        <f>IF($A494="","",TEXT(YEAR($A494),"0000")&amp;"-Q"&amp;ROUNDUP(MONTH($A494)/3,0))</f>
        <v/>
      </c>
    </row>
    <row r="495">
      <c r="A495" s="22" t="n"/>
      <c r="B495" s="20" t="n"/>
      <c r="C495" s="20" t="n"/>
      <c r="D495" s="20">
        <f>IFERROR(INDEX(XPMenu!$A$2:$A$1000, MATCH(C495, XPMenu!$B$2:$B$1000, 0)), "")</f>
        <v/>
      </c>
      <c r="E495" s="20" t="n"/>
      <c r="F495" s="20" t="n"/>
      <c r="G495" s="20" t="n"/>
      <c r="H495" s="20" t="n"/>
      <c r="I495" s="20">
        <f>IFERROR(VLOOKUP(D495,XPMenu!$A:$F,2,FALSE),"")</f>
        <v/>
      </c>
      <c r="J495" s="20">
        <f>IFERROR(VLOOKUP(D495,XPMenu!$A:$F,3,FALSE),"")</f>
        <v/>
      </c>
      <c r="K495" s="20">
        <f>IFERROR(VLOOKUP(D495,XPMenu!$A:$F,4,FALSE),"")</f>
        <v/>
      </c>
      <c r="L495" s="20" t="n"/>
      <c r="M495" s="20">
        <f>IF(A495="","",IF(F495&lt;&gt;"Yes",0,IF(L495&lt;&gt;"",L495,E495*K495)))</f>
        <v/>
      </c>
      <c r="N495" s="20">
        <f>IF($A495="","",$A495-WEEKDAY($A495,2)+1)</f>
        <v/>
      </c>
      <c r="O495" s="20">
        <f>IF($A495="","",TEXT($A495,"yyyy-mm"))</f>
        <v/>
      </c>
      <c r="P495" s="21">
        <f>IF($A495="","",TEXT(YEAR($A495),"0000")&amp;"-Q"&amp;ROUNDUP(MONTH($A495)/3,0))</f>
        <v/>
      </c>
    </row>
    <row r="496">
      <c r="A496" s="22" t="n"/>
      <c r="B496" s="20" t="n"/>
      <c r="C496" s="20" t="n"/>
      <c r="D496" s="20">
        <f>IFERROR(INDEX(XPMenu!$A$2:$A$1000, MATCH(C496, XPMenu!$B$2:$B$1000, 0)), "")</f>
        <v/>
      </c>
      <c r="E496" s="20" t="n"/>
      <c r="F496" s="20" t="n"/>
      <c r="G496" s="20" t="n"/>
      <c r="H496" s="20" t="n"/>
      <c r="I496" s="20">
        <f>IFERROR(VLOOKUP(D496,XPMenu!$A:$F,2,FALSE),"")</f>
        <v/>
      </c>
      <c r="J496" s="20">
        <f>IFERROR(VLOOKUP(D496,XPMenu!$A:$F,3,FALSE),"")</f>
        <v/>
      </c>
      <c r="K496" s="20">
        <f>IFERROR(VLOOKUP(D496,XPMenu!$A:$F,4,FALSE),"")</f>
        <v/>
      </c>
      <c r="L496" s="20" t="n"/>
      <c r="M496" s="20">
        <f>IF(A496="","",IF(F496&lt;&gt;"Yes",0,IF(L496&lt;&gt;"",L496,E496*K496)))</f>
        <v/>
      </c>
      <c r="N496" s="20">
        <f>IF($A496="","",$A496-WEEKDAY($A496,2)+1)</f>
        <v/>
      </c>
      <c r="O496" s="20">
        <f>IF($A496="","",TEXT($A496,"yyyy-mm"))</f>
        <v/>
      </c>
      <c r="P496" s="21">
        <f>IF($A496="","",TEXT(YEAR($A496),"0000")&amp;"-Q"&amp;ROUNDUP(MONTH($A496)/3,0))</f>
        <v/>
      </c>
    </row>
    <row r="497">
      <c r="A497" s="22" t="n"/>
      <c r="B497" s="20" t="n"/>
      <c r="C497" s="20" t="n"/>
      <c r="D497" s="20">
        <f>IFERROR(INDEX(XPMenu!$A$2:$A$1000, MATCH(C497, XPMenu!$B$2:$B$1000, 0)), "")</f>
        <v/>
      </c>
      <c r="E497" s="20" t="n"/>
      <c r="F497" s="20" t="n"/>
      <c r="G497" s="20" t="n"/>
      <c r="H497" s="20" t="n"/>
      <c r="I497" s="20">
        <f>IFERROR(VLOOKUP(D497,XPMenu!$A:$F,2,FALSE),"")</f>
        <v/>
      </c>
      <c r="J497" s="20">
        <f>IFERROR(VLOOKUP(D497,XPMenu!$A:$F,3,FALSE),"")</f>
        <v/>
      </c>
      <c r="K497" s="20">
        <f>IFERROR(VLOOKUP(D497,XPMenu!$A:$F,4,FALSE),"")</f>
        <v/>
      </c>
      <c r="L497" s="20" t="n"/>
      <c r="M497" s="20">
        <f>IF(A497="","",IF(F497&lt;&gt;"Yes",0,IF(L497&lt;&gt;"",L497,E497*K497)))</f>
        <v/>
      </c>
      <c r="N497" s="20">
        <f>IF($A497="","",$A497-WEEKDAY($A497,2)+1)</f>
        <v/>
      </c>
      <c r="O497" s="20">
        <f>IF($A497="","",TEXT($A497,"yyyy-mm"))</f>
        <v/>
      </c>
      <c r="P497" s="21">
        <f>IF($A497="","",TEXT(YEAR($A497),"0000")&amp;"-Q"&amp;ROUNDUP(MONTH($A497)/3,0))</f>
        <v/>
      </c>
    </row>
    <row r="498">
      <c r="A498" s="22" t="n"/>
      <c r="B498" s="20" t="n"/>
      <c r="C498" s="20" t="n"/>
      <c r="D498" s="20">
        <f>IFERROR(INDEX(XPMenu!$A$2:$A$1000, MATCH(C498, XPMenu!$B$2:$B$1000, 0)), "")</f>
        <v/>
      </c>
      <c r="E498" s="20" t="n"/>
      <c r="F498" s="20" t="n"/>
      <c r="G498" s="20" t="n"/>
      <c r="H498" s="20" t="n"/>
      <c r="I498" s="20">
        <f>IFERROR(VLOOKUP(D498,XPMenu!$A:$F,2,FALSE),"")</f>
        <v/>
      </c>
      <c r="J498" s="20">
        <f>IFERROR(VLOOKUP(D498,XPMenu!$A:$F,3,FALSE),"")</f>
        <v/>
      </c>
      <c r="K498" s="20">
        <f>IFERROR(VLOOKUP(D498,XPMenu!$A:$F,4,FALSE),"")</f>
        <v/>
      </c>
      <c r="L498" s="20" t="n"/>
      <c r="M498" s="20">
        <f>IF(A498="","",IF(F498&lt;&gt;"Yes",0,IF(L498&lt;&gt;"",L498,E498*K498)))</f>
        <v/>
      </c>
      <c r="N498" s="20">
        <f>IF($A498="","",$A498-WEEKDAY($A498,2)+1)</f>
        <v/>
      </c>
      <c r="O498" s="20">
        <f>IF($A498="","",TEXT($A498,"yyyy-mm"))</f>
        <v/>
      </c>
      <c r="P498" s="21">
        <f>IF($A498="","",TEXT(YEAR($A498),"0000")&amp;"-Q"&amp;ROUNDUP(MONTH($A498)/3,0))</f>
        <v/>
      </c>
    </row>
    <row r="499">
      <c r="A499" s="22" t="n"/>
      <c r="B499" s="20" t="n"/>
      <c r="C499" s="20" t="n"/>
      <c r="D499" s="20">
        <f>IFERROR(INDEX(XPMenu!$A$2:$A$1000, MATCH(C499, XPMenu!$B$2:$B$1000, 0)), "")</f>
        <v/>
      </c>
      <c r="E499" s="20" t="n"/>
      <c r="F499" s="20" t="n"/>
      <c r="G499" s="20" t="n"/>
      <c r="H499" s="20" t="n"/>
      <c r="I499" s="20">
        <f>IFERROR(VLOOKUP(D499,XPMenu!$A:$F,2,FALSE),"")</f>
        <v/>
      </c>
      <c r="J499" s="20">
        <f>IFERROR(VLOOKUP(D499,XPMenu!$A:$F,3,FALSE),"")</f>
        <v/>
      </c>
      <c r="K499" s="20">
        <f>IFERROR(VLOOKUP(D499,XPMenu!$A:$F,4,FALSE),"")</f>
        <v/>
      </c>
      <c r="L499" s="20" t="n"/>
      <c r="M499" s="20">
        <f>IF(A499="","",IF(F499&lt;&gt;"Yes",0,IF(L499&lt;&gt;"",L499,E499*K499)))</f>
        <v/>
      </c>
      <c r="N499" s="20">
        <f>IF($A499="","",$A499-WEEKDAY($A499,2)+1)</f>
        <v/>
      </c>
      <c r="O499" s="20">
        <f>IF($A499="","",TEXT($A499,"yyyy-mm"))</f>
        <v/>
      </c>
      <c r="P499" s="21">
        <f>IF($A499="","",TEXT(YEAR($A499),"0000")&amp;"-Q"&amp;ROUNDUP(MONTH($A499)/3,0))</f>
        <v/>
      </c>
    </row>
    <row r="500">
      <c r="A500" s="22" t="n"/>
      <c r="B500" s="20" t="n"/>
      <c r="C500" s="20" t="n"/>
      <c r="D500" s="20">
        <f>IFERROR(INDEX(XPMenu!$A$2:$A$1000, MATCH(C500, XPMenu!$B$2:$B$1000, 0)), "")</f>
        <v/>
      </c>
      <c r="E500" s="20" t="n"/>
      <c r="F500" s="20" t="n"/>
      <c r="G500" s="20" t="n"/>
      <c r="H500" s="20" t="n"/>
      <c r="I500" s="20">
        <f>IFERROR(VLOOKUP(D500,XPMenu!$A:$F,2,FALSE),"")</f>
        <v/>
      </c>
      <c r="J500" s="20">
        <f>IFERROR(VLOOKUP(D500,XPMenu!$A:$F,3,FALSE),"")</f>
        <v/>
      </c>
      <c r="K500" s="20">
        <f>IFERROR(VLOOKUP(D500,XPMenu!$A:$F,4,FALSE),"")</f>
        <v/>
      </c>
      <c r="L500" s="20" t="n"/>
      <c r="M500" s="20">
        <f>IF(A500="","",IF(F500&lt;&gt;"Yes",0,IF(L500&lt;&gt;"",L500,E500*K500)))</f>
        <v/>
      </c>
      <c r="N500" s="20">
        <f>IF($A500="","",$A500-WEEKDAY($A500,2)+1)</f>
        <v/>
      </c>
      <c r="O500" s="20">
        <f>IF($A500="","",TEXT($A500,"yyyy-mm"))</f>
        <v/>
      </c>
      <c r="P500" s="21">
        <f>IF($A500="","",TEXT(YEAR($A500),"0000")&amp;"-Q"&amp;ROUNDUP(MONTH($A500)/3,0))</f>
        <v/>
      </c>
    </row>
    <row r="501">
      <c r="A501" s="22" t="n"/>
      <c r="B501" s="20" t="n"/>
      <c r="C501" s="20" t="n"/>
      <c r="D501" s="20">
        <f>IFERROR(INDEX(XPMenu!$A$2:$A$1000, MATCH(C501, XPMenu!$B$2:$B$1000, 0)), "")</f>
        <v/>
      </c>
      <c r="E501" s="20" t="n"/>
      <c r="F501" s="20" t="n"/>
      <c r="G501" s="20" t="n"/>
      <c r="H501" s="20" t="n"/>
      <c r="I501" s="20">
        <f>IFERROR(VLOOKUP(D501,XPMenu!$A:$F,2,FALSE),"")</f>
        <v/>
      </c>
      <c r="J501" s="20">
        <f>IFERROR(VLOOKUP(D501,XPMenu!$A:$F,3,FALSE),"")</f>
        <v/>
      </c>
      <c r="K501" s="20">
        <f>IFERROR(VLOOKUP(D501,XPMenu!$A:$F,4,FALSE),"")</f>
        <v/>
      </c>
      <c r="L501" s="20" t="n"/>
      <c r="M501" s="20">
        <f>IF(A501="","",IF(F501&lt;&gt;"Yes",0,IF(L501&lt;&gt;"",L501,E501*K501)))</f>
        <v/>
      </c>
      <c r="N501" s="20">
        <f>IF($A501="","",$A501-WEEKDAY($A501,2)+1)</f>
        <v/>
      </c>
      <c r="O501" s="20">
        <f>IF($A501="","",TEXT($A501,"yyyy-mm"))</f>
        <v/>
      </c>
      <c r="P501" s="21">
        <f>IF($A501="","",TEXT(YEAR($A501),"0000")&amp;"-Q"&amp;ROUNDUP(MONTH($A501)/3,0))</f>
        <v/>
      </c>
    </row>
    <row r="502">
      <c r="A502" s="22" t="n"/>
      <c r="B502" s="20" t="n"/>
      <c r="C502" s="20" t="n"/>
      <c r="D502" s="20">
        <f>IFERROR(INDEX(XPMenu!$A$2:$A$1000, MATCH(C502, XPMenu!$B$2:$B$1000, 0)), "")</f>
        <v/>
      </c>
      <c r="E502" s="20" t="n"/>
      <c r="F502" s="20" t="n"/>
      <c r="G502" s="20" t="n"/>
      <c r="H502" s="20" t="n"/>
      <c r="I502" s="20">
        <f>IFERROR(VLOOKUP(D502,XPMenu!$A:$F,2,FALSE),"")</f>
        <v/>
      </c>
      <c r="J502" s="20">
        <f>IFERROR(VLOOKUP(D502,XPMenu!$A:$F,3,FALSE),"")</f>
        <v/>
      </c>
      <c r="K502" s="20">
        <f>IFERROR(VLOOKUP(D502,XPMenu!$A:$F,4,FALSE),"")</f>
        <v/>
      </c>
      <c r="L502" s="20" t="n"/>
      <c r="M502" s="20">
        <f>IF(A502="","",IF(F502&lt;&gt;"Yes",0,IF(L502&lt;&gt;"",L502,E502*K502)))</f>
        <v/>
      </c>
      <c r="N502" s="20">
        <f>IF($A502="","",$A502-WEEKDAY($A502,2)+1)</f>
        <v/>
      </c>
      <c r="O502" s="20">
        <f>IF($A502="","",TEXT($A502,"yyyy-mm"))</f>
        <v/>
      </c>
      <c r="P502" s="21">
        <f>IF($A502="","",TEXT(YEAR($A502),"0000")&amp;"-Q"&amp;ROUNDUP(MONTH($A502)/3,0))</f>
        <v/>
      </c>
    </row>
    <row r="503">
      <c r="A503" s="22" t="n"/>
      <c r="B503" s="20" t="n"/>
      <c r="C503" s="20" t="n"/>
      <c r="D503" s="20">
        <f>IFERROR(INDEX(XPMenu!$A$2:$A$1000, MATCH(C503, XPMenu!$B$2:$B$1000, 0)), "")</f>
        <v/>
      </c>
      <c r="E503" s="20" t="n"/>
      <c r="F503" s="20" t="n"/>
      <c r="G503" s="20" t="n"/>
      <c r="H503" s="20" t="n"/>
      <c r="I503" s="20">
        <f>IFERROR(VLOOKUP(D503,XPMenu!$A:$F,2,FALSE),"")</f>
        <v/>
      </c>
      <c r="J503" s="20">
        <f>IFERROR(VLOOKUP(D503,XPMenu!$A:$F,3,FALSE),"")</f>
        <v/>
      </c>
      <c r="K503" s="20">
        <f>IFERROR(VLOOKUP(D503,XPMenu!$A:$F,4,FALSE),"")</f>
        <v/>
      </c>
      <c r="L503" s="20" t="n"/>
      <c r="M503" s="20">
        <f>IF(A503="","",IF(F503&lt;&gt;"Yes",0,IF(L503&lt;&gt;"",L503,E503*K503)))</f>
        <v/>
      </c>
      <c r="N503" s="20">
        <f>IF($A503="","",$A503-WEEKDAY($A503,2)+1)</f>
        <v/>
      </c>
      <c r="O503" s="20">
        <f>IF($A503="","",TEXT($A503,"yyyy-mm"))</f>
        <v/>
      </c>
      <c r="P503" s="21">
        <f>IF($A503="","",TEXT(YEAR($A503),"0000")&amp;"-Q"&amp;ROUNDUP(MONTH($A503)/3,0))</f>
        <v/>
      </c>
    </row>
    <row r="504">
      <c r="A504" s="22" t="n"/>
      <c r="B504" s="20" t="n"/>
      <c r="C504" s="20" t="n"/>
      <c r="D504" s="20">
        <f>IFERROR(INDEX(XPMenu!$A$2:$A$1000, MATCH(C504, XPMenu!$B$2:$B$1000, 0)), "")</f>
        <v/>
      </c>
      <c r="E504" s="20" t="n"/>
      <c r="F504" s="20" t="n"/>
      <c r="G504" s="20" t="n"/>
      <c r="H504" s="20" t="n"/>
      <c r="I504" s="20">
        <f>IFERROR(VLOOKUP(D504,XPMenu!$A:$F,2,FALSE),"")</f>
        <v/>
      </c>
      <c r="J504" s="20">
        <f>IFERROR(VLOOKUP(D504,XPMenu!$A:$F,3,FALSE),"")</f>
        <v/>
      </c>
      <c r="K504" s="20">
        <f>IFERROR(VLOOKUP(D504,XPMenu!$A:$F,4,FALSE),"")</f>
        <v/>
      </c>
      <c r="L504" s="20" t="n"/>
      <c r="M504" s="20">
        <f>IF(A504="","",IF(F504&lt;&gt;"Yes",0,IF(L504&lt;&gt;"",L504,E504*K504)))</f>
        <v/>
      </c>
      <c r="N504" s="20">
        <f>IF($A504="","",$A504-WEEKDAY($A504,2)+1)</f>
        <v/>
      </c>
      <c r="O504" s="20">
        <f>IF($A504="","",TEXT($A504,"yyyy-mm"))</f>
        <v/>
      </c>
      <c r="P504" s="21">
        <f>IF($A504="","",TEXT(YEAR($A504),"0000")&amp;"-Q"&amp;ROUNDUP(MONTH($A504)/3,0))</f>
        <v/>
      </c>
    </row>
    <row r="505">
      <c r="A505" s="22" t="n"/>
      <c r="B505" s="20" t="n"/>
      <c r="C505" s="20" t="n"/>
      <c r="D505" s="20">
        <f>IFERROR(INDEX(XPMenu!$A$2:$A$1000, MATCH(C505, XPMenu!$B$2:$B$1000, 0)), "")</f>
        <v/>
      </c>
      <c r="E505" s="20" t="n"/>
      <c r="F505" s="20" t="n"/>
      <c r="G505" s="20" t="n"/>
      <c r="H505" s="20" t="n"/>
      <c r="I505" s="20">
        <f>IFERROR(VLOOKUP(D505,XPMenu!$A:$F,2,FALSE),"")</f>
        <v/>
      </c>
      <c r="J505" s="20">
        <f>IFERROR(VLOOKUP(D505,XPMenu!$A:$F,3,FALSE),"")</f>
        <v/>
      </c>
      <c r="K505" s="20">
        <f>IFERROR(VLOOKUP(D505,XPMenu!$A:$F,4,FALSE),"")</f>
        <v/>
      </c>
      <c r="L505" s="20" t="n"/>
      <c r="M505" s="20">
        <f>IF(A505="","",IF(F505&lt;&gt;"Yes",0,IF(L505&lt;&gt;"",L505,E505*K505)))</f>
        <v/>
      </c>
      <c r="N505" s="20">
        <f>IF($A505="","",$A505-WEEKDAY($A505,2)+1)</f>
        <v/>
      </c>
      <c r="O505" s="20">
        <f>IF($A505="","",TEXT($A505,"yyyy-mm"))</f>
        <v/>
      </c>
      <c r="P505" s="21">
        <f>IF($A505="","",TEXT(YEAR($A505),"0000")&amp;"-Q"&amp;ROUNDUP(MONTH($A505)/3,0))</f>
        <v/>
      </c>
    </row>
    <row r="506">
      <c r="A506" s="22" t="n"/>
      <c r="B506" s="20" t="n"/>
      <c r="C506" s="20" t="n"/>
      <c r="D506" s="20">
        <f>IFERROR(INDEX(XPMenu!$A$2:$A$1000, MATCH(C506, XPMenu!$B$2:$B$1000, 0)), "")</f>
        <v/>
      </c>
      <c r="E506" s="20" t="n"/>
      <c r="F506" s="20" t="n"/>
      <c r="G506" s="20" t="n"/>
      <c r="H506" s="20" t="n"/>
      <c r="I506" s="20">
        <f>IFERROR(VLOOKUP(D506,XPMenu!$A:$F,2,FALSE),"")</f>
        <v/>
      </c>
      <c r="J506" s="20">
        <f>IFERROR(VLOOKUP(D506,XPMenu!$A:$F,3,FALSE),"")</f>
        <v/>
      </c>
      <c r="K506" s="20">
        <f>IFERROR(VLOOKUP(D506,XPMenu!$A:$F,4,FALSE),"")</f>
        <v/>
      </c>
      <c r="L506" s="20" t="n"/>
      <c r="M506" s="20">
        <f>IF(A506="","",IF(F506&lt;&gt;"Yes",0,IF(L506&lt;&gt;"",L506,E506*K506)))</f>
        <v/>
      </c>
      <c r="N506" s="20">
        <f>IF($A506="","",$A506-WEEKDAY($A506,2)+1)</f>
        <v/>
      </c>
      <c r="O506" s="20">
        <f>IF($A506="","",TEXT($A506,"yyyy-mm"))</f>
        <v/>
      </c>
      <c r="P506" s="21">
        <f>IF($A506="","",TEXT(YEAR($A506),"0000")&amp;"-Q"&amp;ROUNDUP(MONTH($A506)/3,0))</f>
        <v/>
      </c>
    </row>
    <row r="507">
      <c r="A507" s="22" t="n"/>
      <c r="B507" s="20" t="n"/>
      <c r="C507" s="20" t="n"/>
      <c r="D507" s="20">
        <f>IFERROR(INDEX(XPMenu!$A$2:$A$1000, MATCH(C507, XPMenu!$B$2:$B$1000, 0)), "")</f>
        <v/>
      </c>
      <c r="E507" s="20" t="n"/>
      <c r="F507" s="20" t="n"/>
      <c r="G507" s="20" t="n"/>
      <c r="H507" s="20" t="n"/>
      <c r="I507" s="20">
        <f>IFERROR(VLOOKUP(D507,XPMenu!$A:$F,2,FALSE),"")</f>
        <v/>
      </c>
      <c r="J507" s="20">
        <f>IFERROR(VLOOKUP(D507,XPMenu!$A:$F,3,FALSE),"")</f>
        <v/>
      </c>
      <c r="K507" s="20">
        <f>IFERROR(VLOOKUP(D507,XPMenu!$A:$F,4,FALSE),"")</f>
        <v/>
      </c>
      <c r="L507" s="20" t="n"/>
      <c r="M507" s="20">
        <f>IF(A507="","",IF(F507&lt;&gt;"Yes",0,IF(L507&lt;&gt;"",L507,E507*K507)))</f>
        <v/>
      </c>
      <c r="N507" s="20">
        <f>IF($A507="","",$A507-WEEKDAY($A507,2)+1)</f>
        <v/>
      </c>
      <c r="O507" s="20">
        <f>IF($A507="","",TEXT($A507,"yyyy-mm"))</f>
        <v/>
      </c>
      <c r="P507" s="21">
        <f>IF($A507="","",TEXT(YEAR($A507),"0000")&amp;"-Q"&amp;ROUNDUP(MONTH($A507)/3,0))</f>
        <v/>
      </c>
    </row>
    <row r="508">
      <c r="A508" s="22" t="n"/>
      <c r="B508" s="20" t="n"/>
      <c r="C508" s="20" t="n"/>
      <c r="D508" s="20">
        <f>IFERROR(INDEX(XPMenu!$A$2:$A$1000, MATCH(C508, XPMenu!$B$2:$B$1000, 0)), "")</f>
        <v/>
      </c>
      <c r="E508" s="20" t="n"/>
      <c r="F508" s="20" t="n"/>
      <c r="G508" s="20" t="n"/>
      <c r="H508" s="20" t="n"/>
      <c r="I508" s="20">
        <f>IFERROR(VLOOKUP(D508,XPMenu!$A:$F,2,FALSE),"")</f>
        <v/>
      </c>
      <c r="J508" s="20">
        <f>IFERROR(VLOOKUP(D508,XPMenu!$A:$F,3,FALSE),"")</f>
        <v/>
      </c>
      <c r="K508" s="20">
        <f>IFERROR(VLOOKUP(D508,XPMenu!$A:$F,4,FALSE),"")</f>
        <v/>
      </c>
      <c r="L508" s="20" t="n"/>
      <c r="M508" s="20">
        <f>IF(A508="","",IF(F508&lt;&gt;"Yes",0,IF(L508&lt;&gt;"",L508,E508*K508)))</f>
        <v/>
      </c>
      <c r="N508" s="20">
        <f>IF($A508="","",$A508-WEEKDAY($A508,2)+1)</f>
        <v/>
      </c>
      <c r="O508" s="20">
        <f>IF($A508="","",TEXT($A508,"yyyy-mm"))</f>
        <v/>
      </c>
      <c r="P508" s="21">
        <f>IF($A508="","",TEXT(YEAR($A508),"0000")&amp;"-Q"&amp;ROUNDUP(MONTH($A508)/3,0))</f>
        <v/>
      </c>
    </row>
    <row r="509">
      <c r="A509" s="22" t="n"/>
      <c r="B509" s="20" t="n"/>
      <c r="C509" s="20" t="n"/>
      <c r="D509" s="20">
        <f>IFERROR(INDEX(XPMenu!$A$2:$A$1000, MATCH(C509, XPMenu!$B$2:$B$1000, 0)), "")</f>
        <v/>
      </c>
      <c r="E509" s="20" t="n"/>
      <c r="F509" s="20" t="n"/>
      <c r="G509" s="20" t="n"/>
      <c r="H509" s="20" t="n"/>
      <c r="I509" s="20">
        <f>IFERROR(VLOOKUP(D509,XPMenu!$A:$F,2,FALSE),"")</f>
        <v/>
      </c>
      <c r="J509" s="20">
        <f>IFERROR(VLOOKUP(D509,XPMenu!$A:$F,3,FALSE),"")</f>
        <v/>
      </c>
      <c r="K509" s="20">
        <f>IFERROR(VLOOKUP(D509,XPMenu!$A:$F,4,FALSE),"")</f>
        <v/>
      </c>
      <c r="L509" s="20" t="n"/>
      <c r="M509" s="20">
        <f>IF(A509="","",IF(F509&lt;&gt;"Yes",0,IF(L509&lt;&gt;"",L509,E509*K509)))</f>
        <v/>
      </c>
      <c r="N509" s="20">
        <f>IF($A509="","",$A509-WEEKDAY($A509,2)+1)</f>
        <v/>
      </c>
      <c r="O509" s="20">
        <f>IF($A509="","",TEXT($A509,"yyyy-mm"))</f>
        <v/>
      </c>
      <c r="P509" s="21">
        <f>IF($A509="","",TEXT(YEAR($A509),"0000")&amp;"-Q"&amp;ROUNDUP(MONTH($A509)/3,0))</f>
        <v/>
      </c>
    </row>
    <row r="510">
      <c r="A510" s="22" t="n"/>
      <c r="B510" s="20" t="n"/>
      <c r="C510" s="20" t="n"/>
      <c r="D510" s="20">
        <f>IFERROR(INDEX(XPMenu!$A$2:$A$1000, MATCH(C510, XPMenu!$B$2:$B$1000, 0)), "")</f>
        <v/>
      </c>
      <c r="E510" s="20" t="n"/>
      <c r="F510" s="20" t="n"/>
      <c r="G510" s="20" t="n"/>
      <c r="H510" s="20" t="n"/>
      <c r="I510" s="20">
        <f>IFERROR(VLOOKUP(D510,XPMenu!$A:$F,2,FALSE),"")</f>
        <v/>
      </c>
      <c r="J510" s="20">
        <f>IFERROR(VLOOKUP(D510,XPMenu!$A:$F,3,FALSE),"")</f>
        <v/>
      </c>
      <c r="K510" s="20">
        <f>IFERROR(VLOOKUP(D510,XPMenu!$A:$F,4,FALSE),"")</f>
        <v/>
      </c>
      <c r="L510" s="20" t="n"/>
      <c r="M510" s="20">
        <f>IF(A510="","",IF(F510&lt;&gt;"Yes",0,IF(L510&lt;&gt;"",L510,E510*K510)))</f>
        <v/>
      </c>
      <c r="N510" s="20">
        <f>IF($A510="","",$A510-WEEKDAY($A510,2)+1)</f>
        <v/>
      </c>
      <c r="O510" s="20">
        <f>IF($A510="","",TEXT($A510,"yyyy-mm"))</f>
        <v/>
      </c>
      <c r="P510" s="21">
        <f>IF($A510="","",TEXT(YEAR($A510),"0000")&amp;"-Q"&amp;ROUNDUP(MONTH($A510)/3,0))</f>
        <v/>
      </c>
    </row>
    <row r="511">
      <c r="A511" s="22" t="n"/>
      <c r="B511" s="20" t="n"/>
      <c r="C511" s="20" t="n"/>
      <c r="D511" s="20">
        <f>IFERROR(INDEX(XPMenu!$A$2:$A$1000, MATCH(C511, XPMenu!$B$2:$B$1000, 0)), "")</f>
        <v/>
      </c>
      <c r="E511" s="20" t="n"/>
      <c r="F511" s="20" t="n"/>
      <c r="G511" s="20" t="n"/>
      <c r="H511" s="20" t="n"/>
      <c r="I511" s="20">
        <f>IFERROR(VLOOKUP(D511,XPMenu!$A:$F,2,FALSE),"")</f>
        <v/>
      </c>
      <c r="J511" s="20">
        <f>IFERROR(VLOOKUP(D511,XPMenu!$A:$F,3,FALSE),"")</f>
        <v/>
      </c>
      <c r="K511" s="20">
        <f>IFERROR(VLOOKUP(D511,XPMenu!$A:$F,4,FALSE),"")</f>
        <v/>
      </c>
      <c r="L511" s="20" t="n"/>
      <c r="M511" s="20">
        <f>IF(A511="","",IF(F511&lt;&gt;"Yes",0,IF(L511&lt;&gt;"",L511,E511*K511)))</f>
        <v/>
      </c>
      <c r="N511" s="20">
        <f>IF($A511="","",$A511-WEEKDAY($A511,2)+1)</f>
        <v/>
      </c>
      <c r="O511" s="20">
        <f>IF($A511="","",TEXT($A511,"yyyy-mm"))</f>
        <v/>
      </c>
      <c r="P511" s="21">
        <f>IF($A511="","",TEXT(YEAR($A511),"0000")&amp;"-Q"&amp;ROUNDUP(MONTH($A511)/3,0))</f>
        <v/>
      </c>
    </row>
    <row r="512">
      <c r="A512" s="22" t="n"/>
      <c r="B512" s="20" t="n"/>
      <c r="C512" s="20" t="n"/>
      <c r="D512" s="20">
        <f>IFERROR(INDEX(XPMenu!$A$2:$A$1000, MATCH(C512, XPMenu!$B$2:$B$1000, 0)), "")</f>
        <v/>
      </c>
      <c r="E512" s="20" t="n"/>
      <c r="F512" s="20" t="n"/>
      <c r="G512" s="20" t="n"/>
      <c r="H512" s="20" t="n"/>
      <c r="I512" s="20">
        <f>IFERROR(VLOOKUP(D512,XPMenu!$A:$F,2,FALSE),"")</f>
        <v/>
      </c>
      <c r="J512" s="20">
        <f>IFERROR(VLOOKUP(D512,XPMenu!$A:$F,3,FALSE),"")</f>
        <v/>
      </c>
      <c r="K512" s="20">
        <f>IFERROR(VLOOKUP(D512,XPMenu!$A:$F,4,FALSE),"")</f>
        <v/>
      </c>
      <c r="L512" s="20" t="n"/>
      <c r="M512" s="20">
        <f>IF(A512="","",IF(F512&lt;&gt;"Yes",0,IF(L512&lt;&gt;"",L512,E512*K512)))</f>
        <v/>
      </c>
      <c r="N512" s="20">
        <f>IF($A512="","",$A512-WEEKDAY($A512,2)+1)</f>
        <v/>
      </c>
      <c r="O512" s="20">
        <f>IF($A512="","",TEXT($A512,"yyyy-mm"))</f>
        <v/>
      </c>
      <c r="P512" s="21">
        <f>IF($A512="","",TEXT(YEAR($A512),"0000")&amp;"-Q"&amp;ROUNDUP(MONTH($A512)/3,0))</f>
        <v/>
      </c>
    </row>
    <row r="513">
      <c r="A513" s="22" t="n"/>
      <c r="B513" s="20" t="n"/>
      <c r="C513" s="20" t="n"/>
      <c r="D513" s="20">
        <f>IFERROR(INDEX(XPMenu!$A$2:$A$1000, MATCH(C513, XPMenu!$B$2:$B$1000, 0)), "")</f>
        <v/>
      </c>
      <c r="E513" s="20" t="n"/>
      <c r="F513" s="20" t="n"/>
      <c r="G513" s="20" t="n"/>
      <c r="H513" s="20" t="n"/>
      <c r="I513" s="20">
        <f>IFERROR(VLOOKUP(D513,XPMenu!$A:$F,2,FALSE),"")</f>
        <v/>
      </c>
      <c r="J513" s="20">
        <f>IFERROR(VLOOKUP(D513,XPMenu!$A:$F,3,FALSE),"")</f>
        <v/>
      </c>
      <c r="K513" s="20">
        <f>IFERROR(VLOOKUP(D513,XPMenu!$A:$F,4,FALSE),"")</f>
        <v/>
      </c>
      <c r="L513" s="20" t="n"/>
      <c r="M513" s="20">
        <f>IF(A513="","",IF(F513&lt;&gt;"Yes",0,IF(L513&lt;&gt;"",L513,E513*K513)))</f>
        <v/>
      </c>
      <c r="N513" s="20">
        <f>IF($A513="","",$A513-WEEKDAY($A513,2)+1)</f>
        <v/>
      </c>
      <c r="O513" s="20">
        <f>IF($A513="","",TEXT($A513,"yyyy-mm"))</f>
        <v/>
      </c>
      <c r="P513" s="21">
        <f>IF($A513="","",TEXT(YEAR($A513),"0000")&amp;"-Q"&amp;ROUNDUP(MONTH($A513)/3,0))</f>
        <v/>
      </c>
    </row>
    <row r="514">
      <c r="A514" s="22" t="n"/>
      <c r="B514" s="20" t="n"/>
      <c r="C514" s="20" t="n"/>
      <c r="D514" s="20">
        <f>IFERROR(INDEX(XPMenu!$A$2:$A$1000, MATCH(C514, XPMenu!$B$2:$B$1000, 0)), "")</f>
        <v/>
      </c>
      <c r="E514" s="20" t="n"/>
      <c r="F514" s="20" t="n"/>
      <c r="G514" s="20" t="n"/>
      <c r="H514" s="20" t="n"/>
      <c r="I514" s="20">
        <f>IFERROR(VLOOKUP(D514,XPMenu!$A:$F,2,FALSE),"")</f>
        <v/>
      </c>
      <c r="J514" s="20">
        <f>IFERROR(VLOOKUP(D514,XPMenu!$A:$F,3,FALSE),"")</f>
        <v/>
      </c>
      <c r="K514" s="20">
        <f>IFERROR(VLOOKUP(D514,XPMenu!$A:$F,4,FALSE),"")</f>
        <v/>
      </c>
      <c r="L514" s="20" t="n"/>
      <c r="M514" s="20">
        <f>IF(A514="","",IF(F514&lt;&gt;"Yes",0,IF(L514&lt;&gt;"",L514,E514*K514)))</f>
        <v/>
      </c>
      <c r="N514" s="20">
        <f>IF($A514="","",$A514-WEEKDAY($A514,2)+1)</f>
        <v/>
      </c>
      <c r="O514" s="20">
        <f>IF($A514="","",TEXT($A514,"yyyy-mm"))</f>
        <v/>
      </c>
      <c r="P514" s="21">
        <f>IF($A514="","",TEXT(YEAR($A514),"0000")&amp;"-Q"&amp;ROUNDUP(MONTH($A514)/3,0))</f>
        <v/>
      </c>
    </row>
    <row r="515">
      <c r="A515" s="22" t="n"/>
      <c r="B515" s="20" t="n"/>
      <c r="C515" s="20" t="n"/>
      <c r="D515" s="20">
        <f>IFERROR(INDEX(XPMenu!$A$2:$A$1000, MATCH(C515, XPMenu!$B$2:$B$1000, 0)), "")</f>
        <v/>
      </c>
      <c r="E515" s="20" t="n"/>
      <c r="F515" s="20" t="n"/>
      <c r="G515" s="20" t="n"/>
      <c r="H515" s="20" t="n"/>
      <c r="I515" s="20">
        <f>IFERROR(VLOOKUP(D515,XPMenu!$A:$F,2,FALSE),"")</f>
        <v/>
      </c>
      <c r="J515" s="20">
        <f>IFERROR(VLOOKUP(D515,XPMenu!$A:$F,3,FALSE),"")</f>
        <v/>
      </c>
      <c r="K515" s="20">
        <f>IFERROR(VLOOKUP(D515,XPMenu!$A:$F,4,FALSE),"")</f>
        <v/>
      </c>
      <c r="L515" s="20" t="n"/>
      <c r="M515" s="20">
        <f>IF(A515="","",IF(F515&lt;&gt;"Yes",0,IF(L515&lt;&gt;"",L515,E515*K515)))</f>
        <v/>
      </c>
      <c r="N515" s="20">
        <f>IF($A515="","",$A515-WEEKDAY($A515,2)+1)</f>
        <v/>
      </c>
      <c r="O515" s="20">
        <f>IF($A515="","",TEXT($A515,"yyyy-mm"))</f>
        <v/>
      </c>
      <c r="P515" s="21">
        <f>IF($A515="","",TEXT(YEAR($A515),"0000")&amp;"-Q"&amp;ROUNDUP(MONTH($A515)/3,0))</f>
        <v/>
      </c>
    </row>
    <row r="516">
      <c r="A516" s="22" t="n"/>
      <c r="B516" s="20" t="n"/>
      <c r="C516" s="20" t="n"/>
      <c r="D516" s="20">
        <f>IFERROR(INDEX(XPMenu!$A$2:$A$1000, MATCH(C516, XPMenu!$B$2:$B$1000, 0)), "")</f>
        <v/>
      </c>
      <c r="E516" s="20" t="n"/>
      <c r="F516" s="20" t="n"/>
      <c r="G516" s="20" t="n"/>
      <c r="H516" s="20" t="n"/>
      <c r="I516" s="20">
        <f>IFERROR(VLOOKUP(D516,XPMenu!$A:$F,2,FALSE),"")</f>
        <v/>
      </c>
      <c r="J516" s="20">
        <f>IFERROR(VLOOKUP(D516,XPMenu!$A:$F,3,FALSE),"")</f>
        <v/>
      </c>
      <c r="K516" s="20">
        <f>IFERROR(VLOOKUP(D516,XPMenu!$A:$F,4,FALSE),"")</f>
        <v/>
      </c>
      <c r="L516" s="20" t="n"/>
      <c r="M516" s="20">
        <f>IF(A516="","",IF(F516&lt;&gt;"Yes",0,IF(L516&lt;&gt;"",L516,E516*K516)))</f>
        <v/>
      </c>
      <c r="N516" s="20">
        <f>IF($A516="","",$A516-WEEKDAY($A516,2)+1)</f>
        <v/>
      </c>
      <c r="O516" s="20">
        <f>IF($A516="","",TEXT($A516,"yyyy-mm"))</f>
        <v/>
      </c>
      <c r="P516" s="21">
        <f>IF($A516="","",TEXT(YEAR($A516),"0000")&amp;"-Q"&amp;ROUNDUP(MONTH($A516)/3,0))</f>
        <v/>
      </c>
    </row>
    <row r="517">
      <c r="A517" s="22" t="n"/>
      <c r="B517" s="20" t="n"/>
      <c r="C517" s="20" t="n"/>
      <c r="D517" s="20">
        <f>IFERROR(INDEX(XPMenu!$A$2:$A$1000, MATCH(C517, XPMenu!$B$2:$B$1000, 0)), "")</f>
        <v/>
      </c>
      <c r="E517" s="20" t="n"/>
      <c r="F517" s="20" t="n"/>
      <c r="G517" s="20" t="n"/>
      <c r="H517" s="20" t="n"/>
      <c r="I517" s="20">
        <f>IFERROR(VLOOKUP(D517,XPMenu!$A:$F,2,FALSE),"")</f>
        <v/>
      </c>
      <c r="J517" s="20">
        <f>IFERROR(VLOOKUP(D517,XPMenu!$A:$F,3,FALSE),"")</f>
        <v/>
      </c>
      <c r="K517" s="20">
        <f>IFERROR(VLOOKUP(D517,XPMenu!$A:$F,4,FALSE),"")</f>
        <v/>
      </c>
      <c r="L517" s="20" t="n"/>
      <c r="M517" s="20">
        <f>IF(A517="","",IF(F517&lt;&gt;"Yes",0,IF(L517&lt;&gt;"",L517,E517*K517)))</f>
        <v/>
      </c>
      <c r="N517" s="20">
        <f>IF($A517="","",$A517-WEEKDAY($A517,2)+1)</f>
        <v/>
      </c>
      <c r="O517" s="20">
        <f>IF($A517="","",TEXT($A517,"yyyy-mm"))</f>
        <v/>
      </c>
      <c r="P517" s="21">
        <f>IF($A517="","",TEXT(YEAR($A517),"0000")&amp;"-Q"&amp;ROUNDUP(MONTH($A517)/3,0))</f>
        <v/>
      </c>
    </row>
    <row r="518">
      <c r="A518" s="22" t="n"/>
      <c r="B518" s="20" t="n"/>
      <c r="C518" s="20" t="n"/>
      <c r="D518" s="20">
        <f>IFERROR(INDEX(XPMenu!$A$2:$A$1000, MATCH(C518, XPMenu!$B$2:$B$1000, 0)), "")</f>
        <v/>
      </c>
      <c r="E518" s="20" t="n"/>
      <c r="F518" s="20" t="n"/>
      <c r="G518" s="20" t="n"/>
      <c r="H518" s="20" t="n"/>
      <c r="I518" s="20">
        <f>IFERROR(VLOOKUP(D518,XPMenu!$A:$F,2,FALSE),"")</f>
        <v/>
      </c>
      <c r="J518" s="20">
        <f>IFERROR(VLOOKUP(D518,XPMenu!$A:$F,3,FALSE),"")</f>
        <v/>
      </c>
      <c r="K518" s="20">
        <f>IFERROR(VLOOKUP(D518,XPMenu!$A:$F,4,FALSE),"")</f>
        <v/>
      </c>
      <c r="L518" s="20" t="n"/>
      <c r="M518" s="20">
        <f>IF(A518="","",IF(F518&lt;&gt;"Yes",0,IF(L518&lt;&gt;"",L518,E518*K518)))</f>
        <v/>
      </c>
      <c r="N518" s="20">
        <f>IF($A518="","",$A518-WEEKDAY($A518,2)+1)</f>
        <v/>
      </c>
      <c r="O518" s="20">
        <f>IF($A518="","",TEXT($A518,"yyyy-mm"))</f>
        <v/>
      </c>
      <c r="P518" s="21">
        <f>IF($A518="","",TEXT(YEAR($A518),"0000")&amp;"-Q"&amp;ROUNDUP(MONTH($A518)/3,0))</f>
        <v/>
      </c>
    </row>
    <row r="519">
      <c r="A519" s="22" t="n"/>
      <c r="B519" s="20" t="n"/>
      <c r="C519" s="20" t="n"/>
      <c r="D519" s="20">
        <f>IFERROR(INDEX(XPMenu!$A$2:$A$1000, MATCH(C519, XPMenu!$B$2:$B$1000, 0)), "")</f>
        <v/>
      </c>
      <c r="E519" s="20" t="n"/>
      <c r="F519" s="20" t="n"/>
      <c r="G519" s="20" t="n"/>
      <c r="H519" s="20" t="n"/>
      <c r="I519" s="20">
        <f>IFERROR(VLOOKUP(D519,XPMenu!$A:$F,2,FALSE),"")</f>
        <v/>
      </c>
      <c r="J519" s="20">
        <f>IFERROR(VLOOKUP(D519,XPMenu!$A:$F,3,FALSE),"")</f>
        <v/>
      </c>
      <c r="K519" s="20">
        <f>IFERROR(VLOOKUP(D519,XPMenu!$A:$F,4,FALSE),"")</f>
        <v/>
      </c>
      <c r="L519" s="20" t="n"/>
      <c r="M519" s="20">
        <f>IF(A519="","",IF(F519&lt;&gt;"Yes",0,IF(L519&lt;&gt;"",L519,E519*K519)))</f>
        <v/>
      </c>
      <c r="N519" s="20">
        <f>IF($A519="","",$A519-WEEKDAY($A519,2)+1)</f>
        <v/>
      </c>
      <c r="O519" s="20">
        <f>IF($A519="","",TEXT($A519,"yyyy-mm"))</f>
        <v/>
      </c>
      <c r="P519" s="21">
        <f>IF($A519="","",TEXT(YEAR($A519),"0000")&amp;"-Q"&amp;ROUNDUP(MONTH($A519)/3,0))</f>
        <v/>
      </c>
    </row>
    <row r="520">
      <c r="A520" s="22" t="n"/>
      <c r="B520" s="20" t="n"/>
      <c r="C520" s="20" t="n"/>
      <c r="D520" s="20">
        <f>IFERROR(INDEX(XPMenu!$A$2:$A$1000, MATCH(C520, XPMenu!$B$2:$B$1000, 0)), "")</f>
        <v/>
      </c>
      <c r="E520" s="20" t="n"/>
      <c r="F520" s="20" t="n"/>
      <c r="G520" s="20" t="n"/>
      <c r="H520" s="20" t="n"/>
      <c r="I520" s="20">
        <f>IFERROR(VLOOKUP(D520,XPMenu!$A:$F,2,FALSE),"")</f>
        <v/>
      </c>
      <c r="J520" s="20">
        <f>IFERROR(VLOOKUP(D520,XPMenu!$A:$F,3,FALSE),"")</f>
        <v/>
      </c>
      <c r="K520" s="20">
        <f>IFERROR(VLOOKUP(D520,XPMenu!$A:$F,4,FALSE),"")</f>
        <v/>
      </c>
      <c r="L520" s="20" t="n"/>
      <c r="M520" s="20">
        <f>IF(A520="","",IF(F520&lt;&gt;"Yes",0,IF(L520&lt;&gt;"",L520,E520*K520)))</f>
        <v/>
      </c>
      <c r="N520" s="20">
        <f>IF($A520="","",$A520-WEEKDAY($A520,2)+1)</f>
        <v/>
      </c>
      <c r="O520" s="20">
        <f>IF($A520="","",TEXT($A520,"yyyy-mm"))</f>
        <v/>
      </c>
      <c r="P520" s="21">
        <f>IF($A520="","",TEXT(YEAR($A520),"0000")&amp;"-Q"&amp;ROUNDUP(MONTH($A520)/3,0))</f>
        <v/>
      </c>
    </row>
    <row r="521">
      <c r="A521" s="22" t="n"/>
      <c r="B521" s="20" t="n"/>
      <c r="C521" s="20" t="n"/>
      <c r="D521" s="20">
        <f>IFERROR(INDEX(XPMenu!$A$2:$A$1000, MATCH(C521, XPMenu!$B$2:$B$1000, 0)), "")</f>
        <v/>
      </c>
      <c r="E521" s="20" t="n"/>
      <c r="F521" s="20" t="n"/>
      <c r="G521" s="20" t="n"/>
      <c r="H521" s="20" t="n"/>
      <c r="I521" s="20">
        <f>IFERROR(VLOOKUP(D521,XPMenu!$A:$F,2,FALSE),"")</f>
        <v/>
      </c>
      <c r="J521" s="20">
        <f>IFERROR(VLOOKUP(D521,XPMenu!$A:$F,3,FALSE),"")</f>
        <v/>
      </c>
      <c r="K521" s="20">
        <f>IFERROR(VLOOKUP(D521,XPMenu!$A:$F,4,FALSE),"")</f>
        <v/>
      </c>
      <c r="L521" s="20" t="n"/>
      <c r="M521" s="20">
        <f>IF(A521="","",IF(F521&lt;&gt;"Yes",0,IF(L521&lt;&gt;"",L521,E521*K521)))</f>
        <v/>
      </c>
      <c r="N521" s="20">
        <f>IF($A521="","",$A521-WEEKDAY($A521,2)+1)</f>
        <v/>
      </c>
      <c r="O521" s="20">
        <f>IF($A521="","",TEXT($A521,"yyyy-mm"))</f>
        <v/>
      </c>
      <c r="P521" s="21">
        <f>IF($A521="","",TEXT(YEAR($A521),"0000")&amp;"-Q"&amp;ROUNDUP(MONTH($A521)/3,0))</f>
        <v/>
      </c>
    </row>
    <row r="522">
      <c r="A522" s="22" t="n"/>
      <c r="B522" s="20" t="n"/>
      <c r="C522" s="20" t="n"/>
      <c r="D522" s="20">
        <f>IFERROR(INDEX(XPMenu!$A$2:$A$1000, MATCH(C522, XPMenu!$B$2:$B$1000, 0)), "")</f>
        <v/>
      </c>
      <c r="E522" s="20" t="n"/>
      <c r="F522" s="20" t="n"/>
      <c r="G522" s="20" t="n"/>
      <c r="H522" s="20" t="n"/>
      <c r="I522" s="20">
        <f>IFERROR(VLOOKUP(D522,XPMenu!$A:$F,2,FALSE),"")</f>
        <v/>
      </c>
      <c r="J522" s="20">
        <f>IFERROR(VLOOKUP(D522,XPMenu!$A:$F,3,FALSE),"")</f>
        <v/>
      </c>
      <c r="K522" s="20">
        <f>IFERROR(VLOOKUP(D522,XPMenu!$A:$F,4,FALSE),"")</f>
        <v/>
      </c>
      <c r="L522" s="20" t="n"/>
      <c r="M522" s="20">
        <f>IF(A522="","",IF(F522&lt;&gt;"Yes",0,IF(L522&lt;&gt;"",L522,E522*K522)))</f>
        <v/>
      </c>
      <c r="N522" s="20">
        <f>IF($A522="","",$A522-WEEKDAY($A522,2)+1)</f>
        <v/>
      </c>
      <c r="O522" s="20">
        <f>IF($A522="","",TEXT($A522,"yyyy-mm"))</f>
        <v/>
      </c>
      <c r="P522" s="21">
        <f>IF($A522="","",TEXT(YEAR($A522),"0000")&amp;"-Q"&amp;ROUNDUP(MONTH($A522)/3,0))</f>
        <v/>
      </c>
    </row>
    <row r="523">
      <c r="A523" s="22" t="n"/>
      <c r="B523" s="20" t="n"/>
      <c r="C523" s="20" t="n"/>
      <c r="D523" s="20">
        <f>IFERROR(INDEX(XPMenu!$A$2:$A$1000, MATCH(C523, XPMenu!$B$2:$B$1000, 0)), "")</f>
        <v/>
      </c>
      <c r="E523" s="20" t="n"/>
      <c r="F523" s="20" t="n"/>
      <c r="G523" s="20" t="n"/>
      <c r="H523" s="20" t="n"/>
      <c r="I523" s="20">
        <f>IFERROR(VLOOKUP(D523,XPMenu!$A:$F,2,FALSE),"")</f>
        <v/>
      </c>
      <c r="J523" s="20">
        <f>IFERROR(VLOOKUP(D523,XPMenu!$A:$F,3,FALSE),"")</f>
        <v/>
      </c>
      <c r="K523" s="20">
        <f>IFERROR(VLOOKUP(D523,XPMenu!$A:$F,4,FALSE),"")</f>
        <v/>
      </c>
      <c r="L523" s="20" t="n"/>
      <c r="M523" s="20">
        <f>IF(A523="","",IF(F523&lt;&gt;"Yes",0,IF(L523&lt;&gt;"",L523,E523*K523)))</f>
        <v/>
      </c>
      <c r="N523" s="20">
        <f>IF($A523="","",$A523-WEEKDAY($A523,2)+1)</f>
        <v/>
      </c>
      <c r="O523" s="20">
        <f>IF($A523="","",TEXT($A523,"yyyy-mm"))</f>
        <v/>
      </c>
      <c r="P523" s="21">
        <f>IF($A523="","",TEXT(YEAR($A523),"0000")&amp;"-Q"&amp;ROUNDUP(MONTH($A523)/3,0))</f>
        <v/>
      </c>
    </row>
    <row r="524">
      <c r="A524" s="22" t="n"/>
      <c r="B524" s="20" t="n"/>
      <c r="C524" s="20" t="n"/>
      <c r="D524" s="20">
        <f>IFERROR(INDEX(XPMenu!$A$2:$A$1000, MATCH(C524, XPMenu!$B$2:$B$1000, 0)), "")</f>
        <v/>
      </c>
      <c r="E524" s="20" t="n"/>
      <c r="F524" s="20" t="n"/>
      <c r="G524" s="20" t="n"/>
      <c r="H524" s="20" t="n"/>
      <c r="I524" s="20">
        <f>IFERROR(VLOOKUP(D524,XPMenu!$A:$F,2,FALSE),"")</f>
        <v/>
      </c>
      <c r="J524" s="20">
        <f>IFERROR(VLOOKUP(D524,XPMenu!$A:$F,3,FALSE),"")</f>
        <v/>
      </c>
      <c r="K524" s="20">
        <f>IFERROR(VLOOKUP(D524,XPMenu!$A:$F,4,FALSE),"")</f>
        <v/>
      </c>
      <c r="L524" s="20" t="n"/>
      <c r="M524" s="20">
        <f>IF(A524="","",IF(F524&lt;&gt;"Yes",0,IF(L524&lt;&gt;"",L524,E524*K524)))</f>
        <v/>
      </c>
      <c r="N524" s="20">
        <f>IF($A524="","",$A524-WEEKDAY($A524,2)+1)</f>
        <v/>
      </c>
      <c r="O524" s="20">
        <f>IF($A524="","",TEXT($A524,"yyyy-mm"))</f>
        <v/>
      </c>
      <c r="P524" s="21">
        <f>IF($A524="","",TEXT(YEAR($A524),"0000")&amp;"-Q"&amp;ROUNDUP(MONTH($A524)/3,0))</f>
        <v/>
      </c>
    </row>
    <row r="525">
      <c r="A525" s="22" t="n"/>
      <c r="B525" s="20" t="n"/>
      <c r="C525" s="20" t="n"/>
      <c r="D525" s="20">
        <f>IFERROR(INDEX(XPMenu!$A$2:$A$1000, MATCH(C525, XPMenu!$B$2:$B$1000, 0)), "")</f>
        <v/>
      </c>
      <c r="E525" s="20" t="n"/>
      <c r="F525" s="20" t="n"/>
      <c r="G525" s="20" t="n"/>
      <c r="H525" s="20" t="n"/>
      <c r="I525" s="20">
        <f>IFERROR(VLOOKUP(D525,XPMenu!$A:$F,2,FALSE),"")</f>
        <v/>
      </c>
      <c r="J525" s="20">
        <f>IFERROR(VLOOKUP(D525,XPMenu!$A:$F,3,FALSE),"")</f>
        <v/>
      </c>
      <c r="K525" s="20">
        <f>IFERROR(VLOOKUP(D525,XPMenu!$A:$F,4,FALSE),"")</f>
        <v/>
      </c>
      <c r="L525" s="20" t="n"/>
      <c r="M525" s="20">
        <f>IF(A525="","",IF(F525&lt;&gt;"Yes",0,IF(L525&lt;&gt;"",L525,E525*K525)))</f>
        <v/>
      </c>
      <c r="N525" s="20">
        <f>IF($A525="","",$A525-WEEKDAY($A525,2)+1)</f>
        <v/>
      </c>
      <c r="O525" s="20">
        <f>IF($A525="","",TEXT($A525,"yyyy-mm"))</f>
        <v/>
      </c>
      <c r="P525" s="21">
        <f>IF($A525="","",TEXT(YEAR($A525),"0000")&amp;"-Q"&amp;ROUNDUP(MONTH($A525)/3,0))</f>
        <v/>
      </c>
    </row>
    <row r="526">
      <c r="A526" s="22" t="n"/>
      <c r="B526" s="20" t="n"/>
      <c r="C526" s="20" t="n"/>
      <c r="D526" s="20">
        <f>IFERROR(INDEX(XPMenu!$A$2:$A$1000, MATCH(C526, XPMenu!$B$2:$B$1000, 0)), "")</f>
        <v/>
      </c>
      <c r="E526" s="20" t="n"/>
      <c r="F526" s="20" t="n"/>
      <c r="G526" s="20" t="n"/>
      <c r="H526" s="20" t="n"/>
      <c r="I526" s="20">
        <f>IFERROR(VLOOKUP(D526,XPMenu!$A:$F,2,FALSE),"")</f>
        <v/>
      </c>
      <c r="J526" s="20">
        <f>IFERROR(VLOOKUP(D526,XPMenu!$A:$F,3,FALSE),"")</f>
        <v/>
      </c>
      <c r="K526" s="20">
        <f>IFERROR(VLOOKUP(D526,XPMenu!$A:$F,4,FALSE),"")</f>
        <v/>
      </c>
      <c r="L526" s="20" t="n"/>
      <c r="M526" s="20">
        <f>IF(A526="","",IF(F526&lt;&gt;"Yes",0,IF(L526&lt;&gt;"",L526,E526*K526)))</f>
        <v/>
      </c>
      <c r="N526" s="20">
        <f>IF($A526="","",$A526-WEEKDAY($A526,2)+1)</f>
        <v/>
      </c>
      <c r="O526" s="20">
        <f>IF($A526="","",TEXT($A526,"yyyy-mm"))</f>
        <v/>
      </c>
      <c r="P526" s="21">
        <f>IF($A526="","",TEXT(YEAR($A526),"0000")&amp;"-Q"&amp;ROUNDUP(MONTH($A526)/3,0))</f>
        <v/>
      </c>
    </row>
    <row r="527">
      <c r="A527" s="22" t="n"/>
      <c r="B527" s="20" t="n"/>
      <c r="C527" s="20" t="n"/>
      <c r="D527" s="20">
        <f>IFERROR(INDEX(XPMenu!$A$2:$A$1000, MATCH(C527, XPMenu!$B$2:$B$1000, 0)), "")</f>
        <v/>
      </c>
      <c r="E527" s="20" t="n"/>
      <c r="F527" s="20" t="n"/>
      <c r="G527" s="20" t="n"/>
      <c r="H527" s="20" t="n"/>
      <c r="I527" s="20">
        <f>IFERROR(VLOOKUP(D527,XPMenu!$A:$F,2,FALSE),"")</f>
        <v/>
      </c>
      <c r="J527" s="20">
        <f>IFERROR(VLOOKUP(D527,XPMenu!$A:$F,3,FALSE),"")</f>
        <v/>
      </c>
      <c r="K527" s="20">
        <f>IFERROR(VLOOKUP(D527,XPMenu!$A:$F,4,FALSE),"")</f>
        <v/>
      </c>
      <c r="L527" s="20" t="n"/>
      <c r="M527" s="20">
        <f>IF(A527="","",IF(F527&lt;&gt;"Yes",0,IF(L527&lt;&gt;"",L527,E527*K527)))</f>
        <v/>
      </c>
      <c r="N527" s="20">
        <f>IF($A527="","",$A527-WEEKDAY($A527,2)+1)</f>
        <v/>
      </c>
      <c r="O527" s="20">
        <f>IF($A527="","",TEXT($A527,"yyyy-mm"))</f>
        <v/>
      </c>
      <c r="P527" s="21">
        <f>IF($A527="","",TEXT(YEAR($A527),"0000")&amp;"-Q"&amp;ROUNDUP(MONTH($A527)/3,0))</f>
        <v/>
      </c>
    </row>
    <row r="528">
      <c r="A528" s="22" t="n"/>
      <c r="B528" s="20" t="n"/>
      <c r="C528" s="20" t="n"/>
      <c r="D528" s="20">
        <f>IFERROR(INDEX(XPMenu!$A$2:$A$1000, MATCH(C528, XPMenu!$B$2:$B$1000, 0)), "")</f>
        <v/>
      </c>
      <c r="E528" s="20" t="n"/>
      <c r="F528" s="20" t="n"/>
      <c r="G528" s="20" t="n"/>
      <c r="H528" s="20" t="n"/>
      <c r="I528" s="20">
        <f>IFERROR(VLOOKUP(D528,XPMenu!$A:$F,2,FALSE),"")</f>
        <v/>
      </c>
      <c r="J528" s="20">
        <f>IFERROR(VLOOKUP(D528,XPMenu!$A:$F,3,FALSE),"")</f>
        <v/>
      </c>
      <c r="K528" s="20">
        <f>IFERROR(VLOOKUP(D528,XPMenu!$A:$F,4,FALSE),"")</f>
        <v/>
      </c>
      <c r="L528" s="20" t="n"/>
      <c r="M528" s="20">
        <f>IF(A528="","",IF(F528&lt;&gt;"Yes",0,IF(L528&lt;&gt;"",L528,E528*K528)))</f>
        <v/>
      </c>
      <c r="N528" s="20">
        <f>IF($A528="","",$A528-WEEKDAY($A528,2)+1)</f>
        <v/>
      </c>
      <c r="O528" s="20">
        <f>IF($A528="","",TEXT($A528,"yyyy-mm"))</f>
        <v/>
      </c>
      <c r="P528" s="21">
        <f>IF($A528="","",TEXT(YEAR($A528),"0000")&amp;"-Q"&amp;ROUNDUP(MONTH($A528)/3,0))</f>
        <v/>
      </c>
    </row>
    <row r="529">
      <c r="A529" s="22" t="n"/>
      <c r="B529" s="20" t="n"/>
      <c r="C529" s="20" t="n"/>
      <c r="D529" s="20">
        <f>IFERROR(INDEX(XPMenu!$A$2:$A$1000, MATCH(C529, XPMenu!$B$2:$B$1000, 0)), "")</f>
        <v/>
      </c>
      <c r="E529" s="20" t="n"/>
      <c r="F529" s="20" t="n"/>
      <c r="G529" s="20" t="n"/>
      <c r="H529" s="20" t="n"/>
      <c r="I529" s="20">
        <f>IFERROR(VLOOKUP(D529,XPMenu!$A:$F,2,FALSE),"")</f>
        <v/>
      </c>
      <c r="J529" s="20">
        <f>IFERROR(VLOOKUP(D529,XPMenu!$A:$F,3,FALSE),"")</f>
        <v/>
      </c>
      <c r="K529" s="20">
        <f>IFERROR(VLOOKUP(D529,XPMenu!$A:$F,4,FALSE),"")</f>
        <v/>
      </c>
      <c r="L529" s="20" t="n"/>
      <c r="M529" s="20">
        <f>IF(A529="","",IF(F529&lt;&gt;"Yes",0,IF(L529&lt;&gt;"",L529,E529*K529)))</f>
        <v/>
      </c>
      <c r="N529" s="20">
        <f>IF($A529="","",$A529-WEEKDAY($A529,2)+1)</f>
        <v/>
      </c>
      <c r="O529" s="20">
        <f>IF($A529="","",TEXT($A529,"yyyy-mm"))</f>
        <v/>
      </c>
      <c r="P529" s="21">
        <f>IF($A529="","",TEXT(YEAR($A529),"0000")&amp;"-Q"&amp;ROUNDUP(MONTH($A529)/3,0))</f>
        <v/>
      </c>
    </row>
    <row r="530">
      <c r="A530" s="22" t="n"/>
      <c r="B530" s="20" t="n"/>
      <c r="C530" s="20" t="n"/>
      <c r="D530" s="20">
        <f>IFERROR(INDEX(XPMenu!$A$2:$A$1000, MATCH(C530, XPMenu!$B$2:$B$1000, 0)), "")</f>
        <v/>
      </c>
      <c r="E530" s="20" t="n"/>
      <c r="F530" s="20" t="n"/>
      <c r="G530" s="20" t="n"/>
      <c r="H530" s="20" t="n"/>
      <c r="I530" s="20">
        <f>IFERROR(VLOOKUP(D530,XPMenu!$A:$F,2,FALSE),"")</f>
        <v/>
      </c>
      <c r="J530" s="20">
        <f>IFERROR(VLOOKUP(D530,XPMenu!$A:$F,3,FALSE),"")</f>
        <v/>
      </c>
      <c r="K530" s="20">
        <f>IFERROR(VLOOKUP(D530,XPMenu!$A:$F,4,FALSE),"")</f>
        <v/>
      </c>
      <c r="L530" s="20" t="n"/>
      <c r="M530" s="20">
        <f>IF(A530="","",IF(F530&lt;&gt;"Yes",0,IF(L530&lt;&gt;"",L530,E530*K530)))</f>
        <v/>
      </c>
      <c r="N530" s="20">
        <f>IF($A530="","",$A530-WEEKDAY($A530,2)+1)</f>
        <v/>
      </c>
      <c r="O530" s="20">
        <f>IF($A530="","",TEXT($A530,"yyyy-mm"))</f>
        <v/>
      </c>
      <c r="P530" s="21">
        <f>IF($A530="","",TEXT(YEAR($A530),"0000")&amp;"-Q"&amp;ROUNDUP(MONTH($A530)/3,0))</f>
        <v/>
      </c>
    </row>
    <row r="531">
      <c r="A531" s="22" t="n"/>
      <c r="B531" s="20" t="n"/>
      <c r="C531" s="20" t="n"/>
      <c r="D531" s="20">
        <f>IFERROR(INDEX(XPMenu!$A$2:$A$1000, MATCH(C531, XPMenu!$B$2:$B$1000, 0)), "")</f>
        <v/>
      </c>
      <c r="E531" s="20" t="n"/>
      <c r="F531" s="20" t="n"/>
      <c r="G531" s="20" t="n"/>
      <c r="H531" s="20" t="n"/>
      <c r="I531" s="20">
        <f>IFERROR(VLOOKUP(D531,XPMenu!$A:$F,2,FALSE),"")</f>
        <v/>
      </c>
      <c r="J531" s="20">
        <f>IFERROR(VLOOKUP(D531,XPMenu!$A:$F,3,FALSE),"")</f>
        <v/>
      </c>
      <c r="K531" s="20">
        <f>IFERROR(VLOOKUP(D531,XPMenu!$A:$F,4,FALSE),"")</f>
        <v/>
      </c>
      <c r="L531" s="20" t="n"/>
      <c r="M531" s="20">
        <f>IF(A531="","",IF(F531&lt;&gt;"Yes",0,IF(L531&lt;&gt;"",L531,E531*K531)))</f>
        <v/>
      </c>
      <c r="N531" s="20">
        <f>IF($A531="","",$A531-WEEKDAY($A531,2)+1)</f>
        <v/>
      </c>
      <c r="O531" s="20">
        <f>IF($A531="","",TEXT($A531,"yyyy-mm"))</f>
        <v/>
      </c>
      <c r="P531" s="21">
        <f>IF($A531="","",TEXT(YEAR($A531),"0000")&amp;"-Q"&amp;ROUNDUP(MONTH($A531)/3,0))</f>
        <v/>
      </c>
    </row>
    <row r="532">
      <c r="A532" s="22" t="n"/>
      <c r="B532" s="20" t="n"/>
      <c r="C532" s="20" t="n"/>
      <c r="D532" s="20">
        <f>IFERROR(INDEX(XPMenu!$A$2:$A$1000, MATCH(C532, XPMenu!$B$2:$B$1000, 0)), "")</f>
        <v/>
      </c>
      <c r="E532" s="20" t="n"/>
      <c r="F532" s="20" t="n"/>
      <c r="G532" s="20" t="n"/>
      <c r="H532" s="20" t="n"/>
      <c r="I532" s="20">
        <f>IFERROR(VLOOKUP(D532,XPMenu!$A:$F,2,FALSE),"")</f>
        <v/>
      </c>
      <c r="J532" s="20">
        <f>IFERROR(VLOOKUP(D532,XPMenu!$A:$F,3,FALSE),"")</f>
        <v/>
      </c>
      <c r="K532" s="20">
        <f>IFERROR(VLOOKUP(D532,XPMenu!$A:$F,4,FALSE),"")</f>
        <v/>
      </c>
      <c r="L532" s="20" t="n"/>
      <c r="M532" s="20">
        <f>IF(A532="","",IF(F532&lt;&gt;"Yes",0,IF(L532&lt;&gt;"",L532,E532*K532)))</f>
        <v/>
      </c>
      <c r="N532" s="20">
        <f>IF($A532="","",$A532-WEEKDAY($A532,2)+1)</f>
        <v/>
      </c>
      <c r="O532" s="20">
        <f>IF($A532="","",TEXT($A532,"yyyy-mm"))</f>
        <v/>
      </c>
      <c r="P532" s="21">
        <f>IF($A532="","",TEXT(YEAR($A532),"0000")&amp;"-Q"&amp;ROUNDUP(MONTH($A532)/3,0))</f>
        <v/>
      </c>
    </row>
    <row r="533">
      <c r="A533" s="22" t="n"/>
      <c r="B533" s="20" t="n"/>
      <c r="C533" s="20" t="n"/>
      <c r="D533" s="20">
        <f>IFERROR(INDEX(XPMenu!$A$2:$A$1000, MATCH(C533, XPMenu!$B$2:$B$1000, 0)), "")</f>
        <v/>
      </c>
      <c r="E533" s="20" t="n"/>
      <c r="F533" s="20" t="n"/>
      <c r="G533" s="20" t="n"/>
      <c r="H533" s="20" t="n"/>
      <c r="I533" s="20">
        <f>IFERROR(VLOOKUP(D533,XPMenu!$A:$F,2,FALSE),"")</f>
        <v/>
      </c>
      <c r="J533" s="20">
        <f>IFERROR(VLOOKUP(D533,XPMenu!$A:$F,3,FALSE),"")</f>
        <v/>
      </c>
      <c r="K533" s="20">
        <f>IFERROR(VLOOKUP(D533,XPMenu!$A:$F,4,FALSE),"")</f>
        <v/>
      </c>
      <c r="L533" s="20" t="n"/>
      <c r="M533" s="20">
        <f>IF(A533="","",IF(F533&lt;&gt;"Yes",0,IF(L533&lt;&gt;"",L533,E533*K533)))</f>
        <v/>
      </c>
      <c r="N533" s="20">
        <f>IF($A533="","",$A533-WEEKDAY($A533,2)+1)</f>
        <v/>
      </c>
      <c r="O533" s="20">
        <f>IF($A533="","",TEXT($A533,"yyyy-mm"))</f>
        <v/>
      </c>
      <c r="P533" s="21">
        <f>IF($A533="","",TEXT(YEAR($A533),"0000")&amp;"-Q"&amp;ROUNDUP(MONTH($A533)/3,0))</f>
        <v/>
      </c>
    </row>
    <row r="534">
      <c r="A534" s="22" t="n"/>
      <c r="B534" s="20" t="n"/>
      <c r="C534" s="20" t="n"/>
      <c r="D534" s="20">
        <f>IFERROR(INDEX(XPMenu!$A$2:$A$1000, MATCH(C534, XPMenu!$B$2:$B$1000, 0)), "")</f>
        <v/>
      </c>
      <c r="E534" s="20" t="n"/>
      <c r="F534" s="20" t="n"/>
      <c r="G534" s="20" t="n"/>
      <c r="H534" s="20" t="n"/>
      <c r="I534" s="20">
        <f>IFERROR(VLOOKUP(D534,XPMenu!$A:$F,2,FALSE),"")</f>
        <v/>
      </c>
      <c r="J534" s="20">
        <f>IFERROR(VLOOKUP(D534,XPMenu!$A:$F,3,FALSE),"")</f>
        <v/>
      </c>
      <c r="K534" s="20">
        <f>IFERROR(VLOOKUP(D534,XPMenu!$A:$F,4,FALSE),"")</f>
        <v/>
      </c>
      <c r="L534" s="20" t="n"/>
      <c r="M534" s="20">
        <f>IF(A534="","",IF(F534&lt;&gt;"Yes",0,IF(L534&lt;&gt;"",L534,E534*K534)))</f>
        <v/>
      </c>
      <c r="N534" s="20">
        <f>IF($A534="","",$A534-WEEKDAY($A534,2)+1)</f>
        <v/>
      </c>
      <c r="O534" s="20">
        <f>IF($A534="","",TEXT($A534,"yyyy-mm"))</f>
        <v/>
      </c>
      <c r="P534" s="21">
        <f>IF($A534="","",TEXT(YEAR($A534),"0000")&amp;"-Q"&amp;ROUNDUP(MONTH($A534)/3,0))</f>
        <v/>
      </c>
    </row>
    <row r="535">
      <c r="A535" s="22" t="n"/>
      <c r="B535" s="20" t="n"/>
      <c r="C535" s="20" t="n"/>
      <c r="D535" s="20">
        <f>IFERROR(INDEX(XPMenu!$A$2:$A$1000, MATCH(C535, XPMenu!$B$2:$B$1000, 0)), "")</f>
        <v/>
      </c>
      <c r="E535" s="20" t="n"/>
      <c r="F535" s="20" t="n"/>
      <c r="G535" s="20" t="n"/>
      <c r="H535" s="20" t="n"/>
      <c r="I535" s="20">
        <f>IFERROR(VLOOKUP(D535,XPMenu!$A:$F,2,FALSE),"")</f>
        <v/>
      </c>
      <c r="J535" s="20">
        <f>IFERROR(VLOOKUP(D535,XPMenu!$A:$F,3,FALSE),"")</f>
        <v/>
      </c>
      <c r="K535" s="20">
        <f>IFERROR(VLOOKUP(D535,XPMenu!$A:$F,4,FALSE),"")</f>
        <v/>
      </c>
      <c r="L535" s="20" t="n"/>
      <c r="M535" s="20">
        <f>IF(A535="","",IF(F535&lt;&gt;"Yes",0,IF(L535&lt;&gt;"",L535,E535*K535)))</f>
        <v/>
      </c>
      <c r="N535" s="20">
        <f>IF($A535="","",$A535-WEEKDAY($A535,2)+1)</f>
        <v/>
      </c>
      <c r="O535" s="20">
        <f>IF($A535="","",TEXT($A535,"yyyy-mm"))</f>
        <v/>
      </c>
      <c r="P535" s="21">
        <f>IF($A535="","",TEXT(YEAR($A535),"0000")&amp;"-Q"&amp;ROUNDUP(MONTH($A535)/3,0))</f>
        <v/>
      </c>
    </row>
    <row r="536">
      <c r="A536" s="22" t="n"/>
      <c r="B536" s="20" t="n"/>
      <c r="C536" s="20" t="n"/>
      <c r="D536" s="20">
        <f>IFERROR(INDEX(XPMenu!$A$2:$A$1000, MATCH(C536, XPMenu!$B$2:$B$1000, 0)), "")</f>
        <v/>
      </c>
      <c r="E536" s="20" t="n"/>
      <c r="F536" s="20" t="n"/>
      <c r="G536" s="20" t="n"/>
      <c r="H536" s="20" t="n"/>
      <c r="I536" s="20">
        <f>IFERROR(VLOOKUP(D536,XPMenu!$A:$F,2,FALSE),"")</f>
        <v/>
      </c>
      <c r="J536" s="20">
        <f>IFERROR(VLOOKUP(D536,XPMenu!$A:$F,3,FALSE),"")</f>
        <v/>
      </c>
      <c r="K536" s="20">
        <f>IFERROR(VLOOKUP(D536,XPMenu!$A:$F,4,FALSE),"")</f>
        <v/>
      </c>
      <c r="L536" s="20" t="n"/>
      <c r="M536" s="20">
        <f>IF(A536="","",IF(F536&lt;&gt;"Yes",0,IF(L536&lt;&gt;"",L536,E536*K536)))</f>
        <v/>
      </c>
      <c r="N536" s="20">
        <f>IF($A536="","",$A536-WEEKDAY($A536,2)+1)</f>
        <v/>
      </c>
      <c r="O536" s="20">
        <f>IF($A536="","",TEXT($A536,"yyyy-mm"))</f>
        <v/>
      </c>
      <c r="P536" s="21">
        <f>IF($A536="","",TEXT(YEAR($A536),"0000")&amp;"-Q"&amp;ROUNDUP(MONTH($A536)/3,0))</f>
        <v/>
      </c>
    </row>
    <row r="537">
      <c r="A537" s="22" t="n"/>
      <c r="B537" s="20" t="n"/>
      <c r="C537" s="20" t="n"/>
      <c r="D537" s="20">
        <f>IFERROR(INDEX(XPMenu!$A$2:$A$1000, MATCH(C537, XPMenu!$B$2:$B$1000, 0)), "")</f>
        <v/>
      </c>
      <c r="E537" s="20" t="n"/>
      <c r="F537" s="20" t="n"/>
      <c r="G537" s="20" t="n"/>
      <c r="H537" s="20" t="n"/>
      <c r="I537" s="20">
        <f>IFERROR(VLOOKUP(D537,XPMenu!$A:$F,2,FALSE),"")</f>
        <v/>
      </c>
      <c r="J537" s="20">
        <f>IFERROR(VLOOKUP(D537,XPMenu!$A:$F,3,FALSE),"")</f>
        <v/>
      </c>
      <c r="K537" s="20">
        <f>IFERROR(VLOOKUP(D537,XPMenu!$A:$F,4,FALSE),"")</f>
        <v/>
      </c>
      <c r="L537" s="20" t="n"/>
      <c r="M537" s="20">
        <f>IF(A537="","",IF(F537&lt;&gt;"Yes",0,IF(L537&lt;&gt;"",L537,E537*K537)))</f>
        <v/>
      </c>
      <c r="N537" s="20">
        <f>IF($A537="","",$A537-WEEKDAY($A537,2)+1)</f>
        <v/>
      </c>
      <c r="O537" s="20">
        <f>IF($A537="","",TEXT($A537,"yyyy-mm"))</f>
        <v/>
      </c>
      <c r="P537" s="21">
        <f>IF($A537="","",TEXT(YEAR($A537),"0000")&amp;"-Q"&amp;ROUNDUP(MONTH($A537)/3,0))</f>
        <v/>
      </c>
    </row>
    <row r="538">
      <c r="A538" s="22" t="n"/>
      <c r="B538" s="20" t="n"/>
      <c r="C538" s="20" t="n"/>
      <c r="D538" s="20">
        <f>IFERROR(INDEX(XPMenu!$A$2:$A$1000, MATCH(C538, XPMenu!$B$2:$B$1000, 0)), "")</f>
        <v/>
      </c>
      <c r="E538" s="20" t="n"/>
      <c r="F538" s="20" t="n"/>
      <c r="G538" s="20" t="n"/>
      <c r="H538" s="20" t="n"/>
      <c r="I538" s="20">
        <f>IFERROR(VLOOKUP(D538,XPMenu!$A:$F,2,FALSE),"")</f>
        <v/>
      </c>
      <c r="J538" s="20">
        <f>IFERROR(VLOOKUP(D538,XPMenu!$A:$F,3,FALSE),"")</f>
        <v/>
      </c>
      <c r="K538" s="20">
        <f>IFERROR(VLOOKUP(D538,XPMenu!$A:$F,4,FALSE),"")</f>
        <v/>
      </c>
      <c r="L538" s="20" t="n"/>
      <c r="M538" s="20">
        <f>IF(A538="","",IF(F538&lt;&gt;"Yes",0,IF(L538&lt;&gt;"",L538,E538*K538)))</f>
        <v/>
      </c>
      <c r="N538" s="20">
        <f>IF($A538="","",$A538-WEEKDAY($A538,2)+1)</f>
        <v/>
      </c>
      <c r="O538" s="20">
        <f>IF($A538="","",TEXT($A538,"yyyy-mm"))</f>
        <v/>
      </c>
      <c r="P538" s="21">
        <f>IF($A538="","",TEXT(YEAR($A538),"0000")&amp;"-Q"&amp;ROUNDUP(MONTH($A538)/3,0))</f>
        <v/>
      </c>
    </row>
    <row r="539">
      <c r="A539" s="22" t="n"/>
      <c r="B539" s="20" t="n"/>
      <c r="C539" s="20" t="n"/>
      <c r="D539" s="20">
        <f>IFERROR(INDEX(XPMenu!$A$2:$A$1000, MATCH(C539, XPMenu!$B$2:$B$1000, 0)), "")</f>
        <v/>
      </c>
      <c r="E539" s="20" t="n"/>
      <c r="F539" s="20" t="n"/>
      <c r="G539" s="20" t="n"/>
      <c r="H539" s="20" t="n"/>
      <c r="I539" s="20">
        <f>IFERROR(VLOOKUP(D539,XPMenu!$A:$F,2,FALSE),"")</f>
        <v/>
      </c>
      <c r="J539" s="20">
        <f>IFERROR(VLOOKUP(D539,XPMenu!$A:$F,3,FALSE),"")</f>
        <v/>
      </c>
      <c r="K539" s="20">
        <f>IFERROR(VLOOKUP(D539,XPMenu!$A:$F,4,FALSE),"")</f>
        <v/>
      </c>
      <c r="L539" s="20" t="n"/>
      <c r="M539" s="20">
        <f>IF(A539="","",IF(F539&lt;&gt;"Yes",0,IF(L539&lt;&gt;"",L539,E539*K539)))</f>
        <v/>
      </c>
      <c r="N539" s="20">
        <f>IF($A539="","",$A539-WEEKDAY($A539,2)+1)</f>
        <v/>
      </c>
      <c r="O539" s="20">
        <f>IF($A539="","",TEXT($A539,"yyyy-mm"))</f>
        <v/>
      </c>
      <c r="P539" s="21">
        <f>IF($A539="","",TEXT(YEAR($A539),"0000")&amp;"-Q"&amp;ROUNDUP(MONTH($A539)/3,0))</f>
        <v/>
      </c>
    </row>
    <row r="540">
      <c r="A540" s="22" t="n"/>
      <c r="B540" s="20" t="n"/>
      <c r="C540" s="20" t="n"/>
      <c r="D540" s="20">
        <f>IFERROR(INDEX(XPMenu!$A$2:$A$1000, MATCH(C540, XPMenu!$B$2:$B$1000, 0)), "")</f>
        <v/>
      </c>
      <c r="E540" s="20" t="n"/>
      <c r="F540" s="20" t="n"/>
      <c r="G540" s="20" t="n"/>
      <c r="H540" s="20" t="n"/>
      <c r="I540" s="20">
        <f>IFERROR(VLOOKUP(D540,XPMenu!$A:$F,2,FALSE),"")</f>
        <v/>
      </c>
      <c r="J540" s="20">
        <f>IFERROR(VLOOKUP(D540,XPMenu!$A:$F,3,FALSE),"")</f>
        <v/>
      </c>
      <c r="K540" s="20">
        <f>IFERROR(VLOOKUP(D540,XPMenu!$A:$F,4,FALSE),"")</f>
        <v/>
      </c>
      <c r="L540" s="20" t="n"/>
      <c r="M540" s="20">
        <f>IF(A540="","",IF(F540&lt;&gt;"Yes",0,IF(L540&lt;&gt;"",L540,E540*K540)))</f>
        <v/>
      </c>
      <c r="N540" s="20">
        <f>IF($A540="","",$A540-WEEKDAY($A540,2)+1)</f>
        <v/>
      </c>
      <c r="O540" s="20">
        <f>IF($A540="","",TEXT($A540,"yyyy-mm"))</f>
        <v/>
      </c>
      <c r="P540" s="21">
        <f>IF($A540="","",TEXT(YEAR($A540),"0000")&amp;"-Q"&amp;ROUNDUP(MONTH($A540)/3,0))</f>
        <v/>
      </c>
    </row>
    <row r="541">
      <c r="A541" s="22" t="n"/>
      <c r="B541" s="20" t="n"/>
      <c r="C541" s="20" t="n"/>
      <c r="D541" s="20">
        <f>IFERROR(INDEX(XPMenu!$A$2:$A$1000, MATCH(C541, XPMenu!$B$2:$B$1000, 0)), "")</f>
        <v/>
      </c>
      <c r="E541" s="20" t="n"/>
      <c r="F541" s="20" t="n"/>
      <c r="G541" s="20" t="n"/>
      <c r="H541" s="20" t="n"/>
      <c r="I541" s="20">
        <f>IFERROR(VLOOKUP(D541,XPMenu!$A:$F,2,FALSE),"")</f>
        <v/>
      </c>
      <c r="J541" s="20">
        <f>IFERROR(VLOOKUP(D541,XPMenu!$A:$F,3,FALSE),"")</f>
        <v/>
      </c>
      <c r="K541" s="20">
        <f>IFERROR(VLOOKUP(D541,XPMenu!$A:$F,4,FALSE),"")</f>
        <v/>
      </c>
      <c r="L541" s="20" t="n"/>
      <c r="M541" s="20">
        <f>IF(A541="","",IF(F541&lt;&gt;"Yes",0,IF(L541&lt;&gt;"",L541,E541*K541)))</f>
        <v/>
      </c>
      <c r="N541" s="20">
        <f>IF($A541="","",$A541-WEEKDAY($A541,2)+1)</f>
        <v/>
      </c>
      <c r="O541" s="20">
        <f>IF($A541="","",TEXT($A541,"yyyy-mm"))</f>
        <v/>
      </c>
      <c r="P541" s="21">
        <f>IF($A541="","",TEXT(YEAR($A541),"0000")&amp;"-Q"&amp;ROUNDUP(MONTH($A541)/3,0))</f>
        <v/>
      </c>
    </row>
    <row r="542">
      <c r="A542" s="22" t="n"/>
      <c r="B542" s="20" t="n"/>
      <c r="C542" s="20" t="n"/>
      <c r="D542" s="20">
        <f>IFERROR(INDEX(XPMenu!$A$2:$A$1000, MATCH(C542, XPMenu!$B$2:$B$1000, 0)), "")</f>
        <v/>
      </c>
      <c r="E542" s="20" t="n"/>
      <c r="F542" s="20" t="n"/>
      <c r="G542" s="20" t="n"/>
      <c r="H542" s="20" t="n"/>
      <c r="I542" s="20">
        <f>IFERROR(VLOOKUP(D542,XPMenu!$A:$F,2,FALSE),"")</f>
        <v/>
      </c>
      <c r="J542" s="20">
        <f>IFERROR(VLOOKUP(D542,XPMenu!$A:$F,3,FALSE),"")</f>
        <v/>
      </c>
      <c r="K542" s="20">
        <f>IFERROR(VLOOKUP(D542,XPMenu!$A:$F,4,FALSE),"")</f>
        <v/>
      </c>
      <c r="L542" s="20" t="n"/>
      <c r="M542" s="20">
        <f>IF(A542="","",IF(F542&lt;&gt;"Yes",0,IF(L542&lt;&gt;"",L542,E542*K542)))</f>
        <v/>
      </c>
      <c r="N542" s="20">
        <f>IF($A542="","",$A542-WEEKDAY($A542,2)+1)</f>
        <v/>
      </c>
      <c r="O542" s="20">
        <f>IF($A542="","",TEXT($A542,"yyyy-mm"))</f>
        <v/>
      </c>
      <c r="P542" s="21">
        <f>IF($A542="","",TEXT(YEAR($A542),"0000")&amp;"-Q"&amp;ROUNDUP(MONTH($A542)/3,0))</f>
        <v/>
      </c>
    </row>
    <row r="543">
      <c r="A543" s="22" t="n"/>
      <c r="B543" s="20" t="n"/>
      <c r="C543" s="20" t="n"/>
      <c r="D543" s="20">
        <f>IFERROR(INDEX(XPMenu!$A$2:$A$1000, MATCH(C543, XPMenu!$B$2:$B$1000, 0)), "")</f>
        <v/>
      </c>
      <c r="E543" s="20" t="n"/>
      <c r="F543" s="20" t="n"/>
      <c r="G543" s="20" t="n"/>
      <c r="H543" s="20" t="n"/>
      <c r="I543" s="20">
        <f>IFERROR(VLOOKUP(D543,XPMenu!$A:$F,2,FALSE),"")</f>
        <v/>
      </c>
      <c r="J543" s="20">
        <f>IFERROR(VLOOKUP(D543,XPMenu!$A:$F,3,FALSE),"")</f>
        <v/>
      </c>
      <c r="K543" s="20">
        <f>IFERROR(VLOOKUP(D543,XPMenu!$A:$F,4,FALSE),"")</f>
        <v/>
      </c>
      <c r="L543" s="20" t="n"/>
      <c r="M543" s="20">
        <f>IF(A543="","",IF(F543&lt;&gt;"Yes",0,IF(L543&lt;&gt;"",L543,E543*K543)))</f>
        <v/>
      </c>
      <c r="N543" s="20">
        <f>IF($A543="","",$A543-WEEKDAY($A543,2)+1)</f>
        <v/>
      </c>
      <c r="O543" s="20">
        <f>IF($A543="","",TEXT($A543,"yyyy-mm"))</f>
        <v/>
      </c>
      <c r="P543" s="21">
        <f>IF($A543="","",TEXT(YEAR($A543),"0000")&amp;"-Q"&amp;ROUNDUP(MONTH($A543)/3,0))</f>
        <v/>
      </c>
    </row>
    <row r="544">
      <c r="A544" s="22" t="n"/>
      <c r="B544" s="20" t="n"/>
      <c r="C544" s="20" t="n"/>
      <c r="D544" s="20">
        <f>IFERROR(INDEX(XPMenu!$A$2:$A$1000, MATCH(C544, XPMenu!$B$2:$B$1000, 0)), "")</f>
        <v/>
      </c>
      <c r="E544" s="20" t="n"/>
      <c r="F544" s="20" t="n"/>
      <c r="G544" s="20" t="n"/>
      <c r="H544" s="20" t="n"/>
      <c r="I544" s="20">
        <f>IFERROR(VLOOKUP(D544,XPMenu!$A:$F,2,FALSE),"")</f>
        <v/>
      </c>
      <c r="J544" s="20">
        <f>IFERROR(VLOOKUP(D544,XPMenu!$A:$F,3,FALSE),"")</f>
        <v/>
      </c>
      <c r="K544" s="20">
        <f>IFERROR(VLOOKUP(D544,XPMenu!$A:$F,4,FALSE),"")</f>
        <v/>
      </c>
      <c r="L544" s="20" t="n"/>
      <c r="M544" s="20">
        <f>IF(A544="","",IF(F544&lt;&gt;"Yes",0,IF(L544&lt;&gt;"",L544,E544*K544)))</f>
        <v/>
      </c>
      <c r="N544" s="20">
        <f>IF($A544="","",$A544-WEEKDAY($A544,2)+1)</f>
        <v/>
      </c>
      <c r="O544" s="20">
        <f>IF($A544="","",TEXT($A544,"yyyy-mm"))</f>
        <v/>
      </c>
      <c r="P544" s="21">
        <f>IF($A544="","",TEXT(YEAR($A544),"0000")&amp;"-Q"&amp;ROUNDUP(MONTH($A544)/3,0))</f>
        <v/>
      </c>
    </row>
    <row r="545">
      <c r="A545" s="22" t="n"/>
      <c r="B545" s="20" t="n"/>
      <c r="C545" s="20" t="n"/>
      <c r="D545" s="20">
        <f>IFERROR(INDEX(XPMenu!$A$2:$A$1000, MATCH(C545, XPMenu!$B$2:$B$1000, 0)), "")</f>
        <v/>
      </c>
      <c r="E545" s="20" t="n"/>
      <c r="F545" s="20" t="n"/>
      <c r="G545" s="20" t="n"/>
      <c r="H545" s="20" t="n"/>
      <c r="I545" s="20">
        <f>IFERROR(VLOOKUP(D545,XPMenu!$A:$F,2,FALSE),"")</f>
        <v/>
      </c>
      <c r="J545" s="20">
        <f>IFERROR(VLOOKUP(D545,XPMenu!$A:$F,3,FALSE),"")</f>
        <v/>
      </c>
      <c r="K545" s="20">
        <f>IFERROR(VLOOKUP(D545,XPMenu!$A:$F,4,FALSE),"")</f>
        <v/>
      </c>
      <c r="L545" s="20" t="n"/>
      <c r="M545" s="20">
        <f>IF(A545="","",IF(F545&lt;&gt;"Yes",0,IF(L545&lt;&gt;"",L545,E545*K545)))</f>
        <v/>
      </c>
      <c r="N545" s="20">
        <f>IF($A545="","",$A545-WEEKDAY($A545,2)+1)</f>
        <v/>
      </c>
      <c r="O545" s="20">
        <f>IF($A545="","",TEXT($A545,"yyyy-mm"))</f>
        <v/>
      </c>
      <c r="P545" s="21">
        <f>IF($A545="","",TEXT(YEAR($A545),"0000")&amp;"-Q"&amp;ROUNDUP(MONTH($A545)/3,0))</f>
        <v/>
      </c>
    </row>
    <row r="546">
      <c r="A546" s="22" t="n"/>
      <c r="B546" s="20" t="n"/>
      <c r="C546" s="20" t="n"/>
      <c r="D546" s="20">
        <f>IFERROR(INDEX(XPMenu!$A$2:$A$1000, MATCH(C546, XPMenu!$B$2:$B$1000, 0)), "")</f>
        <v/>
      </c>
      <c r="E546" s="20" t="n"/>
      <c r="F546" s="20" t="n"/>
      <c r="G546" s="20" t="n"/>
      <c r="H546" s="20" t="n"/>
      <c r="I546" s="20">
        <f>IFERROR(VLOOKUP(D546,XPMenu!$A:$F,2,FALSE),"")</f>
        <v/>
      </c>
      <c r="J546" s="20">
        <f>IFERROR(VLOOKUP(D546,XPMenu!$A:$F,3,FALSE),"")</f>
        <v/>
      </c>
      <c r="K546" s="20">
        <f>IFERROR(VLOOKUP(D546,XPMenu!$A:$F,4,FALSE),"")</f>
        <v/>
      </c>
      <c r="L546" s="20" t="n"/>
      <c r="M546" s="20">
        <f>IF(A546="","",IF(F546&lt;&gt;"Yes",0,IF(L546&lt;&gt;"",L546,E546*K546)))</f>
        <v/>
      </c>
      <c r="N546" s="20">
        <f>IF($A546="","",$A546-WEEKDAY($A546,2)+1)</f>
        <v/>
      </c>
      <c r="O546" s="20">
        <f>IF($A546="","",TEXT($A546,"yyyy-mm"))</f>
        <v/>
      </c>
      <c r="P546" s="21">
        <f>IF($A546="","",TEXT(YEAR($A546),"0000")&amp;"-Q"&amp;ROUNDUP(MONTH($A546)/3,0))</f>
        <v/>
      </c>
    </row>
    <row r="547">
      <c r="A547" s="22" t="n"/>
      <c r="B547" s="20" t="n"/>
      <c r="C547" s="20" t="n"/>
      <c r="D547" s="20">
        <f>IFERROR(INDEX(XPMenu!$A$2:$A$1000, MATCH(C547, XPMenu!$B$2:$B$1000, 0)), "")</f>
        <v/>
      </c>
      <c r="E547" s="20" t="n"/>
      <c r="F547" s="20" t="n"/>
      <c r="G547" s="20" t="n"/>
      <c r="H547" s="20" t="n"/>
      <c r="I547" s="20">
        <f>IFERROR(VLOOKUP(D547,XPMenu!$A:$F,2,FALSE),"")</f>
        <v/>
      </c>
      <c r="J547" s="20">
        <f>IFERROR(VLOOKUP(D547,XPMenu!$A:$F,3,FALSE),"")</f>
        <v/>
      </c>
      <c r="K547" s="20">
        <f>IFERROR(VLOOKUP(D547,XPMenu!$A:$F,4,FALSE),"")</f>
        <v/>
      </c>
      <c r="L547" s="20" t="n"/>
      <c r="M547" s="20">
        <f>IF(A547="","",IF(F547&lt;&gt;"Yes",0,IF(L547&lt;&gt;"",L547,E547*K547)))</f>
        <v/>
      </c>
      <c r="N547" s="20">
        <f>IF($A547="","",$A547-WEEKDAY($A547,2)+1)</f>
        <v/>
      </c>
      <c r="O547" s="20">
        <f>IF($A547="","",TEXT($A547,"yyyy-mm"))</f>
        <v/>
      </c>
      <c r="P547" s="21">
        <f>IF($A547="","",TEXT(YEAR($A547),"0000")&amp;"-Q"&amp;ROUNDUP(MONTH($A547)/3,0))</f>
        <v/>
      </c>
    </row>
    <row r="548">
      <c r="A548" s="22" t="n"/>
      <c r="B548" s="20" t="n"/>
      <c r="C548" s="20" t="n"/>
      <c r="D548" s="20">
        <f>IFERROR(INDEX(XPMenu!$A$2:$A$1000, MATCH(C548, XPMenu!$B$2:$B$1000, 0)), "")</f>
        <v/>
      </c>
      <c r="E548" s="20" t="n"/>
      <c r="F548" s="20" t="n"/>
      <c r="G548" s="20" t="n"/>
      <c r="H548" s="20" t="n"/>
      <c r="I548" s="20">
        <f>IFERROR(VLOOKUP(D548,XPMenu!$A:$F,2,FALSE),"")</f>
        <v/>
      </c>
      <c r="J548" s="20">
        <f>IFERROR(VLOOKUP(D548,XPMenu!$A:$F,3,FALSE),"")</f>
        <v/>
      </c>
      <c r="K548" s="20">
        <f>IFERROR(VLOOKUP(D548,XPMenu!$A:$F,4,FALSE),"")</f>
        <v/>
      </c>
      <c r="L548" s="20" t="n"/>
      <c r="M548" s="20">
        <f>IF(A548="","",IF(F548&lt;&gt;"Yes",0,IF(L548&lt;&gt;"",L548,E548*K548)))</f>
        <v/>
      </c>
      <c r="N548" s="20">
        <f>IF($A548="","",$A548-WEEKDAY($A548,2)+1)</f>
        <v/>
      </c>
      <c r="O548" s="20">
        <f>IF($A548="","",TEXT($A548,"yyyy-mm"))</f>
        <v/>
      </c>
      <c r="P548" s="21">
        <f>IF($A548="","",TEXT(YEAR($A548),"0000")&amp;"-Q"&amp;ROUNDUP(MONTH($A548)/3,0))</f>
        <v/>
      </c>
    </row>
    <row r="549">
      <c r="A549" s="22" t="n"/>
      <c r="B549" s="20" t="n"/>
      <c r="C549" s="20" t="n"/>
      <c r="D549" s="20">
        <f>IFERROR(INDEX(XPMenu!$A$2:$A$1000, MATCH(C549, XPMenu!$B$2:$B$1000, 0)), "")</f>
        <v/>
      </c>
      <c r="E549" s="20" t="n"/>
      <c r="F549" s="20" t="n"/>
      <c r="G549" s="20" t="n"/>
      <c r="H549" s="20" t="n"/>
      <c r="I549" s="20">
        <f>IFERROR(VLOOKUP(D549,XPMenu!$A:$F,2,FALSE),"")</f>
        <v/>
      </c>
      <c r="J549" s="20">
        <f>IFERROR(VLOOKUP(D549,XPMenu!$A:$F,3,FALSE),"")</f>
        <v/>
      </c>
      <c r="K549" s="20">
        <f>IFERROR(VLOOKUP(D549,XPMenu!$A:$F,4,FALSE),"")</f>
        <v/>
      </c>
      <c r="L549" s="20" t="n"/>
      <c r="M549" s="20">
        <f>IF(A549="","",IF(F549&lt;&gt;"Yes",0,IF(L549&lt;&gt;"",L549,E549*K549)))</f>
        <v/>
      </c>
      <c r="N549" s="20">
        <f>IF($A549="","",$A549-WEEKDAY($A549,2)+1)</f>
        <v/>
      </c>
      <c r="O549" s="20">
        <f>IF($A549="","",TEXT($A549,"yyyy-mm"))</f>
        <v/>
      </c>
      <c r="P549" s="21">
        <f>IF($A549="","",TEXT(YEAR($A549),"0000")&amp;"-Q"&amp;ROUNDUP(MONTH($A549)/3,0))</f>
        <v/>
      </c>
    </row>
    <row r="550">
      <c r="A550" s="22" t="n"/>
      <c r="B550" s="20" t="n"/>
      <c r="C550" s="20" t="n"/>
      <c r="D550" s="20">
        <f>IFERROR(INDEX(XPMenu!$A$2:$A$1000, MATCH(C550, XPMenu!$B$2:$B$1000, 0)), "")</f>
        <v/>
      </c>
      <c r="E550" s="20" t="n"/>
      <c r="F550" s="20" t="n"/>
      <c r="G550" s="20" t="n"/>
      <c r="H550" s="20" t="n"/>
      <c r="I550" s="20">
        <f>IFERROR(VLOOKUP(D550,XPMenu!$A:$F,2,FALSE),"")</f>
        <v/>
      </c>
      <c r="J550" s="20">
        <f>IFERROR(VLOOKUP(D550,XPMenu!$A:$F,3,FALSE),"")</f>
        <v/>
      </c>
      <c r="K550" s="20">
        <f>IFERROR(VLOOKUP(D550,XPMenu!$A:$F,4,FALSE),"")</f>
        <v/>
      </c>
      <c r="L550" s="20" t="n"/>
      <c r="M550" s="20">
        <f>IF(A550="","",IF(F550&lt;&gt;"Yes",0,IF(L550&lt;&gt;"",L550,E550*K550)))</f>
        <v/>
      </c>
      <c r="N550" s="20">
        <f>IF($A550="","",$A550-WEEKDAY($A550,2)+1)</f>
        <v/>
      </c>
      <c r="O550" s="20">
        <f>IF($A550="","",TEXT($A550,"yyyy-mm"))</f>
        <v/>
      </c>
      <c r="P550" s="21">
        <f>IF($A550="","",TEXT(YEAR($A550),"0000")&amp;"-Q"&amp;ROUNDUP(MONTH($A550)/3,0))</f>
        <v/>
      </c>
    </row>
    <row r="551">
      <c r="A551" s="22" t="n"/>
      <c r="B551" s="20" t="n"/>
      <c r="C551" s="20" t="n"/>
      <c r="D551" s="20">
        <f>IFERROR(INDEX(XPMenu!$A$2:$A$1000, MATCH(C551, XPMenu!$B$2:$B$1000, 0)), "")</f>
        <v/>
      </c>
      <c r="E551" s="20" t="n"/>
      <c r="F551" s="20" t="n"/>
      <c r="G551" s="20" t="n"/>
      <c r="H551" s="20" t="n"/>
      <c r="I551" s="20">
        <f>IFERROR(VLOOKUP(D551,XPMenu!$A:$F,2,FALSE),"")</f>
        <v/>
      </c>
      <c r="J551" s="20">
        <f>IFERROR(VLOOKUP(D551,XPMenu!$A:$F,3,FALSE),"")</f>
        <v/>
      </c>
      <c r="K551" s="20">
        <f>IFERROR(VLOOKUP(D551,XPMenu!$A:$F,4,FALSE),"")</f>
        <v/>
      </c>
      <c r="L551" s="20" t="n"/>
      <c r="M551" s="20">
        <f>IF(A551="","",IF(F551&lt;&gt;"Yes",0,IF(L551&lt;&gt;"",L551,E551*K551)))</f>
        <v/>
      </c>
      <c r="N551" s="20">
        <f>IF($A551="","",$A551-WEEKDAY($A551,2)+1)</f>
        <v/>
      </c>
      <c r="O551" s="20">
        <f>IF($A551="","",TEXT($A551,"yyyy-mm"))</f>
        <v/>
      </c>
      <c r="P551" s="21">
        <f>IF($A551="","",TEXT(YEAR($A551),"0000")&amp;"-Q"&amp;ROUNDUP(MONTH($A551)/3,0))</f>
        <v/>
      </c>
    </row>
    <row r="552">
      <c r="A552" s="22" t="n"/>
      <c r="B552" s="20" t="n"/>
      <c r="C552" s="20" t="n"/>
      <c r="D552" s="20">
        <f>IFERROR(INDEX(XPMenu!$A$2:$A$1000, MATCH(C552, XPMenu!$B$2:$B$1000, 0)), "")</f>
        <v/>
      </c>
      <c r="E552" s="20" t="n"/>
      <c r="F552" s="20" t="n"/>
      <c r="G552" s="20" t="n"/>
      <c r="H552" s="20" t="n"/>
      <c r="I552" s="20">
        <f>IFERROR(VLOOKUP(D552,XPMenu!$A:$F,2,FALSE),"")</f>
        <v/>
      </c>
      <c r="J552" s="20">
        <f>IFERROR(VLOOKUP(D552,XPMenu!$A:$F,3,FALSE),"")</f>
        <v/>
      </c>
      <c r="K552" s="20">
        <f>IFERROR(VLOOKUP(D552,XPMenu!$A:$F,4,FALSE),"")</f>
        <v/>
      </c>
      <c r="L552" s="20" t="n"/>
      <c r="M552" s="20">
        <f>IF(A552="","",IF(F552&lt;&gt;"Yes",0,IF(L552&lt;&gt;"",L552,E552*K552)))</f>
        <v/>
      </c>
      <c r="N552" s="20">
        <f>IF($A552="","",$A552-WEEKDAY($A552,2)+1)</f>
        <v/>
      </c>
      <c r="O552" s="20">
        <f>IF($A552="","",TEXT($A552,"yyyy-mm"))</f>
        <v/>
      </c>
      <c r="P552" s="21">
        <f>IF($A552="","",TEXT(YEAR($A552),"0000")&amp;"-Q"&amp;ROUNDUP(MONTH($A552)/3,0))</f>
        <v/>
      </c>
    </row>
    <row r="553">
      <c r="A553" s="22" t="n"/>
      <c r="B553" s="20" t="n"/>
      <c r="C553" s="20" t="n"/>
      <c r="D553" s="20">
        <f>IFERROR(INDEX(XPMenu!$A$2:$A$1000, MATCH(C553, XPMenu!$B$2:$B$1000, 0)), "")</f>
        <v/>
      </c>
      <c r="E553" s="20" t="n"/>
      <c r="F553" s="20" t="n"/>
      <c r="G553" s="20" t="n"/>
      <c r="H553" s="20" t="n"/>
      <c r="I553" s="20">
        <f>IFERROR(VLOOKUP(D553,XPMenu!$A:$F,2,FALSE),"")</f>
        <v/>
      </c>
      <c r="J553" s="20">
        <f>IFERROR(VLOOKUP(D553,XPMenu!$A:$F,3,FALSE),"")</f>
        <v/>
      </c>
      <c r="K553" s="20">
        <f>IFERROR(VLOOKUP(D553,XPMenu!$A:$F,4,FALSE),"")</f>
        <v/>
      </c>
      <c r="L553" s="20" t="n"/>
      <c r="M553" s="20">
        <f>IF(A553="","",IF(F553&lt;&gt;"Yes",0,IF(L553&lt;&gt;"",L553,E553*K553)))</f>
        <v/>
      </c>
      <c r="N553" s="20">
        <f>IF($A553="","",$A553-WEEKDAY($A553,2)+1)</f>
        <v/>
      </c>
      <c r="O553" s="20">
        <f>IF($A553="","",TEXT($A553,"yyyy-mm"))</f>
        <v/>
      </c>
      <c r="P553" s="21">
        <f>IF($A553="","",TEXT(YEAR($A553),"0000")&amp;"-Q"&amp;ROUNDUP(MONTH($A553)/3,0))</f>
        <v/>
      </c>
    </row>
    <row r="554">
      <c r="A554" s="22" t="n"/>
      <c r="B554" s="20" t="n"/>
      <c r="C554" s="20" t="n"/>
      <c r="D554" s="20">
        <f>IFERROR(INDEX(XPMenu!$A$2:$A$1000, MATCH(C554, XPMenu!$B$2:$B$1000, 0)), "")</f>
        <v/>
      </c>
      <c r="E554" s="20" t="n"/>
      <c r="F554" s="20" t="n"/>
      <c r="G554" s="20" t="n"/>
      <c r="H554" s="20" t="n"/>
      <c r="I554" s="20">
        <f>IFERROR(VLOOKUP(D554,XPMenu!$A:$F,2,FALSE),"")</f>
        <v/>
      </c>
      <c r="J554" s="20">
        <f>IFERROR(VLOOKUP(D554,XPMenu!$A:$F,3,FALSE),"")</f>
        <v/>
      </c>
      <c r="K554" s="20">
        <f>IFERROR(VLOOKUP(D554,XPMenu!$A:$F,4,FALSE),"")</f>
        <v/>
      </c>
      <c r="L554" s="20" t="n"/>
      <c r="M554" s="20">
        <f>IF(A554="","",IF(F554&lt;&gt;"Yes",0,IF(L554&lt;&gt;"",L554,E554*K554)))</f>
        <v/>
      </c>
      <c r="N554" s="20">
        <f>IF($A554="","",$A554-WEEKDAY($A554,2)+1)</f>
        <v/>
      </c>
      <c r="O554" s="20">
        <f>IF($A554="","",TEXT($A554,"yyyy-mm"))</f>
        <v/>
      </c>
      <c r="P554" s="21">
        <f>IF($A554="","",TEXT(YEAR($A554),"0000")&amp;"-Q"&amp;ROUNDUP(MONTH($A554)/3,0))</f>
        <v/>
      </c>
    </row>
    <row r="555">
      <c r="A555" s="22" t="n"/>
      <c r="B555" s="20" t="n"/>
      <c r="C555" s="20" t="n"/>
      <c r="D555" s="20">
        <f>IFERROR(INDEX(XPMenu!$A$2:$A$1000, MATCH(C555, XPMenu!$B$2:$B$1000, 0)), "")</f>
        <v/>
      </c>
      <c r="E555" s="20" t="n"/>
      <c r="F555" s="20" t="n"/>
      <c r="G555" s="20" t="n"/>
      <c r="H555" s="20" t="n"/>
      <c r="I555" s="20">
        <f>IFERROR(VLOOKUP(D555,XPMenu!$A:$F,2,FALSE),"")</f>
        <v/>
      </c>
      <c r="J555" s="20">
        <f>IFERROR(VLOOKUP(D555,XPMenu!$A:$F,3,FALSE),"")</f>
        <v/>
      </c>
      <c r="K555" s="20">
        <f>IFERROR(VLOOKUP(D555,XPMenu!$A:$F,4,FALSE),"")</f>
        <v/>
      </c>
      <c r="L555" s="20" t="n"/>
      <c r="M555" s="20">
        <f>IF(A555="","",IF(F555&lt;&gt;"Yes",0,IF(L555&lt;&gt;"",L555,E555*K555)))</f>
        <v/>
      </c>
      <c r="N555" s="20">
        <f>IF($A555="","",$A555-WEEKDAY($A555,2)+1)</f>
        <v/>
      </c>
      <c r="O555" s="20">
        <f>IF($A555="","",TEXT($A555,"yyyy-mm"))</f>
        <v/>
      </c>
      <c r="P555" s="21">
        <f>IF($A555="","",TEXT(YEAR($A555),"0000")&amp;"-Q"&amp;ROUNDUP(MONTH($A555)/3,0))</f>
        <v/>
      </c>
    </row>
    <row r="556">
      <c r="A556" s="22" t="n"/>
      <c r="B556" s="20" t="n"/>
      <c r="C556" s="20" t="n"/>
      <c r="D556" s="20">
        <f>IFERROR(INDEX(XPMenu!$A$2:$A$1000, MATCH(C556, XPMenu!$B$2:$B$1000, 0)), "")</f>
        <v/>
      </c>
      <c r="E556" s="20" t="n"/>
      <c r="F556" s="20" t="n"/>
      <c r="G556" s="20" t="n"/>
      <c r="H556" s="20" t="n"/>
      <c r="I556" s="20">
        <f>IFERROR(VLOOKUP(D556,XPMenu!$A:$F,2,FALSE),"")</f>
        <v/>
      </c>
      <c r="J556" s="20">
        <f>IFERROR(VLOOKUP(D556,XPMenu!$A:$F,3,FALSE),"")</f>
        <v/>
      </c>
      <c r="K556" s="20">
        <f>IFERROR(VLOOKUP(D556,XPMenu!$A:$F,4,FALSE),"")</f>
        <v/>
      </c>
      <c r="L556" s="20" t="n"/>
      <c r="M556" s="20">
        <f>IF(A556="","",IF(F556&lt;&gt;"Yes",0,IF(L556&lt;&gt;"",L556,E556*K556)))</f>
        <v/>
      </c>
      <c r="N556" s="20">
        <f>IF($A556="","",$A556-WEEKDAY($A556,2)+1)</f>
        <v/>
      </c>
      <c r="O556" s="20">
        <f>IF($A556="","",TEXT($A556,"yyyy-mm"))</f>
        <v/>
      </c>
      <c r="P556" s="21">
        <f>IF($A556="","",TEXT(YEAR($A556),"0000")&amp;"-Q"&amp;ROUNDUP(MONTH($A556)/3,0))</f>
        <v/>
      </c>
    </row>
    <row r="557">
      <c r="A557" s="22" t="n"/>
      <c r="B557" s="20" t="n"/>
      <c r="C557" s="20" t="n"/>
      <c r="D557" s="20">
        <f>IFERROR(INDEX(XPMenu!$A$2:$A$1000, MATCH(C557, XPMenu!$B$2:$B$1000, 0)), "")</f>
        <v/>
      </c>
      <c r="E557" s="20" t="n"/>
      <c r="F557" s="20" t="n"/>
      <c r="G557" s="20" t="n"/>
      <c r="H557" s="20" t="n"/>
      <c r="I557" s="20">
        <f>IFERROR(VLOOKUP(D557,XPMenu!$A:$F,2,FALSE),"")</f>
        <v/>
      </c>
      <c r="J557" s="20">
        <f>IFERROR(VLOOKUP(D557,XPMenu!$A:$F,3,FALSE),"")</f>
        <v/>
      </c>
      <c r="K557" s="20">
        <f>IFERROR(VLOOKUP(D557,XPMenu!$A:$F,4,FALSE),"")</f>
        <v/>
      </c>
      <c r="L557" s="20" t="n"/>
      <c r="M557" s="20">
        <f>IF(A557="","",IF(F557&lt;&gt;"Yes",0,IF(L557&lt;&gt;"",L557,E557*K557)))</f>
        <v/>
      </c>
      <c r="N557" s="20">
        <f>IF($A557="","",$A557-WEEKDAY($A557,2)+1)</f>
        <v/>
      </c>
      <c r="O557" s="20">
        <f>IF($A557="","",TEXT($A557,"yyyy-mm"))</f>
        <v/>
      </c>
      <c r="P557" s="21">
        <f>IF($A557="","",TEXT(YEAR($A557),"0000")&amp;"-Q"&amp;ROUNDUP(MONTH($A557)/3,0))</f>
        <v/>
      </c>
    </row>
    <row r="558">
      <c r="A558" s="22" t="n"/>
      <c r="B558" s="20" t="n"/>
      <c r="C558" s="20" t="n"/>
      <c r="D558" s="20">
        <f>IFERROR(INDEX(XPMenu!$A$2:$A$1000, MATCH(C558, XPMenu!$B$2:$B$1000, 0)), "")</f>
        <v/>
      </c>
      <c r="E558" s="20" t="n"/>
      <c r="F558" s="20" t="n"/>
      <c r="G558" s="20" t="n"/>
      <c r="H558" s="20" t="n"/>
      <c r="I558" s="20">
        <f>IFERROR(VLOOKUP(D558,XPMenu!$A:$F,2,FALSE),"")</f>
        <v/>
      </c>
      <c r="J558" s="20">
        <f>IFERROR(VLOOKUP(D558,XPMenu!$A:$F,3,FALSE),"")</f>
        <v/>
      </c>
      <c r="K558" s="20">
        <f>IFERROR(VLOOKUP(D558,XPMenu!$A:$F,4,FALSE),"")</f>
        <v/>
      </c>
      <c r="L558" s="20" t="n"/>
      <c r="M558" s="20">
        <f>IF(A558="","",IF(F558&lt;&gt;"Yes",0,IF(L558&lt;&gt;"",L558,E558*K558)))</f>
        <v/>
      </c>
      <c r="N558" s="20">
        <f>IF($A558="","",$A558-WEEKDAY($A558,2)+1)</f>
        <v/>
      </c>
      <c r="O558" s="20">
        <f>IF($A558="","",TEXT($A558,"yyyy-mm"))</f>
        <v/>
      </c>
      <c r="P558" s="21">
        <f>IF($A558="","",TEXT(YEAR($A558),"0000")&amp;"-Q"&amp;ROUNDUP(MONTH($A558)/3,0))</f>
        <v/>
      </c>
    </row>
    <row r="559">
      <c r="A559" s="22" t="n"/>
      <c r="B559" s="20" t="n"/>
      <c r="C559" s="20" t="n"/>
      <c r="D559" s="20">
        <f>IFERROR(INDEX(XPMenu!$A$2:$A$1000, MATCH(C559, XPMenu!$B$2:$B$1000, 0)), "")</f>
        <v/>
      </c>
      <c r="E559" s="20" t="n"/>
      <c r="F559" s="20" t="n"/>
      <c r="G559" s="20" t="n"/>
      <c r="H559" s="20" t="n"/>
      <c r="I559" s="20">
        <f>IFERROR(VLOOKUP(D559,XPMenu!$A:$F,2,FALSE),"")</f>
        <v/>
      </c>
      <c r="J559" s="20">
        <f>IFERROR(VLOOKUP(D559,XPMenu!$A:$F,3,FALSE),"")</f>
        <v/>
      </c>
      <c r="K559" s="20">
        <f>IFERROR(VLOOKUP(D559,XPMenu!$A:$F,4,FALSE),"")</f>
        <v/>
      </c>
      <c r="L559" s="20" t="n"/>
      <c r="M559" s="20">
        <f>IF(A559="","",IF(F559&lt;&gt;"Yes",0,IF(L559&lt;&gt;"",L559,E559*K559)))</f>
        <v/>
      </c>
      <c r="N559" s="20">
        <f>IF($A559="","",$A559-WEEKDAY($A559,2)+1)</f>
        <v/>
      </c>
      <c r="O559" s="20">
        <f>IF($A559="","",TEXT($A559,"yyyy-mm"))</f>
        <v/>
      </c>
      <c r="P559" s="21">
        <f>IF($A559="","",TEXT(YEAR($A559),"0000")&amp;"-Q"&amp;ROUNDUP(MONTH($A559)/3,0))</f>
        <v/>
      </c>
    </row>
    <row r="560">
      <c r="A560" s="22" t="n"/>
      <c r="B560" s="20" t="n"/>
      <c r="C560" s="20" t="n"/>
      <c r="D560" s="20">
        <f>IFERROR(INDEX(XPMenu!$A$2:$A$1000, MATCH(C560, XPMenu!$B$2:$B$1000, 0)), "")</f>
        <v/>
      </c>
      <c r="E560" s="20" t="n"/>
      <c r="F560" s="20" t="n"/>
      <c r="G560" s="20" t="n"/>
      <c r="H560" s="20" t="n"/>
      <c r="I560" s="20">
        <f>IFERROR(VLOOKUP(D560,XPMenu!$A:$F,2,FALSE),"")</f>
        <v/>
      </c>
      <c r="J560" s="20">
        <f>IFERROR(VLOOKUP(D560,XPMenu!$A:$F,3,FALSE),"")</f>
        <v/>
      </c>
      <c r="K560" s="20">
        <f>IFERROR(VLOOKUP(D560,XPMenu!$A:$F,4,FALSE),"")</f>
        <v/>
      </c>
      <c r="L560" s="20" t="n"/>
      <c r="M560" s="20">
        <f>IF(A560="","",IF(F560&lt;&gt;"Yes",0,IF(L560&lt;&gt;"",L560,E560*K560)))</f>
        <v/>
      </c>
      <c r="N560" s="20">
        <f>IF($A560="","",$A560-WEEKDAY($A560,2)+1)</f>
        <v/>
      </c>
      <c r="O560" s="20">
        <f>IF($A560="","",TEXT($A560,"yyyy-mm"))</f>
        <v/>
      </c>
      <c r="P560" s="21">
        <f>IF($A560="","",TEXT(YEAR($A560),"0000")&amp;"-Q"&amp;ROUNDUP(MONTH($A560)/3,0))</f>
        <v/>
      </c>
    </row>
    <row r="561">
      <c r="A561" s="22" t="n"/>
      <c r="B561" s="20" t="n"/>
      <c r="C561" s="20" t="n"/>
      <c r="D561" s="20">
        <f>IFERROR(INDEX(XPMenu!$A$2:$A$1000, MATCH(C561, XPMenu!$B$2:$B$1000, 0)), "")</f>
        <v/>
      </c>
      <c r="E561" s="20" t="n"/>
      <c r="F561" s="20" t="n"/>
      <c r="G561" s="20" t="n"/>
      <c r="H561" s="20" t="n"/>
      <c r="I561" s="20">
        <f>IFERROR(VLOOKUP(D561,XPMenu!$A:$F,2,FALSE),"")</f>
        <v/>
      </c>
      <c r="J561" s="20">
        <f>IFERROR(VLOOKUP(D561,XPMenu!$A:$F,3,FALSE),"")</f>
        <v/>
      </c>
      <c r="K561" s="20">
        <f>IFERROR(VLOOKUP(D561,XPMenu!$A:$F,4,FALSE),"")</f>
        <v/>
      </c>
      <c r="L561" s="20" t="n"/>
      <c r="M561" s="20">
        <f>IF(A561="","",IF(F561&lt;&gt;"Yes",0,IF(L561&lt;&gt;"",L561,E561*K561)))</f>
        <v/>
      </c>
      <c r="N561" s="20">
        <f>IF($A561="","",$A561-WEEKDAY($A561,2)+1)</f>
        <v/>
      </c>
      <c r="O561" s="20">
        <f>IF($A561="","",TEXT($A561,"yyyy-mm"))</f>
        <v/>
      </c>
      <c r="P561" s="21">
        <f>IF($A561="","",TEXT(YEAR($A561),"0000")&amp;"-Q"&amp;ROUNDUP(MONTH($A561)/3,0))</f>
        <v/>
      </c>
    </row>
    <row r="562">
      <c r="A562" s="22" t="n"/>
      <c r="B562" s="20" t="n"/>
      <c r="C562" s="20" t="n"/>
      <c r="D562" s="20">
        <f>IFERROR(INDEX(XPMenu!$A$2:$A$1000, MATCH(C562, XPMenu!$B$2:$B$1000, 0)), "")</f>
        <v/>
      </c>
      <c r="E562" s="20" t="n"/>
      <c r="F562" s="20" t="n"/>
      <c r="G562" s="20" t="n"/>
      <c r="H562" s="20" t="n"/>
      <c r="I562" s="20">
        <f>IFERROR(VLOOKUP(D562,XPMenu!$A:$F,2,FALSE),"")</f>
        <v/>
      </c>
      <c r="J562" s="20">
        <f>IFERROR(VLOOKUP(D562,XPMenu!$A:$F,3,FALSE),"")</f>
        <v/>
      </c>
      <c r="K562" s="20">
        <f>IFERROR(VLOOKUP(D562,XPMenu!$A:$F,4,FALSE),"")</f>
        <v/>
      </c>
      <c r="L562" s="20" t="n"/>
      <c r="M562" s="20">
        <f>IF(A562="","",IF(F562&lt;&gt;"Yes",0,IF(L562&lt;&gt;"",L562,E562*K562)))</f>
        <v/>
      </c>
      <c r="N562" s="20">
        <f>IF($A562="","",$A562-WEEKDAY($A562,2)+1)</f>
        <v/>
      </c>
      <c r="O562" s="20">
        <f>IF($A562="","",TEXT($A562,"yyyy-mm"))</f>
        <v/>
      </c>
      <c r="P562" s="21">
        <f>IF($A562="","",TEXT(YEAR($A562),"0000")&amp;"-Q"&amp;ROUNDUP(MONTH($A562)/3,0))</f>
        <v/>
      </c>
    </row>
    <row r="563">
      <c r="A563" s="22" t="n"/>
      <c r="B563" s="20" t="n"/>
      <c r="C563" s="20" t="n"/>
      <c r="D563" s="20">
        <f>IFERROR(INDEX(XPMenu!$A$2:$A$1000, MATCH(C563, XPMenu!$B$2:$B$1000, 0)), "")</f>
        <v/>
      </c>
      <c r="E563" s="20" t="n"/>
      <c r="F563" s="20" t="n"/>
      <c r="G563" s="20" t="n"/>
      <c r="H563" s="20" t="n"/>
      <c r="I563" s="20">
        <f>IFERROR(VLOOKUP(D563,XPMenu!$A:$F,2,FALSE),"")</f>
        <v/>
      </c>
      <c r="J563" s="20">
        <f>IFERROR(VLOOKUP(D563,XPMenu!$A:$F,3,FALSE),"")</f>
        <v/>
      </c>
      <c r="K563" s="20">
        <f>IFERROR(VLOOKUP(D563,XPMenu!$A:$F,4,FALSE),"")</f>
        <v/>
      </c>
      <c r="L563" s="20" t="n"/>
      <c r="M563" s="20">
        <f>IF(A563="","",IF(F563&lt;&gt;"Yes",0,IF(L563&lt;&gt;"",L563,E563*K563)))</f>
        <v/>
      </c>
      <c r="N563" s="20">
        <f>IF($A563="","",$A563-WEEKDAY($A563,2)+1)</f>
        <v/>
      </c>
      <c r="O563" s="20">
        <f>IF($A563="","",TEXT($A563,"yyyy-mm"))</f>
        <v/>
      </c>
      <c r="P563" s="21">
        <f>IF($A563="","",TEXT(YEAR($A563),"0000")&amp;"-Q"&amp;ROUNDUP(MONTH($A563)/3,0))</f>
        <v/>
      </c>
    </row>
    <row r="564">
      <c r="A564" s="22" t="n"/>
      <c r="B564" s="20" t="n"/>
      <c r="C564" s="20" t="n"/>
      <c r="D564" s="20">
        <f>IFERROR(INDEX(XPMenu!$A$2:$A$1000, MATCH(C564, XPMenu!$B$2:$B$1000, 0)), "")</f>
        <v/>
      </c>
      <c r="E564" s="20" t="n"/>
      <c r="F564" s="20" t="n"/>
      <c r="G564" s="20" t="n"/>
      <c r="H564" s="20" t="n"/>
      <c r="I564" s="20">
        <f>IFERROR(VLOOKUP(D564,XPMenu!$A:$F,2,FALSE),"")</f>
        <v/>
      </c>
      <c r="J564" s="20">
        <f>IFERROR(VLOOKUP(D564,XPMenu!$A:$F,3,FALSE),"")</f>
        <v/>
      </c>
      <c r="K564" s="20">
        <f>IFERROR(VLOOKUP(D564,XPMenu!$A:$F,4,FALSE),"")</f>
        <v/>
      </c>
      <c r="L564" s="20" t="n"/>
      <c r="M564" s="20">
        <f>IF(A564="","",IF(F564&lt;&gt;"Yes",0,IF(L564&lt;&gt;"",L564,E564*K564)))</f>
        <v/>
      </c>
      <c r="N564" s="20">
        <f>IF($A564="","",$A564-WEEKDAY($A564,2)+1)</f>
        <v/>
      </c>
      <c r="O564" s="20">
        <f>IF($A564="","",TEXT($A564,"yyyy-mm"))</f>
        <v/>
      </c>
      <c r="P564" s="21">
        <f>IF($A564="","",TEXT(YEAR($A564),"0000")&amp;"-Q"&amp;ROUNDUP(MONTH($A564)/3,0))</f>
        <v/>
      </c>
    </row>
    <row r="565">
      <c r="A565" s="22" t="n"/>
      <c r="B565" s="20" t="n"/>
      <c r="C565" s="20" t="n"/>
      <c r="D565" s="20">
        <f>IFERROR(INDEX(XPMenu!$A$2:$A$1000, MATCH(C565, XPMenu!$B$2:$B$1000, 0)), "")</f>
        <v/>
      </c>
      <c r="E565" s="20" t="n"/>
      <c r="F565" s="20" t="n"/>
      <c r="G565" s="20" t="n"/>
      <c r="H565" s="20" t="n"/>
      <c r="I565" s="20">
        <f>IFERROR(VLOOKUP(D565,XPMenu!$A:$F,2,FALSE),"")</f>
        <v/>
      </c>
      <c r="J565" s="20">
        <f>IFERROR(VLOOKUP(D565,XPMenu!$A:$F,3,FALSE),"")</f>
        <v/>
      </c>
      <c r="K565" s="20">
        <f>IFERROR(VLOOKUP(D565,XPMenu!$A:$F,4,FALSE),"")</f>
        <v/>
      </c>
      <c r="L565" s="20" t="n"/>
      <c r="M565" s="20">
        <f>IF(A565="","",IF(F565&lt;&gt;"Yes",0,IF(L565&lt;&gt;"",L565,E565*K565)))</f>
        <v/>
      </c>
      <c r="N565" s="20">
        <f>IF($A565="","",$A565-WEEKDAY($A565,2)+1)</f>
        <v/>
      </c>
      <c r="O565" s="20">
        <f>IF($A565="","",TEXT($A565,"yyyy-mm"))</f>
        <v/>
      </c>
      <c r="P565" s="21">
        <f>IF($A565="","",TEXT(YEAR($A565),"0000")&amp;"-Q"&amp;ROUNDUP(MONTH($A565)/3,0))</f>
        <v/>
      </c>
    </row>
    <row r="566">
      <c r="A566" s="22" t="n"/>
      <c r="B566" s="20" t="n"/>
      <c r="C566" s="20" t="n"/>
      <c r="D566" s="20">
        <f>IFERROR(INDEX(XPMenu!$A$2:$A$1000, MATCH(C566, XPMenu!$B$2:$B$1000, 0)), "")</f>
        <v/>
      </c>
      <c r="E566" s="20" t="n"/>
      <c r="F566" s="20" t="n"/>
      <c r="G566" s="20" t="n"/>
      <c r="H566" s="20" t="n"/>
      <c r="I566" s="20">
        <f>IFERROR(VLOOKUP(D566,XPMenu!$A:$F,2,FALSE),"")</f>
        <v/>
      </c>
      <c r="J566" s="20">
        <f>IFERROR(VLOOKUP(D566,XPMenu!$A:$F,3,FALSE),"")</f>
        <v/>
      </c>
      <c r="K566" s="20">
        <f>IFERROR(VLOOKUP(D566,XPMenu!$A:$F,4,FALSE),"")</f>
        <v/>
      </c>
      <c r="L566" s="20" t="n"/>
      <c r="M566" s="20">
        <f>IF(A566="","",IF(F566&lt;&gt;"Yes",0,IF(L566&lt;&gt;"",L566,E566*K566)))</f>
        <v/>
      </c>
      <c r="N566" s="20">
        <f>IF($A566="","",$A566-WEEKDAY($A566,2)+1)</f>
        <v/>
      </c>
      <c r="O566" s="20">
        <f>IF($A566="","",TEXT($A566,"yyyy-mm"))</f>
        <v/>
      </c>
      <c r="P566" s="21">
        <f>IF($A566="","",TEXT(YEAR($A566),"0000")&amp;"-Q"&amp;ROUNDUP(MONTH($A566)/3,0))</f>
        <v/>
      </c>
    </row>
    <row r="567">
      <c r="A567" s="22" t="n"/>
      <c r="B567" s="20" t="n"/>
      <c r="C567" s="20" t="n"/>
      <c r="D567" s="20">
        <f>IFERROR(INDEX(XPMenu!$A$2:$A$1000, MATCH(C567, XPMenu!$B$2:$B$1000, 0)), "")</f>
        <v/>
      </c>
      <c r="E567" s="20" t="n"/>
      <c r="F567" s="20" t="n"/>
      <c r="G567" s="20" t="n"/>
      <c r="H567" s="20" t="n"/>
      <c r="I567" s="20">
        <f>IFERROR(VLOOKUP(D567,XPMenu!$A:$F,2,FALSE),"")</f>
        <v/>
      </c>
      <c r="J567" s="20">
        <f>IFERROR(VLOOKUP(D567,XPMenu!$A:$F,3,FALSE),"")</f>
        <v/>
      </c>
      <c r="K567" s="20">
        <f>IFERROR(VLOOKUP(D567,XPMenu!$A:$F,4,FALSE),"")</f>
        <v/>
      </c>
      <c r="L567" s="20" t="n"/>
      <c r="M567" s="20">
        <f>IF(A567="","",IF(F567&lt;&gt;"Yes",0,IF(L567&lt;&gt;"",L567,E567*K567)))</f>
        <v/>
      </c>
      <c r="N567" s="20">
        <f>IF($A567="","",$A567-WEEKDAY($A567,2)+1)</f>
        <v/>
      </c>
      <c r="O567" s="20">
        <f>IF($A567="","",TEXT($A567,"yyyy-mm"))</f>
        <v/>
      </c>
      <c r="P567" s="21">
        <f>IF($A567="","",TEXT(YEAR($A567),"0000")&amp;"-Q"&amp;ROUNDUP(MONTH($A567)/3,0))</f>
        <v/>
      </c>
    </row>
    <row r="568">
      <c r="A568" s="22" t="n"/>
      <c r="B568" s="20" t="n"/>
      <c r="C568" s="20" t="n"/>
      <c r="D568" s="20">
        <f>IFERROR(INDEX(XPMenu!$A$2:$A$1000, MATCH(C568, XPMenu!$B$2:$B$1000, 0)), "")</f>
        <v/>
      </c>
      <c r="E568" s="20" t="n"/>
      <c r="F568" s="20" t="n"/>
      <c r="G568" s="20" t="n"/>
      <c r="H568" s="20" t="n"/>
      <c r="I568" s="20">
        <f>IFERROR(VLOOKUP(D568,XPMenu!$A:$F,2,FALSE),"")</f>
        <v/>
      </c>
      <c r="J568" s="20">
        <f>IFERROR(VLOOKUP(D568,XPMenu!$A:$F,3,FALSE),"")</f>
        <v/>
      </c>
      <c r="K568" s="20">
        <f>IFERROR(VLOOKUP(D568,XPMenu!$A:$F,4,FALSE),"")</f>
        <v/>
      </c>
      <c r="L568" s="20" t="n"/>
      <c r="M568" s="20">
        <f>IF(A568="","",IF(F568&lt;&gt;"Yes",0,IF(L568&lt;&gt;"",L568,E568*K568)))</f>
        <v/>
      </c>
      <c r="N568" s="20">
        <f>IF($A568="","",$A568-WEEKDAY($A568,2)+1)</f>
        <v/>
      </c>
      <c r="O568" s="20">
        <f>IF($A568="","",TEXT($A568,"yyyy-mm"))</f>
        <v/>
      </c>
      <c r="P568" s="21">
        <f>IF($A568="","",TEXT(YEAR($A568),"0000")&amp;"-Q"&amp;ROUNDUP(MONTH($A568)/3,0))</f>
        <v/>
      </c>
    </row>
    <row r="569">
      <c r="A569" s="22" t="n"/>
      <c r="B569" s="20" t="n"/>
      <c r="C569" s="20" t="n"/>
      <c r="D569" s="20">
        <f>IFERROR(INDEX(XPMenu!$A$2:$A$1000, MATCH(C569, XPMenu!$B$2:$B$1000, 0)), "")</f>
        <v/>
      </c>
      <c r="E569" s="20" t="n"/>
      <c r="F569" s="20" t="n"/>
      <c r="G569" s="20" t="n"/>
      <c r="H569" s="20" t="n"/>
      <c r="I569" s="20">
        <f>IFERROR(VLOOKUP(D569,XPMenu!$A:$F,2,FALSE),"")</f>
        <v/>
      </c>
      <c r="J569" s="20">
        <f>IFERROR(VLOOKUP(D569,XPMenu!$A:$F,3,FALSE),"")</f>
        <v/>
      </c>
      <c r="K569" s="20">
        <f>IFERROR(VLOOKUP(D569,XPMenu!$A:$F,4,FALSE),"")</f>
        <v/>
      </c>
      <c r="L569" s="20" t="n"/>
      <c r="M569" s="20">
        <f>IF(A569="","",IF(F569&lt;&gt;"Yes",0,IF(L569&lt;&gt;"",L569,E569*K569)))</f>
        <v/>
      </c>
      <c r="N569" s="20">
        <f>IF($A569="","",$A569-WEEKDAY($A569,2)+1)</f>
        <v/>
      </c>
      <c r="O569" s="20">
        <f>IF($A569="","",TEXT($A569,"yyyy-mm"))</f>
        <v/>
      </c>
      <c r="P569" s="21">
        <f>IF($A569="","",TEXT(YEAR($A569),"0000")&amp;"-Q"&amp;ROUNDUP(MONTH($A569)/3,0))</f>
        <v/>
      </c>
    </row>
    <row r="570">
      <c r="A570" s="22" t="n"/>
      <c r="B570" s="20" t="n"/>
      <c r="C570" s="20" t="n"/>
      <c r="D570" s="20">
        <f>IFERROR(INDEX(XPMenu!$A$2:$A$1000, MATCH(C570, XPMenu!$B$2:$B$1000, 0)), "")</f>
        <v/>
      </c>
      <c r="E570" s="20" t="n"/>
      <c r="F570" s="20" t="n"/>
      <c r="G570" s="20" t="n"/>
      <c r="H570" s="20" t="n"/>
      <c r="I570" s="20">
        <f>IFERROR(VLOOKUP(D570,XPMenu!$A:$F,2,FALSE),"")</f>
        <v/>
      </c>
      <c r="J570" s="20">
        <f>IFERROR(VLOOKUP(D570,XPMenu!$A:$F,3,FALSE),"")</f>
        <v/>
      </c>
      <c r="K570" s="20">
        <f>IFERROR(VLOOKUP(D570,XPMenu!$A:$F,4,FALSE),"")</f>
        <v/>
      </c>
      <c r="L570" s="20" t="n"/>
      <c r="M570" s="20">
        <f>IF(A570="","",IF(F570&lt;&gt;"Yes",0,IF(L570&lt;&gt;"",L570,E570*K570)))</f>
        <v/>
      </c>
      <c r="N570" s="20">
        <f>IF($A570="","",$A570-WEEKDAY($A570,2)+1)</f>
        <v/>
      </c>
      <c r="O570" s="20">
        <f>IF($A570="","",TEXT($A570,"yyyy-mm"))</f>
        <v/>
      </c>
      <c r="P570" s="21">
        <f>IF($A570="","",TEXT(YEAR($A570),"0000")&amp;"-Q"&amp;ROUNDUP(MONTH($A570)/3,0))</f>
        <v/>
      </c>
    </row>
    <row r="571">
      <c r="A571" s="22" t="n"/>
      <c r="B571" s="20" t="n"/>
      <c r="C571" s="20" t="n"/>
      <c r="D571" s="20">
        <f>IFERROR(INDEX(XPMenu!$A$2:$A$1000, MATCH(C571, XPMenu!$B$2:$B$1000, 0)), "")</f>
        <v/>
      </c>
      <c r="E571" s="20" t="n"/>
      <c r="F571" s="20" t="n"/>
      <c r="G571" s="20" t="n"/>
      <c r="H571" s="20" t="n"/>
      <c r="I571" s="20">
        <f>IFERROR(VLOOKUP(D571,XPMenu!$A:$F,2,FALSE),"")</f>
        <v/>
      </c>
      <c r="J571" s="20">
        <f>IFERROR(VLOOKUP(D571,XPMenu!$A:$F,3,FALSE),"")</f>
        <v/>
      </c>
      <c r="K571" s="20">
        <f>IFERROR(VLOOKUP(D571,XPMenu!$A:$F,4,FALSE),"")</f>
        <v/>
      </c>
      <c r="L571" s="20" t="n"/>
      <c r="M571" s="20">
        <f>IF(A571="","",IF(F571&lt;&gt;"Yes",0,IF(L571&lt;&gt;"",L571,E571*K571)))</f>
        <v/>
      </c>
      <c r="N571" s="20">
        <f>IF($A571="","",$A571-WEEKDAY($A571,2)+1)</f>
        <v/>
      </c>
      <c r="O571" s="20">
        <f>IF($A571="","",TEXT($A571,"yyyy-mm"))</f>
        <v/>
      </c>
      <c r="P571" s="21">
        <f>IF($A571="","",TEXT(YEAR($A571),"0000")&amp;"-Q"&amp;ROUNDUP(MONTH($A571)/3,0))</f>
        <v/>
      </c>
    </row>
    <row r="572">
      <c r="A572" s="22" t="n"/>
      <c r="B572" s="20" t="n"/>
      <c r="C572" s="20" t="n"/>
      <c r="D572" s="20">
        <f>IFERROR(INDEX(XPMenu!$A$2:$A$1000, MATCH(C572, XPMenu!$B$2:$B$1000, 0)), "")</f>
        <v/>
      </c>
      <c r="E572" s="20" t="n"/>
      <c r="F572" s="20" t="n"/>
      <c r="G572" s="20" t="n"/>
      <c r="H572" s="20" t="n"/>
      <c r="I572" s="20">
        <f>IFERROR(VLOOKUP(D572,XPMenu!$A:$F,2,FALSE),"")</f>
        <v/>
      </c>
      <c r="J572" s="20">
        <f>IFERROR(VLOOKUP(D572,XPMenu!$A:$F,3,FALSE),"")</f>
        <v/>
      </c>
      <c r="K572" s="20">
        <f>IFERROR(VLOOKUP(D572,XPMenu!$A:$F,4,FALSE),"")</f>
        <v/>
      </c>
      <c r="L572" s="20" t="n"/>
      <c r="M572" s="20">
        <f>IF(A572="","",IF(F572&lt;&gt;"Yes",0,IF(L572&lt;&gt;"",L572,E572*K572)))</f>
        <v/>
      </c>
      <c r="N572" s="20">
        <f>IF($A572="","",$A572-WEEKDAY($A572,2)+1)</f>
        <v/>
      </c>
      <c r="O572" s="20">
        <f>IF($A572="","",TEXT($A572,"yyyy-mm"))</f>
        <v/>
      </c>
      <c r="P572" s="21">
        <f>IF($A572="","",TEXT(YEAR($A572),"0000")&amp;"-Q"&amp;ROUNDUP(MONTH($A572)/3,0))</f>
        <v/>
      </c>
    </row>
    <row r="573">
      <c r="A573" s="22" t="n"/>
      <c r="B573" s="20" t="n"/>
      <c r="C573" s="20" t="n"/>
      <c r="D573" s="20">
        <f>IFERROR(INDEX(XPMenu!$A$2:$A$1000, MATCH(C573, XPMenu!$B$2:$B$1000, 0)), "")</f>
        <v/>
      </c>
      <c r="E573" s="20" t="n"/>
      <c r="F573" s="20" t="n"/>
      <c r="G573" s="20" t="n"/>
      <c r="H573" s="20" t="n"/>
      <c r="I573" s="20">
        <f>IFERROR(VLOOKUP(D573,XPMenu!$A:$F,2,FALSE),"")</f>
        <v/>
      </c>
      <c r="J573" s="20">
        <f>IFERROR(VLOOKUP(D573,XPMenu!$A:$F,3,FALSE),"")</f>
        <v/>
      </c>
      <c r="K573" s="20">
        <f>IFERROR(VLOOKUP(D573,XPMenu!$A:$F,4,FALSE),"")</f>
        <v/>
      </c>
      <c r="L573" s="20" t="n"/>
      <c r="M573" s="20">
        <f>IF(A573="","",IF(F573&lt;&gt;"Yes",0,IF(L573&lt;&gt;"",L573,E573*K573)))</f>
        <v/>
      </c>
      <c r="N573" s="20">
        <f>IF($A573="","",$A573-WEEKDAY($A573,2)+1)</f>
        <v/>
      </c>
      <c r="O573" s="20">
        <f>IF($A573="","",TEXT($A573,"yyyy-mm"))</f>
        <v/>
      </c>
      <c r="P573" s="21">
        <f>IF($A573="","",TEXT(YEAR($A573),"0000")&amp;"-Q"&amp;ROUNDUP(MONTH($A573)/3,0))</f>
        <v/>
      </c>
    </row>
    <row r="574">
      <c r="A574" s="22" t="n"/>
      <c r="B574" s="20" t="n"/>
      <c r="C574" s="20" t="n"/>
      <c r="D574" s="20">
        <f>IFERROR(INDEX(XPMenu!$A$2:$A$1000, MATCH(C574, XPMenu!$B$2:$B$1000, 0)), "")</f>
        <v/>
      </c>
      <c r="E574" s="20" t="n"/>
      <c r="F574" s="20" t="n"/>
      <c r="G574" s="20" t="n"/>
      <c r="H574" s="20" t="n"/>
      <c r="I574" s="20">
        <f>IFERROR(VLOOKUP(D574,XPMenu!$A:$F,2,FALSE),"")</f>
        <v/>
      </c>
      <c r="J574" s="20">
        <f>IFERROR(VLOOKUP(D574,XPMenu!$A:$F,3,FALSE),"")</f>
        <v/>
      </c>
      <c r="K574" s="20">
        <f>IFERROR(VLOOKUP(D574,XPMenu!$A:$F,4,FALSE),"")</f>
        <v/>
      </c>
      <c r="L574" s="20" t="n"/>
      <c r="M574" s="20">
        <f>IF(A574="","",IF(F574&lt;&gt;"Yes",0,IF(L574&lt;&gt;"",L574,E574*K574)))</f>
        <v/>
      </c>
      <c r="N574" s="20">
        <f>IF($A574="","",$A574-WEEKDAY($A574,2)+1)</f>
        <v/>
      </c>
      <c r="O574" s="20">
        <f>IF($A574="","",TEXT($A574,"yyyy-mm"))</f>
        <v/>
      </c>
      <c r="P574" s="21">
        <f>IF($A574="","",TEXT(YEAR($A574),"0000")&amp;"-Q"&amp;ROUNDUP(MONTH($A574)/3,0))</f>
        <v/>
      </c>
    </row>
    <row r="575">
      <c r="A575" s="22" t="n"/>
      <c r="B575" s="20" t="n"/>
      <c r="C575" s="20" t="n"/>
      <c r="D575" s="20">
        <f>IFERROR(INDEX(XPMenu!$A$2:$A$1000, MATCH(C575, XPMenu!$B$2:$B$1000, 0)), "")</f>
        <v/>
      </c>
      <c r="E575" s="20" t="n"/>
      <c r="F575" s="20" t="n"/>
      <c r="G575" s="20" t="n"/>
      <c r="H575" s="20" t="n"/>
      <c r="I575" s="20">
        <f>IFERROR(VLOOKUP(D575,XPMenu!$A:$F,2,FALSE),"")</f>
        <v/>
      </c>
      <c r="J575" s="20">
        <f>IFERROR(VLOOKUP(D575,XPMenu!$A:$F,3,FALSE),"")</f>
        <v/>
      </c>
      <c r="K575" s="20">
        <f>IFERROR(VLOOKUP(D575,XPMenu!$A:$F,4,FALSE),"")</f>
        <v/>
      </c>
      <c r="L575" s="20" t="n"/>
      <c r="M575" s="20">
        <f>IF(A575="","",IF(F575&lt;&gt;"Yes",0,IF(L575&lt;&gt;"",L575,E575*K575)))</f>
        <v/>
      </c>
      <c r="N575" s="20">
        <f>IF($A575="","",$A575-WEEKDAY($A575,2)+1)</f>
        <v/>
      </c>
      <c r="O575" s="20">
        <f>IF($A575="","",TEXT($A575,"yyyy-mm"))</f>
        <v/>
      </c>
      <c r="P575" s="21">
        <f>IF($A575="","",TEXT(YEAR($A575),"0000")&amp;"-Q"&amp;ROUNDUP(MONTH($A575)/3,0))</f>
        <v/>
      </c>
    </row>
    <row r="576">
      <c r="A576" s="22" t="n"/>
      <c r="B576" s="20" t="n"/>
      <c r="C576" s="20" t="n"/>
      <c r="D576" s="20">
        <f>IFERROR(INDEX(XPMenu!$A$2:$A$1000, MATCH(C576, XPMenu!$B$2:$B$1000, 0)), "")</f>
        <v/>
      </c>
      <c r="E576" s="20" t="n"/>
      <c r="F576" s="20" t="n"/>
      <c r="G576" s="20" t="n"/>
      <c r="H576" s="20" t="n"/>
      <c r="I576" s="20">
        <f>IFERROR(VLOOKUP(D576,XPMenu!$A:$F,2,FALSE),"")</f>
        <v/>
      </c>
      <c r="J576" s="20">
        <f>IFERROR(VLOOKUP(D576,XPMenu!$A:$F,3,FALSE),"")</f>
        <v/>
      </c>
      <c r="K576" s="20">
        <f>IFERROR(VLOOKUP(D576,XPMenu!$A:$F,4,FALSE),"")</f>
        <v/>
      </c>
      <c r="L576" s="20" t="n"/>
      <c r="M576" s="20">
        <f>IF(A576="","",IF(F576&lt;&gt;"Yes",0,IF(L576&lt;&gt;"",L576,E576*K576)))</f>
        <v/>
      </c>
      <c r="N576" s="20">
        <f>IF($A576="","",$A576-WEEKDAY($A576,2)+1)</f>
        <v/>
      </c>
      <c r="O576" s="20">
        <f>IF($A576="","",TEXT($A576,"yyyy-mm"))</f>
        <v/>
      </c>
      <c r="P576" s="21">
        <f>IF($A576="","",TEXT(YEAR($A576),"0000")&amp;"-Q"&amp;ROUNDUP(MONTH($A576)/3,0))</f>
        <v/>
      </c>
    </row>
    <row r="577">
      <c r="A577" s="22" t="n"/>
      <c r="B577" s="20" t="n"/>
      <c r="C577" s="20" t="n"/>
      <c r="D577" s="20">
        <f>IFERROR(INDEX(XPMenu!$A$2:$A$1000, MATCH(C577, XPMenu!$B$2:$B$1000, 0)), "")</f>
        <v/>
      </c>
      <c r="E577" s="20" t="n"/>
      <c r="F577" s="20" t="n"/>
      <c r="G577" s="20" t="n"/>
      <c r="H577" s="20" t="n"/>
      <c r="I577" s="20">
        <f>IFERROR(VLOOKUP(D577,XPMenu!$A:$F,2,FALSE),"")</f>
        <v/>
      </c>
      <c r="J577" s="20">
        <f>IFERROR(VLOOKUP(D577,XPMenu!$A:$F,3,FALSE),"")</f>
        <v/>
      </c>
      <c r="K577" s="20">
        <f>IFERROR(VLOOKUP(D577,XPMenu!$A:$F,4,FALSE),"")</f>
        <v/>
      </c>
      <c r="L577" s="20" t="n"/>
      <c r="M577" s="20">
        <f>IF(A577="","",IF(F577&lt;&gt;"Yes",0,IF(L577&lt;&gt;"",L577,E577*K577)))</f>
        <v/>
      </c>
      <c r="N577" s="20">
        <f>IF($A577="","",$A577-WEEKDAY($A577,2)+1)</f>
        <v/>
      </c>
      <c r="O577" s="20">
        <f>IF($A577="","",TEXT($A577,"yyyy-mm"))</f>
        <v/>
      </c>
      <c r="P577" s="21">
        <f>IF($A577="","",TEXT(YEAR($A577),"0000")&amp;"-Q"&amp;ROUNDUP(MONTH($A577)/3,0))</f>
        <v/>
      </c>
    </row>
    <row r="578">
      <c r="A578" s="22" t="n"/>
      <c r="B578" s="20" t="n"/>
      <c r="C578" s="20" t="n"/>
      <c r="D578" s="20">
        <f>IFERROR(INDEX(XPMenu!$A$2:$A$1000, MATCH(C578, XPMenu!$B$2:$B$1000, 0)), "")</f>
        <v/>
      </c>
      <c r="E578" s="20" t="n"/>
      <c r="F578" s="20" t="n"/>
      <c r="G578" s="20" t="n"/>
      <c r="H578" s="20" t="n"/>
      <c r="I578" s="20">
        <f>IFERROR(VLOOKUP(D578,XPMenu!$A:$F,2,FALSE),"")</f>
        <v/>
      </c>
      <c r="J578" s="20">
        <f>IFERROR(VLOOKUP(D578,XPMenu!$A:$F,3,FALSE),"")</f>
        <v/>
      </c>
      <c r="K578" s="20">
        <f>IFERROR(VLOOKUP(D578,XPMenu!$A:$F,4,FALSE),"")</f>
        <v/>
      </c>
      <c r="L578" s="20" t="n"/>
      <c r="M578" s="20">
        <f>IF(A578="","",IF(F578&lt;&gt;"Yes",0,IF(L578&lt;&gt;"",L578,E578*K578)))</f>
        <v/>
      </c>
      <c r="N578" s="20">
        <f>IF($A578="","",$A578-WEEKDAY($A578,2)+1)</f>
        <v/>
      </c>
      <c r="O578" s="20">
        <f>IF($A578="","",TEXT($A578,"yyyy-mm"))</f>
        <v/>
      </c>
      <c r="P578" s="21">
        <f>IF($A578="","",TEXT(YEAR($A578),"0000")&amp;"-Q"&amp;ROUNDUP(MONTH($A578)/3,0))</f>
        <v/>
      </c>
    </row>
    <row r="579">
      <c r="A579" s="22" t="n"/>
      <c r="B579" s="20" t="n"/>
      <c r="C579" s="20" t="n"/>
      <c r="D579" s="20">
        <f>IFERROR(INDEX(XPMenu!$A$2:$A$1000, MATCH(C579, XPMenu!$B$2:$B$1000, 0)), "")</f>
        <v/>
      </c>
      <c r="E579" s="20" t="n"/>
      <c r="F579" s="20" t="n"/>
      <c r="G579" s="20" t="n"/>
      <c r="H579" s="20" t="n"/>
      <c r="I579" s="20">
        <f>IFERROR(VLOOKUP(D579,XPMenu!$A:$F,2,FALSE),"")</f>
        <v/>
      </c>
      <c r="J579" s="20">
        <f>IFERROR(VLOOKUP(D579,XPMenu!$A:$F,3,FALSE),"")</f>
        <v/>
      </c>
      <c r="K579" s="20">
        <f>IFERROR(VLOOKUP(D579,XPMenu!$A:$F,4,FALSE),"")</f>
        <v/>
      </c>
      <c r="L579" s="20" t="n"/>
      <c r="M579" s="20">
        <f>IF(A579="","",IF(F579&lt;&gt;"Yes",0,IF(L579&lt;&gt;"",L579,E579*K579)))</f>
        <v/>
      </c>
      <c r="N579" s="20">
        <f>IF($A579="","",$A579-WEEKDAY($A579,2)+1)</f>
        <v/>
      </c>
      <c r="O579" s="20">
        <f>IF($A579="","",TEXT($A579,"yyyy-mm"))</f>
        <v/>
      </c>
      <c r="P579" s="21">
        <f>IF($A579="","",TEXT(YEAR($A579),"0000")&amp;"-Q"&amp;ROUNDUP(MONTH($A579)/3,0))</f>
        <v/>
      </c>
    </row>
    <row r="580">
      <c r="A580" s="22" t="n"/>
      <c r="B580" s="20" t="n"/>
      <c r="C580" s="20" t="n"/>
      <c r="D580" s="20">
        <f>IFERROR(INDEX(XPMenu!$A$2:$A$1000, MATCH(C580, XPMenu!$B$2:$B$1000, 0)), "")</f>
        <v/>
      </c>
      <c r="E580" s="20" t="n"/>
      <c r="F580" s="20" t="n"/>
      <c r="G580" s="20" t="n"/>
      <c r="H580" s="20" t="n"/>
      <c r="I580" s="20">
        <f>IFERROR(VLOOKUP(D580,XPMenu!$A:$F,2,FALSE),"")</f>
        <v/>
      </c>
      <c r="J580" s="20">
        <f>IFERROR(VLOOKUP(D580,XPMenu!$A:$F,3,FALSE),"")</f>
        <v/>
      </c>
      <c r="K580" s="20">
        <f>IFERROR(VLOOKUP(D580,XPMenu!$A:$F,4,FALSE),"")</f>
        <v/>
      </c>
      <c r="L580" s="20" t="n"/>
      <c r="M580" s="20">
        <f>IF(A580="","",IF(F580&lt;&gt;"Yes",0,IF(L580&lt;&gt;"",L580,E580*K580)))</f>
        <v/>
      </c>
      <c r="N580" s="20">
        <f>IF($A580="","",$A580-WEEKDAY($A580,2)+1)</f>
        <v/>
      </c>
      <c r="O580" s="20">
        <f>IF($A580="","",TEXT($A580,"yyyy-mm"))</f>
        <v/>
      </c>
      <c r="P580" s="21">
        <f>IF($A580="","",TEXT(YEAR($A580),"0000")&amp;"-Q"&amp;ROUNDUP(MONTH($A580)/3,0))</f>
        <v/>
      </c>
    </row>
    <row r="581">
      <c r="A581" s="22" t="n"/>
      <c r="B581" s="20" t="n"/>
      <c r="C581" s="20" t="n"/>
      <c r="D581" s="20">
        <f>IFERROR(INDEX(XPMenu!$A$2:$A$1000, MATCH(C581, XPMenu!$B$2:$B$1000, 0)), "")</f>
        <v/>
      </c>
      <c r="E581" s="20" t="n"/>
      <c r="F581" s="20" t="n"/>
      <c r="G581" s="20" t="n"/>
      <c r="H581" s="20" t="n"/>
      <c r="I581" s="20">
        <f>IFERROR(VLOOKUP(D581,XPMenu!$A:$F,2,FALSE),"")</f>
        <v/>
      </c>
      <c r="J581" s="20">
        <f>IFERROR(VLOOKUP(D581,XPMenu!$A:$F,3,FALSE),"")</f>
        <v/>
      </c>
      <c r="K581" s="20">
        <f>IFERROR(VLOOKUP(D581,XPMenu!$A:$F,4,FALSE),"")</f>
        <v/>
      </c>
      <c r="L581" s="20" t="n"/>
      <c r="M581" s="20">
        <f>IF(A581="","",IF(F581&lt;&gt;"Yes",0,IF(L581&lt;&gt;"",L581,E581*K581)))</f>
        <v/>
      </c>
      <c r="N581" s="20">
        <f>IF($A581="","",$A581-WEEKDAY($A581,2)+1)</f>
        <v/>
      </c>
      <c r="O581" s="20">
        <f>IF($A581="","",TEXT($A581,"yyyy-mm"))</f>
        <v/>
      </c>
      <c r="P581" s="21">
        <f>IF($A581="","",TEXT(YEAR($A581),"0000")&amp;"-Q"&amp;ROUNDUP(MONTH($A581)/3,0))</f>
        <v/>
      </c>
    </row>
    <row r="582">
      <c r="A582" s="22" t="n"/>
      <c r="B582" s="20" t="n"/>
      <c r="C582" s="20" t="n"/>
      <c r="D582" s="20">
        <f>IFERROR(INDEX(XPMenu!$A$2:$A$1000, MATCH(C582, XPMenu!$B$2:$B$1000, 0)), "")</f>
        <v/>
      </c>
      <c r="E582" s="20" t="n"/>
      <c r="F582" s="20" t="n"/>
      <c r="G582" s="20" t="n"/>
      <c r="H582" s="20" t="n"/>
      <c r="I582" s="20">
        <f>IFERROR(VLOOKUP(D582,XPMenu!$A:$F,2,FALSE),"")</f>
        <v/>
      </c>
      <c r="J582" s="20">
        <f>IFERROR(VLOOKUP(D582,XPMenu!$A:$F,3,FALSE),"")</f>
        <v/>
      </c>
      <c r="K582" s="20">
        <f>IFERROR(VLOOKUP(D582,XPMenu!$A:$F,4,FALSE),"")</f>
        <v/>
      </c>
      <c r="L582" s="20" t="n"/>
      <c r="M582" s="20">
        <f>IF(A582="","",IF(F582&lt;&gt;"Yes",0,IF(L582&lt;&gt;"",L582,E582*K582)))</f>
        <v/>
      </c>
      <c r="N582" s="20">
        <f>IF($A582="","",$A582-WEEKDAY($A582,2)+1)</f>
        <v/>
      </c>
      <c r="O582" s="20">
        <f>IF($A582="","",TEXT($A582,"yyyy-mm"))</f>
        <v/>
      </c>
      <c r="P582" s="21">
        <f>IF($A582="","",TEXT(YEAR($A582),"0000")&amp;"-Q"&amp;ROUNDUP(MONTH($A582)/3,0))</f>
        <v/>
      </c>
    </row>
    <row r="583">
      <c r="A583" s="22" t="n"/>
      <c r="B583" s="20" t="n"/>
      <c r="C583" s="20" t="n"/>
      <c r="D583" s="20">
        <f>IFERROR(INDEX(XPMenu!$A$2:$A$1000, MATCH(C583, XPMenu!$B$2:$B$1000, 0)), "")</f>
        <v/>
      </c>
      <c r="E583" s="20" t="n"/>
      <c r="F583" s="20" t="n"/>
      <c r="G583" s="20" t="n"/>
      <c r="H583" s="20" t="n"/>
      <c r="I583" s="20">
        <f>IFERROR(VLOOKUP(D583,XPMenu!$A:$F,2,FALSE),"")</f>
        <v/>
      </c>
      <c r="J583" s="20">
        <f>IFERROR(VLOOKUP(D583,XPMenu!$A:$F,3,FALSE),"")</f>
        <v/>
      </c>
      <c r="K583" s="20">
        <f>IFERROR(VLOOKUP(D583,XPMenu!$A:$F,4,FALSE),"")</f>
        <v/>
      </c>
      <c r="L583" s="20" t="n"/>
      <c r="M583" s="20">
        <f>IF(A583="","",IF(F583&lt;&gt;"Yes",0,IF(L583&lt;&gt;"",L583,E583*K583)))</f>
        <v/>
      </c>
      <c r="N583" s="20">
        <f>IF($A583="","",$A583-WEEKDAY($A583,2)+1)</f>
        <v/>
      </c>
      <c r="O583" s="20">
        <f>IF($A583="","",TEXT($A583,"yyyy-mm"))</f>
        <v/>
      </c>
      <c r="P583" s="21">
        <f>IF($A583="","",TEXT(YEAR($A583),"0000")&amp;"-Q"&amp;ROUNDUP(MONTH($A583)/3,0))</f>
        <v/>
      </c>
    </row>
    <row r="584">
      <c r="A584" s="22" t="n"/>
      <c r="B584" s="20" t="n"/>
      <c r="C584" s="20" t="n"/>
      <c r="D584" s="20">
        <f>IFERROR(INDEX(XPMenu!$A$2:$A$1000, MATCH(C584, XPMenu!$B$2:$B$1000, 0)), "")</f>
        <v/>
      </c>
      <c r="E584" s="20" t="n"/>
      <c r="F584" s="20" t="n"/>
      <c r="G584" s="20" t="n"/>
      <c r="H584" s="20" t="n"/>
      <c r="I584" s="20">
        <f>IFERROR(VLOOKUP(D584,XPMenu!$A:$F,2,FALSE),"")</f>
        <v/>
      </c>
      <c r="J584" s="20">
        <f>IFERROR(VLOOKUP(D584,XPMenu!$A:$F,3,FALSE),"")</f>
        <v/>
      </c>
      <c r="K584" s="20">
        <f>IFERROR(VLOOKUP(D584,XPMenu!$A:$F,4,FALSE),"")</f>
        <v/>
      </c>
      <c r="L584" s="20" t="n"/>
      <c r="M584" s="20">
        <f>IF(A584="","",IF(F584&lt;&gt;"Yes",0,IF(L584&lt;&gt;"",L584,E584*K584)))</f>
        <v/>
      </c>
      <c r="N584" s="20">
        <f>IF($A584="","",$A584-WEEKDAY($A584,2)+1)</f>
        <v/>
      </c>
      <c r="O584" s="20">
        <f>IF($A584="","",TEXT($A584,"yyyy-mm"))</f>
        <v/>
      </c>
      <c r="P584" s="21">
        <f>IF($A584="","",TEXT(YEAR($A584),"0000")&amp;"-Q"&amp;ROUNDUP(MONTH($A584)/3,0))</f>
        <v/>
      </c>
    </row>
    <row r="585">
      <c r="A585" s="22" t="n"/>
      <c r="B585" s="20" t="n"/>
      <c r="C585" s="20" t="n"/>
      <c r="D585" s="20">
        <f>IFERROR(INDEX(XPMenu!$A$2:$A$1000, MATCH(C585, XPMenu!$B$2:$B$1000, 0)), "")</f>
        <v/>
      </c>
      <c r="E585" s="20" t="n"/>
      <c r="F585" s="20" t="n"/>
      <c r="G585" s="20" t="n"/>
      <c r="H585" s="20" t="n"/>
      <c r="I585" s="20">
        <f>IFERROR(VLOOKUP(D585,XPMenu!$A:$F,2,FALSE),"")</f>
        <v/>
      </c>
      <c r="J585" s="20">
        <f>IFERROR(VLOOKUP(D585,XPMenu!$A:$F,3,FALSE),"")</f>
        <v/>
      </c>
      <c r="K585" s="20">
        <f>IFERROR(VLOOKUP(D585,XPMenu!$A:$F,4,FALSE),"")</f>
        <v/>
      </c>
      <c r="L585" s="20" t="n"/>
      <c r="M585" s="20">
        <f>IF(A585="","",IF(F585&lt;&gt;"Yes",0,IF(L585&lt;&gt;"",L585,E585*K585)))</f>
        <v/>
      </c>
      <c r="N585" s="20">
        <f>IF($A585="","",$A585-WEEKDAY($A585,2)+1)</f>
        <v/>
      </c>
      <c r="O585" s="20">
        <f>IF($A585="","",TEXT($A585,"yyyy-mm"))</f>
        <v/>
      </c>
      <c r="P585" s="21">
        <f>IF($A585="","",TEXT(YEAR($A585),"0000")&amp;"-Q"&amp;ROUNDUP(MONTH($A585)/3,0))</f>
        <v/>
      </c>
    </row>
    <row r="586">
      <c r="A586" s="22" t="n"/>
      <c r="B586" s="20" t="n"/>
      <c r="C586" s="20" t="n"/>
      <c r="D586" s="20">
        <f>IFERROR(INDEX(XPMenu!$A$2:$A$1000, MATCH(C586, XPMenu!$B$2:$B$1000, 0)), "")</f>
        <v/>
      </c>
      <c r="E586" s="20" t="n"/>
      <c r="F586" s="20" t="n"/>
      <c r="G586" s="20" t="n"/>
      <c r="H586" s="20" t="n"/>
      <c r="I586" s="20">
        <f>IFERROR(VLOOKUP(D586,XPMenu!$A:$F,2,FALSE),"")</f>
        <v/>
      </c>
      <c r="J586" s="20">
        <f>IFERROR(VLOOKUP(D586,XPMenu!$A:$F,3,FALSE),"")</f>
        <v/>
      </c>
      <c r="K586" s="20">
        <f>IFERROR(VLOOKUP(D586,XPMenu!$A:$F,4,FALSE),"")</f>
        <v/>
      </c>
      <c r="L586" s="20" t="n"/>
      <c r="M586" s="20">
        <f>IF(A586="","",IF(F586&lt;&gt;"Yes",0,IF(L586&lt;&gt;"",L586,E586*K586)))</f>
        <v/>
      </c>
      <c r="N586" s="20">
        <f>IF($A586="","",$A586-WEEKDAY($A586,2)+1)</f>
        <v/>
      </c>
      <c r="O586" s="20">
        <f>IF($A586="","",TEXT($A586,"yyyy-mm"))</f>
        <v/>
      </c>
      <c r="P586" s="21">
        <f>IF($A586="","",TEXT(YEAR($A586),"0000")&amp;"-Q"&amp;ROUNDUP(MONTH($A586)/3,0))</f>
        <v/>
      </c>
    </row>
    <row r="587">
      <c r="A587" s="22" t="n"/>
      <c r="B587" s="20" t="n"/>
      <c r="C587" s="20" t="n"/>
      <c r="D587" s="20">
        <f>IFERROR(INDEX(XPMenu!$A$2:$A$1000, MATCH(C587, XPMenu!$B$2:$B$1000, 0)), "")</f>
        <v/>
      </c>
      <c r="E587" s="20" t="n"/>
      <c r="F587" s="20" t="n"/>
      <c r="G587" s="20" t="n"/>
      <c r="H587" s="20" t="n"/>
      <c r="I587" s="20">
        <f>IFERROR(VLOOKUP(D587,XPMenu!$A:$F,2,FALSE),"")</f>
        <v/>
      </c>
      <c r="J587" s="20">
        <f>IFERROR(VLOOKUP(D587,XPMenu!$A:$F,3,FALSE),"")</f>
        <v/>
      </c>
      <c r="K587" s="20">
        <f>IFERROR(VLOOKUP(D587,XPMenu!$A:$F,4,FALSE),"")</f>
        <v/>
      </c>
      <c r="L587" s="20" t="n"/>
      <c r="M587" s="20">
        <f>IF(A587="","",IF(F587&lt;&gt;"Yes",0,IF(L587&lt;&gt;"",L587,E587*K587)))</f>
        <v/>
      </c>
      <c r="N587" s="20">
        <f>IF($A587="","",$A587-WEEKDAY($A587,2)+1)</f>
        <v/>
      </c>
      <c r="O587" s="20">
        <f>IF($A587="","",TEXT($A587,"yyyy-mm"))</f>
        <v/>
      </c>
      <c r="P587" s="21">
        <f>IF($A587="","",TEXT(YEAR($A587),"0000")&amp;"-Q"&amp;ROUNDUP(MONTH($A587)/3,0))</f>
        <v/>
      </c>
    </row>
    <row r="588">
      <c r="A588" s="22" t="n"/>
      <c r="B588" s="20" t="n"/>
      <c r="C588" s="20" t="n"/>
      <c r="D588" s="20">
        <f>IFERROR(INDEX(XPMenu!$A$2:$A$1000, MATCH(C588, XPMenu!$B$2:$B$1000, 0)), "")</f>
        <v/>
      </c>
      <c r="E588" s="20" t="n"/>
      <c r="F588" s="20" t="n"/>
      <c r="G588" s="20" t="n"/>
      <c r="H588" s="20" t="n"/>
      <c r="I588" s="20">
        <f>IFERROR(VLOOKUP(D588,XPMenu!$A:$F,2,FALSE),"")</f>
        <v/>
      </c>
      <c r="J588" s="20">
        <f>IFERROR(VLOOKUP(D588,XPMenu!$A:$F,3,FALSE),"")</f>
        <v/>
      </c>
      <c r="K588" s="20">
        <f>IFERROR(VLOOKUP(D588,XPMenu!$A:$F,4,FALSE),"")</f>
        <v/>
      </c>
      <c r="L588" s="20" t="n"/>
      <c r="M588" s="20">
        <f>IF(A588="","",IF(F588&lt;&gt;"Yes",0,IF(L588&lt;&gt;"",L588,E588*K588)))</f>
        <v/>
      </c>
      <c r="N588" s="20">
        <f>IF($A588="","",$A588-WEEKDAY($A588,2)+1)</f>
        <v/>
      </c>
      <c r="O588" s="20">
        <f>IF($A588="","",TEXT($A588,"yyyy-mm"))</f>
        <v/>
      </c>
      <c r="P588" s="21">
        <f>IF($A588="","",TEXT(YEAR($A588),"0000")&amp;"-Q"&amp;ROUNDUP(MONTH($A588)/3,0))</f>
        <v/>
      </c>
    </row>
    <row r="589">
      <c r="A589" s="22" t="n"/>
      <c r="B589" s="20" t="n"/>
      <c r="C589" s="20" t="n"/>
      <c r="D589" s="20">
        <f>IFERROR(INDEX(XPMenu!$A$2:$A$1000, MATCH(C589, XPMenu!$B$2:$B$1000, 0)), "")</f>
        <v/>
      </c>
      <c r="E589" s="20" t="n"/>
      <c r="F589" s="20" t="n"/>
      <c r="G589" s="20" t="n"/>
      <c r="H589" s="20" t="n"/>
      <c r="I589" s="20">
        <f>IFERROR(VLOOKUP(D589,XPMenu!$A:$F,2,FALSE),"")</f>
        <v/>
      </c>
      <c r="J589" s="20">
        <f>IFERROR(VLOOKUP(D589,XPMenu!$A:$F,3,FALSE),"")</f>
        <v/>
      </c>
      <c r="K589" s="20">
        <f>IFERROR(VLOOKUP(D589,XPMenu!$A:$F,4,FALSE),"")</f>
        <v/>
      </c>
      <c r="L589" s="20" t="n"/>
      <c r="M589" s="20">
        <f>IF(A589="","",IF(F589&lt;&gt;"Yes",0,IF(L589&lt;&gt;"",L589,E589*K589)))</f>
        <v/>
      </c>
      <c r="N589" s="20">
        <f>IF($A589="","",$A589-WEEKDAY($A589,2)+1)</f>
        <v/>
      </c>
      <c r="O589" s="20">
        <f>IF($A589="","",TEXT($A589,"yyyy-mm"))</f>
        <v/>
      </c>
      <c r="P589" s="21">
        <f>IF($A589="","",TEXT(YEAR($A589),"0000")&amp;"-Q"&amp;ROUNDUP(MONTH($A589)/3,0))</f>
        <v/>
      </c>
    </row>
    <row r="590">
      <c r="A590" s="22" t="n"/>
      <c r="B590" s="20" t="n"/>
      <c r="C590" s="20" t="n"/>
      <c r="D590" s="20">
        <f>IFERROR(INDEX(XPMenu!$A$2:$A$1000, MATCH(C590, XPMenu!$B$2:$B$1000, 0)), "")</f>
        <v/>
      </c>
      <c r="E590" s="20" t="n"/>
      <c r="F590" s="20" t="n"/>
      <c r="G590" s="20" t="n"/>
      <c r="H590" s="20" t="n"/>
      <c r="I590" s="20">
        <f>IFERROR(VLOOKUP(D590,XPMenu!$A:$F,2,FALSE),"")</f>
        <v/>
      </c>
      <c r="J590" s="20">
        <f>IFERROR(VLOOKUP(D590,XPMenu!$A:$F,3,FALSE),"")</f>
        <v/>
      </c>
      <c r="K590" s="20">
        <f>IFERROR(VLOOKUP(D590,XPMenu!$A:$F,4,FALSE),"")</f>
        <v/>
      </c>
      <c r="L590" s="20" t="n"/>
      <c r="M590" s="20">
        <f>IF(A590="","",IF(F590&lt;&gt;"Yes",0,IF(L590&lt;&gt;"",L590,E590*K590)))</f>
        <v/>
      </c>
      <c r="N590" s="20">
        <f>IF($A590="","",$A590-WEEKDAY($A590,2)+1)</f>
        <v/>
      </c>
      <c r="O590" s="20">
        <f>IF($A590="","",TEXT($A590,"yyyy-mm"))</f>
        <v/>
      </c>
      <c r="P590" s="21">
        <f>IF($A590="","",TEXT(YEAR($A590),"0000")&amp;"-Q"&amp;ROUNDUP(MONTH($A590)/3,0))</f>
        <v/>
      </c>
    </row>
    <row r="591">
      <c r="A591" s="22" t="n"/>
      <c r="B591" s="20" t="n"/>
      <c r="C591" s="20" t="n"/>
      <c r="D591" s="20">
        <f>IFERROR(INDEX(XPMenu!$A$2:$A$1000, MATCH(C591, XPMenu!$B$2:$B$1000, 0)), "")</f>
        <v/>
      </c>
      <c r="E591" s="20" t="n"/>
      <c r="F591" s="20" t="n"/>
      <c r="G591" s="20" t="n"/>
      <c r="H591" s="20" t="n"/>
      <c r="I591" s="20">
        <f>IFERROR(VLOOKUP(D591,XPMenu!$A:$F,2,FALSE),"")</f>
        <v/>
      </c>
      <c r="J591" s="20">
        <f>IFERROR(VLOOKUP(D591,XPMenu!$A:$F,3,FALSE),"")</f>
        <v/>
      </c>
      <c r="K591" s="20">
        <f>IFERROR(VLOOKUP(D591,XPMenu!$A:$F,4,FALSE),"")</f>
        <v/>
      </c>
      <c r="L591" s="20" t="n"/>
      <c r="M591" s="20">
        <f>IF(A591="","",IF(F591&lt;&gt;"Yes",0,IF(L591&lt;&gt;"",L591,E591*K591)))</f>
        <v/>
      </c>
      <c r="N591" s="20">
        <f>IF($A591="","",$A591-WEEKDAY($A591,2)+1)</f>
        <v/>
      </c>
      <c r="O591" s="20">
        <f>IF($A591="","",TEXT($A591,"yyyy-mm"))</f>
        <v/>
      </c>
      <c r="P591" s="21">
        <f>IF($A591="","",TEXT(YEAR($A591),"0000")&amp;"-Q"&amp;ROUNDUP(MONTH($A591)/3,0))</f>
        <v/>
      </c>
    </row>
    <row r="592">
      <c r="A592" s="22" t="n"/>
      <c r="B592" s="20" t="n"/>
      <c r="C592" s="20" t="n"/>
      <c r="D592" s="20">
        <f>IFERROR(INDEX(XPMenu!$A$2:$A$1000, MATCH(C592, XPMenu!$B$2:$B$1000, 0)), "")</f>
        <v/>
      </c>
      <c r="E592" s="20" t="n"/>
      <c r="F592" s="20" t="n"/>
      <c r="G592" s="20" t="n"/>
      <c r="H592" s="20" t="n"/>
      <c r="I592" s="20">
        <f>IFERROR(VLOOKUP(D592,XPMenu!$A:$F,2,FALSE),"")</f>
        <v/>
      </c>
      <c r="J592" s="20">
        <f>IFERROR(VLOOKUP(D592,XPMenu!$A:$F,3,FALSE),"")</f>
        <v/>
      </c>
      <c r="K592" s="20">
        <f>IFERROR(VLOOKUP(D592,XPMenu!$A:$F,4,FALSE),"")</f>
        <v/>
      </c>
      <c r="L592" s="20" t="n"/>
      <c r="M592" s="20">
        <f>IF(A592="","",IF(F592&lt;&gt;"Yes",0,IF(L592&lt;&gt;"",L592,E592*K592)))</f>
        <v/>
      </c>
      <c r="N592" s="20">
        <f>IF($A592="","",$A592-WEEKDAY($A592,2)+1)</f>
        <v/>
      </c>
      <c r="O592" s="20">
        <f>IF($A592="","",TEXT($A592,"yyyy-mm"))</f>
        <v/>
      </c>
      <c r="P592" s="21">
        <f>IF($A592="","",TEXT(YEAR($A592),"0000")&amp;"-Q"&amp;ROUNDUP(MONTH($A592)/3,0))</f>
        <v/>
      </c>
    </row>
    <row r="593">
      <c r="A593" s="22" t="n"/>
      <c r="B593" s="20" t="n"/>
      <c r="C593" s="20" t="n"/>
      <c r="D593" s="20">
        <f>IFERROR(INDEX(XPMenu!$A$2:$A$1000, MATCH(C593, XPMenu!$B$2:$B$1000, 0)), "")</f>
        <v/>
      </c>
      <c r="E593" s="20" t="n"/>
      <c r="F593" s="20" t="n"/>
      <c r="G593" s="20" t="n"/>
      <c r="H593" s="20" t="n"/>
      <c r="I593" s="20">
        <f>IFERROR(VLOOKUP(D593,XPMenu!$A:$F,2,FALSE),"")</f>
        <v/>
      </c>
      <c r="J593" s="20">
        <f>IFERROR(VLOOKUP(D593,XPMenu!$A:$F,3,FALSE),"")</f>
        <v/>
      </c>
      <c r="K593" s="20">
        <f>IFERROR(VLOOKUP(D593,XPMenu!$A:$F,4,FALSE),"")</f>
        <v/>
      </c>
      <c r="L593" s="20" t="n"/>
      <c r="M593" s="20">
        <f>IF(A593="","",IF(F593&lt;&gt;"Yes",0,IF(L593&lt;&gt;"",L593,E593*K593)))</f>
        <v/>
      </c>
      <c r="N593" s="20">
        <f>IF($A593="","",$A593-WEEKDAY($A593,2)+1)</f>
        <v/>
      </c>
      <c r="O593" s="20">
        <f>IF($A593="","",TEXT($A593,"yyyy-mm"))</f>
        <v/>
      </c>
      <c r="P593" s="21">
        <f>IF($A593="","",TEXT(YEAR($A593),"0000")&amp;"-Q"&amp;ROUNDUP(MONTH($A593)/3,0))</f>
        <v/>
      </c>
    </row>
    <row r="594">
      <c r="A594" s="22" t="n"/>
      <c r="B594" s="20" t="n"/>
      <c r="C594" s="20" t="n"/>
      <c r="D594" s="20">
        <f>IFERROR(INDEX(XPMenu!$A$2:$A$1000, MATCH(C594, XPMenu!$B$2:$B$1000, 0)), "")</f>
        <v/>
      </c>
      <c r="E594" s="20" t="n"/>
      <c r="F594" s="20" t="n"/>
      <c r="G594" s="20" t="n"/>
      <c r="H594" s="20" t="n"/>
      <c r="I594" s="20">
        <f>IFERROR(VLOOKUP(D594,XPMenu!$A:$F,2,FALSE),"")</f>
        <v/>
      </c>
      <c r="J594" s="20">
        <f>IFERROR(VLOOKUP(D594,XPMenu!$A:$F,3,FALSE),"")</f>
        <v/>
      </c>
      <c r="K594" s="20">
        <f>IFERROR(VLOOKUP(D594,XPMenu!$A:$F,4,FALSE),"")</f>
        <v/>
      </c>
      <c r="L594" s="20" t="n"/>
      <c r="M594" s="20">
        <f>IF(A594="","",IF(F594&lt;&gt;"Yes",0,IF(L594&lt;&gt;"",L594,E594*K594)))</f>
        <v/>
      </c>
      <c r="N594" s="20">
        <f>IF($A594="","",$A594-WEEKDAY($A594,2)+1)</f>
        <v/>
      </c>
      <c r="O594" s="20">
        <f>IF($A594="","",TEXT($A594,"yyyy-mm"))</f>
        <v/>
      </c>
      <c r="P594" s="21">
        <f>IF($A594="","",TEXT(YEAR($A594),"0000")&amp;"-Q"&amp;ROUNDUP(MONTH($A594)/3,0))</f>
        <v/>
      </c>
    </row>
    <row r="595">
      <c r="A595" s="22" t="n"/>
      <c r="B595" s="20" t="n"/>
      <c r="C595" s="20" t="n"/>
      <c r="D595" s="20">
        <f>IFERROR(INDEX(XPMenu!$A$2:$A$1000, MATCH(C595, XPMenu!$B$2:$B$1000, 0)), "")</f>
        <v/>
      </c>
      <c r="E595" s="20" t="n"/>
      <c r="F595" s="20" t="n"/>
      <c r="G595" s="20" t="n"/>
      <c r="H595" s="20" t="n"/>
      <c r="I595" s="20">
        <f>IFERROR(VLOOKUP(D595,XPMenu!$A:$F,2,FALSE),"")</f>
        <v/>
      </c>
      <c r="J595" s="20">
        <f>IFERROR(VLOOKUP(D595,XPMenu!$A:$F,3,FALSE),"")</f>
        <v/>
      </c>
      <c r="K595" s="20">
        <f>IFERROR(VLOOKUP(D595,XPMenu!$A:$F,4,FALSE),"")</f>
        <v/>
      </c>
      <c r="L595" s="20" t="n"/>
      <c r="M595" s="20">
        <f>IF(A595="","",IF(F595&lt;&gt;"Yes",0,IF(L595&lt;&gt;"",L595,E595*K595)))</f>
        <v/>
      </c>
      <c r="N595" s="20">
        <f>IF($A595="","",$A595-WEEKDAY($A595,2)+1)</f>
        <v/>
      </c>
      <c r="O595" s="20">
        <f>IF($A595="","",TEXT($A595,"yyyy-mm"))</f>
        <v/>
      </c>
      <c r="P595" s="21">
        <f>IF($A595="","",TEXT(YEAR($A595),"0000")&amp;"-Q"&amp;ROUNDUP(MONTH($A595)/3,0))</f>
        <v/>
      </c>
    </row>
    <row r="596">
      <c r="A596" s="22" t="n"/>
      <c r="B596" s="20" t="n"/>
      <c r="C596" s="20" t="n"/>
      <c r="D596" s="20">
        <f>IFERROR(INDEX(XPMenu!$A$2:$A$1000, MATCH(C596, XPMenu!$B$2:$B$1000, 0)), "")</f>
        <v/>
      </c>
      <c r="E596" s="20" t="n"/>
      <c r="F596" s="20" t="n"/>
      <c r="G596" s="20" t="n"/>
      <c r="H596" s="20" t="n"/>
      <c r="I596" s="20">
        <f>IFERROR(VLOOKUP(D596,XPMenu!$A:$F,2,FALSE),"")</f>
        <v/>
      </c>
      <c r="J596" s="20">
        <f>IFERROR(VLOOKUP(D596,XPMenu!$A:$F,3,FALSE),"")</f>
        <v/>
      </c>
      <c r="K596" s="20">
        <f>IFERROR(VLOOKUP(D596,XPMenu!$A:$F,4,FALSE),"")</f>
        <v/>
      </c>
      <c r="L596" s="20" t="n"/>
      <c r="M596" s="20">
        <f>IF(A596="","",IF(F596&lt;&gt;"Yes",0,IF(L596&lt;&gt;"",L596,E596*K596)))</f>
        <v/>
      </c>
      <c r="N596" s="20">
        <f>IF($A596="","",$A596-WEEKDAY($A596,2)+1)</f>
        <v/>
      </c>
      <c r="O596" s="20">
        <f>IF($A596="","",TEXT($A596,"yyyy-mm"))</f>
        <v/>
      </c>
      <c r="P596" s="21">
        <f>IF($A596="","",TEXT(YEAR($A596),"0000")&amp;"-Q"&amp;ROUNDUP(MONTH($A596)/3,0))</f>
        <v/>
      </c>
    </row>
    <row r="597">
      <c r="A597" s="22" t="n"/>
      <c r="B597" s="20" t="n"/>
      <c r="C597" s="20" t="n"/>
      <c r="D597" s="20">
        <f>IFERROR(INDEX(XPMenu!$A$2:$A$1000, MATCH(C597, XPMenu!$B$2:$B$1000, 0)), "")</f>
        <v/>
      </c>
      <c r="E597" s="20" t="n"/>
      <c r="F597" s="20" t="n"/>
      <c r="G597" s="20" t="n"/>
      <c r="H597" s="20" t="n"/>
      <c r="I597" s="20">
        <f>IFERROR(VLOOKUP(D597,XPMenu!$A:$F,2,FALSE),"")</f>
        <v/>
      </c>
      <c r="J597" s="20">
        <f>IFERROR(VLOOKUP(D597,XPMenu!$A:$F,3,FALSE),"")</f>
        <v/>
      </c>
      <c r="K597" s="20">
        <f>IFERROR(VLOOKUP(D597,XPMenu!$A:$F,4,FALSE),"")</f>
        <v/>
      </c>
      <c r="L597" s="20" t="n"/>
      <c r="M597" s="20">
        <f>IF(A597="","",IF(F597&lt;&gt;"Yes",0,IF(L597&lt;&gt;"",L597,E597*K597)))</f>
        <v/>
      </c>
      <c r="N597" s="20">
        <f>IF($A597="","",$A597-WEEKDAY($A597,2)+1)</f>
        <v/>
      </c>
      <c r="O597" s="20">
        <f>IF($A597="","",TEXT($A597,"yyyy-mm"))</f>
        <v/>
      </c>
      <c r="P597" s="21">
        <f>IF($A597="","",TEXT(YEAR($A597),"0000")&amp;"-Q"&amp;ROUNDUP(MONTH($A597)/3,0))</f>
        <v/>
      </c>
    </row>
    <row r="598">
      <c r="A598" s="22" t="n"/>
      <c r="B598" s="20" t="n"/>
      <c r="C598" s="20" t="n"/>
      <c r="D598" s="20">
        <f>IFERROR(INDEX(XPMenu!$A$2:$A$1000, MATCH(C598, XPMenu!$B$2:$B$1000, 0)), "")</f>
        <v/>
      </c>
      <c r="E598" s="20" t="n"/>
      <c r="F598" s="20" t="n"/>
      <c r="G598" s="20" t="n"/>
      <c r="H598" s="20" t="n"/>
      <c r="I598" s="20">
        <f>IFERROR(VLOOKUP(D598,XPMenu!$A:$F,2,FALSE),"")</f>
        <v/>
      </c>
      <c r="J598" s="20">
        <f>IFERROR(VLOOKUP(D598,XPMenu!$A:$F,3,FALSE),"")</f>
        <v/>
      </c>
      <c r="K598" s="20">
        <f>IFERROR(VLOOKUP(D598,XPMenu!$A:$F,4,FALSE),"")</f>
        <v/>
      </c>
      <c r="L598" s="20" t="n"/>
      <c r="M598" s="20">
        <f>IF(A598="","",IF(F598&lt;&gt;"Yes",0,IF(L598&lt;&gt;"",L598,E598*K598)))</f>
        <v/>
      </c>
      <c r="N598" s="20">
        <f>IF($A598="","",$A598-WEEKDAY($A598,2)+1)</f>
        <v/>
      </c>
      <c r="O598" s="20">
        <f>IF($A598="","",TEXT($A598,"yyyy-mm"))</f>
        <v/>
      </c>
      <c r="P598" s="21">
        <f>IF($A598="","",TEXT(YEAR($A598),"0000")&amp;"-Q"&amp;ROUNDUP(MONTH($A598)/3,0))</f>
        <v/>
      </c>
    </row>
    <row r="599">
      <c r="A599" s="22" t="n"/>
      <c r="B599" s="20" t="n"/>
      <c r="C599" s="20" t="n"/>
      <c r="D599" s="20">
        <f>IFERROR(INDEX(XPMenu!$A$2:$A$1000, MATCH(C599, XPMenu!$B$2:$B$1000, 0)), "")</f>
        <v/>
      </c>
      <c r="E599" s="20" t="n"/>
      <c r="F599" s="20" t="n"/>
      <c r="G599" s="20" t="n"/>
      <c r="H599" s="20" t="n"/>
      <c r="I599" s="20">
        <f>IFERROR(VLOOKUP(D599,XPMenu!$A:$F,2,FALSE),"")</f>
        <v/>
      </c>
      <c r="J599" s="20">
        <f>IFERROR(VLOOKUP(D599,XPMenu!$A:$F,3,FALSE),"")</f>
        <v/>
      </c>
      <c r="K599" s="20">
        <f>IFERROR(VLOOKUP(D599,XPMenu!$A:$F,4,FALSE),"")</f>
        <v/>
      </c>
      <c r="L599" s="20" t="n"/>
      <c r="M599" s="20">
        <f>IF(A599="","",IF(F599&lt;&gt;"Yes",0,IF(L599&lt;&gt;"",L599,E599*K599)))</f>
        <v/>
      </c>
      <c r="N599" s="20">
        <f>IF($A599="","",$A599-WEEKDAY($A599,2)+1)</f>
        <v/>
      </c>
      <c r="O599" s="20">
        <f>IF($A599="","",TEXT($A599,"yyyy-mm"))</f>
        <v/>
      </c>
      <c r="P599" s="21">
        <f>IF($A599="","",TEXT(YEAR($A599),"0000")&amp;"-Q"&amp;ROUNDUP(MONTH($A599)/3,0))</f>
        <v/>
      </c>
    </row>
    <row r="600">
      <c r="A600" s="22" t="n"/>
      <c r="B600" s="20" t="n"/>
      <c r="C600" s="20" t="n"/>
      <c r="D600" s="20">
        <f>IFERROR(INDEX(XPMenu!$A$2:$A$1000, MATCH(C600, XPMenu!$B$2:$B$1000, 0)), "")</f>
        <v/>
      </c>
      <c r="E600" s="20" t="n"/>
      <c r="F600" s="20" t="n"/>
      <c r="G600" s="20" t="n"/>
      <c r="H600" s="20" t="n"/>
      <c r="I600" s="20">
        <f>IFERROR(VLOOKUP(D600,XPMenu!$A:$F,2,FALSE),"")</f>
        <v/>
      </c>
      <c r="J600" s="20">
        <f>IFERROR(VLOOKUP(D600,XPMenu!$A:$F,3,FALSE),"")</f>
        <v/>
      </c>
      <c r="K600" s="20">
        <f>IFERROR(VLOOKUP(D600,XPMenu!$A:$F,4,FALSE),"")</f>
        <v/>
      </c>
      <c r="L600" s="20" t="n"/>
      <c r="M600" s="20">
        <f>IF(A600="","",IF(F600&lt;&gt;"Yes",0,IF(L600&lt;&gt;"",L600,E600*K600)))</f>
        <v/>
      </c>
      <c r="N600" s="20">
        <f>IF($A600="","",$A600-WEEKDAY($A600,2)+1)</f>
        <v/>
      </c>
      <c r="O600" s="20">
        <f>IF($A600="","",TEXT($A600,"yyyy-mm"))</f>
        <v/>
      </c>
      <c r="P600" s="21">
        <f>IF($A600="","",TEXT(YEAR($A600),"0000")&amp;"-Q"&amp;ROUNDUP(MONTH($A600)/3,0))</f>
        <v/>
      </c>
    </row>
    <row r="601">
      <c r="A601" s="22" t="n"/>
      <c r="B601" s="20" t="n"/>
      <c r="C601" s="20" t="n"/>
      <c r="D601" s="20">
        <f>IFERROR(INDEX(XPMenu!$A$2:$A$1000, MATCH(C601, XPMenu!$B$2:$B$1000, 0)), "")</f>
        <v/>
      </c>
      <c r="E601" s="20" t="n"/>
      <c r="F601" s="20" t="n"/>
      <c r="G601" s="20" t="n"/>
      <c r="H601" s="20" t="n"/>
      <c r="I601" s="20">
        <f>IFERROR(VLOOKUP(D601,XPMenu!$A:$F,2,FALSE),"")</f>
        <v/>
      </c>
      <c r="J601" s="20">
        <f>IFERROR(VLOOKUP(D601,XPMenu!$A:$F,3,FALSE),"")</f>
        <v/>
      </c>
      <c r="K601" s="20">
        <f>IFERROR(VLOOKUP(D601,XPMenu!$A:$F,4,FALSE),"")</f>
        <v/>
      </c>
      <c r="L601" s="20" t="n"/>
      <c r="M601" s="20">
        <f>IF(A601="","",IF(F601&lt;&gt;"Yes",0,IF(L601&lt;&gt;"",L601,E601*K601)))</f>
        <v/>
      </c>
      <c r="N601" s="20">
        <f>IF($A601="","",$A601-WEEKDAY($A601,2)+1)</f>
        <v/>
      </c>
      <c r="O601" s="20">
        <f>IF($A601="","",TEXT($A601,"yyyy-mm"))</f>
        <v/>
      </c>
      <c r="P601" s="21">
        <f>IF($A601="","",TEXT(YEAR($A601),"0000")&amp;"-Q"&amp;ROUNDUP(MONTH($A601)/3,0))</f>
        <v/>
      </c>
    </row>
    <row r="602">
      <c r="A602" s="22" t="n"/>
      <c r="B602" s="20" t="n"/>
      <c r="C602" s="20" t="n"/>
      <c r="D602" s="20">
        <f>IFERROR(INDEX(XPMenu!$A$2:$A$1000, MATCH(C602, XPMenu!$B$2:$B$1000, 0)), "")</f>
        <v/>
      </c>
      <c r="E602" s="20" t="n"/>
      <c r="F602" s="20" t="n"/>
      <c r="G602" s="20" t="n"/>
      <c r="H602" s="20" t="n"/>
      <c r="I602" s="20">
        <f>IFERROR(VLOOKUP(D602,XPMenu!$A:$F,2,FALSE),"")</f>
        <v/>
      </c>
      <c r="J602" s="20">
        <f>IFERROR(VLOOKUP(D602,XPMenu!$A:$F,3,FALSE),"")</f>
        <v/>
      </c>
      <c r="K602" s="20">
        <f>IFERROR(VLOOKUP(D602,XPMenu!$A:$F,4,FALSE),"")</f>
        <v/>
      </c>
      <c r="L602" s="20" t="n"/>
      <c r="M602" s="20">
        <f>IF(A602="","",IF(F602&lt;&gt;"Yes",0,IF(L602&lt;&gt;"",L602,E602*K602)))</f>
        <v/>
      </c>
      <c r="N602" s="20">
        <f>IF($A602="","",$A602-WEEKDAY($A602,2)+1)</f>
        <v/>
      </c>
      <c r="O602" s="20">
        <f>IF($A602="","",TEXT($A602,"yyyy-mm"))</f>
        <v/>
      </c>
      <c r="P602" s="21">
        <f>IF($A602="","",TEXT(YEAR($A602),"0000")&amp;"-Q"&amp;ROUNDUP(MONTH($A602)/3,0))</f>
        <v/>
      </c>
    </row>
    <row r="603">
      <c r="A603" s="22" t="n"/>
      <c r="B603" s="20" t="n"/>
      <c r="C603" s="20" t="n"/>
      <c r="D603" s="20">
        <f>IFERROR(INDEX(XPMenu!$A$2:$A$1000, MATCH(C603, XPMenu!$B$2:$B$1000, 0)), "")</f>
        <v/>
      </c>
      <c r="E603" s="20" t="n"/>
      <c r="F603" s="20" t="n"/>
      <c r="G603" s="20" t="n"/>
      <c r="H603" s="20" t="n"/>
      <c r="I603" s="20">
        <f>IFERROR(VLOOKUP(D603,XPMenu!$A:$F,2,FALSE),"")</f>
        <v/>
      </c>
      <c r="J603" s="20">
        <f>IFERROR(VLOOKUP(D603,XPMenu!$A:$F,3,FALSE),"")</f>
        <v/>
      </c>
      <c r="K603" s="20">
        <f>IFERROR(VLOOKUP(D603,XPMenu!$A:$F,4,FALSE),"")</f>
        <v/>
      </c>
      <c r="L603" s="20" t="n"/>
      <c r="M603" s="20">
        <f>IF(A603="","",IF(F603&lt;&gt;"Yes",0,IF(L603&lt;&gt;"",L603,E603*K603)))</f>
        <v/>
      </c>
      <c r="N603" s="20">
        <f>IF($A603="","",$A603-WEEKDAY($A603,2)+1)</f>
        <v/>
      </c>
      <c r="O603" s="20">
        <f>IF($A603="","",TEXT($A603,"yyyy-mm"))</f>
        <v/>
      </c>
      <c r="P603" s="21">
        <f>IF($A603="","",TEXT(YEAR($A603),"0000")&amp;"-Q"&amp;ROUNDUP(MONTH($A603)/3,0))</f>
        <v/>
      </c>
    </row>
    <row r="604">
      <c r="A604" s="22" t="n"/>
      <c r="B604" s="20" t="n"/>
      <c r="C604" s="20" t="n"/>
      <c r="D604" s="20">
        <f>IFERROR(INDEX(XPMenu!$A$2:$A$1000, MATCH(C604, XPMenu!$B$2:$B$1000, 0)), "")</f>
        <v/>
      </c>
      <c r="E604" s="20" t="n"/>
      <c r="F604" s="20" t="n"/>
      <c r="G604" s="20" t="n"/>
      <c r="H604" s="20" t="n"/>
      <c r="I604" s="20">
        <f>IFERROR(VLOOKUP(D604,XPMenu!$A:$F,2,FALSE),"")</f>
        <v/>
      </c>
      <c r="J604" s="20">
        <f>IFERROR(VLOOKUP(D604,XPMenu!$A:$F,3,FALSE),"")</f>
        <v/>
      </c>
      <c r="K604" s="20">
        <f>IFERROR(VLOOKUP(D604,XPMenu!$A:$F,4,FALSE),"")</f>
        <v/>
      </c>
      <c r="L604" s="20" t="n"/>
      <c r="M604" s="20">
        <f>IF(A604="","",IF(F604&lt;&gt;"Yes",0,IF(L604&lt;&gt;"",L604,E604*K604)))</f>
        <v/>
      </c>
      <c r="N604" s="20">
        <f>IF($A604="","",$A604-WEEKDAY($A604,2)+1)</f>
        <v/>
      </c>
      <c r="O604" s="20">
        <f>IF($A604="","",TEXT($A604,"yyyy-mm"))</f>
        <v/>
      </c>
      <c r="P604" s="21">
        <f>IF($A604="","",TEXT(YEAR($A604),"0000")&amp;"-Q"&amp;ROUNDUP(MONTH($A604)/3,0))</f>
        <v/>
      </c>
    </row>
    <row r="605">
      <c r="A605" s="22" t="n"/>
      <c r="B605" s="20" t="n"/>
      <c r="C605" s="20" t="n"/>
      <c r="D605" s="20">
        <f>IFERROR(INDEX(XPMenu!$A$2:$A$1000, MATCH(C605, XPMenu!$B$2:$B$1000, 0)), "")</f>
        <v/>
      </c>
      <c r="E605" s="20" t="n"/>
      <c r="F605" s="20" t="n"/>
      <c r="G605" s="20" t="n"/>
      <c r="H605" s="20" t="n"/>
      <c r="I605" s="20">
        <f>IFERROR(VLOOKUP(D605,XPMenu!$A:$F,2,FALSE),"")</f>
        <v/>
      </c>
      <c r="J605" s="20">
        <f>IFERROR(VLOOKUP(D605,XPMenu!$A:$F,3,FALSE),"")</f>
        <v/>
      </c>
      <c r="K605" s="20">
        <f>IFERROR(VLOOKUP(D605,XPMenu!$A:$F,4,FALSE),"")</f>
        <v/>
      </c>
      <c r="L605" s="20" t="n"/>
      <c r="M605" s="20">
        <f>IF(A605="","",IF(F605&lt;&gt;"Yes",0,IF(L605&lt;&gt;"",L605,E605*K605)))</f>
        <v/>
      </c>
      <c r="N605" s="20">
        <f>IF($A605="","",$A605-WEEKDAY($A605,2)+1)</f>
        <v/>
      </c>
      <c r="O605" s="20">
        <f>IF($A605="","",TEXT($A605,"yyyy-mm"))</f>
        <v/>
      </c>
      <c r="P605" s="21">
        <f>IF($A605="","",TEXT(YEAR($A605),"0000")&amp;"-Q"&amp;ROUNDUP(MONTH($A605)/3,0))</f>
        <v/>
      </c>
    </row>
    <row r="606">
      <c r="A606" s="22" t="n"/>
      <c r="B606" s="20" t="n"/>
      <c r="C606" s="20" t="n"/>
      <c r="D606" s="20">
        <f>IFERROR(INDEX(XPMenu!$A$2:$A$1000, MATCH(C606, XPMenu!$B$2:$B$1000, 0)), "")</f>
        <v/>
      </c>
      <c r="E606" s="20" t="n"/>
      <c r="F606" s="20" t="n"/>
      <c r="G606" s="20" t="n"/>
      <c r="H606" s="20" t="n"/>
      <c r="I606" s="20">
        <f>IFERROR(VLOOKUP(D606,XPMenu!$A:$F,2,FALSE),"")</f>
        <v/>
      </c>
      <c r="J606" s="20">
        <f>IFERROR(VLOOKUP(D606,XPMenu!$A:$F,3,FALSE),"")</f>
        <v/>
      </c>
      <c r="K606" s="20">
        <f>IFERROR(VLOOKUP(D606,XPMenu!$A:$F,4,FALSE),"")</f>
        <v/>
      </c>
      <c r="L606" s="20" t="n"/>
      <c r="M606" s="20">
        <f>IF(A606="","",IF(F606&lt;&gt;"Yes",0,IF(L606&lt;&gt;"",L606,E606*K606)))</f>
        <v/>
      </c>
      <c r="N606" s="20">
        <f>IF($A606="","",$A606-WEEKDAY($A606,2)+1)</f>
        <v/>
      </c>
      <c r="O606" s="20">
        <f>IF($A606="","",TEXT($A606,"yyyy-mm"))</f>
        <v/>
      </c>
      <c r="P606" s="21">
        <f>IF($A606="","",TEXT(YEAR($A606),"0000")&amp;"-Q"&amp;ROUNDUP(MONTH($A606)/3,0))</f>
        <v/>
      </c>
    </row>
    <row r="607">
      <c r="A607" s="22" t="n"/>
      <c r="B607" s="20" t="n"/>
      <c r="C607" s="20" t="n"/>
      <c r="D607" s="20">
        <f>IFERROR(INDEX(XPMenu!$A$2:$A$1000, MATCH(C607, XPMenu!$B$2:$B$1000, 0)), "")</f>
        <v/>
      </c>
      <c r="E607" s="20" t="n"/>
      <c r="F607" s="20" t="n"/>
      <c r="G607" s="20" t="n"/>
      <c r="H607" s="20" t="n"/>
      <c r="I607" s="20">
        <f>IFERROR(VLOOKUP(D607,XPMenu!$A:$F,2,FALSE),"")</f>
        <v/>
      </c>
      <c r="J607" s="20">
        <f>IFERROR(VLOOKUP(D607,XPMenu!$A:$F,3,FALSE),"")</f>
        <v/>
      </c>
      <c r="K607" s="20">
        <f>IFERROR(VLOOKUP(D607,XPMenu!$A:$F,4,FALSE),"")</f>
        <v/>
      </c>
      <c r="L607" s="20" t="n"/>
      <c r="M607" s="20">
        <f>IF(A607="","",IF(F607&lt;&gt;"Yes",0,IF(L607&lt;&gt;"",L607,E607*K607)))</f>
        <v/>
      </c>
      <c r="N607" s="20">
        <f>IF($A607="","",$A607-WEEKDAY($A607,2)+1)</f>
        <v/>
      </c>
      <c r="O607" s="20">
        <f>IF($A607="","",TEXT($A607,"yyyy-mm"))</f>
        <v/>
      </c>
      <c r="P607" s="21">
        <f>IF($A607="","",TEXT(YEAR($A607),"0000")&amp;"-Q"&amp;ROUNDUP(MONTH($A607)/3,0))</f>
        <v/>
      </c>
    </row>
    <row r="608">
      <c r="A608" s="22" t="n"/>
      <c r="B608" s="20" t="n"/>
      <c r="C608" s="20" t="n"/>
      <c r="D608" s="20">
        <f>IFERROR(INDEX(XPMenu!$A$2:$A$1000, MATCH(C608, XPMenu!$B$2:$B$1000, 0)), "")</f>
        <v/>
      </c>
      <c r="E608" s="20" t="n"/>
      <c r="F608" s="20" t="n"/>
      <c r="G608" s="20" t="n"/>
      <c r="H608" s="20" t="n"/>
      <c r="I608" s="20">
        <f>IFERROR(VLOOKUP(D608,XPMenu!$A:$F,2,FALSE),"")</f>
        <v/>
      </c>
      <c r="J608" s="20">
        <f>IFERROR(VLOOKUP(D608,XPMenu!$A:$F,3,FALSE),"")</f>
        <v/>
      </c>
      <c r="K608" s="20">
        <f>IFERROR(VLOOKUP(D608,XPMenu!$A:$F,4,FALSE),"")</f>
        <v/>
      </c>
      <c r="L608" s="20" t="n"/>
      <c r="M608" s="20">
        <f>IF(A608="","",IF(F608&lt;&gt;"Yes",0,IF(L608&lt;&gt;"",L608,E608*K608)))</f>
        <v/>
      </c>
      <c r="N608" s="20">
        <f>IF($A608="","",$A608-WEEKDAY($A608,2)+1)</f>
        <v/>
      </c>
      <c r="O608" s="20">
        <f>IF($A608="","",TEXT($A608,"yyyy-mm"))</f>
        <v/>
      </c>
      <c r="P608" s="21">
        <f>IF($A608="","",TEXT(YEAR($A608),"0000")&amp;"-Q"&amp;ROUNDUP(MONTH($A608)/3,0))</f>
        <v/>
      </c>
    </row>
    <row r="609">
      <c r="A609" s="22" t="n"/>
      <c r="B609" s="20" t="n"/>
      <c r="C609" s="20" t="n"/>
      <c r="D609" s="20">
        <f>IFERROR(INDEX(XPMenu!$A$2:$A$1000, MATCH(C609, XPMenu!$B$2:$B$1000, 0)), "")</f>
        <v/>
      </c>
      <c r="E609" s="20" t="n"/>
      <c r="F609" s="20" t="n"/>
      <c r="G609" s="20" t="n"/>
      <c r="H609" s="20" t="n"/>
      <c r="I609" s="20">
        <f>IFERROR(VLOOKUP(D609,XPMenu!$A:$F,2,FALSE),"")</f>
        <v/>
      </c>
      <c r="J609" s="20">
        <f>IFERROR(VLOOKUP(D609,XPMenu!$A:$F,3,FALSE),"")</f>
        <v/>
      </c>
      <c r="K609" s="20">
        <f>IFERROR(VLOOKUP(D609,XPMenu!$A:$F,4,FALSE),"")</f>
        <v/>
      </c>
      <c r="L609" s="20" t="n"/>
      <c r="M609" s="20">
        <f>IF(A609="","",IF(F609&lt;&gt;"Yes",0,IF(L609&lt;&gt;"",L609,E609*K609)))</f>
        <v/>
      </c>
      <c r="N609" s="20">
        <f>IF($A609="","",$A609-WEEKDAY($A609,2)+1)</f>
        <v/>
      </c>
      <c r="O609" s="20">
        <f>IF($A609="","",TEXT($A609,"yyyy-mm"))</f>
        <v/>
      </c>
      <c r="P609" s="21">
        <f>IF($A609="","",TEXT(YEAR($A609),"0000")&amp;"-Q"&amp;ROUNDUP(MONTH($A609)/3,0))</f>
        <v/>
      </c>
    </row>
    <row r="610">
      <c r="A610" s="22" t="n"/>
      <c r="B610" s="20" t="n"/>
      <c r="C610" s="20" t="n"/>
      <c r="D610" s="20">
        <f>IFERROR(INDEX(XPMenu!$A$2:$A$1000, MATCH(C610, XPMenu!$B$2:$B$1000, 0)), "")</f>
        <v/>
      </c>
      <c r="E610" s="20" t="n"/>
      <c r="F610" s="20" t="n"/>
      <c r="G610" s="20" t="n"/>
      <c r="H610" s="20" t="n"/>
      <c r="I610" s="20">
        <f>IFERROR(VLOOKUP(D610,XPMenu!$A:$F,2,FALSE),"")</f>
        <v/>
      </c>
      <c r="J610" s="20">
        <f>IFERROR(VLOOKUP(D610,XPMenu!$A:$F,3,FALSE),"")</f>
        <v/>
      </c>
      <c r="K610" s="20">
        <f>IFERROR(VLOOKUP(D610,XPMenu!$A:$F,4,FALSE),"")</f>
        <v/>
      </c>
      <c r="L610" s="20" t="n"/>
      <c r="M610" s="20">
        <f>IF(A610="","",IF(F610&lt;&gt;"Yes",0,IF(L610&lt;&gt;"",L610,E610*K610)))</f>
        <v/>
      </c>
      <c r="N610" s="20">
        <f>IF($A610="","",$A610-WEEKDAY($A610,2)+1)</f>
        <v/>
      </c>
      <c r="O610" s="20">
        <f>IF($A610="","",TEXT($A610,"yyyy-mm"))</f>
        <v/>
      </c>
      <c r="P610" s="21">
        <f>IF($A610="","",TEXT(YEAR($A610),"0000")&amp;"-Q"&amp;ROUNDUP(MONTH($A610)/3,0))</f>
        <v/>
      </c>
    </row>
    <row r="611">
      <c r="A611" s="22" t="n"/>
      <c r="B611" s="20" t="n"/>
      <c r="C611" s="20" t="n"/>
      <c r="D611" s="20">
        <f>IFERROR(INDEX(XPMenu!$A$2:$A$1000, MATCH(C611, XPMenu!$B$2:$B$1000, 0)), "")</f>
        <v/>
      </c>
      <c r="E611" s="20" t="n"/>
      <c r="F611" s="20" t="n"/>
      <c r="G611" s="20" t="n"/>
      <c r="H611" s="20" t="n"/>
      <c r="I611" s="20">
        <f>IFERROR(VLOOKUP(D611,XPMenu!$A:$F,2,FALSE),"")</f>
        <v/>
      </c>
      <c r="J611" s="20">
        <f>IFERROR(VLOOKUP(D611,XPMenu!$A:$F,3,FALSE),"")</f>
        <v/>
      </c>
      <c r="K611" s="20">
        <f>IFERROR(VLOOKUP(D611,XPMenu!$A:$F,4,FALSE),"")</f>
        <v/>
      </c>
      <c r="L611" s="20" t="n"/>
      <c r="M611" s="20">
        <f>IF(A611="","",IF(F611&lt;&gt;"Yes",0,IF(L611&lt;&gt;"",L611,E611*K611)))</f>
        <v/>
      </c>
      <c r="N611" s="20">
        <f>IF($A611="","",$A611-WEEKDAY($A611,2)+1)</f>
        <v/>
      </c>
      <c r="O611" s="20">
        <f>IF($A611="","",TEXT($A611,"yyyy-mm"))</f>
        <v/>
      </c>
      <c r="P611" s="21">
        <f>IF($A611="","",TEXT(YEAR($A611),"0000")&amp;"-Q"&amp;ROUNDUP(MONTH($A611)/3,0))</f>
        <v/>
      </c>
    </row>
    <row r="612">
      <c r="A612" s="22" t="n"/>
      <c r="B612" s="20" t="n"/>
      <c r="C612" s="20" t="n"/>
      <c r="D612" s="20">
        <f>IFERROR(INDEX(XPMenu!$A$2:$A$1000, MATCH(C612, XPMenu!$B$2:$B$1000, 0)), "")</f>
        <v/>
      </c>
      <c r="E612" s="20" t="n"/>
      <c r="F612" s="20" t="n"/>
      <c r="G612" s="20" t="n"/>
      <c r="H612" s="20" t="n"/>
      <c r="I612" s="20">
        <f>IFERROR(VLOOKUP(D612,XPMenu!$A:$F,2,FALSE),"")</f>
        <v/>
      </c>
      <c r="J612" s="20">
        <f>IFERROR(VLOOKUP(D612,XPMenu!$A:$F,3,FALSE),"")</f>
        <v/>
      </c>
      <c r="K612" s="20">
        <f>IFERROR(VLOOKUP(D612,XPMenu!$A:$F,4,FALSE),"")</f>
        <v/>
      </c>
      <c r="L612" s="20" t="n"/>
      <c r="M612" s="20">
        <f>IF(A612="","",IF(F612&lt;&gt;"Yes",0,IF(L612&lt;&gt;"",L612,E612*K612)))</f>
        <v/>
      </c>
      <c r="N612" s="20">
        <f>IF($A612="","",$A612-WEEKDAY($A612,2)+1)</f>
        <v/>
      </c>
      <c r="O612" s="20">
        <f>IF($A612="","",TEXT($A612,"yyyy-mm"))</f>
        <v/>
      </c>
      <c r="P612" s="21">
        <f>IF($A612="","",TEXT(YEAR($A612),"0000")&amp;"-Q"&amp;ROUNDUP(MONTH($A612)/3,0))</f>
        <v/>
      </c>
    </row>
    <row r="613">
      <c r="A613" s="22" t="n"/>
      <c r="B613" s="20" t="n"/>
      <c r="C613" s="20" t="n"/>
      <c r="D613" s="20">
        <f>IFERROR(INDEX(XPMenu!$A$2:$A$1000, MATCH(C613, XPMenu!$B$2:$B$1000, 0)), "")</f>
        <v/>
      </c>
      <c r="E613" s="20" t="n"/>
      <c r="F613" s="20" t="n"/>
      <c r="G613" s="20" t="n"/>
      <c r="H613" s="20" t="n"/>
      <c r="I613" s="20">
        <f>IFERROR(VLOOKUP(D613,XPMenu!$A:$F,2,FALSE),"")</f>
        <v/>
      </c>
      <c r="J613" s="20">
        <f>IFERROR(VLOOKUP(D613,XPMenu!$A:$F,3,FALSE),"")</f>
        <v/>
      </c>
      <c r="K613" s="20">
        <f>IFERROR(VLOOKUP(D613,XPMenu!$A:$F,4,FALSE),"")</f>
        <v/>
      </c>
      <c r="L613" s="20" t="n"/>
      <c r="M613" s="20">
        <f>IF(A613="","",IF(F613&lt;&gt;"Yes",0,IF(L613&lt;&gt;"",L613,E613*K613)))</f>
        <v/>
      </c>
      <c r="N613" s="20">
        <f>IF($A613="","",$A613-WEEKDAY($A613,2)+1)</f>
        <v/>
      </c>
      <c r="O613" s="20">
        <f>IF($A613="","",TEXT($A613,"yyyy-mm"))</f>
        <v/>
      </c>
      <c r="P613" s="21">
        <f>IF($A613="","",TEXT(YEAR($A613),"0000")&amp;"-Q"&amp;ROUNDUP(MONTH($A613)/3,0))</f>
        <v/>
      </c>
    </row>
    <row r="614">
      <c r="A614" s="22" t="n"/>
      <c r="B614" s="20" t="n"/>
      <c r="C614" s="20" t="n"/>
      <c r="D614" s="20">
        <f>IFERROR(INDEX(XPMenu!$A$2:$A$1000, MATCH(C614, XPMenu!$B$2:$B$1000, 0)), "")</f>
        <v/>
      </c>
      <c r="E614" s="20" t="n"/>
      <c r="F614" s="20" t="n"/>
      <c r="G614" s="20" t="n"/>
      <c r="H614" s="20" t="n"/>
      <c r="I614" s="20">
        <f>IFERROR(VLOOKUP(D614,XPMenu!$A:$F,2,FALSE),"")</f>
        <v/>
      </c>
      <c r="J614" s="20">
        <f>IFERROR(VLOOKUP(D614,XPMenu!$A:$F,3,FALSE),"")</f>
        <v/>
      </c>
      <c r="K614" s="20">
        <f>IFERROR(VLOOKUP(D614,XPMenu!$A:$F,4,FALSE),"")</f>
        <v/>
      </c>
      <c r="L614" s="20" t="n"/>
      <c r="M614" s="20">
        <f>IF(A614="","",IF(F614&lt;&gt;"Yes",0,IF(L614&lt;&gt;"",L614,E614*K614)))</f>
        <v/>
      </c>
      <c r="N614" s="20">
        <f>IF($A614="","",$A614-WEEKDAY($A614,2)+1)</f>
        <v/>
      </c>
      <c r="O614" s="20">
        <f>IF($A614="","",TEXT($A614,"yyyy-mm"))</f>
        <v/>
      </c>
      <c r="P614" s="21">
        <f>IF($A614="","",TEXT(YEAR($A614),"0000")&amp;"-Q"&amp;ROUNDUP(MONTH($A614)/3,0))</f>
        <v/>
      </c>
    </row>
    <row r="615">
      <c r="A615" s="22" t="n"/>
      <c r="B615" s="20" t="n"/>
      <c r="C615" s="20" t="n"/>
      <c r="D615" s="20">
        <f>IFERROR(INDEX(XPMenu!$A$2:$A$1000, MATCH(C615, XPMenu!$B$2:$B$1000, 0)), "")</f>
        <v/>
      </c>
      <c r="E615" s="20" t="n"/>
      <c r="F615" s="20" t="n"/>
      <c r="G615" s="20" t="n"/>
      <c r="H615" s="20" t="n"/>
      <c r="I615" s="20">
        <f>IFERROR(VLOOKUP(D615,XPMenu!$A:$F,2,FALSE),"")</f>
        <v/>
      </c>
      <c r="J615" s="20">
        <f>IFERROR(VLOOKUP(D615,XPMenu!$A:$F,3,FALSE),"")</f>
        <v/>
      </c>
      <c r="K615" s="20">
        <f>IFERROR(VLOOKUP(D615,XPMenu!$A:$F,4,FALSE),"")</f>
        <v/>
      </c>
      <c r="L615" s="20" t="n"/>
      <c r="M615" s="20">
        <f>IF(A615="","",IF(F615&lt;&gt;"Yes",0,IF(L615&lt;&gt;"",L615,E615*K615)))</f>
        <v/>
      </c>
      <c r="N615" s="20">
        <f>IF($A615="","",$A615-WEEKDAY($A615,2)+1)</f>
        <v/>
      </c>
      <c r="O615" s="20">
        <f>IF($A615="","",TEXT($A615,"yyyy-mm"))</f>
        <v/>
      </c>
      <c r="P615" s="21">
        <f>IF($A615="","",TEXT(YEAR($A615),"0000")&amp;"-Q"&amp;ROUNDUP(MONTH($A615)/3,0))</f>
        <v/>
      </c>
    </row>
    <row r="616">
      <c r="A616" s="22" t="n"/>
      <c r="B616" s="20" t="n"/>
      <c r="C616" s="20" t="n"/>
      <c r="D616" s="20">
        <f>IFERROR(INDEX(XPMenu!$A$2:$A$1000, MATCH(C616, XPMenu!$B$2:$B$1000, 0)), "")</f>
        <v/>
      </c>
      <c r="E616" s="20" t="n"/>
      <c r="F616" s="20" t="n"/>
      <c r="G616" s="20" t="n"/>
      <c r="H616" s="20" t="n"/>
      <c r="I616" s="20">
        <f>IFERROR(VLOOKUP(D616,XPMenu!$A:$F,2,FALSE),"")</f>
        <v/>
      </c>
      <c r="J616" s="20">
        <f>IFERROR(VLOOKUP(D616,XPMenu!$A:$F,3,FALSE),"")</f>
        <v/>
      </c>
      <c r="K616" s="20">
        <f>IFERROR(VLOOKUP(D616,XPMenu!$A:$F,4,FALSE),"")</f>
        <v/>
      </c>
      <c r="L616" s="20" t="n"/>
      <c r="M616" s="20">
        <f>IF(A616="","",IF(F616&lt;&gt;"Yes",0,IF(L616&lt;&gt;"",L616,E616*K616)))</f>
        <v/>
      </c>
      <c r="N616" s="20">
        <f>IF($A616="","",$A616-WEEKDAY($A616,2)+1)</f>
        <v/>
      </c>
      <c r="O616" s="20">
        <f>IF($A616="","",TEXT($A616,"yyyy-mm"))</f>
        <v/>
      </c>
      <c r="P616" s="21">
        <f>IF($A616="","",TEXT(YEAR($A616),"0000")&amp;"-Q"&amp;ROUNDUP(MONTH($A616)/3,0))</f>
        <v/>
      </c>
    </row>
    <row r="617">
      <c r="A617" s="22" t="n"/>
      <c r="B617" s="20" t="n"/>
      <c r="C617" s="20" t="n"/>
      <c r="D617" s="20">
        <f>IFERROR(INDEX(XPMenu!$A$2:$A$1000, MATCH(C617, XPMenu!$B$2:$B$1000, 0)), "")</f>
        <v/>
      </c>
      <c r="E617" s="20" t="n"/>
      <c r="F617" s="20" t="n"/>
      <c r="G617" s="20" t="n"/>
      <c r="H617" s="20" t="n"/>
      <c r="I617" s="20">
        <f>IFERROR(VLOOKUP(D617,XPMenu!$A:$F,2,FALSE),"")</f>
        <v/>
      </c>
      <c r="J617" s="20">
        <f>IFERROR(VLOOKUP(D617,XPMenu!$A:$F,3,FALSE),"")</f>
        <v/>
      </c>
      <c r="K617" s="20">
        <f>IFERROR(VLOOKUP(D617,XPMenu!$A:$F,4,FALSE),"")</f>
        <v/>
      </c>
      <c r="L617" s="20" t="n"/>
      <c r="M617" s="20">
        <f>IF(A617="","",IF(F617&lt;&gt;"Yes",0,IF(L617&lt;&gt;"",L617,E617*K617)))</f>
        <v/>
      </c>
      <c r="N617" s="20">
        <f>IF($A617="","",$A617-WEEKDAY($A617,2)+1)</f>
        <v/>
      </c>
      <c r="O617" s="20">
        <f>IF($A617="","",TEXT($A617,"yyyy-mm"))</f>
        <v/>
      </c>
      <c r="P617" s="21">
        <f>IF($A617="","",TEXT(YEAR($A617),"0000")&amp;"-Q"&amp;ROUNDUP(MONTH($A617)/3,0))</f>
        <v/>
      </c>
    </row>
    <row r="618">
      <c r="A618" s="22" t="n"/>
      <c r="B618" s="20" t="n"/>
      <c r="C618" s="20" t="n"/>
      <c r="D618" s="20">
        <f>IFERROR(INDEX(XPMenu!$A$2:$A$1000, MATCH(C618, XPMenu!$B$2:$B$1000, 0)), "")</f>
        <v/>
      </c>
      <c r="E618" s="20" t="n"/>
      <c r="F618" s="20" t="n"/>
      <c r="G618" s="20" t="n"/>
      <c r="H618" s="20" t="n"/>
      <c r="I618" s="20">
        <f>IFERROR(VLOOKUP(D618,XPMenu!$A:$F,2,FALSE),"")</f>
        <v/>
      </c>
      <c r="J618" s="20">
        <f>IFERROR(VLOOKUP(D618,XPMenu!$A:$F,3,FALSE),"")</f>
        <v/>
      </c>
      <c r="K618" s="20">
        <f>IFERROR(VLOOKUP(D618,XPMenu!$A:$F,4,FALSE),"")</f>
        <v/>
      </c>
      <c r="L618" s="20" t="n"/>
      <c r="M618" s="20">
        <f>IF(A618="","",IF(F618&lt;&gt;"Yes",0,IF(L618&lt;&gt;"",L618,E618*K618)))</f>
        <v/>
      </c>
      <c r="N618" s="20">
        <f>IF($A618="","",$A618-WEEKDAY($A618,2)+1)</f>
        <v/>
      </c>
      <c r="O618" s="20">
        <f>IF($A618="","",TEXT($A618,"yyyy-mm"))</f>
        <v/>
      </c>
      <c r="P618" s="21">
        <f>IF($A618="","",TEXT(YEAR($A618),"0000")&amp;"-Q"&amp;ROUNDUP(MONTH($A618)/3,0))</f>
        <v/>
      </c>
    </row>
    <row r="619">
      <c r="A619" s="22" t="n"/>
      <c r="B619" s="20" t="n"/>
      <c r="C619" s="20" t="n"/>
      <c r="D619" s="20">
        <f>IFERROR(INDEX(XPMenu!$A$2:$A$1000, MATCH(C619, XPMenu!$B$2:$B$1000, 0)), "")</f>
        <v/>
      </c>
      <c r="E619" s="20" t="n"/>
      <c r="F619" s="20" t="n"/>
      <c r="G619" s="20" t="n"/>
      <c r="H619" s="20" t="n"/>
      <c r="I619" s="20">
        <f>IFERROR(VLOOKUP(D619,XPMenu!$A:$F,2,FALSE),"")</f>
        <v/>
      </c>
      <c r="J619" s="20">
        <f>IFERROR(VLOOKUP(D619,XPMenu!$A:$F,3,FALSE),"")</f>
        <v/>
      </c>
      <c r="K619" s="20">
        <f>IFERROR(VLOOKUP(D619,XPMenu!$A:$F,4,FALSE),"")</f>
        <v/>
      </c>
      <c r="L619" s="20" t="n"/>
      <c r="M619" s="20">
        <f>IF(A619="","",IF(F619&lt;&gt;"Yes",0,IF(L619&lt;&gt;"",L619,E619*K619)))</f>
        <v/>
      </c>
      <c r="N619" s="20">
        <f>IF($A619="","",$A619-WEEKDAY($A619,2)+1)</f>
        <v/>
      </c>
      <c r="O619" s="20">
        <f>IF($A619="","",TEXT($A619,"yyyy-mm"))</f>
        <v/>
      </c>
      <c r="P619" s="21">
        <f>IF($A619="","",TEXT(YEAR($A619),"0000")&amp;"-Q"&amp;ROUNDUP(MONTH($A619)/3,0))</f>
        <v/>
      </c>
    </row>
    <row r="620">
      <c r="A620" s="22" t="n"/>
      <c r="B620" s="20" t="n"/>
      <c r="C620" s="20" t="n"/>
      <c r="D620" s="20">
        <f>IFERROR(INDEX(XPMenu!$A$2:$A$1000, MATCH(C620, XPMenu!$B$2:$B$1000, 0)), "")</f>
        <v/>
      </c>
      <c r="E620" s="20" t="n"/>
      <c r="F620" s="20" t="n"/>
      <c r="G620" s="20" t="n"/>
      <c r="H620" s="20" t="n"/>
      <c r="I620" s="20">
        <f>IFERROR(VLOOKUP(D620,XPMenu!$A:$F,2,FALSE),"")</f>
        <v/>
      </c>
      <c r="J620" s="20">
        <f>IFERROR(VLOOKUP(D620,XPMenu!$A:$F,3,FALSE),"")</f>
        <v/>
      </c>
      <c r="K620" s="20">
        <f>IFERROR(VLOOKUP(D620,XPMenu!$A:$F,4,FALSE),"")</f>
        <v/>
      </c>
      <c r="L620" s="20" t="n"/>
      <c r="M620" s="20">
        <f>IF(A620="","",IF(F620&lt;&gt;"Yes",0,IF(L620&lt;&gt;"",L620,E620*K620)))</f>
        <v/>
      </c>
      <c r="N620" s="20">
        <f>IF($A620="","",$A620-WEEKDAY($A620,2)+1)</f>
        <v/>
      </c>
      <c r="O620" s="20">
        <f>IF($A620="","",TEXT($A620,"yyyy-mm"))</f>
        <v/>
      </c>
      <c r="P620" s="21">
        <f>IF($A620="","",TEXT(YEAR($A620),"0000")&amp;"-Q"&amp;ROUNDUP(MONTH($A620)/3,0))</f>
        <v/>
      </c>
    </row>
    <row r="621">
      <c r="A621" s="22" t="n"/>
      <c r="B621" s="20" t="n"/>
      <c r="C621" s="20" t="n"/>
      <c r="D621" s="20">
        <f>IFERROR(INDEX(XPMenu!$A$2:$A$1000, MATCH(C621, XPMenu!$B$2:$B$1000, 0)), "")</f>
        <v/>
      </c>
      <c r="E621" s="20" t="n"/>
      <c r="F621" s="20" t="n"/>
      <c r="G621" s="20" t="n"/>
      <c r="H621" s="20" t="n"/>
      <c r="I621" s="20">
        <f>IFERROR(VLOOKUP(D621,XPMenu!$A:$F,2,FALSE),"")</f>
        <v/>
      </c>
      <c r="J621" s="20">
        <f>IFERROR(VLOOKUP(D621,XPMenu!$A:$F,3,FALSE),"")</f>
        <v/>
      </c>
      <c r="K621" s="20">
        <f>IFERROR(VLOOKUP(D621,XPMenu!$A:$F,4,FALSE),"")</f>
        <v/>
      </c>
      <c r="L621" s="20" t="n"/>
      <c r="M621" s="20">
        <f>IF(A621="","",IF(F621&lt;&gt;"Yes",0,IF(L621&lt;&gt;"",L621,E621*K621)))</f>
        <v/>
      </c>
      <c r="N621" s="20">
        <f>IF($A621="","",$A621-WEEKDAY($A621,2)+1)</f>
        <v/>
      </c>
      <c r="O621" s="20">
        <f>IF($A621="","",TEXT($A621,"yyyy-mm"))</f>
        <v/>
      </c>
      <c r="P621" s="21">
        <f>IF($A621="","",TEXT(YEAR($A621),"0000")&amp;"-Q"&amp;ROUNDUP(MONTH($A621)/3,0))</f>
        <v/>
      </c>
    </row>
    <row r="622">
      <c r="A622" s="22" t="n"/>
      <c r="B622" s="20" t="n"/>
      <c r="C622" s="20" t="n"/>
      <c r="D622" s="20">
        <f>IFERROR(INDEX(XPMenu!$A$2:$A$1000, MATCH(C622, XPMenu!$B$2:$B$1000, 0)), "")</f>
        <v/>
      </c>
      <c r="E622" s="20" t="n"/>
      <c r="F622" s="20" t="n"/>
      <c r="G622" s="20" t="n"/>
      <c r="H622" s="20" t="n"/>
      <c r="I622" s="20">
        <f>IFERROR(VLOOKUP(D622,XPMenu!$A:$F,2,FALSE),"")</f>
        <v/>
      </c>
      <c r="J622" s="20">
        <f>IFERROR(VLOOKUP(D622,XPMenu!$A:$F,3,FALSE),"")</f>
        <v/>
      </c>
      <c r="K622" s="20">
        <f>IFERROR(VLOOKUP(D622,XPMenu!$A:$F,4,FALSE),"")</f>
        <v/>
      </c>
      <c r="L622" s="20" t="n"/>
      <c r="M622" s="20">
        <f>IF(A622="","",IF(F622&lt;&gt;"Yes",0,IF(L622&lt;&gt;"",L622,E622*K622)))</f>
        <v/>
      </c>
      <c r="N622" s="20">
        <f>IF($A622="","",$A622-WEEKDAY($A622,2)+1)</f>
        <v/>
      </c>
      <c r="O622" s="20">
        <f>IF($A622="","",TEXT($A622,"yyyy-mm"))</f>
        <v/>
      </c>
      <c r="P622" s="21">
        <f>IF($A622="","",TEXT(YEAR($A622),"0000")&amp;"-Q"&amp;ROUNDUP(MONTH($A622)/3,0))</f>
        <v/>
      </c>
    </row>
    <row r="623">
      <c r="A623" s="22" t="n"/>
      <c r="B623" s="20" t="n"/>
      <c r="C623" s="20" t="n"/>
      <c r="D623" s="20">
        <f>IFERROR(INDEX(XPMenu!$A$2:$A$1000, MATCH(C623, XPMenu!$B$2:$B$1000, 0)), "")</f>
        <v/>
      </c>
      <c r="E623" s="20" t="n"/>
      <c r="F623" s="20" t="n"/>
      <c r="G623" s="20" t="n"/>
      <c r="H623" s="20" t="n"/>
      <c r="I623" s="20">
        <f>IFERROR(VLOOKUP(D623,XPMenu!$A:$F,2,FALSE),"")</f>
        <v/>
      </c>
      <c r="J623" s="20">
        <f>IFERROR(VLOOKUP(D623,XPMenu!$A:$F,3,FALSE),"")</f>
        <v/>
      </c>
      <c r="K623" s="20">
        <f>IFERROR(VLOOKUP(D623,XPMenu!$A:$F,4,FALSE),"")</f>
        <v/>
      </c>
      <c r="L623" s="20" t="n"/>
      <c r="M623" s="20">
        <f>IF(A623="","",IF(F623&lt;&gt;"Yes",0,IF(L623&lt;&gt;"",L623,E623*K623)))</f>
        <v/>
      </c>
      <c r="N623" s="20">
        <f>IF($A623="","",$A623-WEEKDAY($A623,2)+1)</f>
        <v/>
      </c>
      <c r="O623" s="20">
        <f>IF($A623="","",TEXT($A623,"yyyy-mm"))</f>
        <v/>
      </c>
      <c r="P623" s="21">
        <f>IF($A623="","",TEXT(YEAR($A623),"0000")&amp;"-Q"&amp;ROUNDUP(MONTH($A623)/3,0))</f>
        <v/>
      </c>
    </row>
    <row r="624">
      <c r="A624" s="22" t="n"/>
      <c r="B624" s="20" t="n"/>
      <c r="C624" s="20" t="n"/>
      <c r="D624" s="20">
        <f>IFERROR(INDEX(XPMenu!$A$2:$A$1000, MATCH(C624, XPMenu!$B$2:$B$1000, 0)), "")</f>
        <v/>
      </c>
      <c r="E624" s="20" t="n"/>
      <c r="F624" s="20" t="n"/>
      <c r="G624" s="20" t="n"/>
      <c r="H624" s="20" t="n"/>
      <c r="I624" s="20">
        <f>IFERROR(VLOOKUP(D624,XPMenu!$A:$F,2,FALSE),"")</f>
        <v/>
      </c>
      <c r="J624" s="20">
        <f>IFERROR(VLOOKUP(D624,XPMenu!$A:$F,3,FALSE),"")</f>
        <v/>
      </c>
      <c r="K624" s="20">
        <f>IFERROR(VLOOKUP(D624,XPMenu!$A:$F,4,FALSE),"")</f>
        <v/>
      </c>
      <c r="L624" s="20" t="n"/>
      <c r="M624" s="20">
        <f>IF(A624="","",IF(F624&lt;&gt;"Yes",0,IF(L624&lt;&gt;"",L624,E624*K624)))</f>
        <v/>
      </c>
      <c r="N624" s="20">
        <f>IF($A624="","",$A624-WEEKDAY($A624,2)+1)</f>
        <v/>
      </c>
      <c r="O624" s="20">
        <f>IF($A624="","",TEXT($A624,"yyyy-mm"))</f>
        <v/>
      </c>
      <c r="P624" s="21">
        <f>IF($A624="","",TEXT(YEAR($A624),"0000")&amp;"-Q"&amp;ROUNDUP(MONTH($A624)/3,0))</f>
        <v/>
      </c>
    </row>
    <row r="625">
      <c r="A625" s="22" t="n"/>
      <c r="B625" s="20" t="n"/>
      <c r="C625" s="20" t="n"/>
      <c r="D625" s="20">
        <f>IFERROR(INDEX(XPMenu!$A$2:$A$1000, MATCH(C625, XPMenu!$B$2:$B$1000, 0)), "")</f>
        <v/>
      </c>
      <c r="E625" s="20" t="n"/>
      <c r="F625" s="20" t="n"/>
      <c r="G625" s="20" t="n"/>
      <c r="H625" s="20" t="n"/>
      <c r="I625" s="20">
        <f>IFERROR(VLOOKUP(D625,XPMenu!$A:$F,2,FALSE),"")</f>
        <v/>
      </c>
      <c r="J625" s="20">
        <f>IFERROR(VLOOKUP(D625,XPMenu!$A:$F,3,FALSE),"")</f>
        <v/>
      </c>
      <c r="K625" s="20">
        <f>IFERROR(VLOOKUP(D625,XPMenu!$A:$F,4,FALSE),"")</f>
        <v/>
      </c>
      <c r="L625" s="20" t="n"/>
      <c r="M625" s="20">
        <f>IF(A625="","",IF(F625&lt;&gt;"Yes",0,IF(L625&lt;&gt;"",L625,E625*K625)))</f>
        <v/>
      </c>
      <c r="N625" s="20">
        <f>IF($A625="","",$A625-WEEKDAY($A625,2)+1)</f>
        <v/>
      </c>
      <c r="O625" s="20">
        <f>IF($A625="","",TEXT($A625,"yyyy-mm"))</f>
        <v/>
      </c>
      <c r="P625" s="21">
        <f>IF($A625="","",TEXT(YEAR($A625),"0000")&amp;"-Q"&amp;ROUNDUP(MONTH($A625)/3,0))</f>
        <v/>
      </c>
    </row>
    <row r="626">
      <c r="A626" s="22" t="n"/>
      <c r="B626" s="20" t="n"/>
      <c r="C626" s="20" t="n"/>
      <c r="D626" s="20">
        <f>IFERROR(INDEX(XPMenu!$A$2:$A$1000, MATCH(C626, XPMenu!$B$2:$B$1000, 0)), "")</f>
        <v/>
      </c>
      <c r="E626" s="20" t="n"/>
      <c r="F626" s="20" t="n"/>
      <c r="G626" s="20" t="n"/>
      <c r="H626" s="20" t="n"/>
      <c r="I626" s="20">
        <f>IFERROR(VLOOKUP(D626,XPMenu!$A:$F,2,FALSE),"")</f>
        <v/>
      </c>
      <c r="J626" s="20">
        <f>IFERROR(VLOOKUP(D626,XPMenu!$A:$F,3,FALSE),"")</f>
        <v/>
      </c>
      <c r="K626" s="20">
        <f>IFERROR(VLOOKUP(D626,XPMenu!$A:$F,4,FALSE),"")</f>
        <v/>
      </c>
      <c r="L626" s="20" t="n"/>
      <c r="M626" s="20">
        <f>IF(A626="","",IF(F626&lt;&gt;"Yes",0,IF(L626&lt;&gt;"",L626,E626*K626)))</f>
        <v/>
      </c>
      <c r="N626" s="20">
        <f>IF($A626="","",$A626-WEEKDAY($A626,2)+1)</f>
        <v/>
      </c>
      <c r="O626" s="20">
        <f>IF($A626="","",TEXT($A626,"yyyy-mm"))</f>
        <v/>
      </c>
      <c r="P626" s="21">
        <f>IF($A626="","",TEXT(YEAR($A626),"0000")&amp;"-Q"&amp;ROUNDUP(MONTH($A626)/3,0))</f>
        <v/>
      </c>
    </row>
    <row r="627">
      <c r="A627" s="22" t="n"/>
      <c r="B627" s="20" t="n"/>
      <c r="C627" s="20" t="n"/>
      <c r="D627" s="20">
        <f>IFERROR(INDEX(XPMenu!$A$2:$A$1000, MATCH(C627, XPMenu!$B$2:$B$1000, 0)), "")</f>
        <v/>
      </c>
      <c r="E627" s="20" t="n"/>
      <c r="F627" s="20" t="n"/>
      <c r="G627" s="20" t="n"/>
      <c r="H627" s="20" t="n"/>
      <c r="I627" s="20">
        <f>IFERROR(VLOOKUP(D627,XPMenu!$A:$F,2,FALSE),"")</f>
        <v/>
      </c>
      <c r="J627" s="20">
        <f>IFERROR(VLOOKUP(D627,XPMenu!$A:$F,3,FALSE),"")</f>
        <v/>
      </c>
      <c r="K627" s="20">
        <f>IFERROR(VLOOKUP(D627,XPMenu!$A:$F,4,FALSE),"")</f>
        <v/>
      </c>
      <c r="L627" s="20" t="n"/>
      <c r="M627" s="20">
        <f>IF(A627="","",IF(F627&lt;&gt;"Yes",0,IF(L627&lt;&gt;"",L627,E627*K627)))</f>
        <v/>
      </c>
      <c r="N627" s="20">
        <f>IF($A627="","",$A627-WEEKDAY($A627,2)+1)</f>
        <v/>
      </c>
      <c r="O627" s="20">
        <f>IF($A627="","",TEXT($A627,"yyyy-mm"))</f>
        <v/>
      </c>
      <c r="P627" s="21">
        <f>IF($A627="","",TEXT(YEAR($A627),"0000")&amp;"-Q"&amp;ROUNDUP(MONTH($A627)/3,0))</f>
        <v/>
      </c>
    </row>
    <row r="628">
      <c r="A628" s="22" t="n"/>
      <c r="B628" s="20" t="n"/>
      <c r="C628" s="20" t="n"/>
      <c r="D628" s="20">
        <f>IFERROR(INDEX(XPMenu!$A$2:$A$1000, MATCH(C628, XPMenu!$B$2:$B$1000, 0)), "")</f>
        <v/>
      </c>
      <c r="E628" s="20" t="n"/>
      <c r="F628" s="20" t="n"/>
      <c r="G628" s="20" t="n"/>
      <c r="H628" s="20" t="n"/>
      <c r="I628" s="20">
        <f>IFERROR(VLOOKUP(D628,XPMenu!$A:$F,2,FALSE),"")</f>
        <v/>
      </c>
      <c r="J628" s="20">
        <f>IFERROR(VLOOKUP(D628,XPMenu!$A:$F,3,FALSE),"")</f>
        <v/>
      </c>
      <c r="K628" s="20">
        <f>IFERROR(VLOOKUP(D628,XPMenu!$A:$F,4,FALSE),"")</f>
        <v/>
      </c>
      <c r="L628" s="20" t="n"/>
      <c r="M628" s="20">
        <f>IF(A628="","",IF(F628&lt;&gt;"Yes",0,IF(L628&lt;&gt;"",L628,E628*K628)))</f>
        <v/>
      </c>
      <c r="N628" s="20">
        <f>IF($A628="","",$A628-WEEKDAY($A628,2)+1)</f>
        <v/>
      </c>
      <c r="O628" s="20">
        <f>IF($A628="","",TEXT($A628,"yyyy-mm"))</f>
        <v/>
      </c>
      <c r="P628" s="21">
        <f>IF($A628="","",TEXT(YEAR($A628),"0000")&amp;"-Q"&amp;ROUNDUP(MONTH($A628)/3,0))</f>
        <v/>
      </c>
    </row>
    <row r="629">
      <c r="A629" s="22" t="n"/>
      <c r="B629" s="20" t="n"/>
      <c r="C629" s="20" t="n"/>
      <c r="D629" s="20">
        <f>IFERROR(INDEX(XPMenu!$A$2:$A$1000, MATCH(C629, XPMenu!$B$2:$B$1000, 0)), "")</f>
        <v/>
      </c>
      <c r="E629" s="20" t="n"/>
      <c r="F629" s="20" t="n"/>
      <c r="G629" s="20" t="n"/>
      <c r="H629" s="20" t="n"/>
      <c r="I629" s="20">
        <f>IFERROR(VLOOKUP(D629,XPMenu!$A:$F,2,FALSE),"")</f>
        <v/>
      </c>
      <c r="J629" s="20">
        <f>IFERROR(VLOOKUP(D629,XPMenu!$A:$F,3,FALSE),"")</f>
        <v/>
      </c>
      <c r="K629" s="20">
        <f>IFERROR(VLOOKUP(D629,XPMenu!$A:$F,4,FALSE),"")</f>
        <v/>
      </c>
      <c r="L629" s="20" t="n"/>
      <c r="M629" s="20">
        <f>IF(A629="","",IF(F629&lt;&gt;"Yes",0,IF(L629&lt;&gt;"",L629,E629*K629)))</f>
        <v/>
      </c>
      <c r="N629" s="20">
        <f>IF($A629="","",$A629-WEEKDAY($A629,2)+1)</f>
        <v/>
      </c>
      <c r="O629" s="20">
        <f>IF($A629="","",TEXT($A629,"yyyy-mm"))</f>
        <v/>
      </c>
      <c r="P629" s="21">
        <f>IF($A629="","",TEXT(YEAR($A629),"0000")&amp;"-Q"&amp;ROUNDUP(MONTH($A629)/3,0))</f>
        <v/>
      </c>
    </row>
    <row r="630">
      <c r="A630" s="22" t="n"/>
      <c r="B630" s="20" t="n"/>
      <c r="C630" s="20" t="n"/>
      <c r="D630" s="20">
        <f>IFERROR(INDEX(XPMenu!$A$2:$A$1000, MATCH(C630, XPMenu!$B$2:$B$1000, 0)), "")</f>
        <v/>
      </c>
      <c r="E630" s="20" t="n"/>
      <c r="F630" s="20" t="n"/>
      <c r="G630" s="20" t="n"/>
      <c r="H630" s="20" t="n"/>
      <c r="I630" s="20">
        <f>IFERROR(VLOOKUP(D630,XPMenu!$A:$F,2,FALSE),"")</f>
        <v/>
      </c>
      <c r="J630" s="20">
        <f>IFERROR(VLOOKUP(D630,XPMenu!$A:$F,3,FALSE),"")</f>
        <v/>
      </c>
      <c r="K630" s="20">
        <f>IFERROR(VLOOKUP(D630,XPMenu!$A:$F,4,FALSE),"")</f>
        <v/>
      </c>
      <c r="L630" s="20" t="n"/>
      <c r="M630" s="20">
        <f>IF(A630="","",IF(F630&lt;&gt;"Yes",0,IF(L630&lt;&gt;"",L630,E630*K630)))</f>
        <v/>
      </c>
      <c r="N630" s="20">
        <f>IF($A630="","",$A630-WEEKDAY($A630,2)+1)</f>
        <v/>
      </c>
      <c r="O630" s="20">
        <f>IF($A630="","",TEXT($A630,"yyyy-mm"))</f>
        <v/>
      </c>
      <c r="P630" s="21">
        <f>IF($A630="","",TEXT(YEAR($A630),"0000")&amp;"-Q"&amp;ROUNDUP(MONTH($A630)/3,0))</f>
        <v/>
      </c>
    </row>
    <row r="631">
      <c r="A631" s="22" t="n"/>
      <c r="B631" s="20" t="n"/>
      <c r="C631" s="20" t="n"/>
      <c r="D631" s="20">
        <f>IFERROR(INDEX(XPMenu!$A$2:$A$1000, MATCH(C631, XPMenu!$B$2:$B$1000, 0)), "")</f>
        <v/>
      </c>
      <c r="E631" s="20" t="n"/>
      <c r="F631" s="20" t="n"/>
      <c r="G631" s="20" t="n"/>
      <c r="H631" s="20" t="n"/>
      <c r="I631" s="20">
        <f>IFERROR(VLOOKUP(D631,XPMenu!$A:$F,2,FALSE),"")</f>
        <v/>
      </c>
      <c r="J631" s="20">
        <f>IFERROR(VLOOKUP(D631,XPMenu!$A:$F,3,FALSE),"")</f>
        <v/>
      </c>
      <c r="K631" s="20">
        <f>IFERROR(VLOOKUP(D631,XPMenu!$A:$F,4,FALSE),"")</f>
        <v/>
      </c>
      <c r="L631" s="20" t="n"/>
      <c r="M631" s="20">
        <f>IF(A631="","",IF(F631&lt;&gt;"Yes",0,IF(L631&lt;&gt;"",L631,E631*K631)))</f>
        <v/>
      </c>
      <c r="N631" s="20">
        <f>IF($A631="","",$A631-WEEKDAY($A631,2)+1)</f>
        <v/>
      </c>
      <c r="O631" s="20">
        <f>IF($A631="","",TEXT($A631,"yyyy-mm"))</f>
        <v/>
      </c>
      <c r="P631" s="21">
        <f>IF($A631="","",TEXT(YEAR($A631),"0000")&amp;"-Q"&amp;ROUNDUP(MONTH($A631)/3,0))</f>
        <v/>
      </c>
    </row>
    <row r="632">
      <c r="A632" s="22" t="n"/>
      <c r="B632" s="20" t="n"/>
      <c r="C632" s="20" t="n"/>
      <c r="D632" s="20">
        <f>IFERROR(INDEX(XPMenu!$A$2:$A$1000, MATCH(C632, XPMenu!$B$2:$B$1000, 0)), "")</f>
        <v/>
      </c>
      <c r="E632" s="20" t="n"/>
      <c r="F632" s="20" t="n"/>
      <c r="G632" s="20" t="n"/>
      <c r="H632" s="20" t="n"/>
      <c r="I632" s="20">
        <f>IFERROR(VLOOKUP(D632,XPMenu!$A:$F,2,FALSE),"")</f>
        <v/>
      </c>
      <c r="J632" s="20">
        <f>IFERROR(VLOOKUP(D632,XPMenu!$A:$F,3,FALSE),"")</f>
        <v/>
      </c>
      <c r="K632" s="20">
        <f>IFERROR(VLOOKUP(D632,XPMenu!$A:$F,4,FALSE),"")</f>
        <v/>
      </c>
      <c r="L632" s="20" t="n"/>
      <c r="M632" s="20">
        <f>IF(A632="","",IF(F632&lt;&gt;"Yes",0,IF(L632&lt;&gt;"",L632,E632*K632)))</f>
        <v/>
      </c>
      <c r="N632" s="20">
        <f>IF($A632="","",$A632-WEEKDAY($A632,2)+1)</f>
        <v/>
      </c>
      <c r="O632" s="20">
        <f>IF($A632="","",TEXT($A632,"yyyy-mm"))</f>
        <v/>
      </c>
      <c r="P632" s="21">
        <f>IF($A632="","",TEXT(YEAR($A632),"0000")&amp;"-Q"&amp;ROUNDUP(MONTH($A632)/3,0))</f>
        <v/>
      </c>
    </row>
    <row r="633">
      <c r="A633" s="22" t="n"/>
      <c r="B633" s="20" t="n"/>
      <c r="C633" s="20" t="n"/>
      <c r="D633" s="20">
        <f>IFERROR(INDEX(XPMenu!$A$2:$A$1000, MATCH(C633, XPMenu!$B$2:$B$1000, 0)), "")</f>
        <v/>
      </c>
      <c r="E633" s="20" t="n"/>
      <c r="F633" s="20" t="n"/>
      <c r="G633" s="20" t="n"/>
      <c r="H633" s="20" t="n"/>
      <c r="I633" s="20">
        <f>IFERROR(VLOOKUP(D633,XPMenu!$A:$F,2,FALSE),"")</f>
        <v/>
      </c>
      <c r="J633" s="20">
        <f>IFERROR(VLOOKUP(D633,XPMenu!$A:$F,3,FALSE),"")</f>
        <v/>
      </c>
      <c r="K633" s="20">
        <f>IFERROR(VLOOKUP(D633,XPMenu!$A:$F,4,FALSE),"")</f>
        <v/>
      </c>
      <c r="L633" s="20" t="n"/>
      <c r="M633" s="20">
        <f>IF(A633="","",IF(F633&lt;&gt;"Yes",0,IF(L633&lt;&gt;"",L633,E633*K633)))</f>
        <v/>
      </c>
      <c r="N633" s="20">
        <f>IF($A633="","",$A633-WEEKDAY($A633,2)+1)</f>
        <v/>
      </c>
      <c r="O633" s="20">
        <f>IF($A633="","",TEXT($A633,"yyyy-mm"))</f>
        <v/>
      </c>
      <c r="P633" s="21">
        <f>IF($A633="","",TEXT(YEAR($A633),"0000")&amp;"-Q"&amp;ROUNDUP(MONTH($A633)/3,0))</f>
        <v/>
      </c>
    </row>
    <row r="634">
      <c r="A634" s="22" t="n"/>
      <c r="B634" s="20" t="n"/>
      <c r="C634" s="20" t="n"/>
      <c r="D634" s="20">
        <f>IFERROR(INDEX(XPMenu!$A$2:$A$1000, MATCH(C634, XPMenu!$B$2:$B$1000, 0)), "")</f>
        <v/>
      </c>
      <c r="E634" s="20" t="n"/>
      <c r="F634" s="20" t="n"/>
      <c r="G634" s="20" t="n"/>
      <c r="H634" s="20" t="n"/>
      <c r="I634" s="20">
        <f>IFERROR(VLOOKUP(D634,XPMenu!$A:$F,2,FALSE),"")</f>
        <v/>
      </c>
      <c r="J634" s="20">
        <f>IFERROR(VLOOKUP(D634,XPMenu!$A:$F,3,FALSE),"")</f>
        <v/>
      </c>
      <c r="K634" s="20">
        <f>IFERROR(VLOOKUP(D634,XPMenu!$A:$F,4,FALSE),"")</f>
        <v/>
      </c>
      <c r="L634" s="20" t="n"/>
      <c r="M634" s="20">
        <f>IF(A634="","",IF(F634&lt;&gt;"Yes",0,IF(L634&lt;&gt;"",L634,E634*K634)))</f>
        <v/>
      </c>
      <c r="N634" s="20">
        <f>IF($A634="","",$A634-WEEKDAY($A634,2)+1)</f>
        <v/>
      </c>
      <c r="O634" s="20">
        <f>IF($A634="","",TEXT($A634,"yyyy-mm"))</f>
        <v/>
      </c>
      <c r="P634" s="21">
        <f>IF($A634="","",TEXT(YEAR($A634),"0000")&amp;"-Q"&amp;ROUNDUP(MONTH($A634)/3,0))</f>
        <v/>
      </c>
    </row>
    <row r="635">
      <c r="A635" s="22" t="n"/>
      <c r="B635" s="20" t="n"/>
      <c r="C635" s="20" t="n"/>
      <c r="D635" s="20">
        <f>IFERROR(INDEX(XPMenu!$A$2:$A$1000, MATCH(C635, XPMenu!$B$2:$B$1000, 0)), "")</f>
        <v/>
      </c>
      <c r="E635" s="20" t="n"/>
      <c r="F635" s="20" t="n"/>
      <c r="G635" s="20" t="n"/>
      <c r="H635" s="20" t="n"/>
      <c r="I635" s="20">
        <f>IFERROR(VLOOKUP(D635,XPMenu!$A:$F,2,FALSE),"")</f>
        <v/>
      </c>
      <c r="J635" s="20">
        <f>IFERROR(VLOOKUP(D635,XPMenu!$A:$F,3,FALSE),"")</f>
        <v/>
      </c>
      <c r="K635" s="20">
        <f>IFERROR(VLOOKUP(D635,XPMenu!$A:$F,4,FALSE),"")</f>
        <v/>
      </c>
      <c r="L635" s="20" t="n"/>
      <c r="M635" s="20">
        <f>IF(A635="","",IF(F635&lt;&gt;"Yes",0,IF(L635&lt;&gt;"",L635,E635*K635)))</f>
        <v/>
      </c>
      <c r="N635" s="20">
        <f>IF($A635="","",$A635-WEEKDAY($A635,2)+1)</f>
        <v/>
      </c>
      <c r="O635" s="20">
        <f>IF($A635="","",TEXT($A635,"yyyy-mm"))</f>
        <v/>
      </c>
      <c r="P635" s="21">
        <f>IF($A635="","",TEXT(YEAR($A635),"0000")&amp;"-Q"&amp;ROUNDUP(MONTH($A635)/3,0))</f>
        <v/>
      </c>
    </row>
    <row r="636">
      <c r="A636" s="22" t="n"/>
      <c r="B636" s="20" t="n"/>
      <c r="C636" s="20" t="n"/>
      <c r="D636" s="20">
        <f>IFERROR(INDEX(XPMenu!$A$2:$A$1000, MATCH(C636, XPMenu!$B$2:$B$1000, 0)), "")</f>
        <v/>
      </c>
      <c r="E636" s="20" t="n"/>
      <c r="F636" s="20" t="n"/>
      <c r="G636" s="20" t="n"/>
      <c r="H636" s="20" t="n"/>
      <c r="I636" s="20">
        <f>IFERROR(VLOOKUP(D636,XPMenu!$A:$F,2,FALSE),"")</f>
        <v/>
      </c>
      <c r="J636" s="20">
        <f>IFERROR(VLOOKUP(D636,XPMenu!$A:$F,3,FALSE),"")</f>
        <v/>
      </c>
      <c r="K636" s="20">
        <f>IFERROR(VLOOKUP(D636,XPMenu!$A:$F,4,FALSE),"")</f>
        <v/>
      </c>
      <c r="L636" s="20" t="n"/>
      <c r="M636" s="20">
        <f>IF(A636="","",IF(F636&lt;&gt;"Yes",0,IF(L636&lt;&gt;"",L636,E636*K636)))</f>
        <v/>
      </c>
      <c r="N636" s="20">
        <f>IF($A636="","",$A636-WEEKDAY($A636,2)+1)</f>
        <v/>
      </c>
      <c r="O636" s="20">
        <f>IF($A636="","",TEXT($A636,"yyyy-mm"))</f>
        <v/>
      </c>
      <c r="P636" s="21">
        <f>IF($A636="","",TEXT(YEAR($A636),"0000")&amp;"-Q"&amp;ROUNDUP(MONTH($A636)/3,0))</f>
        <v/>
      </c>
    </row>
    <row r="637">
      <c r="A637" s="22" t="n"/>
      <c r="B637" s="20" t="n"/>
      <c r="C637" s="20" t="n"/>
      <c r="D637" s="20">
        <f>IFERROR(INDEX(XPMenu!$A$2:$A$1000, MATCH(C637, XPMenu!$B$2:$B$1000, 0)), "")</f>
        <v/>
      </c>
      <c r="E637" s="20" t="n"/>
      <c r="F637" s="20" t="n"/>
      <c r="G637" s="20" t="n"/>
      <c r="H637" s="20" t="n"/>
      <c r="I637" s="20">
        <f>IFERROR(VLOOKUP(D637,XPMenu!$A:$F,2,FALSE),"")</f>
        <v/>
      </c>
      <c r="J637" s="20">
        <f>IFERROR(VLOOKUP(D637,XPMenu!$A:$F,3,FALSE),"")</f>
        <v/>
      </c>
      <c r="K637" s="20">
        <f>IFERROR(VLOOKUP(D637,XPMenu!$A:$F,4,FALSE),"")</f>
        <v/>
      </c>
      <c r="L637" s="20" t="n"/>
      <c r="M637" s="20">
        <f>IF(A637="","",IF(F637&lt;&gt;"Yes",0,IF(L637&lt;&gt;"",L637,E637*K637)))</f>
        <v/>
      </c>
      <c r="N637" s="20">
        <f>IF($A637="","",$A637-WEEKDAY($A637,2)+1)</f>
        <v/>
      </c>
      <c r="O637" s="20">
        <f>IF($A637="","",TEXT($A637,"yyyy-mm"))</f>
        <v/>
      </c>
      <c r="P637" s="21">
        <f>IF($A637="","",TEXT(YEAR($A637),"0000")&amp;"-Q"&amp;ROUNDUP(MONTH($A637)/3,0))</f>
        <v/>
      </c>
    </row>
    <row r="638">
      <c r="A638" s="22" t="n"/>
      <c r="B638" s="20" t="n"/>
      <c r="C638" s="20" t="n"/>
      <c r="D638" s="20">
        <f>IFERROR(INDEX(XPMenu!$A$2:$A$1000, MATCH(C638, XPMenu!$B$2:$B$1000, 0)), "")</f>
        <v/>
      </c>
      <c r="E638" s="20" t="n"/>
      <c r="F638" s="20" t="n"/>
      <c r="G638" s="20" t="n"/>
      <c r="H638" s="20" t="n"/>
      <c r="I638" s="20">
        <f>IFERROR(VLOOKUP(D638,XPMenu!$A:$F,2,FALSE),"")</f>
        <v/>
      </c>
      <c r="J638" s="20">
        <f>IFERROR(VLOOKUP(D638,XPMenu!$A:$F,3,FALSE),"")</f>
        <v/>
      </c>
      <c r="K638" s="20">
        <f>IFERROR(VLOOKUP(D638,XPMenu!$A:$F,4,FALSE),"")</f>
        <v/>
      </c>
      <c r="L638" s="20" t="n"/>
      <c r="M638" s="20">
        <f>IF(A638="","",IF(F638&lt;&gt;"Yes",0,IF(L638&lt;&gt;"",L638,E638*K638)))</f>
        <v/>
      </c>
      <c r="N638" s="20">
        <f>IF($A638="","",$A638-WEEKDAY($A638,2)+1)</f>
        <v/>
      </c>
      <c r="O638" s="20">
        <f>IF($A638="","",TEXT($A638,"yyyy-mm"))</f>
        <v/>
      </c>
      <c r="P638" s="21">
        <f>IF($A638="","",TEXT(YEAR($A638),"0000")&amp;"-Q"&amp;ROUNDUP(MONTH($A638)/3,0))</f>
        <v/>
      </c>
    </row>
    <row r="639">
      <c r="A639" s="22" t="n"/>
      <c r="B639" s="20" t="n"/>
      <c r="C639" s="20" t="n"/>
      <c r="D639" s="20">
        <f>IFERROR(INDEX(XPMenu!$A$2:$A$1000, MATCH(C639, XPMenu!$B$2:$B$1000, 0)), "")</f>
        <v/>
      </c>
      <c r="E639" s="20" t="n"/>
      <c r="F639" s="20" t="n"/>
      <c r="G639" s="20" t="n"/>
      <c r="H639" s="20" t="n"/>
      <c r="I639" s="20">
        <f>IFERROR(VLOOKUP(D639,XPMenu!$A:$F,2,FALSE),"")</f>
        <v/>
      </c>
      <c r="J639" s="20">
        <f>IFERROR(VLOOKUP(D639,XPMenu!$A:$F,3,FALSE),"")</f>
        <v/>
      </c>
      <c r="K639" s="20">
        <f>IFERROR(VLOOKUP(D639,XPMenu!$A:$F,4,FALSE),"")</f>
        <v/>
      </c>
      <c r="L639" s="20" t="n"/>
      <c r="M639" s="20">
        <f>IF(A639="","",IF(F639&lt;&gt;"Yes",0,IF(L639&lt;&gt;"",L639,E639*K639)))</f>
        <v/>
      </c>
      <c r="N639" s="20">
        <f>IF($A639="","",$A639-WEEKDAY($A639,2)+1)</f>
        <v/>
      </c>
      <c r="O639" s="20">
        <f>IF($A639="","",TEXT($A639,"yyyy-mm"))</f>
        <v/>
      </c>
      <c r="P639" s="21">
        <f>IF($A639="","",TEXT(YEAR($A639),"0000")&amp;"-Q"&amp;ROUNDUP(MONTH($A639)/3,0))</f>
        <v/>
      </c>
    </row>
    <row r="640">
      <c r="A640" s="22" t="n"/>
      <c r="B640" s="20" t="n"/>
      <c r="C640" s="20" t="n"/>
      <c r="D640" s="20">
        <f>IFERROR(INDEX(XPMenu!$A$2:$A$1000, MATCH(C640, XPMenu!$B$2:$B$1000, 0)), "")</f>
        <v/>
      </c>
      <c r="E640" s="20" t="n"/>
      <c r="F640" s="20" t="n"/>
      <c r="G640" s="20" t="n"/>
      <c r="H640" s="20" t="n"/>
      <c r="I640" s="20">
        <f>IFERROR(VLOOKUP(D640,XPMenu!$A:$F,2,FALSE),"")</f>
        <v/>
      </c>
      <c r="J640" s="20">
        <f>IFERROR(VLOOKUP(D640,XPMenu!$A:$F,3,FALSE),"")</f>
        <v/>
      </c>
      <c r="K640" s="20">
        <f>IFERROR(VLOOKUP(D640,XPMenu!$A:$F,4,FALSE),"")</f>
        <v/>
      </c>
      <c r="L640" s="20" t="n"/>
      <c r="M640" s="20">
        <f>IF(A640="","",IF(F640&lt;&gt;"Yes",0,IF(L640&lt;&gt;"",L640,E640*K640)))</f>
        <v/>
      </c>
      <c r="N640" s="20">
        <f>IF($A640="","",$A640-WEEKDAY($A640,2)+1)</f>
        <v/>
      </c>
      <c r="O640" s="20">
        <f>IF($A640="","",TEXT($A640,"yyyy-mm"))</f>
        <v/>
      </c>
      <c r="P640" s="21">
        <f>IF($A640="","",TEXT(YEAR($A640),"0000")&amp;"-Q"&amp;ROUNDUP(MONTH($A640)/3,0))</f>
        <v/>
      </c>
    </row>
    <row r="641">
      <c r="A641" s="22" t="n"/>
      <c r="B641" s="20" t="n"/>
      <c r="C641" s="20" t="n"/>
      <c r="D641" s="20">
        <f>IFERROR(INDEX(XPMenu!$A$2:$A$1000, MATCH(C641, XPMenu!$B$2:$B$1000, 0)), "")</f>
        <v/>
      </c>
      <c r="E641" s="20" t="n"/>
      <c r="F641" s="20" t="n"/>
      <c r="G641" s="20" t="n"/>
      <c r="H641" s="20" t="n"/>
      <c r="I641" s="20">
        <f>IFERROR(VLOOKUP(D641,XPMenu!$A:$F,2,FALSE),"")</f>
        <v/>
      </c>
      <c r="J641" s="20">
        <f>IFERROR(VLOOKUP(D641,XPMenu!$A:$F,3,FALSE),"")</f>
        <v/>
      </c>
      <c r="K641" s="20">
        <f>IFERROR(VLOOKUP(D641,XPMenu!$A:$F,4,FALSE),"")</f>
        <v/>
      </c>
      <c r="L641" s="20" t="n"/>
      <c r="M641" s="20">
        <f>IF(A641="","",IF(F641&lt;&gt;"Yes",0,IF(L641&lt;&gt;"",L641,E641*K641)))</f>
        <v/>
      </c>
      <c r="N641" s="20">
        <f>IF($A641="","",$A641-WEEKDAY($A641,2)+1)</f>
        <v/>
      </c>
      <c r="O641" s="20">
        <f>IF($A641="","",TEXT($A641,"yyyy-mm"))</f>
        <v/>
      </c>
      <c r="P641" s="21">
        <f>IF($A641="","",TEXT(YEAR($A641),"0000")&amp;"-Q"&amp;ROUNDUP(MONTH($A641)/3,0))</f>
        <v/>
      </c>
    </row>
    <row r="642">
      <c r="A642" s="22" t="n"/>
      <c r="B642" s="20" t="n"/>
      <c r="C642" s="20" t="n"/>
      <c r="D642" s="20">
        <f>IFERROR(INDEX(XPMenu!$A$2:$A$1000, MATCH(C642, XPMenu!$B$2:$B$1000, 0)), "")</f>
        <v/>
      </c>
      <c r="E642" s="20" t="n"/>
      <c r="F642" s="20" t="n"/>
      <c r="G642" s="20" t="n"/>
      <c r="H642" s="20" t="n"/>
      <c r="I642" s="20">
        <f>IFERROR(VLOOKUP(D642,XPMenu!$A:$F,2,FALSE),"")</f>
        <v/>
      </c>
      <c r="J642" s="20">
        <f>IFERROR(VLOOKUP(D642,XPMenu!$A:$F,3,FALSE),"")</f>
        <v/>
      </c>
      <c r="K642" s="20">
        <f>IFERROR(VLOOKUP(D642,XPMenu!$A:$F,4,FALSE),"")</f>
        <v/>
      </c>
      <c r="L642" s="20" t="n"/>
      <c r="M642" s="20">
        <f>IF(A642="","",IF(F642&lt;&gt;"Yes",0,IF(L642&lt;&gt;"",L642,E642*K642)))</f>
        <v/>
      </c>
      <c r="N642" s="20">
        <f>IF($A642="","",$A642-WEEKDAY($A642,2)+1)</f>
        <v/>
      </c>
      <c r="O642" s="20">
        <f>IF($A642="","",TEXT($A642,"yyyy-mm"))</f>
        <v/>
      </c>
      <c r="P642" s="21">
        <f>IF($A642="","",TEXT(YEAR($A642),"0000")&amp;"-Q"&amp;ROUNDUP(MONTH($A642)/3,0))</f>
        <v/>
      </c>
    </row>
    <row r="643">
      <c r="A643" s="22" t="n"/>
      <c r="B643" s="20" t="n"/>
      <c r="C643" s="20" t="n"/>
      <c r="D643" s="20">
        <f>IFERROR(INDEX(XPMenu!$A$2:$A$1000, MATCH(C643, XPMenu!$B$2:$B$1000, 0)), "")</f>
        <v/>
      </c>
      <c r="E643" s="20" t="n"/>
      <c r="F643" s="20" t="n"/>
      <c r="G643" s="20" t="n"/>
      <c r="H643" s="20" t="n"/>
      <c r="I643" s="20">
        <f>IFERROR(VLOOKUP(D643,XPMenu!$A:$F,2,FALSE),"")</f>
        <v/>
      </c>
      <c r="J643" s="20">
        <f>IFERROR(VLOOKUP(D643,XPMenu!$A:$F,3,FALSE),"")</f>
        <v/>
      </c>
      <c r="K643" s="20">
        <f>IFERROR(VLOOKUP(D643,XPMenu!$A:$F,4,FALSE),"")</f>
        <v/>
      </c>
      <c r="L643" s="20" t="n"/>
      <c r="M643" s="20">
        <f>IF(A643="","",IF(F643&lt;&gt;"Yes",0,IF(L643&lt;&gt;"",L643,E643*K643)))</f>
        <v/>
      </c>
      <c r="N643" s="20">
        <f>IF($A643="","",$A643-WEEKDAY($A643,2)+1)</f>
        <v/>
      </c>
      <c r="O643" s="20">
        <f>IF($A643="","",TEXT($A643,"yyyy-mm"))</f>
        <v/>
      </c>
      <c r="P643" s="21">
        <f>IF($A643="","",TEXT(YEAR($A643),"0000")&amp;"-Q"&amp;ROUNDUP(MONTH($A643)/3,0))</f>
        <v/>
      </c>
    </row>
    <row r="644">
      <c r="A644" s="22" t="n"/>
      <c r="B644" s="20" t="n"/>
      <c r="C644" s="20" t="n"/>
      <c r="D644" s="20">
        <f>IFERROR(INDEX(XPMenu!$A$2:$A$1000, MATCH(C644, XPMenu!$B$2:$B$1000, 0)), "")</f>
        <v/>
      </c>
      <c r="E644" s="20" t="n"/>
      <c r="F644" s="20" t="n"/>
      <c r="G644" s="20" t="n"/>
      <c r="H644" s="20" t="n"/>
      <c r="I644" s="20">
        <f>IFERROR(VLOOKUP(D644,XPMenu!$A:$F,2,FALSE),"")</f>
        <v/>
      </c>
      <c r="J644" s="20">
        <f>IFERROR(VLOOKUP(D644,XPMenu!$A:$F,3,FALSE),"")</f>
        <v/>
      </c>
      <c r="K644" s="20">
        <f>IFERROR(VLOOKUP(D644,XPMenu!$A:$F,4,FALSE),"")</f>
        <v/>
      </c>
      <c r="L644" s="20" t="n"/>
      <c r="M644" s="20">
        <f>IF(A644="","",IF(F644&lt;&gt;"Yes",0,IF(L644&lt;&gt;"",L644,E644*K644)))</f>
        <v/>
      </c>
      <c r="N644" s="20">
        <f>IF($A644="","",$A644-WEEKDAY($A644,2)+1)</f>
        <v/>
      </c>
      <c r="O644" s="20">
        <f>IF($A644="","",TEXT($A644,"yyyy-mm"))</f>
        <v/>
      </c>
      <c r="P644" s="21">
        <f>IF($A644="","",TEXT(YEAR($A644),"0000")&amp;"-Q"&amp;ROUNDUP(MONTH($A644)/3,0))</f>
        <v/>
      </c>
    </row>
    <row r="645">
      <c r="A645" s="22" t="n"/>
      <c r="B645" s="20" t="n"/>
      <c r="C645" s="20" t="n"/>
      <c r="D645" s="20">
        <f>IFERROR(INDEX(XPMenu!$A$2:$A$1000, MATCH(C645, XPMenu!$B$2:$B$1000, 0)), "")</f>
        <v/>
      </c>
      <c r="E645" s="20" t="n"/>
      <c r="F645" s="20" t="n"/>
      <c r="G645" s="20" t="n"/>
      <c r="H645" s="20" t="n"/>
      <c r="I645" s="20">
        <f>IFERROR(VLOOKUP(D645,XPMenu!$A:$F,2,FALSE),"")</f>
        <v/>
      </c>
      <c r="J645" s="20">
        <f>IFERROR(VLOOKUP(D645,XPMenu!$A:$F,3,FALSE),"")</f>
        <v/>
      </c>
      <c r="K645" s="20">
        <f>IFERROR(VLOOKUP(D645,XPMenu!$A:$F,4,FALSE),"")</f>
        <v/>
      </c>
      <c r="L645" s="20" t="n"/>
      <c r="M645" s="20">
        <f>IF(A645="","",IF(F645&lt;&gt;"Yes",0,IF(L645&lt;&gt;"",L645,E645*K645)))</f>
        <v/>
      </c>
      <c r="N645" s="20">
        <f>IF($A645="","",$A645-WEEKDAY($A645,2)+1)</f>
        <v/>
      </c>
      <c r="O645" s="20">
        <f>IF($A645="","",TEXT($A645,"yyyy-mm"))</f>
        <v/>
      </c>
      <c r="P645" s="21">
        <f>IF($A645="","",TEXT(YEAR($A645),"0000")&amp;"-Q"&amp;ROUNDUP(MONTH($A645)/3,0))</f>
        <v/>
      </c>
    </row>
    <row r="646">
      <c r="A646" s="22" t="n"/>
      <c r="B646" s="20" t="n"/>
      <c r="C646" s="20" t="n"/>
      <c r="D646" s="20">
        <f>IFERROR(INDEX(XPMenu!$A$2:$A$1000, MATCH(C646, XPMenu!$B$2:$B$1000, 0)), "")</f>
        <v/>
      </c>
      <c r="E646" s="20" t="n"/>
      <c r="F646" s="20" t="n"/>
      <c r="G646" s="20" t="n"/>
      <c r="H646" s="20" t="n"/>
      <c r="I646" s="20">
        <f>IFERROR(VLOOKUP(D646,XPMenu!$A:$F,2,FALSE),"")</f>
        <v/>
      </c>
      <c r="J646" s="20">
        <f>IFERROR(VLOOKUP(D646,XPMenu!$A:$F,3,FALSE),"")</f>
        <v/>
      </c>
      <c r="K646" s="20">
        <f>IFERROR(VLOOKUP(D646,XPMenu!$A:$F,4,FALSE),"")</f>
        <v/>
      </c>
      <c r="L646" s="20" t="n"/>
      <c r="M646" s="20">
        <f>IF(A646="","",IF(F646&lt;&gt;"Yes",0,IF(L646&lt;&gt;"",L646,E646*K646)))</f>
        <v/>
      </c>
      <c r="N646" s="20">
        <f>IF($A646="","",$A646-WEEKDAY($A646,2)+1)</f>
        <v/>
      </c>
      <c r="O646" s="20">
        <f>IF($A646="","",TEXT($A646,"yyyy-mm"))</f>
        <v/>
      </c>
      <c r="P646" s="21">
        <f>IF($A646="","",TEXT(YEAR($A646),"0000")&amp;"-Q"&amp;ROUNDUP(MONTH($A646)/3,0))</f>
        <v/>
      </c>
    </row>
    <row r="647">
      <c r="A647" s="22" t="n"/>
      <c r="B647" s="20" t="n"/>
      <c r="C647" s="20" t="n"/>
      <c r="D647" s="20">
        <f>IFERROR(INDEX(XPMenu!$A$2:$A$1000, MATCH(C647, XPMenu!$B$2:$B$1000, 0)), "")</f>
        <v/>
      </c>
      <c r="E647" s="20" t="n"/>
      <c r="F647" s="20" t="n"/>
      <c r="G647" s="20" t="n"/>
      <c r="H647" s="20" t="n"/>
      <c r="I647" s="20">
        <f>IFERROR(VLOOKUP(D647,XPMenu!$A:$F,2,FALSE),"")</f>
        <v/>
      </c>
      <c r="J647" s="20">
        <f>IFERROR(VLOOKUP(D647,XPMenu!$A:$F,3,FALSE),"")</f>
        <v/>
      </c>
      <c r="K647" s="20">
        <f>IFERROR(VLOOKUP(D647,XPMenu!$A:$F,4,FALSE),"")</f>
        <v/>
      </c>
      <c r="L647" s="20" t="n"/>
      <c r="M647" s="20">
        <f>IF(A647="","",IF(F647&lt;&gt;"Yes",0,IF(L647&lt;&gt;"",L647,E647*K647)))</f>
        <v/>
      </c>
      <c r="N647" s="20">
        <f>IF($A647="","",$A647-WEEKDAY($A647,2)+1)</f>
        <v/>
      </c>
      <c r="O647" s="20">
        <f>IF($A647="","",TEXT($A647,"yyyy-mm"))</f>
        <v/>
      </c>
      <c r="P647" s="21">
        <f>IF($A647="","",TEXT(YEAR($A647),"0000")&amp;"-Q"&amp;ROUNDUP(MONTH($A647)/3,0))</f>
        <v/>
      </c>
    </row>
    <row r="648">
      <c r="A648" s="22" t="n"/>
      <c r="B648" s="20" t="n"/>
      <c r="C648" s="20" t="n"/>
      <c r="D648" s="20">
        <f>IFERROR(INDEX(XPMenu!$A$2:$A$1000, MATCH(C648, XPMenu!$B$2:$B$1000, 0)), "")</f>
        <v/>
      </c>
      <c r="E648" s="20" t="n"/>
      <c r="F648" s="20" t="n"/>
      <c r="G648" s="20" t="n"/>
      <c r="H648" s="20" t="n"/>
      <c r="I648" s="20">
        <f>IFERROR(VLOOKUP(D648,XPMenu!$A:$F,2,FALSE),"")</f>
        <v/>
      </c>
      <c r="J648" s="20">
        <f>IFERROR(VLOOKUP(D648,XPMenu!$A:$F,3,FALSE),"")</f>
        <v/>
      </c>
      <c r="K648" s="20">
        <f>IFERROR(VLOOKUP(D648,XPMenu!$A:$F,4,FALSE),"")</f>
        <v/>
      </c>
      <c r="L648" s="20" t="n"/>
      <c r="M648" s="20">
        <f>IF(A648="","",IF(F648&lt;&gt;"Yes",0,IF(L648&lt;&gt;"",L648,E648*K648)))</f>
        <v/>
      </c>
      <c r="N648" s="20">
        <f>IF($A648="","",$A648-WEEKDAY($A648,2)+1)</f>
        <v/>
      </c>
      <c r="O648" s="20">
        <f>IF($A648="","",TEXT($A648,"yyyy-mm"))</f>
        <v/>
      </c>
      <c r="P648" s="21">
        <f>IF($A648="","",TEXT(YEAR($A648),"0000")&amp;"-Q"&amp;ROUNDUP(MONTH($A648)/3,0))</f>
        <v/>
      </c>
    </row>
    <row r="649">
      <c r="A649" s="22" t="n"/>
      <c r="B649" s="20" t="n"/>
      <c r="C649" s="20" t="n"/>
      <c r="D649" s="20">
        <f>IFERROR(INDEX(XPMenu!$A$2:$A$1000, MATCH(C649, XPMenu!$B$2:$B$1000, 0)), "")</f>
        <v/>
      </c>
      <c r="E649" s="20" t="n"/>
      <c r="F649" s="20" t="n"/>
      <c r="G649" s="20" t="n"/>
      <c r="H649" s="20" t="n"/>
      <c r="I649" s="20">
        <f>IFERROR(VLOOKUP(D649,XPMenu!$A:$F,2,FALSE),"")</f>
        <v/>
      </c>
      <c r="J649" s="20">
        <f>IFERROR(VLOOKUP(D649,XPMenu!$A:$F,3,FALSE),"")</f>
        <v/>
      </c>
      <c r="K649" s="20">
        <f>IFERROR(VLOOKUP(D649,XPMenu!$A:$F,4,FALSE),"")</f>
        <v/>
      </c>
      <c r="L649" s="20" t="n"/>
      <c r="M649" s="20">
        <f>IF(A649="","",IF(F649&lt;&gt;"Yes",0,IF(L649&lt;&gt;"",L649,E649*K649)))</f>
        <v/>
      </c>
      <c r="N649" s="20">
        <f>IF($A649="","",$A649-WEEKDAY($A649,2)+1)</f>
        <v/>
      </c>
      <c r="O649" s="20">
        <f>IF($A649="","",TEXT($A649,"yyyy-mm"))</f>
        <v/>
      </c>
      <c r="P649" s="21">
        <f>IF($A649="","",TEXT(YEAR($A649),"0000")&amp;"-Q"&amp;ROUNDUP(MONTH($A649)/3,0))</f>
        <v/>
      </c>
    </row>
    <row r="650">
      <c r="A650" s="22" t="n"/>
      <c r="B650" s="20" t="n"/>
      <c r="C650" s="20" t="n"/>
      <c r="D650" s="20">
        <f>IFERROR(INDEX(XPMenu!$A$2:$A$1000, MATCH(C650, XPMenu!$B$2:$B$1000, 0)), "")</f>
        <v/>
      </c>
      <c r="E650" s="20" t="n"/>
      <c r="F650" s="20" t="n"/>
      <c r="G650" s="20" t="n"/>
      <c r="H650" s="20" t="n"/>
      <c r="I650" s="20">
        <f>IFERROR(VLOOKUP(D650,XPMenu!$A:$F,2,FALSE),"")</f>
        <v/>
      </c>
      <c r="J650" s="20">
        <f>IFERROR(VLOOKUP(D650,XPMenu!$A:$F,3,FALSE),"")</f>
        <v/>
      </c>
      <c r="K650" s="20">
        <f>IFERROR(VLOOKUP(D650,XPMenu!$A:$F,4,FALSE),"")</f>
        <v/>
      </c>
      <c r="L650" s="20" t="n"/>
      <c r="M650" s="20">
        <f>IF(A650="","",IF(F650&lt;&gt;"Yes",0,IF(L650&lt;&gt;"",L650,E650*K650)))</f>
        <v/>
      </c>
      <c r="N650" s="20">
        <f>IF($A650="","",$A650-WEEKDAY($A650,2)+1)</f>
        <v/>
      </c>
      <c r="O650" s="20">
        <f>IF($A650="","",TEXT($A650,"yyyy-mm"))</f>
        <v/>
      </c>
      <c r="P650" s="21">
        <f>IF($A650="","",TEXT(YEAR($A650),"0000")&amp;"-Q"&amp;ROUNDUP(MONTH($A650)/3,0))</f>
        <v/>
      </c>
    </row>
    <row r="651">
      <c r="A651" s="22" t="n"/>
      <c r="B651" s="20" t="n"/>
      <c r="C651" s="20" t="n"/>
      <c r="D651" s="20">
        <f>IFERROR(INDEX(XPMenu!$A$2:$A$1000, MATCH(C651, XPMenu!$B$2:$B$1000, 0)), "")</f>
        <v/>
      </c>
      <c r="E651" s="20" t="n"/>
      <c r="F651" s="20" t="n"/>
      <c r="G651" s="20" t="n"/>
      <c r="H651" s="20" t="n"/>
      <c r="I651" s="20">
        <f>IFERROR(VLOOKUP(D651,XPMenu!$A:$F,2,FALSE),"")</f>
        <v/>
      </c>
      <c r="J651" s="20">
        <f>IFERROR(VLOOKUP(D651,XPMenu!$A:$F,3,FALSE),"")</f>
        <v/>
      </c>
      <c r="K651" s="20">
        <f>IFERROR(VLOOKUP(D651,XPMenu!$A:$F,4,FALSE),"")</f>
        <v/>
      </c>
      <c r="L651" s="20" t="n"/>
      <c r="M651" s="20">
        <f>IF(A651="","",IF(F651&lt;&gt;"Yes",0,IF(L651&lt;&gt;"",L651,E651*K651)))</f>
        <v/>
      </c>
      <c r="N651" s="20">
        <f>IF($A651="","",$A651-WEEKDAY($A651,2)+1)</f>
        <v/>
      </c>
      <c r="O651" s="20">
        <f>IF($A651="","",TEXT($A651,"yyyy-mm"))</f>
        <v/>
      </c>
      <c r="P651" s="21">
        <f>IF($A651="","",TEXT(YEAR($A651),"0000")&amp;"-Q"&amp;ROUNDUP(MONTH($A651)/3,0))</f>
        <v/>
      </c>
    </row>
    <row r="652">
      <c r="A652" s="22" t="n"/>
      <c r="B652" s="20" t="n"/>
      <c r="C652" s="20" t="n"/>
      <c r="D652" s="20">
        <f>IFERROR(INDEX(XPMenu!$A$2:$A$1000, MATCH(C652, XPMenu!$B$2:$B$1000, 0)), "")</f>
        <v/>
      </c>
      <c r="E652" s="20" t="n"/>
      <c r="F652" s="20" t="n"/>
      <c r="G652" s="20" t="n"/>
      <c r="H652" s="20" t="n"/>
      <c r="I652" s="20">
        <f>IFERROR(VLOOKUP(D652,XPMenu!$A:$F,2,FALSE),"")</f>
        <v/>
      </c>
      <c r="J652" s="20">
        <f>IFERROR(VLOOKUP(D652,XPMenu!$A:$F,3,FALSE),"")</f>
        <v/>
      </c>
      <c r="K652" s="20">
        <f>IFERROR(VLOOKUP(D652,XPMenu!$A:$F,4,FALSE),"")</f>
        <v/>
      </c>
      <c r="L652" s="20" t="n"/>
      <c r="M652" s="20">
        <f>IF(A652="","",IF(F652&lt;&gt;"Yes",0,IF(L652&lt;&gt;"",L652,E652*K652)))</f>
        <v/>
      </c>
      <c r="N652" s="20">
        <f>IF($A652="","",$A652-WEEKDAY($A652,2)+1)</f>
        <v/>
      </c>
      <c r="O652" s="20">
        <f>IF($A652="","",TEXT($A652,"yyyy-mm"))</f>
        <v/>
      </c>
      <c r="P652" s="21">
        <f>IF($A652="","",TEXT(YEAR($A652),"0000")&amp;"-Q"&amp;ROUNDUP(MONTH($A652)/3,0))</f>
        <v/>
      </c>
    </row>
    <row r="653">
      <c r="A653" s="22" t="n"/>
      <c r="B653" s="20" t="n"/>
      <c r="C653" s="20" t="n"/>
      <c r="D653" s="20">
        <f>IFERROR(INDEX(XPMenu!$A$2:$A$1000, MATCH(C653, XPMenu!$B$2:$B$1000, 0)), "")</f>
        <v/>
      </c>
      <c r="E653" s="20" t="n"/>
      <c r="F653" s="20" t="n"/>
      <c r="G653" s="20" t="n"/>
      <c r="H653" s="20" t="n"/>
      <c r="I653" s="20">
        <f>IFERROR(VLOOKUP(D653,XPMenu!$A:$F,2,FALSE),"")</f>
        <v/>
      </c>
      <c r="J653" s="20">
        <f>IFERROR(VLOOKUP(D653,XPMenu!$A:$F,3,FALSE),"")</f>
        <v/>
      </c>
      <c r="K653" s="20">
        <f>IFERROR(VLOOKUP(D653,XPMenu!$A:$F,4,FALSE),"")</f>
        <v/>
      </c>
      <c r="L653" s="20" t="n"/>
      <c r="M653" s="20">
        <f>IF(A653="","",IF(F653&lt;&gt;"Yes",0,IF(L653&lt;&gt;"",L653,E653*K653)))</f>
        <v/>
      </c>
      <c r="N653" s="20">
        <f>IF($A653="","",$A653-WEEKDAY($A653,2)+1)</f>
        <v/>
      </c>
      <c r="O653" s="20">
        <f>IF($A653="","",TEXT($A653,"yyyy-mm"))</f>
        <v/>
      </c>
      <c r="P653" s="21">
        <f>IF($A653="","",TEXT(YEAR($A653),"0000")&amp;"-Q"&amp;ROUNDUP(MONTH($A653)/3,0))</f>
        <v/>
      </c>
    </row>
    <row r="654">
      <c r="A654" s="22" t="n"/>
      <c r="B654" s="20" t="n"/>
      <c r="C654" s="20" t="n"/>
      <c r="D654" s="20">
        <f>IFERROR(INDEX(XPMenu!$A$2:$A$1000, MATCH(C654, XPMenu!$B$2:$B$1000, 0)), "")</f>
        <v/>
      </c>
      <c r="E654" s="20" t="n"/>
      <c r="F654" s="20" t="n"/>
      <c r="G654" s="20" t="n"/>
      <c r="H654" s="20" t="n"/>
      <c r="I654" s="20">
        <f>IFERROR(VLOOKUP(D654,XPMenu!$A:$F,2,FALSE),"")</f>
        <v/>
      </c>
      <c r="J654" s="20">
        <f>IFERROR(VLOOKUP(D654,XPMenu!$A:$F,3,FALSE),"")</f>
        <v/>
      </c>
      <c r="K654" s="20">
        <f>IFERROR(VLOOKUP(D654,XPMenu!$A:$F,4,FALSE),"")</f>
        <v/>
      </c>
      <c r="L654" s="20" t="n"/>
      <c r="M654" s="20">
        <f>IF(A654="","",IF(F654&lt;&gt;"Yes",0,IF(L654&lt;&gt;"",L654,E654*K654)))</f>
        <v/>
      </c>
      <c r="N654" s="20">
        <f>IF($A654="","",$A654-WEEKDAY($A654,2)+1)</f>
        <v/>
      </c>
      <c r="O654" s="20">
        <f>IF($A654="","",TEXT($A654,"yyyy-mm"))</f>
        <v/>
      </c>
      <c r="P654" s="21">
        <f>IF($A654="","",TEXT(YEAR($A654),"0000")&amp;"-Q"&amp;ROUNDUP(MONTH($A654)/3,0))</f>
        <v/>
      </c>
    </row>
    <row r="655">
      <c r="A655" s="22" t="n"/>
      <c r="B655" s="20" t="n"/>
      <c r="C655" s="20" t="n"/>
      <c r="D655" s="20">
        <f>IFERROR(INDEX(XPMenu!$A$2:$A$1000, MATCH(C655, XPMenu!$B$2:$B$1000, 0)), "")</f>
        <v/>
      </c>
      <c r="E655" s="20" t="n"/>
      <c r="F655" s="20" t="n"/>
      <c r="G655" s="20" t="n"/>
      <c r="H655" s="20" t="n"/>
      <c r="I655" s="20">
        <f>IFERROR(VLOOKUP(D655,XPMenu!$A:$F,2,FALSE),"")</f>
        <v/>
      </c>
      <c r="J655" s="20">
        <f>IFERROR(VLOOKUP(D655,XPMenu!$A:$F,3,FALSE),"")</f>
        <v/>
      </c>
      <c r="K655" s="20">
        <f>IFERROR(VLOOKUP(D655,XPMenu!$A:$F,4,FALSE),"")</f>
        <v/>
      </c>
      <c r="L655" s="20" t="n"/>
      <c r="M655" s="20">
        <f>IF(A655="","",IF(F655&lt;&gt;"Yes",0,IF(L655&lt;&gt;"",L655,E655*K655)))</f>
        <v/>
      </c>
      <c r="N655" s="20">
        <f>IF($A655="","",$A655-WEEKDAY($A655,2)+1)</f>
        <v/>
      </c>
      <c r="O655" s="20">
        <f>IF($A655="","",TEXT($A655,"yyyy-mm"))</f>
        <v/>
      </c>
      <c r="P655" s="21">
        <f>IF($A655="","",TEXT(YEAR($A655),"0000")&amp;"-Q"&amp;ROUNDUP(MONTH($A655)/3,0))</f>
        <v/>
      </c>
    </row>
    <row r="656">
      <c r="A656" s="22" t="n"/>
      <c r="B656" s="20" t="n"/>
      <c r="C656" s="20" t="n"/>
      <c r="D656" s="20">
        <f>IFERROR(INDEX(XPMenu!$A$2:$A$1000, MATCH(C656, XPMenu!$B$2:$B$1000, 0)), "")</f>
        <v/>
      </c>
      <c r="E656" s="20" t="n"/>
      <c r="F656" s="20" t="n"/>
      <c r="G656" s="20" t="n"/>
      <c r="H656" s="20" t="n"/>
      <c r="I656" s="20">
        <f>IFERROR(VLOOKUP(D656,XPMenu!$A:$F,2,FALSE),"")</f>
        <v/>
      </c>
      <c r="J656" s="20">
        <f>IFERROR(VLOOKUP(D656,XPMenu!$A:$F,3,FALSE),"")</f>
        <v/>
      </c>
      <c r="K656" s="20">
        <f>IFERROR(VLOOKUP(D656,XPMenu!$A:$F,4,FALSE),"")</f>
        <v/>
      </c>
      <c r="L656" s="20" t="n"/>
      <c r="M656" s="20">
        <f>IF(A656="","",IF(F656&lt;&gt;"Yes",0,IF(L656&lt;&gt;"",L656,E656*K656)))</f>
        <v/>
      </c>
      <c r="N656" s="20">
        <f>IF($A656="","",$A656-WEEKDAY($A656,2)+1)</f>
        <v/>
      </c>
      <c r="O656" s="20">
        <f>IF($A656="","",TEXT($A656,"yyyy-mm"))</f>
        <v/>
      </c>
      <c r="P656" s="21">
        <f>IF($A656="","",TEXT(YEAR($A656),"0000")&amp;"-Q"&amp;ROUNDUP(MONTH($A656)/3,0))</f>
        <v/>
      </c>
    </row>
    <row r="657">
      <c r="A657" s="22" t="n"/>
      <c r="B657" s="20" t="n"/>
      <c r="C657" s="20" t="n"/>
      <c r="D657" s="20">
        <f>IFERROR(INDEX(XPMenu!$A$2:$A$1000, MATCH(C657, XPMenu!$B$2:$B$1000, 0)), "")</f>
        <v/>
      </c>
      <c r="E657" s="20" t="n"/>
      <c r="F657" s="20" t="n"/>
      <c r="G657" s="20" t="n"/>
      <c r="H657" s="20" t="n"/>
      <c r="I657" s="20">
        <f>IFERROR(VLOOKUP(D657,XPMenu!$A:$F,2,FALSE),"")</f>
        <v/>
      </c>
      <c r="J657" s="20">
        <f>IFERROR(VLOOKUP(D657,XPMenu!$A:$F,3,FALSE),"")</f>
        <v/>
      </c>
      <c r="K657" s="20">
        <f>IFERROR(VLOOKUP(D657,XPMenu!$A:$F,4,FALSE),"")</f>
        <v/>
      </c>
      <c r="L657" s="20" t="n"/>
      <c r="M657" s="20">
        <f>IF(A657="","",IF(F657&lt;&gt;"Yes",0,IF(L657&lt;&gt;"",L657,E657*K657)))</f>
        <v/>
      </c>
      <c r="N657" s="20">
        <f>IF($A657="","",$A657-WEEKDAY($A657,2)+1)</f>
        <v/>
      </c>
      <c r="O657" s="20">
        <f>IF($A657="","",TEXT($A657,"yyyy-mm"))</f>
        <v/>
      </c>
      <c r="P657" s="21">
        <f>IF($A657="","",TEXT(YEAR($A657),"0000")&amp;"-Q"&amp;ROUNDUP(MONTH($A657)/3,0))</f>
        <v/>
      </c>
    </row>
    <row r="658">
      <c r="A658" s="22" t="n"/>
      <c r="B658" s="20" t="n"/>
      <c r="C658" s="20" t="n"/>
      <c r="D658" s="20">
        <f>IFERROR(INDEX(XPMenu!$A$2:$A$1000, MATCH(C658, XPMenu!$B$2:$B$1000, 0)), "")</f>
        <v/>
      </c>
      <c r="E658" s="20" t="n"/>
      <c r="F658" s="20" t="n"/>
      <c r="G658" s="20" t="n"/>
      <c r="H658" s="20" t="n"/>
      <c r="I658" s="20">
        <f>IFERROR(VLOOKUP(D658,XPMenu!$A:$F,2,FALSE),"")</f>
        <v/>
      </c>
      <c r="J658" s="20">
        <f>IFERROR(VLOOKUP(D658,XPMenu!$A:$F,3,FALSE),"")</f>
        <v/>
      </c>
      <c r="K658" s="20">
        <f>IFERROR(VLOOKUP(D658,XPMenu!$A:$F,4,FALSE),"")</f>
        <v/>
      </c>
      <c r="L658" s="20" t="n"/>
      <c r="M658" s="20">
        <f>IF(A658="","",IF(F658&lt;&gt;"Yes",0,IF(L658&lt;&gt;"",L658,E658*K658)))</f>
        <v/>
      </c>
      <c r="N658" s="20">
        <f>IF($A658="","",$A658-WEEKDAY($A658,2)+1)</f>
        <v/>
      </c>
      <c r="O658" s="20">
        <f>IF($A658="","",TEXT($A658,"yyyy-mm"))</f>
        <v/>
      </c>
      <c r="P658" s="21">
        <f>IF($A658="","",TEXT(YEAR($A658),"0000")&amp;"-Q"&amp;ROUNDUP(MONTH($A658)/3,0))</f>
        <v/>
      </c>
    </row>
    <row r="659">
      <c r="A659" s="22" t="n"/>
      <c r="B659" s="20" t="n"/>
      <c r="C659" s="20" t="n"/>
      <c r="D659" s="20">
        <f>IFERROR(INDEX(XPMenu!$A$2:$A$1000, MATCH(C659, XPMenu!$B$2:$B$1000, 0)), "")</f>
        <v/>
      </c>
      <c r="E659" s="20" t="n"/>
      <c r="F659" s="20" t="n"/>
      <c r="G659" s="20" t="n"/>
      <c r="H659" s="20" t="n"/>
      <c r="I659" s="20">
        <f>IFERROR(VLOOKUP(D659,XPMenu!$A:$F,2,FALSE),"")</f>
        <v/>
      </c>
      <c r="J659" s="20">
        <f>IFERROR(VLOOKUP(D659,XPMenu!$A:$F,3,FALSE),"")</f>
        <v/>
      </c>
      <c r="K659" s="20">
        <f>IFERROR(VLOOKUP(D659,XPMenu!$A:$F,4,FALSE),"")</f>
        <v/>
      </c>
      <c r="L659" s="20" t="n"/>
      <c r="M659" s="20">
        <f>IF(A659="","",IF(F659&lt;&gt;"Yes",0,IF(L659&lt;&gt;"",L659,E659*K659)))</f>
        <v/>
      </c>
      <c r="N659" s="20">
        <f>IF($A659="","",$A659-WEEKDAY($A659,2)+1)</f>
        <v/>
      </c>
      <c r="O659" s="20">
        <f>IF($A659="","",TEXT($A659,"yyyy-mm"))</f>
        <v/>
      </c>
      <c r="P659" s="21">
        <f>IF($A659="","",TEXT(YEAR($A659),"0000")&amp;"-Q"&amp;ROUNDUP(MONTH($A659)/3,0))</f>
        <v/>
      </c>
    </row>
    <row r="660">
      <c r="A660" s="22" t="n"/>
      <c r="B660" s="20" t="n"/>
      <c r="C660" s="20" t="n"/>
      <c r="D660" s="20">
        <f>IFERROR(INDEX(XPMenu!$A$2:$A$1000, MATCH(C660, XPMenu!$B$2:$B$1000, 0)), "")</f>
        <v/>
      </c>
      <c r="E660" s="20" t="n"/>
      <c r="F660" s="20" t="n"/>
      <c r="G660" s="20" t="n"/>
      <c r="H660" s="20" t="n"/>
      <c r="I660" s="20">
        <f>IFERROR(VLOOKUP(D660,XPMenu!$A:$F,2,FALSE),"")</f>
        <v/>
      </c>
      <c r="J660" s="20">
        <f>IFERROR(VLOOKUP(D660,XPMenu!$A:$F,3,FALSE),"")</f>
        <v/>
      </c>
      <c r="K660" s="20">
        <f>IFERROR(VLOOKUP(D660,XPMenu!$A:$F,4,FALSE),"")</f>
        <v/>
      </c>
      <c r="L660" s="20" t="n"/>
      <c r="M660" s="20">
        <f>IF(A660="","",IF(F660&lt;&gt;"Yes",0,IF(L660&lt;&gt;"",L660,E660*K660)))</f>
        <v/>
      </c>
      <c r="N660" s="20">
        <f>IF($A660="","",$A660-WEEKDAY($A660,2)+1)</f>
        <v/>
      </c>
      <c r="O660" s="20">
        <f>IF($A660="","",TEXT($A660,"yyyy-mm"))</f>
        <v/>
      </c>
      <c r="P660" s="21">
        <f>IF($A660="","",TEXT(YEAR($A660),"0000")&amp;"-Q"&amp;ROUNDUP(MONTH($A660)/3,0))</f>
        <v/>
      </c>
    </row>
    <row r="661">
      <c r="A661" s="22" t="n"/>
      <c r="B661" s="20" t="n"/>
      <c r="C661" s="20" t="n"/>
      <c r="D661" s="20">
        <f>IFERROR(INDEX(XPMenu!$A$2:$A$1000, MATCH(C661, XPMenu!$B$2:$B$1000, 0)), "")</f>
        <v/>
      </c>
      <c r="E661" s="20" t="n"/>
      <c r="F661" s="20" t="n"/>
      <c r="G661" s="20" t="n"/>
      <c r="H661" s="20" t="n"/>
      <c r="I661" s="20">
        <f>IFERROR(VLOOKUP(D661,XPMenu!$A:$F,2,FALSE),"")</f>
        <v/>
      </c>
      <c r="J661" s="20">
        <f>IFERROR(VLOOKUP(D661,XPMenu!$A:$F,3,FALSE),"")</f>
        <v/>
      </c>
      <c r="K661" s="20">
        <f>IFERROR(VLOOKUP(D661,XPMenu!$A:$F,4,FALSE),"")</f>
        <v/>
      </c>
      <c r="L661" s="20" t="n"/>
      <c r="M661" s="20">
        <f>IF(A661="","",IF(F661&lt;&gt;"Yes",0,IF(L661&lt;&gt;"",L661,E661*K661)))</f>
        <v/>
      </c>
      <c r="N661" s="20">
        <f>IF($A661="","",$A661-WEEKDAY($A661,2)+1)</f>
        <v/>
      </c>
      <c r="O661" s="20">
        <f>IF($A661="","",TEXT($A661,"yyyy-mm"))</f>
        <v/>
      </c>
      <c r="P661" s="21">
        <f>IF($A661="","",TEXT(YEAR($A661),"0000")&amp;"-Q"&amp;ROUNDUP(MONTH($A661)/3,0))</f>
        <v/>
      </c>
    </row>
    <row r="662">
      <c r="A662" s="22" t="n"/>
      <c r="B662" s="20" t="n"/>
      <c r="C662" s="20" t="n"/>
      <c r="D662" s="20">
        <f>IFERROR(INDEX(XPMenu!$A$2:$A$1000, MATCH(C662, XPMenu!$B$2:$B$1000, 0)), "")</f>
        <v/>
      </c>
      <c r="E662" s="20" t="n"/>
      <c r="F662" s="20" t="n"/>
      <c r="G662" s="20" t="n"/>
      <c r="H662" s="20" t="n"/>
      <c r="I662" s="20">
        <f>IFERROR(VLOOKUP(D662,XPMenu!$A:$F,2,FALSE),"")</f>
        <v/>
      </c>
      <c r="J662" s="20">
        <f>IFERROR(VLOOKUP(D662,XPMenu!$A:$F,3,FALSE),"")</f>
        <v/>
      </c>
      <c r="K662" s="20">
        <f>IFERROR(VLOOKUP(D662,XPMenu!$A:$F,4,FALSE),"")</f>
        <v/>
      </c>
      <c r="L662" s="20" t="n"/>
      <c r="M662" s="20">
        <f>IF(A662="","",IF(F662&lt;&gt;"Yes",0,IF(L662&lt;&gt;"",L662,E662*K662)))</f>
        <v/>
      </c>
      <c r="N662" s="20">
        <f>IF($A662="","",$A662-WEEKDAY($A662,2)+1)</f>
        <v/>
      </c>
      <c r="O662" s="20">
        <f>IF($A662="","",TEXT($A662,"yyyy-mm"))</f>
        <v/>
      </c>
      <c r="P662" s="21">
        <f>IF($A662="","",TEXT(YEAR($A662),"0000")&amp;"-Q"&amp;ROUNDUP(MONTH($A662)/3,0))</f>
        <v/>
      </c>
    </row>
    <row r="663">
      <c r="A663" s="22" t="n"/>
      <c r="B663" s="20" t="n"/>
      <c r="C663" s="20" t="n"/>
      <c r="D663" s="20">
        <f>IFERROR(INDEX(XPMenu!$A$2:$A$1000, MATCH(C663, XPMenu!$B$2:$B$1000, 0)), "")</f>
        <v/>
      </c>
      <c r="E663" s="20" t="n"/>
      <c r="F663" s="20" t="n"/>
      <c r="G663" s="20" t="n"/>
      <c r="H663" s="20" t="n"/>
      <c r="I663" s="20">
        <f>IFERROR(VLOOKUP(D663,XPMenu!$A:$F,2,FALSE),"")</f>
        <v/>
      </c>
      <c r="J663" s="20">
        <f>IFERROR(VLOOKUP(D663,XPMenu!$A:$F,3,FALSE),"")</f>
        <v/>
      </c>
      <c r="K663" s="20">
        <f>IFERROR(VLOOKUP(D663,XPMenu!$A:$F,4,FALSE),"")</f>
        <v/>
      </c>
      <c r="L663" s="20" t="n"/>
      <c r="M663" s="20">
        <f>IF(A663="","",IF(F663&lt;&gt;"Yes",0,IF(L663&lt;&gt;"",L663,E663*K663)))</f>
        <v/>
      </c>
      <c r="N663" s="20">
        <f>IF($A663="","",$A663-WEEKDAY($A663,2)+1)</f>
        <v/>
      </c>
      <c r="O663" s="20">
        <f>IF($A663="","",TEXT($A663,"yyyy-mm"))</f>
        <v/>
      </c>
      <c r="P663" s="21">
        <f>IF($A663="","",TEXT(YEAR($A663),"0000")&amp;"-Q"&amp;ROUNDUP(MONTH($A663)/3,0))</f>
        <v/>
      </c>
    </row>
    <row r="664">
      <c r="A664" s="22" t="n"/>
      <c r="B664" s="20" t="n"/>
      <c r="C664" s="20" t="n"/>
      <c r="D664" s="20">
        <f>IFERROR(INDEX(XPMenu!$A$2:$A$1000, MATCH(C664, XPMenu!$B$2:$B$1000, 0)), "")</f>
        <v/>
      </c>
      <c r="E664" s="20" t="n"/>
      <c r="F664" s="20" t="n"/>
      <c r="G664" s="20" t="n"/>
      <c r="H664" s="20" t="n"/>
      <c r="I664" s="20">
        <f>IFERROR(VLOOKUP(D664,XPMenu!$A:$F,2,FALSE),"")</f>
        <v/>
      </c>
      <c r="J664" s="20">
        <f>IFERROR(VLOOKUP(D664,XPMenu!$A:$F,3,FALSE),"")</f>
        <v/>
      </c>
      <c r="K664" s="20">
        <f>IFERROR(VLOOKUP(D664,XPMenu!$A:$F,4,FALSE),"")</f>
        <v/>
      </c>
      <c r="L664" s="20" t="n"/>
      <c r="M664" s="20">
        <f>IF(A664="","",IF(F664&lt;&gt;"Yes",0,IF(L664&lt;&gt;"",L664,E664*K664)))</f>
        <v/>
      </c>
      <c r="N664" s="20">
        <f>IF($A664="","",$A664-WEEKDAY($A664,2)+1)</f>
        <v/>
      </c>
      <c r="O664" s="20">
        <f>IF($A664="","",TEXT($A664,"yyyy-mm"))</f>
        <v/>
      </c>
      <c r="P664" s="21">
        <f>IF($A664="","",TEXT(YEAR($A664),"0000")&amp;"-Q"&amp;ROUNDUP(MONTH($A664)/3,0))</f>
        <v/>
      </c>
    </row>
    <row r="665">
      <c r="A665" s="22" t="n"/>
      <c r="B665" s="20" t="n"/>
      <c r="C665" s="20" t="n"/>
      <c r="D665" s="20">
        <f>IFERROR(INDEX(XPMenu!$A$2:$A$1000, MATCH(C665, XPMenu!$B$2:$B$1000, 0)), "")</f>
        <v/>
      </c>
      <c r="E665" s="20" t="n"/>
      <c r="F665" s="20" t="n"/>
      <c r="G665" s="20" t="n"/>
      <c r="H665" s="20" t="n"/>
      <c r="I665" s="20">
        <f>IFERROR(VLOOKUP(D665,XPMenu!$A:$F,2,FALSE),"")</f>
        <v/>
      </c>
      <c r="J665" s="20">
        <f>IFERROR(VLOOKUP(D665,XPMenu!$A:$F,3,FALSE),"")</f>
        <v/>
      </c>
      <c r="K665" s="20">
        <f>IFERROR(VLOOKUP(D665,XPMenu!$A:$F,4,FALSE),"")</f>
        <v/>
      </c>
      <c r="L665" s="20" t="n"/>
      <c r="M665" s="20">
        <f>IF(A665="","",IF(F665&lt;&gt;"Yes",0,IF(L665&lt;&gt;"",L665,E665*K665)))</f>
        <v/>
      </c>
      <c r="N665" s="20">
        <f>IF($A665="","",$A665-WEEKDAY($A665,2)+1)</f>
        <v/>
      </c>
      <c r="O665" s="20">
        <f>IF($A665="","",TEXT($A665,"yyyy-mm"))</f>
        <v/>
      </c>
      <c r="P665" s="21">
        <f>IF($A665="","",TEXT(YEAR($A665),"0000")&amp;"-Q"&amp;ROUNDUP(MONTH($A665)/3,0))</f>
        <v/>
      </c>
    </row>
    <row r="666">
      <c r="A666" s="22" t="n"/>
      <c r="B666" s="20" t="n"/>
      <c r="C666" s="20" t="n"/>
      <c r="D666" s="20">
        <f>IFERROR(INDEX(XPMenu!$A$2:$A$1000, MATCH(C666, XPMenu!$B$2:$B$1000, 0)), "")</f>
        <v/>
      </c>
      <c r="E666" s="20" t="n"/>
      <c r="F666" s="20" t="n"/>
      <c r="G666" s="20" t="n"/>
      <c r="H666" s="20" t="n"/>
      <c r="I666" s="20">
        <f>IFERROR(VLOOKUP(D666,XPMenu!$A:$F,2,FALSE),"")</f>
        <v/>
      </c>
      <c r="J666" s="20">
        <f>IFERROR(VLOOKUP(D666,XPMenu!$A:$F,3,FALSE),"")</f>
        <v/>
      </c>
      <c r="K666" s="20">
        <f>IFERROR(VLOOKUP(D666,XPMenu!$A:$F,4,FALSE),"")</f>
        <v/>
      </c>
      <c r="L666" s="20" t="n"/>
      <c r="M666" s="20">
        <f>IF(A666="","",IF(F666&lt;&gt;"Yes",0,IF(L666&lt;&gt;"",L666,E666*K666)))</f>
        <v/>
      </c>
      <c r="N666" s="20">
        <f>IF($A666="","",$A666-WEEKDAY($A666,2)+1)</f>
        <v/>
      </c>
      <c r="O666" s="20">
        <f>IF($A666="","",TEXT($A666,"yyyy-mm"))</f>
        <v/>
      </c>
      <c r="P666" s="21">
        <f>IF($A666="","",TEXT(YEAR($A666),"0000")&amp;"-Q"&amp;ROUNDUP(MONTH($A666)/3,0))</f>
        <v/>
      </c>
    </row>
    <row r="667">
      <c r="A667" s="22" t="n"/>
      <c r="B667" s="20" t="n"/>
      <c r="C667" s="20" t="n"/>
      <c r="D667" s="20">
        <f>IFERROR(INDEX(XPMenu!$A$2:$A$1000, MATCH(C667, XPMenu!$B$2:$B$1000, 0)), "")</f>
        <v/>
      </c>
      <c r="E667" s="20" t="n"/>
      <c r="F667" s="20" t="n"/>
      <c r="G667" s="20" t="n"/>
      <c r="H667" s="20" t="n"/>
      <c r="I667" s="20">
        <f>IFERROR(VLOOKUP(D667,XPMenu!$A:$F,2,FALSE),"")</f>
        <v/>
      </c>
      <c r="J667" s="20">
        <f>IFERROR(VLOOKUP(D667,XPMenu!$A:$F,3,FALSE),"")</f>
        <v/>
      </c>
      <c r="K667" s="20">
        <f>IFERROR(VLOOKUP(D667,XPMenu!$A:$F,4,FALSE),"")</f>
        <v/>
      </c>
      <c r="L667" s="20" t="n"/>
      <c r="M667" s="20">
        <f>IF(A667="","",IF(F667&lt;&gt;"Yes",0,IF(L667&lt;&gt;"",L667,E667*K667)))</f>
        <v/>
      </c>
      <c r="N667" s="20">
        <f>IF($A667="","",$A667-WEEKDAY($A667,2)+1)</f>
        <v/>
      </c>
      <c r="O667" s="20">
        <f>IF($A667="","",TEXT($A667,"yyyy-mm"))</f>
        <v/>
      </c>
      <c r="P667" s="21">
        <f>IF($A667="","",TEXT(YEAR($A667),"0000")&amp;"-Q"&amp;ROUNDUP(MONTH($A667)/3,0))</f>
        <v/>
      </c>
    </row>
    <row r="668">
      <c r="A668" s="22" t="n"/>
      <c r="B668" s="20" t="n"/>
      <c r="C668" s="20" t="n"/>
      <c r="D668" s="20">
        <f>IFERROR(INDEX(XPMenu!$A$2:$A$1000, MATCH(C668, XPMenu!$B$2:$B$1000, 0)), "")</f>
        <v/>
      </c>
      <c r="E668" s="20" t="n"/>
      <c r="F668" s="20" t="n"/>
      <c r="G668" s="20" t="n"/>
      <c r="H668" s="20" t="n"/>
      <c r="I668" s="20">
        <f>IFERROR(VLOOKUP(D668,XPMenu!$A:$F,2,FALSE),"")</f>
        <v/>
      </c>
      <c r="J668" s="20">
        <f>IFERROR(VLOOKUP(D668,XPMenu!$A:$F,3,FALSE),"")</f>
        <v/>
      </c>
      <c r="K668" s="20">
        <f>IFERROR(VLOOKUP(D668,XPMenu!$A:$F,4,FALSE),"")</f>
        <v/>
      </c>
      <c r="L668" s="20" t="n"/>
      <c r="M668" s="20">
        <f>IF(A668="","",IF(F668&lt;&gt;"Yes",0,IF(L668&lt;&gt;"",L668,E668*K668)))</f>
        <v/>
      </c>
      <c r="N668" s="20">
        <f>IF($A668="","",$A668-WEEKDAY($A668,2)+1)</f>
        <v/>
      </c>
      <c r="O668" s="20">
        <f>IF($A668="","",TEXT($A668,"yyyy-mm"))</f>
        <v/>
      </c>
      <c r="P668" s="21">
        <f>IF($A668="","",TEXT(YEAR($A668),"0000")&amp;"-Q"&amp;ROUNDUP(MONTH($A668)/3,0))</f>
        <v/>
      </c>
    </row>
    <row r="669">
      <c r="A669" s="22" t="n"/>
      <c r="B669" s="20" t="n"/>
      <c r="C669" s="20" t="n"/>
      <c r="D669" s="20">
        <f>IFERROR(INDEX(XPMenu!$A$2:$A$1000, MATCH(C669, XPMenu!$B$2:$B$1000, 0)), "")</f>
        <v/>
      </c>
      <c r="E669" s="20" t="n"/>
      <c r="F669" s="20" t="n"/>
      <c r="G669" s="20" t="n"/>
      <c r="H669" s="20" t="n"/>
      <c r="I669" s="20">
        <f>IFERROR(VLOOKUP(D669,XPMenu!$A:$F,2,FALSE),"")</f>
        <v/>
      </c>
      <c r="J669" s="20">
        <f>IFERROR(VLOOKUP(D669,XPMenu!$A:$F,3,FALSE),"")</f>
        <v/>
      </c>
      <c r="K669" s="20">
        <f>IFERROR(VLOOKUP(D669,XPMenu!$A:$F,4,FALSE),"")</f>
        <v/>
      </c>
      <c r="L669" s="20" t="n"/>
      <c r="M669" s="20">
        <f>IF(A669="","",IF(F669&lt;&gt;"Yes",0,IF(L669&lt;&gt;"",L669,E669*K669)))</f>
        <v/>
      </c>
      <c r="N669" s="20">
        <f>IF($A669="","",$A669-WEEKDAY($A669,2)+1)</f>
        <v/>
      </c>
      <c r="O669" s="20">
        <f>IF($A669="","",TEXT($A669,"yyyy-mm"))</f>
        <v/>
      </c>
      <c r="P669" s="21">
        <f>IF($A669="","",TEXT(YEAR($A669),"0000")&amp;"-Q"&amp;ROUNDUP(MONTH($A669)/3,0))</f>
        <v/>
      </c>
    </row>
    <row r="670">
      <c r="A670" s="22" t="n"/>
      <c r="B670" s="20" t="n"/>
      <c r="C670" s="20" t="n"/>
      <c r="D670" s="20">
        <f>IFERROR(INDEX(XPMenu!$A$2:$A$1000, MATCH(C670, XPMenu!$B$2:$B$1000, 0)), "")</f>
        <v/>
      </c>
      <c r="E670" s="20" t="n"/>
      <c r="F670" s="20" t="n"/>
      <c r="G670" s="20" t="n"/>
      <c r="H670" s="20" t="n"/>
      <c r="I670" s="20">
        <f>IFERROR(VLOOKUP(D670,XPMenu!$A:$F,2,FALSE),"")</f>
        <v/>
      </c>
      <c r="J670" s="20">
        <f>IFERROR(VLOOKUP(D670,XPMenu!$A:$F,3,FALSE),"")</f>
        <v/>
      </c>
      <c r="K670" s="20">
        <f>IFERROR(VLOOKUP(D670,XPMenu!$A:$F,4,FALSE),"")</f>
        <v/>
      </c>
      <c r="L670" s="20" t="n"/>
      <c r="M670" s="20">
        <f>IF(A670="","",IF(F670&lt;&gt;"Yes",0,IF(L670&lt;&gt;"",L670,E670*K670)))</f>
        <v/>
      </c>
      <c r="N670" s="20">
        <f>IF($A670="","",$A670-WEEKDAY($A670,2)+1)</f>
        <v/>
      </c>
      <c r="O670" s="20">
        <f>IF($A670="","",TEXT($A670,"yyyy-mm"))</f>
        <v/>
      </c>
      <c r="P670" s="21">
        <f>IF($A670="","",TEXT(YEAR($A670),"0000")&amp;"-Q"&amp;ROUNDUP(MONTH($A670)/3,0))</f>
        <v/>
      </c>
    </row>
    <row r="671">
      <c r="A671" s="22" t="n"/>
      <c r="B671" s="20" t="n"/>
      <c r="C671" s="20" t="n"/>
      <c r="D671" s="20">
        <f>IFERROR(INDEX(XPMenu!$A$2:$A$1000, MATCH(C671, XPMenu!$B$2:$B$1000, 0)), "")</f>
        <v/>
      </c>
      <c r="E671" s="20" t="n"/>
      <c r="F671" s="20" t="n"/>
      <c r="G671" s="20" t="n"/>
      <c r="H671" s="20" t="n"/>
      <c r="I671" s="20">
        <f>IFERROR(VLOOKUP(D671,XPMenu!$A:$F,2,FALSE),"")</f>
        <v/>
      </c>
      <c r="J671" s="20">
        <f>IFERROR(VLOOKUP(D671,XPMenu!$A:$F,3,FALSE),"")</f>
        <v/>
      </c>
      <c r="K671" s="20">
        <f>IFERROR(VLOOKUP(D671,XPMenu!$A:$F,4,FALSE),"")</f>
        <v/>
      </c>
      <c r="L671" s="20" t="n"/>
      <c r="M671" s="20">
        <f>IF(A671="","",IF(F671&lt;&gt;"Yes",0,IF(L671&lt;&gt;"",L671,E671*K671)))</f>
        <v/>
      </c>
      <c r="N671" s="20">
        <f>IF($A671="","",$A671-WEEKDAY($A671,2)+1)</f>
        <v/>
      </c>
      <c r="O671" s="20">
        <f>IF($A671="","",TEXT($A671,"yyyy-mm"))</f>
        <v/>
      </c>
      <c r="P671" s="21">
        <f>IF($A671="","",TEXT(YEAR($A671),"0000")&amp;"-Q"&amp;ROUNDUP(MONTH($A671)/3,0))</f>
        <v/>
      </c>
    </row>
    <row r="672">
      <c r="A672" s="22" t="n"/>
      <c r="B672" s="20" t="n"/>
      <c r="C672" s="20" t="n"/>
      <c r="D672" s="20">
        <f>IFERROR(INDEX(XPMenu!$A$2:$A$1000, MATCH(C672, XPMenu!$B$2:$B$1000, 0)), "")</f>
        <v/>
      </c>
      <c r="E672" s="20" t="n"/>
      <c r="F672" s="20" t="n"/>
      <c r="G672" s="20" t="n"/>
      <c r="H672" s="20" t="n"/>
      <c r="I672" s="20">
        <f>IFERROR(VLOOKUP(D672,XPMenu!$A:$F,2,FALSE),"")</f>
        <v/>
      </c>
      <c r="J672" s="20">
        <f>IFERROR(VLOOKUP(D672,XPMenu!$A:$F,3,FALSE),"")</f>
        <v/>
      </c>
      <c r="K672" s="20">
        <f>IFERROR(VLOOKUP(D672,XPMenu!$A:$F,4,FALSE),"")</f>
        <v/>
      </c>
      <c r="L672" s="20" t="n"/>
      <c r="M672" s="20">
        <f>IF(A672="","",IF(F672&lt;&gt;"Yes",0,IF(L672&lt;&gt;"",L672,E672*K672)))</f>
        <v/>
      </c>
      <c r="N672" s="20">
        <f>IF($A672="","",$A672-WEEKDAY($A672,2)+1)</f>
        <v/>
      </c>
      <c r="O672" s="20">
        <f>IF($A672="","",TEXT($A672,"yyyy-mm"))</f>
        <v/>
      </c>
      <c r="P672" s="21">
        <f>IF($A672="","",TEXT(YEAR($A672),"0000")&amp;"-Q"&amp;ROUNDUP(MONTH($A672)/3,0))</f>
        <v/>
      </c>
    </row>
    <row r="673">
      <c r="A673" s="22" t="n"/>
      <c r="B673" s="20" t="n"/>
      <c r="C673" s="20" t="n"/>
      <c r="D673" s="20">
        <f>IFERROR(INDEX(XPMenu!$A$2:$A$1000, MATCH(C673, XPMenu!$B$2:$B$1000, 0)), "")</f>
        <v/>
      </c>
      <c r="E673" s="20" t="n"/>
      <c r="F673" s="20" t="n"/>
      <c r="G673" s="20" t="n"/>
      <c r="H673" s="20" t="n"/>
      <c r="I673" s="20">
        <f>IFERROR(VLOOKUP(D673,XPMenu!$A:$F,2,FALSE),"")</f>
        <v/>
      </c>
      <c r="J673" s="20">
        <f>IFERROR(VLOOKUP(D673,XPMenu!$A:$F,3,FALSE),"")</f>
        <v/>
      </c>
      <c r="K673" s="20">
        <f>IFERROR(VLOOKUP(D673,XPMenu!$A:$F,4,FALSE),"")</f>
        <v/>
      </c>
      <c r="L673" s="20" t="n"/>
      <c r="M673" s="20">
        <f>IF(A673="","",IF(F673&lt;&gt;"Yes",0,IF(L673&lt;&gt;"",L673,E673*K673)))</f>
        <v/>
      </c>
      <c r="N673" s="20">
        <f>IF($A673="","",$A673-WEEKDAY($A673,2)+1)</f>
        <v/>
      </c>
      <c r="O673" s="20">
        <f>IF($A673="","",TEXT($A673,"yyyy-mm"))</f>
        <v/>
      </c>
      <c r="P673" s="21">
        <f>IF($A673="","",TEXT(YEAR($A673),"0000")&amp;"-Q"&amp;ROUNDUP(MONTH($A673)/3,0))</f>
        <v/>
      </c>
    </row>
    <row r="674">
      <c r="A674" s="22" t="n"/>
      <c r="B674" s="20" t="n"/>
      <c r="C674" s="20" t="n"/>
      <c r="D674" s="20">
        <f>IFERROR(INDEX(XPMenu!$A$2:$A$1000, MATCH(C674, XPMenu!$B$2:$B$1000, 0)), "")</f>
        <v/>
      </c>
      <c r="E674" s="20" t="n"/>
      <c r="F674" s="20" t="n"/>
      <c r="G674" s="20" t="n"/>
      <c r="H674" s="20" t="n"/>
      <c r="I674" s="20">
        <f>IFERROR(VLOOKUP(D674,XPMenu!$A:$F,2,FALSE),"")</f>
        <v/>
      </c>
      <c r="J674" s="20">
        <f>IFERROR(VLOOKUP(D674,XPMenu!$A:$F,3,FALSE),"")</f>
        <v/>
      </c>
      <c r="K674" s="20">
        <f>IFERROR(VLOOKUP(D674,XPMenu!$A:$F,4,FALSE),"")</f>
        <v/>
      </c>
      <c r="L674" s="20" t="n"/>
      <c r="M674" s="20">
        <f>IF(A674="","",IF(F674&lt;&gt;"Yes",0,IF(L674&lt;&gt;"",L674,E674*K674)))</f>
        <v/>
      </c>
      <c r="N674" s="20">
        <f>IF($A674="","",$A674-WEEKDAY($A674,2)+1)</f>
        <v/>
      </c>
      <c r="O674" s="20">
        <f>IF($A674="","",TEXT($A674,"yyyy-mm"))</f>
        <v/>
      </c>
      <c r="P674" s="21">
        <f>IF($A674="","",TEXT(YEAR($A674),"0000")&amp;"-Q"&amp;ROUNDUP(MONTH($A674)/3,0))</f>
        <v/>
      </c>
    </row>
    <row r="675">
      <c r="A675" s="22" t="n"/>
      <c r="B675" s="20" t="n"/>
      <c r="C675" s="20" t="n"/>
      <c r="D675" s="20">
        <f>IFERROR(INDEX(XPMenu!$A$2:$A$1000, MATCH(C675, XPMenu!$B$2:$B$1000, 0)), "")</f>
        <v/>
      </c>
      <c r="E675" s="20" t="n"/>
      <c r="F675" s="20" t="n"/>
      <c r="G675" s="20" t="n"/>
      <c r="H675" s="20" t="n"/>
      <c r="I675" s="20">
        <f>IFERROR(VLOOKUP(D675,XPMenu!$A:$F,2,FALSE),"")</f>
        <v/>
      </c>
      <c r="J675" s="20">
        <f>IFERROR(VLOOKUP(D675,XPMenu!$A:$F,3,FALSE),"")</f>
        <v/>
      </c>
      <c r="K675" s="20">
        <f>IFERROR(VLOOKUP(D675,XPMenu!$A:$F,4,FALSE),"")</f>
        <v/>
      </c>
      <c r="L675" s="20" t="n"/>
      <c r="M675" s="20">
        <f>IF(A675="","",IF(F675&lt;&gt;"Yes",0,IF(L675&lt;&gt;"",L675,E675*K675)))</f>
        <v/>
      </c>
      <c r="N675" s="20">
        <f>IF($A675="","",$A675-WEEKDAY($A675,2)+1)</f>
        <v/>
      </c>
      <c r="O675" s="20">
        <f>IF($A675="","",TEXT($A675,"yyyy-mm"))</f>
        <v/>
      </c>
      <c r="P675" s="21">
        <f>IF($A675="","",TEXT(YEAR($A675),"0000")&amp;"-Q"&amp;ROUNDUP(MONTH($A675)/3,0))</f>
        <v/>
      </c>
    </row>
    <row r="676">
      <c r="A676" s="22" t="n"/>
      <c r="B676" s="20" t="n"/>
      <c r="C676" s="20" t="n"/>
      <c r="D676" s="20">
        <f>IFERROR(INDEX(XPMenu!$A$2:$A$1000, MATCH(C676, XPMenu!$B$2:$B$1000, 0)), "")</f>
        <v/>
      </c>
      <c r="E676" s="20" t="n"/>
      <c r="F676" s="20" t="n"/>
      <c r="G676" s="20" t="n"/>
      <c r="H676" s="20" t="n"/>
      <c r="I676" s="20">
        <f>IFERROR(VLOOKUP(D676,XPMenu!$A:$F,2,FALSE),"")</f>
        <v/>
      </c>
      <c r="J676" s="20">
        <f>IFERROR(VLOOKUP(D676,XPMenu!$A:$F,3,FALSE),"")</f>
        <v/>
      </c>
      <c r="K676" s="20">
        <f>IFERROR(VLOOKUP(D676,XPMenu!$A:$F,4,FALSE),"")</f>
        <v/>
      </c>
      <c r="L676" s="20" t="n"/>
      <c r="M676" s="20">
        <f>IF(A676="","",IF(F676&lt;&gt;"Yes",0,IF(L676&lt;&gt;"",L676,E676*K676)))</f>
        <v/>
      </c>
      <c r="N676" s="20">
        <f>IF($A676="","",$A676-WEEKDAY($A676,2)+1)</f>
        <v/>
      </c>
      <c r="O676" s="20">
        <f>IF($A676="","",TEXT($A676,"yyyy-mm"))</f>
        <v/>
      </c>
      <c r="P676" s="21">
        <f>IF($A676="","",TEXT(YEAR($A676),"0000")&amp;"-Q"&amp;ROUNDUP(MONTH($A676)/3,0))</f>
        <v/>
      </c>
    </row>
    <row r="677">
      <c r="A677" s="22" t="n"/>
      <c r="B677" s="20" t="n"/>
      <c r="C677" s="20" t="n"/>
      <c r="D677" s="20">
        <f>IFERROR(INDEX(XPMenu!$A$2:$A$1000, MATCH(C677, XPMenu!$B$2:$B$1000, 0)), "")</f>
        <v/>
      </c>
      <c r="E677" s="20" t="n"/>
      <c r="F677" s="20" t="n"/>
      <c r="G677" s="20" t="n"/>
      <c r="H677" s="20" t="n"/>
      <c r="I677" s="20">
        <f>IFERROR(VLOOKUP(D677,XPMenu!$A:$F,2,FALSE),"")</f>
        <v/>
      </c>
      <c r="J677" s="20">
        <f>IFERROR(VLOOKUP(D677,XPMenu!$A:$F,3,FALSE),"")</f>
        <v/>
      </c>
      <c r="K677" s="20">
        <f>IFERROR(VLOOKUP(D677,XPMenu!$A:$F,4,FALSE),"")</f>
        <v/>
      </c>
      <c r="L677" s="20" t="n"/>
      <c r="M677" s="20">
        <f>IF(A677="","",IF(F677&lt;&gt;"Yes",0,IF(L677&lt;&gt;"",L677,E677*K677)))</f>
        <v/>
      </c>
      <c r="N677" s="20">
        <f>IF($A677="","",$A677-WEEKDAY($A677,2)+1)</f>
        <v/>
      </c>
      <c r="O677" s="20">
        <f>IF($A677="","",TEXT($A677,"yyyy-mm"))</f>
        <v/>
      </c>
      <c r="P677" s="21">
        <f>IF($A677="","",TEXT(YEAR($A677),"0000")&amp;"-Q"&amp;ROUNDUP(MONTH($A677)/3,0))</f>
        <v/>
      </c>
    </row>
    <row r="678">
      <c r="A678" s="22" t="n"/>
      <c r="B678" s="20" t="n"/>
      <c r="C678" s="20" t="n"/>
      <c r="D678" s="20">
        <f>IFERROR(INDEX(XPMenu!$A$2:$A$1000, MATCH(C678, XPMenu!$B$2:$B$1000, 0)), "")</f>
        <v/>
      </c>
      <c r="E678" s="20" t="n"/>
      <c r="F678" s="20" t="n"/>
      <c r="G678" s="20" t="n"/>
      <c r="H678" s="20" t="n"/>
      <c r="I678" s="20">
        <f>IFERROR(VLOOKUP(D678,XPMenu!$A:$F,2,FALSE),"")</f>
        <v/>
      </c>
      <c r="J678" s="20">
        <f>IFERROR(VLOOKUP(D678,XPMenu!$A:$F,3,FALSE),"")</f>
        <v/>
      </c>
      <c r="K678" s="20">
        <f>IFERROR(VLOOKUP(D678,XPMenu!$A:$F,4,FALSE),"")</f>
        <v/>
      </c>
      <c r="L678" s="20" t="n"/>
      <c r="M678" s="20">
        <f>IF(A678="","",IF(F678&lt;&gt;"Yes",0,IF(L678&lt;&gt;"",L678,E678*K678)))</f>
        <v/>
      </c>
      <c r="N678" s="20">
        <f>IF($A678="","",$A678-WEEKDAY($A678,2)+1)</f>
        <v/>
      </c>
      <c r="O678" s="20">
        <f>IF($A678="","",TEXT($A678,"yyyy-mm"))</f>
        <v/>
      </c>
      <c r="P678" s="21">
        <f>IF($A678="","",TEXT(YEAR($A678),"0000")&amp;"-Q"&amp;ROUNDUP(MONTH($A678)/3,0))</f>
        <v/>
      </c>
    </row>
    <row r="679">
      <c r="A679" s="22" t="n"/>
      <c r="B679" s="20" t="n"/>
      <c r="C679" s="20" t="n"/>
      <c r="D679" s="20">
        <f>IFERROR(INDEX(XPMenu!$A$2:$A$1000, MATCH(C679, XPMenu!$B$2:$B$1000, 0)), "")</f>
        <v/>
      </c>
      <c r="E679" s="20" t="n"/>
      <c r="F679" s="20" t="n"/>
      <c r="G679" s="20" t="n"/>
      <c r="H679" s="20" t="n"/>
      <c r="I679" s="20">
        <f>IFERROR(VLOOKUP(D679,XPMenu!$A:$F,2,FALSE),"")</f>
        <v/>
      </c>
      <c r="J679" s="20">
        <f>IFERROR(VLOOKUP(D679,XPMenu!$A:$F,3,FALSE),"")</f>
        <v/>
      </c>
      <c r="K679" s="20">
        <f>IFERROR(VLOOKUP(D679,XPMenu!$A:$F,4,FALSE),"")</f>
        <v/>
      </c>
      <c r="L679" s="20" t="n"/>
      <c r="M679" s="20">
        <f>IF(A679="","",IF(F679&lt;&gt;"Yes",0,IF(L679&lt;&gt;"",L679,E679*K679)))</f>
        <v/>
      </c>
      <c r="N679" s="20">
        <f>IF($A679="","",$A679-WEEKDAY($A679,2)+1)</f>
        <v/>
      </c>
      <c r="O679" s="20">
        <f>IF($A679="","",TEXT($A679,"yyyy-mm"))</f>
        <v/>
      </c>
      <c r="P679" s="21">
        <f>IF($A679="","",TEXT(YEAR($A679),"0000")&amp;"-Q"&amp;ROUNDUP(MONTH($A679)/3,0))</f>
        <v/>
      </c>
    </row>
    <row r="680">
      <c r="A680" s="22" t="n"/>
      <c r="B680" s="20" t="n"/>
      <c r="C680" s="20" t="n"/>
      <c r="D680" s="20">
        <f>IFERROR(INDEX(XPMenu!$A$2:$A$1000, MATCH(C680, XPMenu!$B$2:$B$1000, 0)), "")</f>
        <v/>
      </c>
      <c r="E680" s="20" t="n"/>
      <c r="F680" s="20" t="n"/>
      <c r="G680" s="20" t="n"/>
      <c r="H680" s="20" t="n"/>
      <c r="I680" s="20">
        <f>IFERROR(VLOOKUP(D680,XPMenu!$A:$F,2,FALSE),"")</f>
        <v/>
      </c>
      <c r="J680" s="20">
        <f>IFERROR(VLOOKUP(D680,XPMenu!$A:$F,3,FALSE),"")</f>
        <v/>
      </c>
      <c r="K680" s="20">
        <f>IFERROR(VLOOKUP(D680,XPMenu!$A:$F,4,FALSE),"")</f>
        <v/>
      </c>
      <c r="L680" s="20" t="n"/>
      <c r="M680" s="20">
        <f>IF(A680="","",IF(F680&lt;&gt;"Yes",0,IF(L680&lt;&gt;"",L680,E680*K680)))</f>
        <v/>
      </c>
      <c r="N680" s="20">
        <f>IF($A680="","",$A680-WEEKDAY($A680,2)+1)</f>
        <v/>
      </c>
      <c r="O680" s="20">
        <f>IF($A680="","",TEXT($A680,"yyyy-mm"))</f>
        <v/>
      </c>
      <c r="P680" s="21">
        <f>IF($A680="","",TEXT(YEAR($A680),"0000")&amp;"-Q"&amp;ROUNDUP(MONTH($A680)/3,0))</f>
        <v/>
      </c>
    </row>
    <row r="681">
      <c r="A681" s="22" t="n"/>
      <c r="B681" s="20" t="n"/>
      <c r="C681" s="20" t="n"/>
      <c r="D681" s="20">
        <f>IFERROR(INDEX(XPMenu!$A$2:$A$1000, MATCH(C681, XPMenu!$B$2:$B$1000, 0)), "")</f>
        <v/>
      </c>
      <c r="E681" s="20" t="n"/>
      <c r="F681" s="20" t="n"/>
      <c r="G681" s="20" t="n"/>
      <c r="H681" s="20" t="n"/>
      <c r="I681" s="20">
        <f>IFERROR(VLOOKUP(D681,XPMenu!$A:$F,2,FALSE),"")</f>
        <v/>
      </c>
      <c r="J681" s="20">
        <f>IFERROR(VLOOKUP(D681,XPMenu!$A:$F,3,FALSE),"")</f>
        <v/>
      </c>
      <c r="K681" s="20">
        <f>IFERROR(VLOOKUP(D681,XPMenu!$A:$F,4,FALSE),"")</f>
        <v/>
      </c>
      <c r="L681" s="20" t="n"/>
      <c r="M681" s="20">
        <f>IF(A681="","",IF(F681&lt;&gt;"Yes",0,IF(L681&lt;&gt;"",L681,E681*K681)))</f>
        <v/>
      </c>
      <c r="N681" s="20">
        <f>IF($A681="","",$A681-WEEKDAY($A681,2)+1)</f>
        <v/>
      </c>
      <c r="O681" s="20">
        <f>IF($A681="","",TEXT($A681,"yyyy-mm"))</f>
        <v/>
      </c>
      <c r="P681" s="21">
        <f>IF($A681="","",TEXT(YEAR($A681),"0000")&amp;"-Q"&amp;ROUNDUP(MONTH($A681)/3,0))</f>
        <v/>
      </c>
    </row>
    <row r="682">
      <c r="A682" s="22" t="n"/>
      <c r="B682" s="20" t="n"/>
      <c r="C682" s="20" t="n"/>
      <c r="D682" s="20">
        <f>IFERROR(INDEX(XPMenu!$A$2:$A$1000, MATCH(C682, XPMenu!$B$2:$B$1000, 0)), "")</f>
        <v/>
      </c>
      <c r="E682" s="20" t="n"/>
      <c r="F682" s="20" t="n"/>
      <c r="G682" s="20" t="n"/>
      <c r="H682" s="20" t="n"/>
      <c r="I682" s="20">
        <f>IFERROR(VLOOKUP(D682,XPMenu!$A:$F,2,FALSE),"")</f>
        <v/>
      </c>
      <c r="J682" s="20">
        <f>IFERROR(VLOOKUP(D682,XPMenu!$A:$F,3,FALSE),"")</f>
        <v/>
      </c>
      <c r="K682" s="20">
        <f>IFERROR(VLOOKUP(D682,XPMenu!$A:$F,4,FALSE),"")</f>
        <v/>
      </c>
      <c r="L682" s="20" t="n"/>
      <c r="M682" s="20">
        <f>IF(A682="","",IF(F682&lt;&gt;"Yes",0,IF(L682&lt;&gt;"",L682,E682*K682)))</f>
        <v/>
      </c>
      <c r="N682" s="20">
        <f>IF($A682="","",$A682-WEEKDAY($A682,2)+1)</f>
        <v/>
      </c>
      <c r="O682" s="20">
        <f>IF($A682="","",TEXT($A682,"yyyy-mm"))</f>
        <v/>
      </c>
      <c r="P682" s="21">
        <f>IF($A682="","",TEXT(YEAR($A682),"0000")&amp;"-Q"&amp;ROUNDUP(MONTH($A682)/3,0))</f>
        <v/>
      </c>
    </row>
    <row r="683">
      <c r="A683" s="22" t="n"/>
      <c r="B683" s="20" t="n"/>
      <c r="C683" s="20" t="n"/>
      <c r="D683" s="20">
        <f>IFERROR(INDEX(XPMenu!$A$2:$A$1000, MATCH(C683, XPMenu!$B$2:$B$1000, 0)), "")</f>
        <v/>
      </c>
      <c r="E683" s="20" t="n"/>
      <c r="F683" s="20" t="n"/>
      <c r="G683" s="20" t="n"/>
      <c r="H683" s="20" t="n"/>
      <c r="I683" s="20">
        <f>IFERROR(VLOOKUP(D683,XPMenu!$A:$F,2,FALSE),"")</f>
        <v/>
      </c>
      <c r="J683" s="20">
        <f>IFERROR(VLOOKUP(D683,XPMenu!$A:$F,3,FALSE),"")</f>
        <v/>
      </c>
      <c r="K683" s="20">
        <f>IFERROR(VLOOKUP(D683,XPMenu!$A:$F,4,FALSE),"")</f>
        <v/>
      </c>
      <c r="L683" s="20" t="n"/>
      <c r="M683" s="20">
        <f>IF(A683="","",IF(F683&lt;&gt;"Yes",0,IF(L683&lt;&gt;"",L683,E683*K683)))</f>
        <v/>
      </c>
      <c r="N683" s="20">
        <f>IF($A683="","",$A683-WEEKDAY($A683,2)+1)</f>
        <v/>
      </c>
      <c r="O683" s="20">
        <f>IF($A683="","",TEXT($A683,"yyyy-mm"))</f>
        <v/>
      </c>
      <c r="P683" s="21">
        <f>IF($A683="","",TEXT(YEAR($A683),"0000")&amp;"-Q"&amp;ROUNDUP(MONTH($A683)/3,0))</f>
        <v/>
      </c>
    </row>
    <row r="684">
      <c r="A684" s="22" t="n"/>
      <c r="B684" s="20" t="n"/>
      <c r="C684" s="20" t="n"/>
      <c r="D684" s="20">
        <f>IFERROR(INDEX(XPMenu!$A$2:$A$1000, MATCH(C684, XPMenu!$B$2:$B$1000, 0)), "")</f>
        <v/>
      </c>
      <c r="E684" s="20" t="n"/>
      <c r="F684" s="20" t="n"/>
      <c r="G684" s="20" t="n"/>
      <c r="H684" s="20" t="n"/>
      <c r="I684" s="20">
        <f>IFERROR(VLOOKUP(D684,XPMenu!$A:$F,2,FALSE),"")</f>
        <v/>
      </c>
      <c r="J684" s="20">
        <f>IFERROR(VLOOKUP(D684,XPMenu!$A:$F,3,FALSE),"")</f>
        <v/>
      </c>
      <c r="K684" s="20">
        <f>IFERROR(VLOOKUP(D684,XPMenu!$A:$F,4,FALSE),"")</f>
        <v/>
      </c>
      <c r="L684" s="20" t="n"/>
      <c r="M684" s="20">
        <f>IF(A684="","",IF(F684&lt;&gt;"Yes",0,IF(L684&lt;&gt;"",L684,E684*K684)))</f>
        <v/>
      </c>
      <c r="N684" s="20">
        <f>IF($A684="","",$A684-WEEKDAY($A684,2)+1)</f>
        <v/>
      </c>
      <c r="O684" s="20">
        <f>IF($A684="","",TEXT($A684,"yyyy-mm"))</f>
        <v/>
      </c>
      <c r="P684" s="21">
        <f>IF($A684="","",TEXT(YEAR($A684),"0000")&amp;"-Q"&amp;ROUNDUP(MONTH($A684)/3,0))</f>
        <v/>
      </c>
    </row>
    <row r="685">
      <c r="A685" s="22" t="n"/>
      <c r="B685" s="20" t="n"/>
      <c r="C685" s="20" t="n"/>
      <c r="D685" s="20">
        <f>IFERROR(INDEX(XPMenu!$A$2:$A$1000, MATCH(C685, XPMenu!$B$2:$B$1000, 0)), "")</f>
        <v/>
      </c>
      <c r="E685" s="20" t="n"/>
      <c r="F685" s="20" t="n"/>
      <c r="G685" s="20" t="n"/>
      <c r="H685" s="20" t="n"/>
      <c r="I685" s="20">
        <f>IFERROR(VLOOKUP(D685,XPMenu!$A:$F,2,FALSE),"")</f>
        <v/>
      </c>
      <c r="J685" s="20">
        <f>IFERROR(VLOOKUP(D685,XPMenu!$A:$F,3,FALSE),"")</f>
        <v/>
      </c>
      <c r="K685" s="20">
        <f>IFERROR(VLOOKUP(D685,XPMenu!$A:$F,4,FALSE),"")</f>
        <v/>
      </c>
      <c r="L685" s="20" t="n"/>
      <c r="M685" s="20">
        <f>IF(A685="","",IF(F685&lt;&gt;"Yes",0,IF(L685&lt;&gt;"",L685,E685*K685)))</f>
        <v/>
      </c>
      <c r="N685" s="20">
        <f>IF($A685="","",$A685-WEEKDAY($A685,2)+1)</f>
        <v/>
      </c>
      <c r="O685" s="20">
        <f>IF($A685="","",TEXT($A685,"yyyy-mm"))</f>
        <v/>
      </c>
      <c r="P685" s="21">
        <f>IF($A685="","",TEXT(YEAR($A685),"0000")&amp;"-Q"&amp;ROUNDUP(MONTH($A685)/3,0))</f>
        <v/>
      </c>
    </row>
    <row r="686">
      <c r="A686" s="22" t="n"/>
      <c r="B686" s="20" t="n"/>
      <c r="C686" s="20" t="n"/>
      <c r="D686" s="20">
        <f>IFERROR(INDEX(XPMenu!$A$2:$A$1000, MATCH(C686, XPMenu!$B$2:$B$1000, 0)), "")</f>
        <v/>
      </c>
      <c r="E686" s="20" t="n"/>
      <c r="F686" s="20" t="n"/>
      <c r="G686" s="20" t="n"/>
      <c r="H686" s="20" t="n"/>
      <c r="I686" s="20">
        <f>IFERROR(VLOOKUP(D686,XPMenu!$A:$F,2,FALSE),"")</f>
        <v/>
      </c>
      <c r="J686" s="20">
        <f>IFERROR(VLOOKUP(D686,XPMenu!$A:$F,3,FALSE),"")</f>
        <v/>
      </c>
      <c r="K686" s="20">
        <f>IFERROR(VLOOKUP(D686,XPMenu!$A:$F,4,FALSE),"")</f>
        <v/>
      </c>
      <c r="L686" s="20" t="n"/>
      <c r="M686" s="20">
        <f>IF(A686="","",IF(F686&lt;&gt;"Yes",0,IF(L686&lt;&gt;"",L686,E686*K686)))</f>
        <v/>
      </c>
      <c r="N686" s="20">
        <f>IF($A686="","",$A686-WEEKDAY($A686,2)+1)</f>
        <v/>
      </c>
      <c r="O686" s="20">
        <f>IF($A686="","",TEXT($A686,"yyyy-mm"))</f>
        <v/>
      </c>
      <c r="P686" s="21">
        <f>IF($A686="","",TEXT(YEAR($A686),"0000")&amp;"-Q"&amp;ROUNDUP(MONTH($A686)/3,0))</f>
        <v/>
      </c>
    </row>
    <row r="687">
      <c r="A687" s="22" t="n"/>
      <c r="B687" s="20" t="n"/>
      <c r="C687" s="20" t="n"/>
      <c r="D687" s="20">
        <f>IFERROR(INDEX(XPMenu!$A$2:$A$1000, MATCH(C687, XPMenu!$B$2:$B$1000, 0)), "")</f>
        <v/>
      </c>
      <c r="E687" s="20" t="n"/>
      <c r="F687" s="20" t="n"/>
      <c r="G687" s="20" t="n"/>
      <c r="H687" s="20" t="n"/>
      <c r="I687" s="20">
        <f>IFERROR(VLOOKUP(D687,XPMenu!$A:$F,2,FALSE),"")</f>
        <v/>
      </c>
      <c r="J687" s="20">
        <f>IFERROR(VLOOKUP(D687,XPMenu!$A:$F,3,FALSE),"")</f>
        <v/>
      </c>
      <c r="K687" s="20">
        <f>IFERROR(VLOOKUP(D687,XPMenu!$A:$F,4,FALSE),"")</f>
        <v/>
      </c>
      <c r="L687" s="20" t="n"/>
      <c r="M687" s="20">
        <f>IF(A687="","",IF(F687&lt;&gt;"Yes",0,IF(L687&lt;&gt;"",L687,E687*K687)))</f>
        <v/>
      </c>
      <c r="N687" s="20">
        <f>IF($A687="","",$A687-WEEKDAY($A687,2)+1)</f>
        <v/>
      </c>
      <c r="O687" s="20">
        <f>IF($A687="","",TEXT($A687,"yyyy-mm"))</f>
        <v/>
      </c>
      <c r="P687" s="21">
        <f>IF($A687="","",TEXT(YEAR($A687),"0000")&amp;"-Q"&amp;ROUNDUP(MONTH($A687)/3,0))</f>
        <v/>
      </c>
    </row>
    <row r="688">
      <c r="A688" s="22" t="n"/>
      <c r="B688" s="20" t="n"/>
      <c r="C688" s="20" t="n"/>
      <c r="D688" s="20">
        <f>IFERROR(INDEX(XPMenu!$A$2:$A$1000, MATCH(C688, XPMenu!$B$2:$B$1000, 0)), "")</f>
        <v/>
      </c>
      <c r="E688" s="20" t="n"/>
      <c r="F688" s="20" t="n"/>
      <c r="G688" s="20" t="n"/>
      <c r="H688" s="20" t="n"/>
      <c r="I688" s="20">
        <f>IFERROR(VLOOKUP(D688,XPMenu!$A:$F,2,FALSE),"")</f>
        <v/>
      </c>
      <c r="J688" s="20">
        <f>IFERROR(VLOOKUP(D688,XPMenu!$A:$F,3,FALSE),"")</f>
        <v/>
      </c>
      <c r="K688" s="20">
        <f>IFERROR(VLOOKUP(D688,XPMenu!$A:$F,4,FALSE),"")</f>
        <v/>
      </c>
      <c r="L688" s="20" t="n"/>
      <c r="M688" s="20">
        <f>IF(A688="","",IF(F688&lt;&gt;"Yes",0,IF(L688&lt;&gt;"",L688,E688*K688)))</f>
        <v/>
      </c>
      <c r="N688" s="20">
        <f>IF($A688="","",$A688-WEEKDAY($A688,2)+1)</f>
        <v/>
      </c>
      <c r="O688" s="20">
        <f>IF($A688="","",TEXT($A688,"yyyy-mm"))</f>
        <v/>
      </c>
      <c r="P688" s="21">
        <f>IF($A688="","",TEXT(YEAR($A688),"0000")&amp;"-Q"&amp;ROUNDUP(MONTH($A688)/3,0))</f>
        <v/>
      </c>
    </row>
    <row r="689">
      <c r="A689" s="22" t="n"/>
      <c r="B689" s="20" t="n"/>
      <c r="C689" s="20" t="n"/>
      <c r="D689" s="20">
        <f>IFERROR(INDEX(XPMenu!$A$2:$A$1000, MATCH(C689, XPMenu!$B$2:$B$1000, 0)), "")</f>
        <v/>
      </c>
      <c r="E689" s="20" t="n"/>
      <c r="F689" s="20" t="n"/>
      <c r="G689" s="20" t="n"/>
      <c r="H689" s="20" t="n"/>
      <c r="I689" s="20">
        <f>IFERROR(VLOOKUP(D689,XPMenu!$A:$F,2,FALSE),"")</f>
        <v/>
      </c>
      <c r="J689" s="20">
        <f>IFERROR(VLOOKUP(D689,XPMenu!$A:$F,3,FALSE),"")</f>
        <v/>
      </c>
      <c r="K689" s="20">
        <f>IFERROR(VLOOKUP(D689,XPMenu!$A:$F,4,FALSE),"")</f>
        <v/>
      </c>
      <c r="L689" s="20" t="n"/>
      <c r="M689" s="20">
        <f>IF(A689="","",IF(F689&lt;&gt;"Yes",0,IF(L689&lt;&gt;"",L689,E689*K689)))</f>
        <v/>
      </c>
      <c r="N689" s="20">
        <f>IF($A689="","",$A689-WEEKDAY($A689,2)+1)</f>
        <v/>
      </c>
      <c r="O689" s="20">
        <f>IF($A689="","",TEXT($A689,"yyyy-mm"))</f>
        <v/>
      </c>
      <c r="P689" s="21">
        <f>IF($A689="","",TEXT(YEAR($A689),"0000")&amp;"-Q"&amp;ROUNDUP(MONTH($A689)/3,0))</f>
        <v/>
      </c>
    </row>
    <row r="690">
      <c r="A690" s="22" t="n"/>
      <c r="B690" s="20" t="n"/>
      <c r="C690" s="20" t="n"/>
      <c r="D690" s="20">
        <f>IFERROR(INDEX(XPMenu!$A$2:$A$1000, MATCH(C690, XPMenu!$B$2:$B$1000, 0)), "")</f>
        <v/>
      </c>
      <c r="E690" s="20" t="n"/>
      <c r="F690" s="20" t="n"/>
      <c r="G690" s="20" t="n"/>
      <c r="H690" s="20" t="n"/>
      <c r="I690" s="20">
        <f>IFERROR(VLOOKUP(D690,XPMenu!$A:$F,2,FALSE),"")</f>
        <v/>
      </c>
      <c r="J690" s="20">
        <f>IFERROR(VLOOKUP(D690,XPMenu!$A:$F,3,FALSE),"")</f>
        <v/>
      </c>
      <c r="K690" s="20">
        <f>IFERROR(VLOOKUP(D690,XPMenu!$A:$F,4,FALSE),"")</f>
        <v/>
      </c>
      <c r="L690" s="20" t="n"/>
      <c r="M690" s="20">
        <f>IF(A690="","",IF(F690&lt;&gt;"Yes",0,IF(L690&lt;&gt;"",L690,E690*K690)))</f>
        <v/>
      </c>
      <c r="N690" s="20">
        <f>IF($A690="","",$A690-WEEKDAY($A690,2)+1)</f>
        <v/>
      </c>
      <c r="O690" s="20">
        <f>IF($A690="","",TEXT($A690,"yyyy-mm"))</f>
        <v/>
      </c>
      <c r="P690" s="21">
        <f>IF($A690="","",TEXT(YEAR($A690),"0000")&amp;"-Q"&amp;ROUNDUP(MONTH($A690)/3,0))</f>
        <v/>
      </c>
    </row>
    <row r="691">
      <c r="A691" s="22" t="n"/>
      <c r="B691" s="20" t="n"/>
      <c r="C691" s="20" t="n"/>
      <c r="D691" s="20">
        <f>IFERROR(INDEX(XPMenu!$A$2:$A$1000, MATCH(C691, XPMenu!$B$2:$B$1000, 0)), "")</f>
        <v/>
      </c>
      <c r="E691" s="20" t="n"/>
      <c r="F691" s="20" t="n"/>
      <c r="G691" s="20" t="n"/>
      <c r="H691" s="20" t="n"/>
      <c r="I691" s="20">
        <f>IFERROR(VLOOKUP(D691,XPMenu!$A:$F,2,FALSE),"")</f>
        <v/>
      </c>
      <c r="J691" s="20">
        <f>IFERROR(VLOOKUP(D691,XPMenu!$A:$F,3,FALSE),"")</f>
        <v/>
      </c>
      <c r="K691" s="20">
        <f>IFERROR(VLOOKUP(D691,XPMenu!$A:$F,4,FALSE),"")</f>
        <v/>
      </c>
      <c r="L691" s="20" t="n"/>
      <c r="M691" s="20">
        <f>IF(A691="","",IF(F691&lt;&gt;"Yes",0,IF(L691&lt;&gt;"",L691,E691*K691)))</f>
        <v/>
      </c>
      <c r="N691" s="20">
        <f>IF($A691="","",$A691-WEEKDAY($A691,2)+1)</f>
        <v/>
      </c>
      <c r="O691" s="20">
        <f>IF($A691="","",TEXT($A691,"yyyy-mm"))</f>
        <v/>
      </c>
      <c r="P691" s="21">
        <f>IF($A691="","",TEXT(YEAR($A691),"0000")&amp;"-Q"&amp;ROUNDUP(MONTH($A691)/3,0))</f>
        <v/>
      </c>
    </row>
    <row r="692">
      <c r="A692" s="22" t="n"/>
      <c r="B692" s="20" t="n"/>
      <c r="C692" s="20" t="n"/>
      <c r="D692" s="20">
        <f>IFERROR(INDEX(XPMenu!$A$2:$A$1000, MATCH(C692, XPMenu!$B$2:$B$1000, 0)), "")</f>
        <v/>
      </c>
      <c r="E692" s="20" t="n"/>
      <c r="F692" s="20" t="n"/>
      <c r="G692" s="20" t="n"/>
      <c r="H692" s="20" t="n"/>
      <c r="I692" s="20">
        <f>IFERROR(VLOOKUP(D692,XPMenu!$A:$F,2,FALSE),"")</f>
        <v/>
      </c>
      <c r="J692" s="20">
        <f>IFERROR(VLOOKUP(D692,XPMenu!$A:$F,3,FALSE),"")</f>
        <v/>
      </c>
      <c r="K692" s="20">
        <f>IFERROR(VLOOKUP(D692,XPMenu!$A:$F,4,FALSE),"")</f>
        <v/>
      </c>
      <c r="L692" s="20" t="n"/>
      <c r="M692" s="20">
        <f>IF(A692="","",IF(F692&lt;&gt;"Yes",0,IF(L692&lt;&gt;"",L692,E692*K692)))</f>
        <v/>
      </c>
      <c r="N692" s="20">
        <f>IF($A692="","",$A692-WEEKDAY($A692,2)+1)</f>
        <v/>
      </c>
      <c r="O692" s="20">
        <f>IF($A692="","",TEXT($A692,"yyyy-mm"))</f>
        <v/>
      </c>
      <c r="P692" s="21">
        <f>IF($A692="","",TEXT(YEAR($A692),"0000")&amp;"-Q"&amp;ROUNDUP(MONTH($A692)/3,0))</f>
        <v/>
      </c>
    </row>
    <row r="693">
      <c r="A693" s="22" t="n"/>
      <c r="B693" s="20" t="n"/>
      <c r="C693" s="20" t="n"/>
      <c r="D693" s="20">
        <f>IFERROR(INDEX(XPMenu!$A$2:$A$1000, MATCH(C693, XPMenu!$B$2:$B$1000, 0)), "")</f>
        <v/>
      </c>
      <c r="E693" s="20" t="n"/>
      <c r="F693" s="20" t="n"/>
      <c r="G693" s="20" t="n"/>
      <c r="H693" s="20" t="n"/>
      <c r="I693" s="20">
        <f>IFERROR(VLOOKUP(D693,XPMenu!$A:$F,2,FALSE),"")</f>
        <v/>
      </c>
      <c r="J693" s="20">
        <f>IFERROR(VLOOKUP(D693,XPMenu!$A:$F,3,FALSE),"")</f>
        <v/>
      </c>
      <c r="K693" s="20">
        <f>IFERROR(VLOOKUP(D693,XPMenu!$A:$F,4,FALSE),"")</f>
        <v/>
      </c>
      <c r="L693" s="20" t="n"/>
      <c r="M693" s="20">
        <f>IF(A693="","",IF(F693&lt;&gt;"Yes",0,IF(L693&lt;&gt;"",L693,E693*K693)))</f>
        <v/>
      </c>
      <c r="N693" s="20">
        <f>IF($A693="","",$A693-WEEKDAY($A693,2)+1)</f>
        <v/>
      </c>
      <c r="O693" s="20">
        <f>IF($A693="","",TEXT($A693,"yyyy-mm"))</f>
        <v/>
      </c>
      <c r="P693" s="21">
        <f>IF($A693="","",TEXT(YEAR($A693),"0000")&amp;"-Q"&amp;ROUNDUP(MONTH($A693)/3,0))</f>
        <v/>
      </c>
    </row>
    <row r="694">
      <c r="A694" s="22" t="n"/>
      <c r="B694" s="20" t="n"/>
      <c r="C694" s="20" t="n"/>
      <c r="D694" s="20">
        <f>IFERROR(INDEX(XPMenu!$A$2:$A$1000, MATCH(C694, XPMenu!$B$2:$B$1000, 0)), "")</f>
        <v/>
      </c>
      <c r="E694" s="20" t="n"/>
      <c r="F694" s="20" t="n"/>
      <c r="G694" s="20" t="n"/>
      <c r="H694" s="20" t="n"/>
      <c r="I694" s="20">
        <f>IFERROR(VLOOKUP(D694,XPMenu!$A:$F,2,FALSE),"")</f>
        <v/>
      </c>
      <c r="J694" s="20">
        <f>IFERROR(VLOOKUP(D694,XPMenu!$A:$F,3,FALSE),"")</f>
        <v/>
      </c>
      <c r="K694" s="20">
        <f>IFERROR(VLOOKUP(D694,XPMenu!$A:$F,4,FALSE),"")</f>
        <v/>
      </c>
      <c r="L694" s="20" t="n"/>
      <c r="M694" s="20">
        <f>IF(A694="","",IF(F694&lt;&gt;"Yes",0,IF(L694&lt;&gt;"",L694,E694*K694)))</f>
        <v/>
      </c>
      <c r="N694" s="20">
        <f>IF($A694="","",$A694-WEEKDAY($A694,2)+1)</f>
        <v/>
      </c>
      <c r="O694" s="20">
        <f>IF($A694="","",TEXT($A694,"yyyy-mm"))</f>
        <v/>
      </c>
      <c r="P694" s="21">
        <f>IF($A694="","",TEXT(YEAR($A694),"0000")&amp;"-Q"&amp;ROUNDUP(MONTH($A694)/3,0))</f>
        <v/>
      </c>
    </row>
    <row r="695">
      <c r="A695" s="22" t="n"/>
      <c r="B695" s="20" t="n"/>
      <c r="C695" s="20" t="n"/>
      <c r="D695" s="20">
        <f>IFERROR(INDEX(XPMenu!$A$2:$A$1000, MATCH(C695, XPMenu!$B$2:$B$1000, 0)), "")</f>
        <v/>
      </c>
      <c r="E695" s="20" t="n"/>
      <c r="F695" s="20" t="n"/>
      <c r="G695" s="20" t="n"/>
      <c r="H695" s="20" t="n"/>
      <c r="I695" s="20">
        <f>IFERROR(VLOOKUP(D695,XPMenu!$A:$F,2,FALSE),"")</f>
        <v/>
      </c>
      <c r="J695" s="20">
        <f>IFERROR(VLOOKUP(D695,XPMenu!$A:$F,3,FALSE),"")</f>
        <v/>
      </c>
      <c r="K695" s="20">
        <f>IFERROR(VLOOKUP(D695,XPMenu!$A:$F,4,FALSE),"")</f>
        <v/>
      </c>
      <c r="L695" s="20" t="n"/>
      <c r="M695" s="20">
        <f>IF(A695="","",IF(F695&lt;&gt;"Yes",0,IF(L695&lt;&gt;"",L695,E695*K695)))</f>
        <v/>
      </c>
      <c r="N695" s="20">
        <f>IF($A695="","",$A695-WEEKDAY($A695,2)+1)</f>
        <v/>
      </c>
      <c r="O695" s="20">
        <f>IF($A695="","",TEXT($A695,"yyyy-mm"))</f>
        <v/>
      </c>
      <c r="P695" s="21">
        <f>IF($A695="","",TEXT(YEAR($A695),"0000")&amp;"-Q"&amp;ROUNDUP(MONTH($A695)/3,0))</f>
        <v/>
      </c>
    </row>
    <row r="696">
      <c r="A696" s="22" t="n"/>
      <c r="B696" s="20" t="n"/>
      <c r="C696" s="20" t="n"/>
      <c r="D696" s="20">
        <f>IFERROR(INDEX(XPMenu!$A$2:$A$1000, MATCH(C696, XPMenu!$B$2:$B$1000, 0)), "")</f>
        <v/>
      </c>
      <c r="E696" s="20" t="n"/>
      <c r="F696" s="20" t="n"/>
      <c r="G696" s="20" t="n"/>
      <c r="H696" s="20" t="n"/>
      <c r="I696" s="20">
        <f>IFERROR(VLOOKUP(D696,XPMenu!$A:$F,2,FALSE),"")</f>
        <v/>
      </c>
      <c r="J696" s="20">
        <f>IFERROR(VLOOKUP(D696,XPMenu!$A:$F,3,FALSE),"")</f>
        <v/>
      </c>
      <c r="K696" s="20">
        <f>IFERROR(VLOOKUP(D696,XPMenu!$A:$F,4,FALSE),"")</f>
        <v/>
      </c>
      <c r="L696" s="20" t="n"/>
      <c r="M696" s="20">
        <f>IF(A696="","",IF(F696&lt;&gt;"Yes",0,IF(L696&lt;&gt;"",L696,E696*K696)))</f>
        <v/>
      </c>
      <c r="N696" s="20">
        <f>IF($A696="","",$A696-WEEKDAY($A696,2)+1)</f>
        <v/>
      </c>
      <c r="O696" s="20">
        <f>IF($A696="","",TEXT($A696,"yyyy-mm"))</f>
        <v/>
      </c>
      <c r="P696" s="21">
        <f>IF($A696="","",TEXT(YEAR($A696),"0000")&amp;"-Q"&amp;ROUNDUP(MONTH($A696)/3,0))</f>
        <v/>
      </c>
    </row>
    <row r="697">
      <c r="A697" s="22" t="n"/>
      <c r="B697" s="20" t="n"/>
      <c r="C697" s="20" t="n"/>
      <c r="D697" s="20">
        <f>IFERROR(INDEX(XPMenu!$A$2:$A$1000, MATCH(C697, XPMenu!$B$2:$B$1000, 0)), "")</f>
        <v/>
      </c>
      <c r="E697" s="20" t="n"/>
      <c r="F697" s="20" t="n"/>
      <c r="G697" s="20" t="n"/>
      <c r="H697" s="20" t="n"/>
      <c r="I697" s="20">
        <f>IFERROR(VLOOKUP(D697,XPMenu!$A:$F,2,FALSE),"")</f>
        <v/>
      </c>
      <c r="J697" s="20">
        <f>IFERROR(VLOOKUP(D697,XPMenu!$A:$F,3,FALSE),"")</f>
        <v/>
      </c>
      <c r="K697" s="20">
        <f>IFERROR(VLOOKUP(D697,XPMenu!$A:$F,4,FALSE),"")</f>
        <v/>
      </c>
      <c r="L697" s="20" t="n"/>
      <c r="M697" s="20">
        <f>IF(A697="","",IF(F697&lt;&gt;"Yes",0,IF(L697&lt;&gt;"",L697,E697*K697)))</f>
        <v/>
      </c>
      <c r="N697" s="20">
        <f>IF($A697="","",$A697-WEEKDAY($A697,2)+1)</f>
        <v/>
      </c>
      <c r="O697" s="20">
        <f>IF($A697="","",TEXT($A697,"yyyy-mm"))</f>
        <v/>
      </c>
      <c r="P697" s="21">
        <f>IF($A697="","",TEXT(YEAR($A697),"0000")&amp;"-Q"&amp;ROUNDUP(MONTH($A697)/3,0))</f>
        <v/>
      </c>
    </row>
    <row r="698">
      <c r="A698" s="22" t="n"/>
      <c r="B698" s="20" t="n"/>
      <c r="C698" s="20" t="n"/>
      <c r="D698" s="20">
        <f>IFERROR(INDEX(XPMenu!$A$2:$A$1000, MATCH(C698, XPMenu!$B$2:$B$1000, 0)), "")</f>
        <v/>
      </c>
      <c r="E698" s="20" t="n"/>
      <c r="F698" s="20" t="n"/>
      <c r="G698" s="20" t="n"/>
      <c r="H698" s="20" t="n"/>
      <c r="I698" s="20">
        <f>IFERROR(VLOOKUP(D698,XPMenu!$A:$F,2,FALSE),"")</f>
        <v/>
      </c>
      <c r="J698" s="20">
        <f>IFERROR(VLOOKUP(D698,XPMenu!$A:$F,3,FALSE),"")</f>
        <v/>
      </c>
      <c r="K698" s="20">
        <f>IFERROR(VLOOKUP(D698,XPMenu!$A:$F,4,FALSE),"")</f>
        <v/>
      </c>
      <c r="L698" s="20" t="n"/>
      <c r="M698" s="20">
        <f>IF(A698="","",IF(F698&lt;&gt;"Yes",0,IF(L698&lt;&gt;"",L698,E698*K698)))</f>
        <v/>
      </c>
      <c r="N698" s="20">
        <f>IF($A698="","",$A698-WEEKDAY($A698,2)+1)</f>
        <v/>
      </c>
      <c r="O698" s="20">
        <f>IF($A698="","",TEXT($A698,"yyyy-mm"))</f>
        <v/>
      </c>
      <c r="P698" s="21">
        <f>IF($A698="","",TEXT(YEAR($A698),"0000")&amp;"-Q"&amp;ROUNDUP(MONTH($A698)/3,0))</f>
        <v/>
      </c>
    </row>
    <row r="699">
      <c r="A699" s="22" t="n"/>
      <c r="B699" s="20" t="n"/>
      <c r="C699" s="20" t="n"/>
      <c r="D699" s="20">
        <f>IFERROR(INDEX(XPMenu!$A$2:$A$1000, MATCH(C699, XPMenu!$B$2:$B$1000, 0)), "")</f>
        <v/>
      </c>
      <c r="E699" s="20" t="n"/>
      <c r="F699" s="20" t="n"/>
      <c r="G699" s="20" t="n"/>
      <c r="H699" s="20" t="n"/>
      <c r="I699" s="20">
        <f>IFERROR(VLOOKUP(D699,XPMenu!$A:$F,2,FALSE),"")</f>
        <v/>
      </c>
      <c r="J699" s="20">
        <f>IFERROR(VLOOKUP(D699,XPMenu!$A:$F,3,FALSE),"")</f>
        <v/>
      </c>
      <c r="K699" s="20">
        <f>IFERROR(VLOOKUP(D699,XPMenu!$A:$F,4,FALSE),"")</f>
        <v/>
      </c>
      <c r="L699" s="20" t="n"/>
      <c r="M699" s="20">
        <f>IF(A699="","",IF(F699&lt;&gt;"Yes",0,IF(L699&lt;&gt;"",L699,E699*K699)))</f>
        <v/>
      </c>
      <c r="N699" s="20">
        <f>IF($A699="","",$A699-WEEKDAY($A699,2)+1)</f>
        <v/>
      </c>
      <c r="O699" s="20">
        <f>IF($A699="","",TEXT($A699,"yyyy-mm"))</f>
        <v/>
      </c>
      <c r="P699" s="21">
        <f>IF($A699="","",TEXT(YEAR($A699),"0000")&amp;"-Q"&amp;ROUNDUP(MONTH($A699)/3,0))</f>
        <v/>
      </c>
    </row>
    <row r="700">
      <c r="A700" s="22" t="n"/>
      <c r="B700" s="20" t="n"/>
      <c r="C700" s="20" t="n"/>
      <c r="D700" s="20">
        <f>IFERROR(INDEX(XPMenu!$A$2:$A$1000, MATCH(C700, XPMenu!$B$2:$B$1000, 0)), "")</f>
        <v/>
      </c>
      <c r="E700" s="20" t="n"/>
      <c r="F700" s="20" t="n"/>
      <c r="G700" s="20" t="n"/>
      <c r="H700" s="20" t="n"/>
      <c r="I700" s="20">
        <f>IFERROR(VLOOKUP(D700,XPMenu!$A:$F,2,FALSE),"")</f>
        <v/>
      </c>
      <c r="J700" s="20">
        <f>IFERROR(VLOOKUP(D700,XPMenu!$A:$F,3,FALSE),"")</f>
        <v/>
      </c>
      <c r="K700" s="20">
        <f>IFERROR(VLOOKUP(D700,XPMenu!$A:$F,4,FALSE),"")</f>
        <v/>
      </c>
      <c r="L700" s="20" t="n"/>
      <c r="M700" s="20">
        <f>IF(A700="","",IF(F700&lt;&gt;"Yes",0,IF(L700&lt;&gt;"",L700,E700*K700)))</f>
        <v/>
      </c>
      <c r="N700" s="20">
        <f>IF($A700="","",$A700-WEEKDAY($A700,2)+1)</f>
        <v/>
      </c>
      <c r="O700" s="20">
        <f>IF($A700="","",TEXT($A700,"yyyy-mm"))</f>
        <v/>
      </c>
      <c r="P700" s="21">
        <f>IF($A700="","",TEXT(YEAR($A700),"0000")&amp;"-Q"&amp;ROUNDUP(MONTH($A700)/3,0))</f>
        <v/>
      </c>
    </row>
    <row r="701">
      <c r="A701" s="22" t="n"/>
      <c r="B701" s="20" t="n"/>
      <c r="C701" s="20" t="n"/>
      <c r="D701" s="20">
        <f>IFERROR(INDEX(XPMenu!$A$2:$A$1000, MATCH(C701, XPMenu!$B$2:$B$1000, 0)), "")</f>
        <v/>
      </c>
      <c r="E701" s="20" t="n"/>
      <c r="F701" s="20" t="n"/>
      <c r="G701" s="20" t="n"/>
      <c r="H701" s="20" t="n"/>
      <c r="I701" s="20">
        <f>IFERROR(VLOOKUP(D701,XPMenu!$A:$F,2,FALSE),"")</f>
        <v/>
      </c>
      <c r="J701" s="20">
        <f>IFERROR(VLOOKUP(D701,XPMenu!$A:$F,3,FALSE),"")</f>
        <v/>
      </c>
      <c r="K701" s="20">
        <f>IFERROR(VLOOKUP(D701,XPMenu!$A:$F,4,FALSE),"")</f>
        <v/>
      </c>
      <c r="L701" s="20" t="n"/>
      <c r="M701" s="20">
        <f>IF(A701="","",IF(F701&lt;&gt;"Yes",0,IF(L701&lt;&gt;"",L701,E701*K701)))</f>
        <v/>
      </c>
      <c r="N701" s="20">
        <f>IF($A701="","",$A701-WEEKDAY($A701,2)+1)</f>
        <v/>
      </c>
      <c r="O701" s="20">
        <f>IF($A701="","",TEXT($A701,"yyyy-mm"))</f>
        <v/>
      </c>
      <c r="P701" s="21">
        <f>IF($A701="","",TEXT(YEAR($A701),"0000")&amp;"-Q"&amp;ROUNDUP(MONTH($A701)/3,0))</f>
        <v/>
      </c>
    </row>
    <row r="702">
      <c r="A702" s="22" t="n"/>
      <c r="B702" s="20" t="n"/>
      <c r="C702" s="20" t="n"/>
      <c r="D702" s="20">
        <f>IFERROR(INDEX(XPMenu!$A$2:$A$1000, MATCH(C702, XPMenu!$B$2:$B$1000, 0)), "")</f>
        <v/>
      </c>
      <c r="E702" s="20" t="n"/>
      <c r="F702" s="20" t="n"/>
      <c r="G702" s="20" t="n"/>
      <c r="H702" s="20" t="n"/>
      <c r="I702" s="20">
        <f>IFERROR(VLOOKUP(D702,XPMenu!$A:$F,2,FALSE),"")</f>
        <v/>
      </c>
      <c r="J702" s="20">
        <f>IFERROR(VLOOKUP(D702,XPMenu!$A:$F,3,FALSE),"")</f>
        <v/>
      </c>
      <c r="K702" s="20">
        <f>IFERROR(VLOOKUP(D702,XPMenu!$A:$F,4,FALSE),"")</f>
        <v/>
      </c>
      <c r="L702" s="20" t="n"/>
      <c r="M702" s="20">
        <f>IF(A702="","",IF(F702&lt;&gt;"Yes",0,IF(L702&lt;&gt;"",L702,E702*K702)))</f>
        <v/>
      </c>
      <c r="N702" s="20">
        <f>IF($A702="","",$A702-WEEKDAY($A702,2)+1)</f>
        <v/>
      </c>
      <c r="O702" s="20">
        <f>IF($A702="","",TEXT($A702,"yyyy-mm"))</f>
        <v/>
      </c>
      <c r="P702" s="21">
        <f>IF($A702="","",TEXT(YEAR($A702),"0000")&amp;"-Q"&amp;ROUNDUP(MONTH($A702)/3,0))</f>
        <v/>
      </c>
    </row>
    <row r="703">
      <c r="A703" s="22" t="n"/>
      <c r="B703" s="20" t="n"/>
      <c r="C703" s="20" t="n"/>
      <c r="D703" s="20">
        <f>IFERROR(INDEX(XPMenu!$A$2:$A$1000, MATCH(C703, XPMenu!$B$2:$B$1000, 0)), "")</f>
        <v/>
      </c>
      <c r="E703" s="20" t="n"/>
      <c r="F703" s="20" t="n"/>
      <c r="G703" s="20" t="n"/>
      <c r="H703" s="20" t="n"/>
      <c r="I703" s="20">
        <f>IFERROR(VLOOKUP(D703,XPMenu!$A:$F,2,FALSE),"")</f>
        <v/>
      </c>
      <c r="J703" s="20">
        <f>IFERROR(VLOOKUP(D703,XPMenu!$A:$F,3,FALSE),"")</f>
        <v/>
      </c>
      <c r="K703" s="20">
        <f>IFERROR(VLOOKUP(D703,XPMenu!$A:$F,4,FALSE),"")</f>
        <v/>
      </c>
      <c r="L703" s="20" t="n"/>
      <c r="M703" s="20">
        <f>IF(A703="","",IF(F703&lt;&gt;"Yes",0,IF(L703&lt;&gt;"",L703,E703*K703)))</f>
        <v/>
      </c>
      <c r="N703" s="20">
        <f>IF($A703="","",$A703-WEEKDAY($A703,2)+1)</f>
        <v/>
      </c>
      <c r="O703" s="20">
        <f>IF($A703="","",TEXT($A703,"yyyy-mm"))</f>
        <v/>
      </c>
      <c r="P703" s="21">
        <f>IF($A703="","",TEXT(YEAR($A703),"0000")&amp;"-Q"&amp;ROUNDUP(MONTH($A703)/3,0))</f>
        <v/>
      </c>
    </row>
    <row r="704">
      <c r="A704" s="22" t="n"/>
      <c r="B704" s="20" t="n"/>
      <c r="C704" s="20" t="n"/>
      <c r="D704" s="20">
        <f>IFERROR(INDEX(XPMenu!$A$2:$A$1000, MATCH(C704, XPMenu!$B$2:$B$1000, 0)), "")</f>
        <v/>
      </c>
      <c r="E704" s="20" t="n"/>
      <c r="F704" s="20" t="n"/>
      <c r="G704" s="20" t="n"/>
      <c r="H704" s="20" t="n"/>
      <c r="I704" s="20">
        <f>IFERROR(VLOOKUP(D704,XPMenu!$A:$F,2,FALSE),"")</f>
        <v/>
      </c>
      <c r="J704" s="20">
        <f>IFERROR(VLOOKUP(D704,XPMenu!$A:$F,3,FALSE),"")</f>
        <v/>
      </c>
      <c r="K704" s="20">
        <f>IFERROR(VLOOKUP(D704,XPMenu!$A:$F,4,FALSE),"")</f>
        <v/>
      </c>
      <c r="L704" s="20" t="n"/>
      <c r="M704" s="20">
        <f>IF(A704="","",IF(F704&lt;&gt;"Yes",0,IF(L704&lt;&gt;"",L704,E704*K704)))</f>
        <v/>
      </c>
      <c r="N704" s="20">
        <f>IF($A704="","",$A704-WEEKDAY($A704,2)+1)</f>
        <v/>
      </c>
      <c r="O704" s="20">
        <f>IF($A704="","",TEXT($A704,"yyyy-mm"))</f>
        <v/>
      </c>
      <c r="P704" s="21">
        <f>IF($A704="","",TEXT(YEAR($A704),"0000")&amp;"-Q"&amp;ROUNDUP(MONTH($A704)/3,0))</f>
        <v/>
      </c>
    </row>
    <row r="705">
      <c r="A705" s="22" t="n"/>
      <c r="B705" s="20" t="n"/>
      <c r="C705" s="20" t="n"/>
      <c r="D705" s="20">
        <f>IFERROR(INDEX(XPMenu!$A$2:$A$1000, MATCH(C705, XPMenu!$B$2:$B$1000, 0)), "")</f>
        <v/>
      </c>
      <c r="E705" s="20" t="n"/>
      <c r="F705" s="20" t="n"/>
      <c r="G705" s="20" t="n"/>
      <c r="H705" s="20" t="n"/>
      <c r="I705" s="20">
        <f>IFERROR(VLOOKUP(D705,XPMenu!$A:$F,2,FALSE),"")</f>
        <v/>
      </c>
      <c r="J705" s="20">
        <f>IFERROR(VLOOKUP(D705,XPMenu!$A:$F,3,FALSE),"")</f>
        <v/>
      </c>
      <c r="K705" s="20">
        <f>IFERROR(VLOOKUP(D705,XPMenu!$A:$F,4,FALSE),"")</f>
        <v/>
      </c>
      <c r="L705" s="20" t="n"/>
      <c r="M705" s="20">
        <f>IF(A705="","",IF(F705&lt;&gt;"Yes",0,IF(L705&lt;&gt;"",L705,E705*K705)))</f>
        <v/>
      </c>
      <c r="N705" s="20">
        <f>IF($A705="","",$A705-WEEKDAY($A705,2)+1)</f>
        <v/>
      </c>
      <c r="O705" s="20">
        <f>IF($A705="","",TEXT($A705,"yyyy-mm"))</f>
        <v/>
      </c>
      <c r="P705" s="21">
        <f>IF($A705="","",TEXT(YEAR($A705),"0000")&amp;"-Q"&amp;ROUNDUP(MONTH($A705)/3,0))</f>
        <v/>
      </c>
    </row>
    <row r="706">
      <c r="A706" s="22" t="n"/>
      <c r="B706" s="20" t="n"/>
      <c r="C706" s="20" t="n"/>
      <c r="D706" s="20">
        <f>IFERROR(INDEX(XPMenu!$A$2:$A$1000, MATCH(C706, XPMenu!$B$2:$B$1000, 0)), "")</f>
        <v/>
      </c>
      <c r="E706" s="20" t="n"/>
      <c r="F706" s="20" t="n"/>
      <c r="G706" s="20" t="n"/>
      <c r="H706" s="20" t="n"/>
      <c r="I706" s="20">
        <f>IFERROR(VLOOKUP(D706,XPMenu!$A:$F,2,FALSE),"")</f>
        <v/>
      </c>
      <c r="J706" s="20">
        <f>IFERROR(VLOOKUP(D706,XPMenu!$A:$F,3,FALSE),"")</f>
        <v/>
      </c>
      <c r="K706" s="20">
        <f>IFERROR(VLOOKUP(D706,XPMenu!$A:$F,4,FALSE),"")</f>
        <v/>
      </c>
      <c r="L706" s="20" t="n"/>
      <c r="M706" s="20">
        <f>IF(A706="","",IF(F706&lt;&gt;"Yes",0,IF(L706&lt;&gt;"",L706,E706*K706)))</f>
        <v/>
      </c>
      <c r="N706" s="20">
        <f>IF($A706="","",$A706-WEEKDAY($A706,2)+1)</f>
        <v/>
      </c>
      <c r="O706" s="20">
        <f>IF($A706="","",TEXT($A706,"yyyy-mm"))</f>
        <v/>
      </c>
      <c r="P706" s="21">
        <f>IF($A706="","",TEXT(YEAR($A706),"0000")&amp;"-Q"&amp;ROUNDUP(MONTH($A706)/3,0))</f>
        <v/>
      </c>
    </row>
    <row r="707">
      <c r="A707" s="22" t="n"/>
      <c r="B707" s="20" t="n"/>
      <c r="C707" s="20" t="n"/>
      <c r="D707" s="20">
        <f>IFERROR(INDEX(XPMenu!$A$2:$A$1000, MATCH(C707, XPMenu!$B$2:$B$1000, 0)), "")</f>
        <v/>
      </c>
      <c r="E707" s="20" t="n"/>
      <c r="F707" s="20" t="n"/>
      <c r="G707" s="20" t="n"/>
      <c r="H707" s="20" t="n"/>
      <c r="I707" s="20">
        <f>IFERROR(VLOOKUP(D707,XPMenu!$A:$F,2,FALSE),"")</f>
        <v/>
      </c>
      <c r="J707" s="20">
        <f>IFERROR(VLOOKUP(D707,XPMenu!$A:$F,3,FALSE),"")</f>
        <v/>
      </c>
      <c r="K707" s="20">
        <f>IFERROR(VLOOKUP(D707,XPMenu!$A:$F,4,FALSE),"")</f>
        <v/>
      </c>
      <c r="L707" s="20" t="n"/>
      <c r="M707" s="20">
        <f>IF(A707="","",IF(F707&lt;&gt;"Yes",0,IF(L707&lt;&gt;"",L707,E707*K707)))</f>
        <v/>
      </c>
      <c r="N707" s="20">
        <f>IF($A707="","",$A707-WEEKDAY($A707,2)+1)</f>
        <v/>
      </c>
      <c r="O707" s="20">
        <f>IF($A707="","",TEXT($A707,"yyyy-mm"))</f>
        <v/>
      </c>
      <c r="P707" s="21">
        <f>IF($A707="","",TEXT(YEAR($A707),"0000")&amp;"-Q"&amp;ROUNDUP(MONTH($A707)/3,0))</f>
        <v/>
      </c>
    </row>
    <row r="708">
      <c r="A708" s="22" t="n"/>
      <c r="B708" s="20" t="n"/>
      <c r="C708" s="20" t="n"/>
      <c r="D708" s="20">
        <f>IFERROR(INDEX(XPMenu!$A$2:$A$1000, MATCH(C708, XPMenu!$B$2:$B$1000, 0)), "")</f>
        <v/>
      </c>
      <c r="E708" s="20" t="n"/>
      <c r="F708" s="20" t="n"/>
      <c r="G708" s="20" t="n"/>
      <c r="H708" s="20" t="n"/>
      <c r="I708" s="20">
        <f>IFERROR(VLOOKUP(D708,XPMenu!$A:$F,2,FALSE),"")</f>
        <v/>
      </c>
      <c r="J708" s="20">
        <f>IFERROR(VLOOKUP(D708,XPMenu!$A:$F,3,FALSE),"")</f>
        <v/>
      </c>
      <c r="K708" s="20">
        <f>IFERROR(VLOOKUP(D708,XPMenu!$A:$F,4,FALSE),"")</f>
        <v/>
      </c>
      <c r="L708" s="20" t="n"/>
      <c r="M708" s="20">
        <f>IF(A708="","",IF(F708&lt;&gt;"Yes",0,IF(L708&lt;&gt;"",L708,E708*K708)))</f>
        <v/>
      </c>
      <c r="N708" s="20">
        <f>IF($A708="","",$A708-WEEKDAY($A708,2)+1)</f>
        <v/>
      </c>
      <c r="O708" s="20">
        <f>IF($A708="","",TEXT($A708,"yyyy-mm"))</f>
        <v/>
      </c>
      <c r="P708" s="21">
        <f>IF($A708="","",TEXT(YEAR($A708),"0000")&amp;"-Q"&amp;ROUNDUP(MONTH($A708)/3,0))</f>
        <v/>
      </c>
    </row>
    <row r="709">
      <c r="A709" s="22" t="n"/>
      <c r="B709" s="20" t="n"/>
      <c r="C709" s="20" t="n"/>
      <c r="D709" s="20">
        <f>IFERROR(INDEX(XPMenu!$A$2:$A$1000, MATCH(C709, XPMenu!$B$2:$B$1000, 0)), "")</f>
        <v/>
      </c>
      <c r="E709" s="20" t="n"/>
      <c r="F709" s="20" t="n"/>
      <c r="G709" s="20" t="n"/>
      <c r="H709" s="20" t="n"/>
      <c r="I709" s="20">
        <f>IFERROR(VLOOKUP(D709,XPMenu!$A:$F,2,FALSE),"")</f>
        <v/>
      </c>
      <c r="J709" s="20">
        <f>IFERROR(VLOOKUP(D709,XPMenu!$A:$F,3,FALSE),"")</f>
        <v/>
      </c>
      <c r="K709" s="20">
        <f>IFERROR(VLOOKUP(D709,XPMenu!$A:$F,4,FALSE),"")</f>
        <v/>
      </c>
      <c r="L709" s="20" t="n"/>
      <c r="M709" s="20">
        <f>IF(A709="","",IF(F709&lt;&gt;"Yes",0,IF(L709&lt;&gt;"",L709,E709*K709)))</f>
        <v/>
      </c>
      <c r="N709" s="20">
        <f>IF($A709="","",$A709-WEEKDAY($A709,2)+1)</f>
        <v/>
      </c>
      <c r="O709" s="20">
        <f>IF($A709="","",TEXT($A709,"yyyy-mm"))</f>
        <v/>
      </c>
      <c r="P709" s="21">
        <f>IF($A709="","",TEXT(YEAR($A709),"0000")&amp;"-Q"&amp;ROUNDUP(MONTH($A709)/3,0))</f>
        <v/>
      </c>
    </row>
    <row r="710">
      <c r="A710" s="22" t="n"/>
      <c r="B710" s="20" t="n"/>
      <c r="C710" s="20" t="n"/>
      <c r="D710" s="20">
        <f>IFERROR(INDEX(XPMenu!$A$2:$A$1000, MATCH(C710, XPMenu!$B$2:$B$1000, 0)), "")</f>
        <v/>
      </c>
      <c r="E710" s="20" t="n"/>
      <c r="F710" s="20" t="n"/>
      <c r="G710" s="20" t="n"/>
      <c r="H710" s="20" t="n"/>
      <c r="I710" s="20">
        <f>IFERROR(VLOOKUP(D710,XPMenu!$A:$F,2,FALSE),"")</f>
        <v/>
      </c>
      <c r="J710" s="20">
        <f>IFERROR(VLOOKUP(D710,XPMenu!$A:$F,3,FALSE),"")</f>
        <v/>
      </c>
      <c r="K710" s="20">
        <f>IFERROR(VLOOKUP(D710,XPMenu!$A:$F,4,FALSE),"")</f>
        <v/>
      </c>
      <c r="L710" s="20" t="n"/>
      <c r="M710" s="20">
        <f>IF(A710="","",IF(F710&lt;&gt;"Yes",0,IF(L710&lt;&gt;"",L710,E710*K710)))</f>
        <v/>
      </c>
      <c r="N710" s="20">
        <f>IF($A710="","",$A710-WEEKDAY($A710,2)+1)</f>
        <v/>
      </c>
      <c r="O710" s="20">
        <f>IF($A710="","",TEXT($A710,"yyyy-mm"))</f>
        <v/>
      </c>
      <c r="P710" s="21">
        <f>IF($A710="","",TEXT(YEAR($A710),"0000")&amp;"-Q"&amp;ROUNDUP(MONTH($A710)/3,0))</f>
        <v/>
      </c>
    </row>
    <row r="711">
      <c r="A711" s="22" t="n"/>
      <c r="B711" s="20" t="n"/>
      <c r="C711" s="20" t="n"/>
      <c r="D711" s="20">
        <f>IFERROR(INDEX(XPMenu!$A$2:$A$1000, MATCH(C711, XPMenu!$B$2:$B$1000, 0)), "")</f>
        <v/>
      </c>
      <c r="E711" s="20" t="n"/>
      <c r="F711" s="20" t="n"/>
      <c r="G711" s="20" t="n"/>
      <c r="H711" s="20" t="n"/>
      <c r="I711" s="20">
        <f>IFERROR(VLOOKUP(D711,XPMenu!$A:$F,2,FALSE),"")</f>
        <v/>
      </c>
      <c r="J711" s="20">
        <f>IFERROR(VLOOKUP(D711,XPMenu!$A:$F,3,FALSE),"")</f>
        <v/>
      </c>
      <c r="K711" s="20">
        <f>IFERROR(VLOOKUP(D711,XPMenu!$A:$F,4,FALSE),"")</f>
        <v/>
      </c>
      <c r="L711" s="20" t="n"/>
      <c r="M711" s="20">
        <f>IF(A711="","",IF(F711&lt;&gt;"Yes",0,IF(L711&lt;&gt;"",L711,E711*K711)))</f>
        <v/>
      </c>
      <c r="N711" s="20">
        <f>IF($A711="","",$A711-WEEKDAY($A711,2)+1)</f>
        <v/>
      </c>
      <c r="O711" s="20">
        <f>IF($A711="","",TEXT($A711,"yyyy-mm"))</f>
        <v/>
      </c>
      <c r="P711" s="21">
        <f>IF($A711="","",TEXT(YEAR($A711),"0000")&amp;"-Q"&amp;ROUNDUP(MONTH($A711)/3,0))</f>
        <v/>
      </c>
    </row>
    <row r="712">
      <c r="A712" s="22" t="n"/>
      <c r="B712" s="20" t="n"/>
      <c r="C712" s="20" t="n"/>
      <c r="D712" s="20">
        <f>IFERROR(INDEX(XPMenu!$A$2:$A$1000, MATCH(C712, XPMenu!$B$2:$B$1000, 0)), "")</f>
        <v/>
      </c>
      <c r="E712" s="20" t="n"/>
      <c r="F712" s="20" t="n"/>
      <c r="G712" s="20" t="n"/>
      <c r="H712" s="20" t="n"/>
      <c r="I712" s="20">
        <f>IFERROR(VLOOKUP(D712,XPMenu!$A:$F,2,FALSE),"")</f>
        <v/>
      </c>
      <c r="J712" s="20">
        <f>IFERROR(VLOOKUP(D712,XPMenu!$A:$F,3,FALSE),"")</f>
        <v/>
      </c>
      <c r="K712" s="20">
        <f>IFERROR(VLOOKUP(D712,XPMenu!$A:$F,4,FALSE),"")</f>
        <v/>
      </c>
      <c r="L712" s="20" t="n"/>
      <c r="M712" s="20">
        <f>IF(A712="","",IF(F712&lt;&gt;"Yes",0,IF(L712&lt;&gt;"",L712,E712*K712)))</f>
        <v/>
      </c>
      <c r="N712" s="20">
        <f>IF($A712="","",$A712-WEEKDAY($A712,2)+1)</f>
        <v/>
      </c>
      <c r="O712" s="20">
        <f>IF($A712="","",TEXT($A712,"yyyy-mm"))</f>
        <v/>
      </c>
      <c r="P712" s="21">
        <f>IF($A712="","",TEXT(YEAR($A712),"0000")&amp;"-Q"&amp;ROUNDUP(MONTH($A712)/3,0))</f>
        <v/>
      </c>
    </row>
    <row r="713">
      <c r="A713" s="22" t="n"/>
      <c r="B713" s="20" t="n"/>
      <c r="C713" s="20" t="n"/>
      <c r="D713" s="20">
        <f>IFERROR(INDEX(XPMenu!$A$2:$A$1000, MATCH(C713, XPMenu!$B$2:$B$1000, 0)), "")</f>
        <v/>
      </c>
      <c r="E713" s="20" t="n"/>
      <c r="F713" s="20" t="n"/>
      <c r="G713" s="20" t="n"/>
      <c r="H713" s="20" t="n"/>
      <c r="I713" s="20">
        <f>IFERROR(VLOOKUP(D713,XPMenu!$A:$F,2,FALSE),"")</f>
        <v/>
      </c>
      <c r="J713" s="20">
        <f>IFERROR(VLOOKUP(D713,XPMenu!$A:$F,3,FALSE),"")</f>
        <v/>
      </c>
      <c r="K713" s="20">
        <f>IFERROR(VLOOKUP(D713,XPMenu!$A:$F,4,FALSE),"")</f>
        <v/>
      </c>
      <c r="L713" s="20" t="n"/>
      <c r="M713" s="20">
        <f>IF(A713="","",IF(F713&lt;&gt;"Yes",0,IF(L713&lt;&gt;"",L713,E713*K713)))</f>
        <v/>
      </c>
      <c r="N713" s="20">
        <f>IF($A713="","",$A713-WEEKDAY($A713,2)+1)</f>
        <v/>
      </c>
      <c r="O713" s="20">
        <f>IF($A713="","",TEXT($A713,"yyyy-mm"))</f>
        <v/>
      </c>
      <c r="P713" s="21">
        <f>IF($A713="","",TEXT(YEAR($A713),"0000")&amp;"-Q"&amp;ROUNDUP(MONTH($A713)/3,0))</f>
        <v/>
      </c>
    </row>
    <row r="714">
      <c r="A714" s="22" t="n"/>
      <c r="B714" s="20" t="n"/>
      <c r="C714" s="20" t="n"/>
      <c r="D714" s="20">
        <f>IFERROR(INDEX(XPMenu!$A$2:$A$1000, MATCH(C714, XPMenu!$B$2:$B$1000, 0)), "")</f>
        <v/>
      </c>
      <c r="E714" s="20" t="n"/>
      <c r="F714" s="20" t="n"/>
      <c r="G714" s="20" t="n"/>
      <c r="H714" s="20" t="n"/>
      <c r="I714" s="20">
        <f>IFERROR(VLOOKUP(D714,XPMenu!$A:$F,2,FALSE),"")</f>
        <v/>
      </c>
      <c r="J714" s="20">
        <f>IFERROR(VLOOKUP(D714,XPMenu!$A:$F,3,FALSE),"")</f>
        <v/>
      </c>
      <c r="K714" s="20">
        <f>IFERROR(VLOOKUP(D714,XPMenu!$A:$F,4,FALSE),"")</f>
        <v/>
      </c>
      <c r="L714" s="20" t="n"/>
      <c r="M714" s="20">
        <f>IF(A714="","",IF(F714&lt;&gt;"Yes",0,IF(L714&lt;&gt;"",L714,E714*K714)))</f>
        <v/>
      </c>
      <c r="N714" s="20">
        <f>IF($A714="","",$A714-WEEKDAY($A714,2)+1)</f>
        <v/>
      </c>
      <c r="O714" s="20">
        <f>IF($A714="","",TEXT($A714,"yyyy-mm"))</f>
        <v/>
      </c>
      <c r="P714" s="21">
        <f>IF($A714="","",TEXT(YEAR($A714),"0000")&amp;"-Q"&amp;ROUNDUP(MONTH($A714)/3,0))</f>
        <v/>
      </c>
    </row>
    <row r="715">
      <c r="A715" s="22" t="n"/>
      <c r="B715" s="20" t="n"/>
      <c r="C715" s="20" t="n"/>
      <c r="D715" s="20">
        <f>IFERROR(INDEX(XPMenu!$A$2:$A$1000, MATCH(C715, XPMenu!$B$2:$B$1000, 0)), "")</f>
        <v/>
      </c>
      <c r="E715" s="20" t="n"/>
      <c r="F715" s="20" t="n"/>
      <c r="G715" s="20" t="n"/>
      <c r="H715" s="20" t="n"/>
      <c r="I715" s="20">
        <f>IFERROR(VLOOKUP(D715,XPMenu!$A:$F,2,FALSE),"")</f>
        <v/>
      </c>
      <c r="J715" s="20">
        <f>IFERROR(VLOOKUP(D715,XPMenu!$A:$F,3,FALSE),"")</f>
        <v/>
      </c>
      <c r="K715" s="20">
        <f>IFERROR(VLOOKUP(D715,XPMenu!$A:$F,4,FALSE),"")</f>
        <v/>
      </c>
      <c r="L715" s="20" t="n"/>
      <c r="M715" s="20">
        <f>IF(A715="","",IF(F715&lt;&gt;"Yes",0,IF(L715&lt;&gt;"",L715,E715*K715)))</f>
        <v/>
      </c>
      <c r="N715" s="20">
        <f>IF($A715="","",$A715-WEEKDAY($A715,2)+1)</f>
        <v/>
      </c>
      <c r="O715" s="20">
        <f>IF($A715="","",TEXT($A715,"yyyy-mm"))</f>
        <v/>
      </c>
      <c r="P715" s="21">
        <f>IF($A715="","",TEXT(YEAR($A715),"0000")&amp;"-Q"&amp;ROUNDUP(MONTH($A715)/3,0))</f>
        <v/>
      </c>
    </row>
    <row r="716">
      <c r="A716" s="22" t="n"/>
      <c r="B716" s="20" t="n"/>
      <c r="C716" s="20" t="n"/>
      <c r="D716" s="20">
        <f>IFERROR(INDEX(XPMenu!$A$2:$A$1000, MATCH(C716, XPMenu!$B$2:$B$1000, 0)), "")</f>
        <v/>
      </c>
      <c r="E716" s="20" t="n"/>
      <c r="F716" s="20" t="n"/>
      <c r="G716" s="20" t="n"/>
      <c r="H716" s="20" t="n"/>
      <c r="I716" s="20">
        <f>IFERROR(VLOOKUP(D716,XPMenu!$A:$F,2,FALSE),"")</f>
        <v/>
      </c>
      <c r="J716" s="20">
        <f>IFERROR(VLOOKUP(D716,XPMenu!$A:$F,3,FALSE),"")</f>
        <v/>
      </c>
      <c r="K716" s="20">
        <f>IFERROR(VLOOKUP(D716,XPMenu!$A:$F,4,FALSE),"")</f>
        <v/>
      </c>
      <c r="L716" s="20" t="n"/>
      <c r="M716" s="20">
        <f>IF(A716="","",IF(F716&lt;&gt;"Yes",0,IF(L716&lt;&gt;"",L716,E716*K716)))</f>
        <v/>
      </c>
      <c r="N716" s="20">
        <f>IF($A716="","",$A716-WEEKDAY($A716,2)+1)</f>
        <v/>
      </c>
      <c r="O716" s="20">
        <f>IF($A716="","",TEXT($A716,"yyyy-mm"))</f>
        <v/>
      </c>
      <c r="P716" s="21">
        <f>IF($A716="","",TEXT(YEAR($A716),"0000")&amp;"-Q"&amp;ROUNDUP(MONTH($A716)/3,0))</f>
        <v/>
      </c>
    </row>
    <row r="717">
      <c r="A717" s="22" t="n"/>
      <c r="B717" s="20" t="n"/>
      <c r="C717" s="20" t="n"/>
      <c r="D717" s="20">
        <f>IFERROR(INDEX(XPMenu!$A$2:$A$1000, MATCH(C717, XPMenu!$B$2:$B$1000, 0)), "")</f>
        <v/>
      </c>
      <c r="E717" s="20" t="n"/>
      <c r="F717" s="20" t="n"/>
      <c r="G717" s="20" t="n"/>
      <c r="H717" s="20" t="n"/>
      <c r="I717" s="20">
        <f>IFERROR(VLOOKUP(D717,XPMenu!$A:$F,2,FALSE),"")</f>
        <v/>
      </c>
      <c r="J717" s="20">
        <f>IFERROR(VLOOKUP(D717,XPMenu!$A:$F,3,FALSE),"")</f>
        <v/>
      </c>
      <c r="K717" s="20">
        <f>IFERROR(VLOOKUP(D717,XPMenu!$A:$F,4,FALSE),"")</f>
        <v/>
      </c>
      <c r="L717" s="20" t="n"/>
      <c r="M717" s="20">
        <f>IF(A717="","",IF(F717&lt;&gt;"Yes",0,IF(L717&lt;&gt;"",L717,E717*K717)))</f>
        <v/>
      </c>
      <c r="N717" s="20">
        <f>IF($A717="","",$A717-WEEKDAY($A717,2)+1)</f>
        <v/>
      </c>
      <c r="O717" s="20">
        <f>IF($A717="","",TEXT($A717,"yyyy-mm"))</f>
        <v/>
      </c>
      <c r="P717" s="21">
        <f>IF($A717="","",TEXT(YEAR($A717),"0000")&amp;"-Q"&amp;ROUNDUP(MONTH($A717)/3,0))</f>
        <v/>
      </c>
    </row>
    <row r="718">
      <c r="A718" s="22" t="n"/>
      <c r="B718" s="20" t="n"/>
      <c r="C718" s="20" t="n"/>
      <c r="D718" s="20">
        <f>IFERROR(INDEX(XPMenu!$A$2:$A$1000, MATCH(C718, XPMenu!$B$2:$B$1000, 0)), "")</f>
        <v/>
      </c>
      <c r="E718" s="20" t="n"/>
      <c r="F718" s="20" t="n"/>
      <c r="G718" s="20" t="n"/>
      <c r="H718" s="20" t="n"/>
      <c r="I718" s="20">
        <f>IFERROR(VLOOKUP(D718,XPMenu!$A:$F,2,FALSE),"")</f>
        <v/>
      </c>
      <c r="J718" s="20">
        <f>IFERROR(VLOOKUP(D718,XPMenu!$A:$F,3,FALSE),"")</f>
        <v/>
      </c>
      <c r="K718" s="20">
        <f>IFERROR(VLOOKUP(D718,XPMenu!$A:$F,4,FALSE),"")</f>
        <v/>
      </c>
      <c r="L718" s="20" t="n"/>
      <c r="M718" s="20">
        <f>IF(A718="","",IF(F718&lt;&gt;"Yes",0,IF(L718&lt;&gt;"",L718,E718*K718)))</f>
        <v/>
      </c>
      <c r="N718" s="20">
        <f>IF($A718="","",$A718-WEEKDAY($A718,2)+1)</f>
        <v/>
      </c>
      <c r="O718" s="20">
        <f>IF($A718="","",TEXT($A718,"yyyy-mm"))</f>
        <v/>
      </c>
      <c r="P718" s="21">
        <f>IF($A718="","",TEXT(YEAR($A718),"0000")&amp;"-Q"&amp;ROUNDUP(MONTH($A718)/3,0))</f>
        <v/>
      </c>
    </row>
    <row r="719">
      <c r="A719" s="22" t="n"/>
      <c r="B719" s="20" t="n"/>
      <c r="C719" s="20" t="n"/>
      <c r="D719" s="20">
        <f>IFERROR(INDEX(XPMenu!$A$2:$A$1000, MATCH(C719, XPMenu!$B$2:$B$1000, 0)), "")</f>
        <v/>
      </c>
      <c r="E719" s="20" t="n"/>
      <c r="F719" s="20" t="n"/>
      <c r="G719" s="20" t="n"/>
      <c r="H719" s="20" t="n"/>
      <c r="I719" s="20">
        <f>IFERROR(VLOOKUP(D719,XPMenu!$A:$F,2,FALSE),"")</f>
        <v/>
      </c>
      <c r="J719" s="20">
        <f>IFERROR(VLOOKUP(D719,XPMenu!$A:$F,3,FALSE),"")</f>
        <v/>
      </c>
      <c r="K719" s="20">
        <f>IFERROR(VLOOKUP(D719,XPMenu!$A:$F,4,FALSE),"")</f>
        <v/>
      </c>
      <c r="L719" s="20" t="n"/>
      <c r="M719" s="20">
        <f>IF(A719="","",IF(F719&lt;&gt;"Yes",0,IF(L719&lt;&gt;"",L719,E719*K719)))</f>
        <v/>
      </c>
      <c r="N719" s="20">
        <f>IF($A719="","",$A719-WEEKDAY($A719,2)+1)</f>
        <v/>
      </c>
      <c r="O719" s="20">
        <f>IF($A719="","",TEXT($A719,"yyyy-mm"))</f>
        <v/>
      </c>
      <c r="P719" s="21">
        <f>IF($A719="","",TEXT(YEAR($A719),"0000")&amp;"-Q"&amp;ROUNDUP(MONTH($A719)/3,0))</f>
        <v/>
      </c>
    </row>
    <row r="720">
      <c r="A720" s="22" t="n"/>
      <c r="B720" s="20" t="n"/>
      <c r="C720" s="20" t="n"/>
      <c r="D720" s="20">
        <f>IFERROR(INDEX(XPMenu!$A$2:$A$1000, MATCH(C720, XPMenu!$B$2:$B$1000, 0)), "")</f>
        <v/>
      </c>
      <c r="E720" s="20" t="n"/>
      <c r="F720" s="20" t="n"/>
      <c r="G720" s="20" t="n"/>
      <c r="H720" s="20" t="n"/>
      <c r="I720" s="20">
        <f>IFERROR(VLOOKUP(D720,XPMenu!$A:$F,2,FALSE),"")</f>
        <v/>
      </c>
      <c r="J720" s="20">
        <f>IFERROR(VLOOKUP(D720,XPMenu!$A:$F,3,FALSE),"")</f>
        <v/>
      </c>
      <c r="K720" s="20">
        <f>IFERROR(VLOOKUP(D720,XPMenu!$A:$F,4,FALSE),"")</f>
        <v/>
      </c>
      <c r="L720" s="20" t="n"/>
      <c r="M720" s="20">
        <f>IF(A720="","",IF(F720&lt;&gt;"Yes",0,IF(L720&lt;&gt;"",L720,E720*K720)))</f>
        <v/>
      </c>
      <c r="N720" s="20">
        <f>IF($A720="","",$A720-WEEKDAY($A720,2)+1)</f>
        <v/>
      </c>
      <c r="O720" s="20">
        <f>IF($A720="","",TEXT($A720,"yyyy-mm"))</f>
        <v/>
      </c>
      <c r="P720" s="21">
        <f>IF($A720="","",TEXT(YEAR($A720),"0000")&amp;"-Q"&amp;ROUNDUP(MONTH($A720)/3,0))</f>
        <v/>
      </c>
    </row>
    <row r="721">
      <c r="A721" s="22" t="n"/>
      <c r="B721" s="20" t="n"/>
      <c r="C721" s="20" t="n"/>
      <c r="D721" s="20">
        <f>IFERROR(INDEX(XPMenu!$A$2:$A$1000, MATCH(C721, XPMenu!$B$2:$B$1000, 0)), "")</f>
        <v/>
      </c>
      <c r="E721" s="20" t="n"/>
      <c r="F721" s="20" t="n"/>
      <c r="G721" s="20" t="n"/>
      <c r="H721" s="20" t="n"/>
      <c r="I721" s="20">
        <f>IFERROR(VLOOKUP(D721,XPMenu!$A:$F,2,FALSE),"")</f>
        <v/>
      </c>
      <c r="J721" s="20">
        <f>IFERROR(VLOOKUP(D721,XPMenu!$A:$F,3,FALSE),"")</f>
        <v/>
      </c>
      <c r="K721" s="20">
        <f>IFERROR(VLOOKUP(D721,XPMenu!$A:$F,4,FALSE),"")</f>
        <v/>
      </c>
      <c r="L721" s="20" t="n"/>
      <c r="M721" s="20">
        <f>IF(A721="","",IF(F721&lt;&gt;"Yes",0,IF(L721&lt;&gt;"",L721,E721*K721)))</f>
        <v/>
      </c>
      <c r="N721" s="20">
        <f>IF($A721="","",$A721-WEEKDAY($A721,2)+1)</f>
        <v/>
      </c>
      <c r="O721" s="20">
        <f>IF($A721="","",TEXT($A721,"yyyy-mm"))</f>
        <v/>
      </c>
      <c r="P721" s="21">
        <f>IF($A721="","",TEXT(YEAR($A721),"0000")&amp;"-Q"&amp;ROUNDUP(MONTH($A721)/3,0))</f>
        <v/>
      </c>
    </row>
    <row r="722">
      <c r="A722" s="22" t="n"/>
      <c r="B722" s="20" t="n"/>
      <c r="C722" s="20" t="n"/>
      <c r="D722" s="20">
        <f>IFERROR(INDEX(XPMenu!$A$2:$A$1000, MATCH(C722, XPMenu!$B$2:$B$1000, 0)), "")</f>
        <v/>
      </c>
      <c r="E722" s="20" t="n"/>
      <c r="F722" s="20" t="n"/>
      <c r="G722" s="20" t="n"/>
      <c r="H722" s="20" t="n"/>
      <c r="I722" s="20">
        <f>IFERROR(VLOOKUP(D722,XPMenu!$A:$F,2,FALSE),"")</f>
        <v/>
      </c>
      <c r="J722" s="20">
        <f>IFERROR(VLOOKUP(D722,XPMenu!$A:$F,3,FALSE),"")</f>
        <v/>
      </c>
      <c r="K722" s="20">
        <f>IFERROR(VLOOKUP(D722,XPMenu!$A:$F,4,FALSE),"")</f>
        <v/>
      </c>
      <c r="L722" s="20" t="n"/>
      <c r="M722" s="20">
        <f>IF(A722="","",IF(F722&lt;&gt;"Yes",0,IF(L722&lt;&gt;"",L722,E722*K722)))</f>
        <v/>
      </c>
      <c r="N722" s="20">
        <f>IF($A722="","",$A722-WEEKDAY($A722,2)+1)</f>
        <v/>
      </c>
      <c r="O722" s="20">
        <f>IF($A722="","",TEXT($A722,"yyyy-mm"))</f>
        <v/>
      </c>
      <c r="P722" s="21">
        <f>IF($A722="","",TEXT(YEAR($A722),"0000")&amp;"-Q"&amp;ROUNDUP(MONTH($A722)/3,0))</f>
        <v/>
      </c>
    </row>
    <row r="723">
      <c r="A723" s="22" t="n"/>
      <c r="B723" s="20" t="n"/>
      <c r="C723" s="20" t="n"/>
      <c r="D723" s="20">
        <f>IFERROR(INDEX(XPMenu!$A$2:$A$1000, MATCH(C723, XPMenu!$B$2:$B$1000, 0)), "")</f>
        <v/>
      </c>
      <c r="E723" s="20" t="n"/>
      <c r="F723" s="20" t="n"/>
      <c r="G723" s="20" t="n"/>
      <c r="H723" s="20" t="n"/>
      <c r="I723" s="20">
        <f>IFERROR(VLOOKUP(D723,XPMenu!$A:$F,2,FALSE),"")</f>
        <v/>
      </c>
      <c r="J723" s="20">
        <f>IFERROR(VLOOKUP(D723,XPMenu!$A:$F,3,FALSE),"")</f>
        <v/>
      </c>
      <c r="K723" s="20">
        <f>IFERROR(VLOOKUP(D723,XPMenu!$A:$F,4,FALSE),"")</f>
        <v/>
      </c>
      <c r="L723" s="20" t="n"/>
      <c r="M723" s="20">
        <f>IF(A723="","",IF(F723&lt;&gt;"Yes",0,IF(L723&lt;&gt;"",L723,E723*K723)))</f>
        <v/>
      </c>
      <c r="N723" s="20">
        <f>IF($A723="","",$A723-WEEKDAY($A723,2)+1)</f>
        <v/>
      </c>
      <c r="O723" s="20">
        <f>IF($A723="","",TEXT($A723,"yyyy-mm"))</f>
        <v/>
      </c>
      <c r="P723" s="21">
        <f>IF($A723="","",TEXT(YEAR($A723),"0000")&amp;"-Q"&amp;ROUNDUP(MONTH($A723)/3,0))</f>
        <v/>
      </c>
    </row>
    <row r="724">
      <c r="A724" s="22" t="n"/>
      <c r="B724" s="20" t="n"/>
      <c r="C724" s="20" t="n"/>
      <c r="D724" s="20">
        <f>IFERROR(INDEX(XPMenu!$A$2:$A$1000, MATCH(C724, XPMenu!$B$2:$B$1000, 0)), "")</f>
        <v/>
      </c>
      <c r="E724" s="20" t="n"/>
      <c r="F724" s="20" t="n"/>
      <c r="G724" s="20" t="n"/>
      <c r="H724" s="20" t="n"/>
      <c r="I724" s="20">
        <f>IFERROR(VLOOKUP(D724,XPMenu!$A:$F,2,FALSE),"")</f>
        <v/>
      </c>
      <c r="J724" s="20">
        <f>IFERROR(VLOOKUP(D724,XPMenu!$A:$F,3,FALSE),"")</f>
        <v/>
      </c>
      <c r="K724" s="20">
        <f>IFERROR(VLOOKUP(D724,XPMenu!$A:$F,4,FALSE),"")</f>
        <v/>
      </c>
      <c r="L724" s="20" t="n"/>
      <c r="M724" s="20">
        <f>IF(A724="","",IF(F724&lt;&gt;"Yes",0,IF(L724&lt;&gt;"",L724,E724*K724)))</f>
        <v/>
      </c>
      <c r="N724" s="20">
        <f>IF($A724="","",$A724-WEEKDAY($A724,2)+1)</f>
        <v/>
      </c>
      <c r="O724" s="20">
        <f>IF($A724="","",TEXT($A724,"yyyy-mm"))</f>
        <v/>
      </c>
      <c r="P724" s="21">
        <f>IF($A724="","",TEXT(YEAR($A724),"0000")&amp;"-Q"&amp;ROUNDUP(MONTH($A724)/3,0))</f>
        <v/>
      </c>
    </row>
    <row r="725">
      <c r="A725" s="22" t="n"/>
      <c r="B725" s="20" t="n"/>
      <c r="C725" s="20" t="n"/>
      <c r="D725" s="20">
        <f>IFERROR(INDEX(XPMenu!$A$2:$A$1000, MATCH(C725, XPMenu!$B$2:$B$1000, 0)), "")</f>
        <v/>
      </c>
      <c r="E725" s="20" t="n"/>
      <c r="F725" s="20" t="n"/>
      <c r="G725" s="20" t="n"/>
      <c r="H725" s="20" t="n"/>
      <c r="I725" s="20">
        <f>IFERROR(VLOOKUP(D725,XPMenu!$A:$F,2,FALSE),"")</f>
        <v/>
      </c>
      <c r="J725" s="20">
        <f>IFERROR(VLOOKUP(D725,XPMenu!$A:$F,3,FALSE),"")</f>
        <v/>
      </c>
      <c r="K725" s="20">
        <f>IFERROR(VLOOKUP(D725,XPMenu!$A:$F,4,FALSE),"")</f>
        <v/>
      </c>
      <c r="L725" s="20" t="n"/>
      <c r="M725" s="20">
        <f>IF(A725="","",IF(F725&lt;&gt;"Yes",0,IF(L725&lt;&gt;"",L725,E725*K725)))</f>
        <v/>
      </c>
      <c r="N725" s="20">
        <f>IF($A725="","",$A725-WEEKDAY($A725,2)+1)</f>
        <v/>
      </c>
      <c r="O725" s="20">
        <f>IF($A725="","",TEXT($A725,"yyyy-mm"))</f>
        <v/>
      </c>
      <c r="P725" s="21">
        <f>IF($A725="","",TEXT(YEAR($A725),"0000")&amp;"-Q"&amp;ROUNDUP(MONTH($A725)/3,0))</f>
        <v/>
      </c>
    </row>
    <row r="726">
      <c r="A726" s="22" t="n"/>
      <c r="B726" s="20" t="n"/>
      <c r="C726" s="20" t="n"/>
      <c r="D726" s="20">
        <f>IFERROR(INDEX(XPMenu!$A$2:$A$1000, MATCH(C726, XPMenu!$B$2:$B$1000, 0)), "")</f>
        <v/>
      </c>
      <c r="E726" s="20" t="n"/>
      <c r="F726" s="20" t="n"/>
      <c r="G726" s="20" t="n"/>
      <c r="H726" s="20" t="n"/>
      <c r="I726" s="20">
        <f>IFERROR(VLOOKUP(D726,XPMenu!$A:$F,2,FALSE),"")</f>
        <v/>
      </c>
      <c r="J726" s="20">
        <f>IFERROR(VLOOKUP(D726,XPMenu!$A:$F,3,FALSE),"")</f>
        <v/>
      </c>
      <c r="K726" s="20">
        <f>IFERROR(VLOOKUP(D726,XPMenu!$A:$F,4,FALSE),"")</f>
        <v/>
      </c>
      <c r="L726" s="20" t="n"/>
      <c r="M726" s="20">
        <f>IF(A726="","",IF(F726&lt;&gt;"Yes",0,IF(L726&lt;&gt;"",L726,E726*K726)))</f>
        <v/>
      </c>
      <c r="N726" s="20">
        <f>IF($A726="","",$A726-WEEKDAY($A726,2)+1)</f>
        <v/>
      </c>
      <c r="O726" s="20">
        <f>IF($A726="","",TEXT($A726,"yyyy-mm"))</f>
        <v/>
      </c>
      <c r="P726" s="21">
        <f>IF($A726="","",TEXT(YEAR($A726),"0000")&amp;"-Q"&amp;ROUNDUP(MONTH($A726)/3,0))</f>
        <v/>
      </c>
    </row>
    <row r="727">
      <c r="A727" s="22" t="n"/>
      <c r="B727" s="20" t="n"/>
      <c r="C727" s="20" t="n"/>
      <c r="D727" s="20">
        <f>IFERROR(INDEX(XPMenu!$A$2:$A$1000, MATCH(C727, XPMenu!$B$2:$B$1000, 0)), "")</f>
        <v/>
      </c>
      <c r="E727" s="20" t="n"/>
      <c r="F727" s="20" t="n"/>
      <c r="G727" s="20" t="n"/>
      <c r="H727" s="20" t="n"/>
      <c r="I727" s="20">
        <f>IFERROR(VLOOKUP(D727,XPMenu!$A:$F,2,FALSE),"")</f>
        <v/>
      </c>
      <c r="J727" s="20">
        <f>IFERROR(VLOOKUP(D727,XPMenu!$A:$F,3,FALSE),"")</f>
        <v/>
      </c>
      <c r="K727" s="20">
        <f>IFERROR(VLOOKUP(D727,XPMenu!$A:$F,4,FALSE),"")</f>
        <v/>
      </c>
      <c r="L727" s="20" t="n"/>
      <c r="M727" s="20">
        <f>IF(A727="","",IF(F727&lt;&gt;"Yes",0,IF(L727&lt;&gt;"",L727,E727*K727)))</f>
        <v/>
      </c>
      <c r="N727" s="20">
        <f>IF($A727="","",$A727-WEEKDAY($A727,2)+1)</f>
        <v/>
      </c>
      <c r="O727" s="20">
        <f>IF($A727="","",TEXT($A727,"yyyy-mm"))</f>
        <v/>
      </c>
      <c r="P727" s="21">
        <f>IF($A727="","",TEXT(YEAR($A727),"0000")&amp;"-Q"&amp;ROUNDUP(MONTH($A727)/3,0))</f>
        <v/>
      </c>
    </row>
    <row r="728">
      <c r="A728" s="22" t="n"/>
      <c r="B728" s="20" t="n"/>
      <c r="C728" s="20" t="n"/>
      <c r="D728" s="20">
        <f>IFERROR(INDEX(XPMenu!$A$2:$A$1000, MATCH(C728, XPMenu!$B$2:$B$1000, 0)), "")</f>
        <v/>
      </c>
      <c r="E728" s="20" t="n"/>
      <c r="F728" s="20" t="n"/>
      <c r="G728" s="20" t="n"/>
      <c r="H728" s="20" t="n"/>
      <c r="I728" s="20">
        <f>IFERROR(VLOOKUP(D728,XPMenu!$A:$F,2,FALSE),"")</f>
        <v/>
      </c>
      <c r="J728" s="20">
        <f>IFERROR(VLOOKUP(D728,XPMenu!$A:$F,3,FALSE),"")</f>
        <v/>
      </c>
      <c r="K728" s="20">
        <f>IFERROR(VLOOKUP(D728,XPMenu!$A:$F,4,FALSE),"")</f>
        <v/>
      </c>
      <c r="L728" s="20" t="n"/>
      <c r="M728" s="20">
        <f>IF(A728="","",IF(F728&lt;&gt;"Yes",0,IF(L728&lt;&gt;"",L728,E728*K728)))</f>
        <v/>
      </c>
      <c r="N728" s="20">
        <f>IF($A728="","",$A728-WEEKDAY($A728,2)+1)</f>
        <v/>
      </c>
      <c r="O728" s="20">
        <f>IF($A728="","",TEXT($A728,"yyyy-mm"))</f>
        <v/>
      </c>
      <c r="P728" s="21">
        <f>IF($A728="","",TEXT(YEAR($A728),"0000")&amp;"-Q"&amp;ROUNDUP(MONTH($A728)/3,0))</f>
        <v/>
      </c>
    </row>
    <row r="729">
      <c r="A729" s="22" t="n"/>
      <c r="B729" s="20" t="n"/>
      <c r="C729" s="20" t="n"/>
      <c r="D729" s="20">
        <f>IFERROR(INDEX(XPMenu!$A$2:$A$1000, MATCH(C729, XPMenu!$B$2:$B$1000, 0)), "")</f>
        <v/>
      </c>
      <c r="E729" s="20" t="n"/>
      <c r="F729" s="20" t="n"/>
      <c r="G729" s="20" t="n"/>
      <c r="H729" s="20" t="n"/>
      <c r="I729" s="20">
        <f>IFERROR(VLOOKUP(D729,XPMenu!$A:$F,2,FALSE),"")</f>
        <v/>
      </c>
      <c r="J729" s="20">
        <f>IFERROR(VLOOKUP(D729,XPMenu!$A:$F,3,FALSE),"")</f>
        <v/>
      </c>
      <c r="K729" s="20">
        <f>IFERROR(VLOOKUP(D729,XPMenu!$A:$F,4,FALSE),"")</f>
        <v/>
      </c>
      <c r="L729" s="20" t="n"/>
      <c r="M729" s="20">
        <f>IF(A729="","",IF(F729&lt;&gt;"Yes",0,IF(L729&lt;&gt;"",L729,E729*K729)))</f>
        <v/>
      </c>
      <c r="N729" s="20">
        <f>IF($A729="","",$A729-WEEKDAY($A729,2)+1)</f>
        <v/>
      </c>
      <c r="O729" s="20">
        <f>IF($A729="","",TEXT($A729,"yyyy-mm"))</f>
        <v/>
      </c>
      <c r="P729" s="21">
        <f>IF($A729="","",TEXT(YEAR($A729),"0000")&amp;"-Q"&amp;ROUNDUP(MONTH($A729)/3,0))</f>
        <v/>
      </c>
    </row>
    <row r="730">
      <c r="A730" s="22" t="n"/>
      <c r="B730" s="20" t="n"/>
      <c r="C730" s="20" t="n"/>
      <c r="D730" s="20">
        <f>IFERROR(INDEX(XPMenu!$A$2:$A$1000, MATCH(C730, XPMenu!$B$2:$B$1000, 0)), "")</f>
        <v/>
      </c>
      <c r="E730" s="20" t="n"/>
      <c r="F730" s="20" t="n"/>
      <c r="G730" s="20" t="n"/>
      <c r="H730" s="20" t="n"/>
      <c r="I730" s="20">
        <f>IFERROR(VLOOKUP(D730,XPMenu!$A:$F,2,FALSE),"")</f>
        <v/>
      </c>
      <c r="J730" s="20">
        <f>IFERROR(VLOOKUP(D730,XPMenu!$A:$F,3,FALSE),"")</f>
        <v/>
      </c>
      <c r="K730" s="20">
        <f>IFERROR(VLOOKUP(D730,XPMenu!$A:$F,4,FALSE),"")</f>
        <v/>
      </c>
      <c r="L730" s="20" t="n"/>
      <c r="M730" s="20">
        <f>IF(A730="","",IF(F730&lt;&gt;"Yes",0,IF(L730&lt;&gt;"",L730,E730*K730)))</f>
        <v/>
      </c>
      <c r="N730" s="20">
        <f>IF($A730="","",$A730-WEEKDAY($A730,2)+1)</f>
        <v/>
      </c>
      <c r="O730" s="20">
        <f>IF($A730="","",TEXT($A730,"yyyy-mm"))</f>
        <v/>
      </c>
      <c r="P730" s="21">
        <f>IF($A730="","",TEXT(YEAR($A730),"0000")&amp;"-Q"&amp;ROUNDUP(MONTH($A730)/3,0))</f>
        <v/>
      </c>
    </row>
    <row r="731">
      <c r="A731" s="22" t="n"/>
      <c r="B731" s="20" t="n"/>
      <c r="C731" s="20" t="n"/>
      <c r="D731" s="20">
        <f>IFERROR(INDEX(XPMenu!$A$2:$A$1000, MATCH(C731, XPMenu!$B$2:$B$1000, 0)), "")</f>
        <v/>
      </c>
      <c r="E731" s="20" t="n"/>
      <c r="F731" s="20" t="n"/>
      <c r="G731" s="20" t="n"/>
      <c r="H731" s="20" t="n"/>
      <c r="I731" s="20">
        <f>IFERROR(VLOOKUP(D731,XPMenu!$A:$F,2,FALSE),"")</f>
        <v/>
      </c>
      <c r="J731" s="20">
        <f>IFERROR(VLOOKUP(D731,XPMenu!$A:$F,3,FALSE),"")</f>
        <v/>
      </c>
      <c r="K731" s="20">
        <f>IFERROR(VLOOKUP(D731,XPMenu!$A:$F,4,FALSE),"")</f>
        <v/>
      </c>
      <c r="L731" s="20" t="n"/>
      <c r="M731" s="20">
        <f>IF(A731="","",IF(F731&lt;&gt;"Yes",0,IF(L731&lt;&gt;"",L731,E731*K731)))</f>
        <v/>
      </c>
      <c r="N731" s="20">
        <f>IF($A731="","",$A731-WEEKDAY($A731,2)+1)</f>
        <v/>
      </c>
      <c r="O731" s="20">
        <f>IF($A731="","",TEXT($A731,"yyyy-mm"))</f>
        <v/>
      </c>
      <c r="P731" s="21">
        <f>IF($A731="","",TEXT(YEAR($A731),"0000")&amp;"-Q"&amp;ROUNDUP(MONTH($A731)/3,0))</f>
        <v/>
      </c>
    </row>
    <row r="732">
      <c r="A732" s="22" t="n"/>
      <c r="B732" s="20" t="n"/>
      <c r="C732" s="20" t="n"/>
      <c r="D732" s="20">
        <f>IFERROR(INDEX(XPMenu!$A$2:$A$1000, MATCH(C732, XPMenu!$B$2:$B$1000, 0)), "")</f>
        <v/>
      </c>
      <c r="E732" s="20" t="n"/>
      <c r="F732" s="20" t="n"/>
      <c r="G732" s="20" t="n"/>
      <c r="H732" s="20" t="n"/>
      <c r="I732" s="20">
        <f>IFERROR(VLOOKUP(D732,XPMenu!$A:$F,2,FALSE),"")</f>
        <v/>
      </c>
      <c r="J732" s="20">
        <f>IFERROR(VLOOKUP(D732,XPMenu!$A:$F,3,FALSE),"")</f>
        <v/>
      </c>
      <c r="K732" s="20">
        <f>IFERROR(VLOOKUP(D732,XPMenu!$A:$F,4,FALSE),"")</f>
        <v/>
      </c>
      <c r="L732" s="20" t="n"/>
      <c r="M732" s="20">
        <f>IF(A732="","",IF(F732&lt;&gt;"Yes",0,IF(L732&lt;&gt;"",L732,E732*K732)))</f>
        <v/>
      </c>
      <c r="N732" s="20">
        <f>IF($A732="","",$A732-WEEKDAY($A732,2)+1)</f>
        <v/>
      </c>
      <c r="O732" s="20">
        <f>IF($A732="","",TEXT($A732,"yyyy-mm"))</f>
        <v/>
      </c>
      <c r="P732" s="21">
        <f>IF($A732="","",TEXT(YEAR($A732),"0000")&amp;"-Q"&amp;ROUNDUP(MONTH($A732)/3,0))</f>
        <v/>
      </c>
    </row>
    <row r="733">
      <c r="A733" s="22" t="n"/>
      <c r="B733" s="20" t="n"/>
      <c r="C733" s="20" t="n"/>
      <c r="D733" s="20">
        <f>IFERROR(INDEX(XPMenu!$A$2:$A$1000, MATCH(C733, XPMenu!$B$2:$B$1000, 0)), "")</f>
        <v/>
      </c>
      <c r="E733" s="20" t="n"/>
      <c r="F733" s="20" t="n"/>
      <c r="G733" s="20" t="n"/>
      <c r="H733" s="20" t="n"/>
      <c r="I733" s="20">
        <f>IFERROR(VLOOKUP(D733,XPMenu!$A:$F,2,FALSE),"")</f>
        <v/>
      </c>
      <c r="J733" s="20">
        <f>IFERROR(VLOOKUP(D733,XPMenu!$A:$F,3,FALSE),"")</f>
        <v/>
      </c>
      <c r="K733" s="20">
        <f>IFERROR(VLOOKUP(D733,XPMenu!$A:$F,4,FALSE),"")</f>
        <v/>
      </c>
      <c r="L733" s="20" t="n"/>
      <c r="M733" s="20">
        <f>IF(A733="","",IF(F733&lt;&gt;"Yes",0,IF(L733&lt;&gt;"",L733,E733*K733)))</f>
        <v/>
      </c>
      <c r="N733" s="20">
        <f>IF($A733="","",$A733-WEEKDAY($A733,2)+1)</f>
        <v/>
      </c>
      <c r="O733" s="20">
        <f>IF($A733="","",TEXT($A733,"yyyy-mm"))</f>
        <v/>
      </c>
      <c r="P733" s="21">
        <f>IF($A733="","",TEXT(YEAR($A733),"0000")&amp;"-Q"&amp;ROUNDUP(MONTH($A733)/3,0))</f>
        <v/>
      </c>
    </row>
    <row r="734">
      <c r="A734" s="22" t="n"/>
      <c r="B734" s="20" t="n"/>
      <c r="C734" s="20" t="n"/>
      <c r="D734" s="20">
        <f>IFERROR(INDEX(XPMenu!$A$2:$A$1000, MATCH(C734, XPMenu!$B$2:$B$1000, 0)), "")</f>
        <v/>
      </c>
      <c r="E734" s="20" t="n"/>
      <c r="F734" s="20" t="n"/>
      <c r="G734" s="20" t="n"/>
      <c r="H734" s="20" t="n"/>
      <c r="I734" s="20">
        <f>IFERROR(VLOOKUP(D734,XPMenu!$A:$F,2,FALSE),"")</f>
        <v/>
      </c>
      <c r="J734" s="20">
        <f>IFERROR(VLOOKUP(D734,XPMenu!$A:$F,3,FALSE),"")</f>
        <v/>
      </c>
      <c r="K734" s="20">
        <f>IFERROR(VLOOKUP(D734,XPMenu!$A:$F,4,FALSE),"")</f>
        <v/>
      </c>
      <c r="L734" s="20" t="n"/>
      <c r="M734" s="20">
        <f>IF(A734="","",IF(F734&lt;&gt;"Yes",0,IF(L734&lt;&gt;"",L734,E734*K734)))</f>
        <v/>
      </c>
      <c r="N734" s="20">
        <f>IF($A734="","",$A734-WEEKDAY($A734,2)+1)</f>
        <v/>
      </c>
      <c r="O734" s="20">
        <f>IF($A734="","",TEXT($A734,"yyyy-mm"))</f>
        <v/>
      </c>
      <c r="P734" s="21">
        <f>IF($A734="","",TEXT(YEAR($A734),"0000")&amp;"-Q"&amp;ROUNDUP(MONTH($A734)/3,0))</f>
        <v/>
      </c>
    </row>
    <row r="735">
      <c r="A735" s="22" t="n"/>
      <c r="B735" s="20" t="n"/>
      <c r="C735" s="20" t="n"/>
      <c r="D735" s="20">
        <f>IFERROR(INDEX(XPMenu!$A$2:$A$1000, MATCH(C735, XPMenu!$B$2:$B$1000, 0)), "")</f>
        <v/>
      </c>
      <c r="E735" s="20" t="n"/>
      <c r="F735" s="20" t="n"/>
      <c r="G735" s="20" t="n"/>
      <c r="H735" s="20" t="n"/>
      <c r="I735" s="20">
        <f>IFERROR(VLOOKUP(D735,XPMenu!$A:$F,2,FALSE),"")</f>
        <v/>
      </c>
      <c r="J735" s="20">
        <f>IFERROR(VLOOKUP(D735,XPMenu!$A:$F,3,FALSE),"")</f>
        <v/>
      </c>
      <c r="K735" s="20">
        <f>IFERROR(VLOOKUP(D735,XPMenu!$A:$F,4,FALSE),"")</f>
        <v/>
      </c>
      <c r="L735" s="20" t="n"/>
      <c r="M735" s="20">
        <f>IF(A735="","",IF(F735&lt;&gt;"Yes",0,IF(L735&lt;&gt;"",L735,E735*K735)))</f>
        <v/>
      </c>
      <c r="N735" s="20">
        <f>IF($A735="","",$A735-WEEKDAY($A735,2)+1)</f>
        <v/>
      </c>
      <c r="O735" s="20">
        <f>IF($A735="","",TEXT($A735,"yyyy-mm"))</f>
        <v/>
      </c>
      <c r="P735" s="21">
        <f>IF($A735="","",TEXT(YEAR($A735),"0000")&amp;"-Q"&amp;ROUNDUP(MONTH($A735)/3,0))</f>
        <v/>
      </c>
    </row>
    <row r="736">
      <c r="A736" s="22" t="n"/>
      <c r="B736" s="20" t="n"/>
      <c r="C736" s="20" t="n"/>
      <c r="D736" s="20">
        <f>IFERROR(INDEX(XPMenu!$A$2:$A$1000, MATCH(C736, XPMenu!$B$2:$B$1000, 0)), "")</f>
        <v/>
      </c>
      <c r="E736" s="20" t="n"/>
      <c r="F736" s="20" t="n"/>
      <c r="G736" s="20" t="n"/>
      <c r="H736" s="20" t="n"/>
      <c r="I736" s="20">
        <f>IFERROR(VLOOKUP(D736,XPMenu!$A:$F,2,FALSE),"")</f>
        <v/>
      </c>
      <c r="J736" s="20">
        <f>IFERROR(VLOOKUP(D736,XPMenu!$A:$F,3,FALSE),"")</f>
        <v/>
      </c>
      <c r="K736" s="20">
        <f>IFERROR(VLOOKUP(D736,XPMenu!$A:$F,4,FALSE),"")</f>
        <v/>
      </c>
      <c r="L736" s="20" t="n"/>
      <c r="M736" s="20">
        <f>IF(A736="","",IF(F736&lt;&gt;"Yes",0,IF(L736&lt;&gt;"",L736,E736*K736)))</f>
        <v/>
      </c>
      <c r="N736" s="20">
        <f>IF($A736="","",$A736-WEEKDAY($A736,2)+1)</f>
        <v/>
      </c>
      <c r="O736" s="20">
        <f>IF($A736="","",TEXT($A736,"yyyy-mm"))</f>
        <v/>
      </c>
      <c r="P736" s="21">
        <f>IF($A736="","",TEXT(YEAR($A736),"0000")&amp;"-Q"&amp;ROUNDUP(MONTH($A736)/3,0))</f>
        <v/>
      </c>
    </row>
    <row r="737">
      <c r="A737" s="22" t="n"/>
      <c r="B737" s="20" t="n"/>
      <c r="C737" s="20" t="n"/>
      <c r="D737" s="20">
        <f>IFERROR(INDEX(XPMenu!$A$2:$A$1000, MATCH(C737, XPMenu!$B$2:$B$1000, 0)), "")</f>
        <v/>
      </c>
      <c r="E737" s="20" t="n"/>
      <c r="F737" s="20" t="n"/>
      <c r="G737" s="20" t="n"/>
      <c r="H737" s="20" t="n"/>
      <c r="I737" s="20">
        <f>IFERROR(VLOOKUP(D737,XPMenu!$A:$F,2,FALSE),"")</f>
        <v/>
      </c>
      <c r="J737" s="20">
        <f>IFERROR(VLOOKUP(D737,XPMenu!$A:$F,3,FALSE),"")</f>
        <v/>
      </c>
      <c r="K737" s="20">
        <f>IFERROR(VLOOKUP(D737,XPMenu!$A:$F,4,FALSE),"")</f>
        <v/>
      </c>
      <c r="L737" s="20" t="n"/>
      <c r="M737" s="20">
        <f>IF(A737="","",IF(F737&lt;&gt;"Yes",0,IF(L737&lt;&gt;"",L737,E737*K737)))</f>
        <v/>
      </c>
      <c r="N737" s="20">
        <f>IF($A737="","",$A737-WEEKDAY($A737,2)+1)</f>
        <v/>
      </c>
      <c r="O737" s="20">
        <f>IF($A737="","",TEXT($A737,"yyyy-mm"))</f>
        <v/>
      </c>
      <c r="P737" s="21">
        <f>IF($A737="","",TEXT(YEAR($A737),"0000")&amp;"-Q"&amp;ROUNDUP(MONTH($A737)/3,0))</f>
        <v/>
      </c>
    </row>
    <row r="738">
      <c r="A738" s="22" t="n"/>
      <c r="B738" s="20" t="n"/>
      <c r="C738" s="20" t="n"/>
      <c r="D738" s="20">
        <f>IFERROR(INDEX(XPMenu!$A$2:$A$1000, MATCH(C738, XPMenu!$B$2:$B$1000, 0)), "")</f>
        <v/>
      </c>
      <c r="E738" s="20" t="n"/>
      <c r="F738" s="20" t="n"/>
      <c r="G738" s="20" t="n"/>
      <c r="H738" s="20" t="n"/>
      <c r="I738" s="20">
        <f>IFERROR(VLOOKUP(D738,XPMenu!$A:$F,2,FALSE),"")</f>
        <v/>
      </c>
      <c r="J738" s="20">
        <f>IFERROR(VLOOKUP(D738,XPMenu!$A:$F,3,FALSE),"")</f>
        <v/>
      </c>
      <c r="K738" s="20">
        <f>IFERROR(VLOOKUP(D738,XPMenu!$A:$F,4,FALSE),"")</f>
        <v/>
      </c>
      <c r="L738" s="20" t="n"/>
      <c r="M738" s="20">
        <f>IF(A738="","",IF(F738&lt;&gt;"Yes",0,IF(L738&lt;&gt;"",L738,E738*K738)))</f>
        <v/>
      </c>
      <c r="N738" s="20">
        <f>IF($A738="","",$A738-WEEKDAY($A738,2)+1)</f>
        <v/>
      </c>
      <c r="O738" s="20">
        <f>IF($A738="","",TEXT($A738,"yyyy-mm"))</f>
        <v/>
      </c>
      <c r="P738" s="21">
        <f>IF($A738="","",TEXT(YEAR($A738),"0000")&amp;"-Q"&amp;ROUNDUP(MONTH($A738)/3,0))</f>
        <v/>
      </c>
    </row>
    <row r="739">
      <c r="A739" s="22" t="n"/>
      <c r="B739" s="20" t="n"/>
      <c r="C739" s="20" t="n"/>
      <c r="D739" s="20">
        <f>IFERROR(INDEX(XPMenu!$A$2:$A$1000, MATCH(C739, XPMenu!$B$2:$B$1000, 0)), "")</f>
        <v/>
      </c>
      <c r="E739" s="20" t="n"/>
      <c r="F739" s="20" t="n"/>
      <c r="G739" s="20" t="n"/>
      <c r="H739" s="20" t="n"/>
      <c r="I739" s="20">
        <f>IFERROR(VLOOKUP(D739,XPMenu!$A:$F,2,FALSE),"")</f>
        <v/>
      </c>
      <c r="J739" s="20">
        <f>IFERROR(VLOOKUP(D739,XPMenu!$A:$F,3,FALSE),"")</f>
        <v/>
      </c>
      <c r="K739" s="20">
        <f>IFERROR(VLOOKUP(D739,XPMenu!$A:$F,4,FALSE),"")</f>
        <v/>
      </c>
      <c r="L739" s="20" t="n"/>
      <c r="M739" s="20">
        <f>IF(A739="","",IF(F739&lt;&gt;"Yes",0,IF(L739&lt;&gt;"",L739,E739*K739)))</f>
        <v/>
      </c>
      <c r="N739" s="20">
        <f>IF($A739="","",$A739-WEEKDAY($A739,2)+1)</f>
        <v/>
      </c>
      <c r="O739" s="20">
        <f>IF($A739="","",TEXT($A739,"yyyy-mm"))</f>
        <v/>
      </c>
      <c r="P739" s="21">
        <f>IF($A739="","",TEXT(YEAR($A739),"0000")&amp;"-Q"&amp;ROUNDUP(MONTH($A739)/3,0))</f>
        <v/>
      </c>
    </row>
    <row r="740">
      <c r="A740" s="22" t="n"/>
      <c r="B740" s="20" t="n"/>
      <c r="C740" s="20" t="n"/>
      <c r="D740" s="20">
        <f>IFERROR(INDEX(XPMenu!$A$2:$A$1000, MATCH(C740, XPMenu!$B$2:$B$1000, 0)), "")</f>
        <v/>
      </c>
      <c r="E740" s="20" t="n"/>
      <c r="F740" s="20" t="n"/>
      <c r="G740" s="20" t="n"/>
      <c r="H740" s="20" t="n"/>
      <c r="I740" s="20">
        <f>IFERROR(VLOOKUP(D740,XPMenu!$A:$F,2,FALSE),"")</f>
        <v/>
      </c>
      <c r="J740" s="20">
        <f>IFERROR(VLOOKUP(D740,XPMenu!$A:$F,3,FALSE),"")</f>
        <v/>
      </c>
      <c r="K740" s="20">
        <f>IFERROR(VLOOKUP(D740,XPMenu!$A:$F,4,FALSE),"")</f>
        <v/>
      </c>
      <c r="L740" s="20" t="n"/>
      <c r="M740" s="20">
        <f>IF(A740="","",IF(F740&lt;&gt;"Yes",0,IF(L740&lt;&gt;"",L740,E740*K740)))</f>
        <v/>
      </c>
      <c r="N740" s="20">
        <f>IF($A740="","",$A740-WEEKDAY($A740,2)+1)</f>
        <v/>
      </c>
      <c r="O740" s="20">
        <f>IF($A740="","",TEXT($A740,"yyyy-mm"))</f>
        <v/>
      </c>
      <c r="P740" s="21">
        <f>IF($A740="","",TEXT(YEAR($A740),"0000")&amp;"-Q"&amp;ROUNDUP(MONTH($A740)/3,0))</f>
        <v/>
      </c>
    </row>
    <row r="741">
      <c r="A741" s="22" t="n"/>
      <c r="B741" s="20" t="n"/>
      <c r="C741" s="20" t="n"/>
      <c r="D741" s="20">
        <f>IFERROR(INDEX(XPMenu!$A$2:$A$1000, MATCH(C741, XPMenu!$B$2:$B$1000, 0)), "")</f>
        <v/>
      </c>
      <c r="E741" s="20" t="n"/>
      <c r="F741" s="20" t="n"/>
      <c r="G741" s="20" t="n"/>
      <c r="H741" s="20" t="n"/>
      <c r="I741" s="20">
        <f>IFERROR(VLOOKUP(D741,XPMenu!$A:$F,2,FALSE),"")</f>
        <v/>
      </c>
      <c r="J741" s="20">
        <f>IFERROR(VLOOKUP(D741,XPMenu!$A:$F,3,FALSE),"")</f>
        <v/>
      </c>
      <c r="K741" s="20">
        <f>IFERROR(VLOOKUP(D741,XPMenu!$A:$F,4,FALSE),"")</f>
        <v/>
      </c>
      <c r="L741" s="20" t="n"/>
      <c r="M741" s="20">
        <f>IF(A741="","",IF(F741&lt;&gt;"Yes",0,IF(L741&lt;&gt;"",L741,E741*K741)))</f>
        <v/>
      </c>
      <c r="N741" s="20">
        <f>IF($A741="","",$A741-WEEKDAY($A741,2)+1)</f>
        <v/>
      </c>
      <c r="O741" s="20">
        <f>IF($A741="","",TEXT($A741,"yyyy-mm"))</f>
        <v/>
      </c>
      <c r="P741" s="21">
        <f>IF($A741="","",TEXT(YEAR($A741),"0000")&amp;"-Q"&amp;ROUNDUP(MONTH($A741)/3,0))</f>
        <v/>
      </c>
    </row>
    <row r="742">
      <c r="A742" s="22" t="n"/>
      <c r="B742" s="20" t="n"/>
      <c r="C742" s="20" t="n"/>
      <c r="D742" s="20">
        <f>IFERROR(INDEX(XPMenu!$A$2:$A$1000, MATCH(C742, XPMenu!$B$2:$B$1000, 0)), "")</f>
        <v/>
      </c>
      <c r="E742" s="20" t="n"/>
      <c r="F742" s="20" t="n"/>
      <c r="G742" s="20" t="n"/>
      <c r="H742" s="20" t="n"/>
      <c r="I742" s="20">
        <f>IFERROR(VLOOKUP(D742,XPMenu!$A:$F,2,FALSE),"")</f>
        <v/>
      </c>
      <c r="J742" s="20">
        <f>IFERROR(VLOOKUP(D742,XPMenu!$A:$F,3,FALSE),"")</f>
        <v/>
      </c>
      <c r="K742" s="20">
        <f>IFERROR(VLOOKUP(D742,XPMenu!$A:$F,4,FALSE),"")</f>
        <v/>
      </c>
      <c r="L742" s="20" t="n"/>
      <c r="M742" s="20">
        <f>IF(A742="","",IF(F742&lt;&gt;"Yes",0,IF(L742&lt;&gt;"",L742,E742*K742)))</f>
        <v/>
      </c>
      <c r="N742" s="20">
        <f>IF($A742="","",$A742-WEEKDAY($A742,2)+1)</f>
        <v/>
      </c>
      <c r="O742" s="20">
        <f>IF($A742="","",TEXT($A742,"yyyy-mm"))</f>
        <v/>
      </c>
      <c r="P742" s="21">
        <f>IF($A742="","",TEXT(YEAR($A742),"0000")&amp;"-Q"&amp;ROUNDUP(MONTH($A742)/3,0))</f>
        <v/>
      </c>
    </row>
    <row r="743">
      <c r="A743" s="22" t="n"/>
      <c r="B743" s="20" t="n"/>
      <c r="C743" s="20" t="n"/>
      <c r="D743" s="20">
        <f>IFERROR(INDEX(XPMenu!$A$2:$A$1000, MATCH(C743, XPMenu!$B$2:$B$1000, 0)), "")</f>
        <v/>
      </c>
      <c r="E743" s="20" t="n"/>
      <c r="F743" s="20" t="n"/>
      <c r="G743" s="20" t="n"/>
      <c r="H743" s="20" t="n"/>
      <c r="I743" s="20">
        <f>IFERROR(VLOOKUP(D743,XPMenu!$A:$F,2,FALSE),"")</f>
        <v/>
      </c>
      <c r="J743" s="20">
        <f>IFERROR(VLOOKUP(D743,XPMenu!$A:$F,3,FALSE),"")</f>
        <v/>
      </c>
      <c r="K743" s="20">
        <f>IFERROR(VLOOKUP(D743,XPMenu!$A:$F,4,FALSE),"")</f>
        <v/>
      </c>
      <c r="L743" s="20" t="n"/>
      <c r="M743" s="20">
        <f>IF(A743="","",IF(F743&lt;&gt;"Yes",0,IF(L743&lt;&gt;"",L743,E743*K743)))</f>
        <v/>
      </c>
      <c r="N743" s="20">
        <f>IF($A743="","",$A743-WEEKDAY($A743,2)+1)</f>
        <v/>
      </c>
      <c r="O743" s="20">
        <f>IF($A743="","",TEXT($A743,"yyyy-mm"))</f>
        <v/>
      </c>
      <c r="P743" s="21">
        <f>IF($A743="","",TEXT(YEAR($A743),"0000")&amp;"-Q"&amp;ROUNDUP(MONTH($A743)/3,0))</f>
        <v/>
      </c>
    </row>
    <row r="744">
      <c r="A744" s="22" t="n"/>
      <c r="B744" s="20" t="n"/>
      <c r="C744" s="20" t="n"/>
      <c r="D744" s="20">
        <f>IFERROR(INDEX(XPMenu!$A$2:$A$1000, MATCH(C744, XPMenu!$B$2:$B$1000, 0)), "")</f>
        <v/>
      </c>
      <c r="E744" s="20" t="n"/>
      <c r="F744" s="20" t="n"/>
      <c r="G744" s="20" t="n"/>
      <c r="H744" s="20" t="n"/>
      <c r="I744" s="20">
        <f>IFERROR(VLOOKUP(D744,XPMenu!$A:$F,2,FALSE),"")</f>
        <v/>
      </c>
      <c r="J744" s="20">
        <f>IFERROR(VLOOKUP(D744,XPMenu!$A:$F,3,FALSE),"")</f>
        <v/>
      </c>
      <c r="K744" s="20">
        <f>IFERROR(VLOOKUP(D744,XPMenu!$A:$F,4,FALSE),"")</f>
        <v/>
      </c>
      <c r="L744" s="20" t="n"/>
      <c r="M744" s="20">
        <f>IF(A744="","",IF(F744&lt;&gt;"Yes",0,IF(L744&lt;&gt;"",L744,E744*K744)))</f>
        <v/>
      </c>
      <c r="N744" s="20">
        <f>IF($A744="","",$A744-WEEKDAY($A744,2)+1)</f>
        <v/>
      </c>
      <c r="O744" s="20">
        <f>IF($A744="","",TEXT($A744,"yyyy-mm"))</f>
        <v/>
      </c>
      <c r="P744" s="21">
        <f>IF($A744="","",TEXT(YEAR($A744),"0000")&amp;"-Q"&amp;ROUNDUP(MONTH($A744)/3,0))</f>
        <v/>
      </c>
    </row>
    <row r="745">
      <c r="A745" s="22" t="n"/>
      <c r="B745" s="20" t="n"/>
      <c r="C745" s="20" t="n"/>
      <c r="D745" s="20">
        <f>IFERROR(INDEX(XPMenu!$A$2:$A$1000, MATCH(C745, XPMenu!$B$2:$B$1000, 0)), "")</f>
        <v/>
      </c>
      <c r="E745" s="20" t="n"/>
      <c r="F745" s="20" t="n"/>
      <c r="G745" s="20" t="n"/>
      <c r="H745" s="20" t="n"/>
      <c r="I745" s="20">
        <f>IFERROR(VLOOKUP(D745,XPMenu!$A:$F,2,FALSE),"")</f>
        <v/>
      </c>
      <c r="J745" s="20">
        <f>IFERROR(VLOOKUP(D745,XPMenu!$A:$F,3,FALSE),"")</f>
        <v/>
      </c>
      <c r="K745" s="20">
        <f>IFERROR(VLOOKUP(D745,XPMenu!$A:$F,4,FALSE),"")</f>
        <v/>
      </c>
      <c r="L745" s="20" t="n"/>
      <c r="M745" s="20">
        <f>IF(A745="","",IF(F745&lt;&gt;"Yes",0,IF(L745&lt;&gt;"",L745,E745*K745)))</f>
        <v/>
      </c>
      <c r="N745" s="20">
        <f>IF($A745="","",$A745-WEEKDAY($A745,2)+1)</f>
        <v/>
      </c>
      <c r="O745" s="20">
        <f>IF($A745="","",TEXT($A745,"yyyy-mm"))</f>
        <v/>
      </c>
      <c r="P745" s="21">
        <f>IF($A745="","",TEXT(YEAR($A745),"0000")&amp;"-Q"&amp;ROUNDUP(MONTH($A745)/3,0))</f>
        <v/>
      </c>
    </row>
    <row r="746">
      <c r="A746" s="22" t="n"/>
      <c r="B746" s="20" t="n"/>
      <c r="C746" s="20" t="n"/>
      <c r="D746" s="20">
        <f>IFERROR(INDEX(XPMenu!$A$2:$A$1000, MATCH(C746, XPMenu!$B$2:$B$1000, 0)), "")</f>
        <v/>
      </c>
      <c r="E746" s="20" t="n"/>
      <c r="F746" s="20" t="n"/>
      <c r="G746" s="20" t="n"/>
      <c r="H746" s="20" t="n"/>
      <c r="I746" s="20">
        <f>IFERROR(VLOOKUP(D746,XPMenu!$A:$F,2,FALSE),"")</f>
        <v/>
      </c>
      <c r="J746" s="20">
        <f>IFERROR(VLOOKUP(D746,XPMenu!$A:$F,3,FALSE),"")</f>
        <v/>
      </c>
      <c r="K746" s="20">
        <f>IFERROR(VLOOKUP(D746,XPMenu!$A:$F,4,FALSE),"")</f>
        <v/>
      </c>
      <c r="L746" s="20" t="n"/>
      <c r="M746" s="20">
        <f>IF(A746="","",IF(F746&lt;&gt;"Yes",0,IF(L746&lt;&gt;"",L746,E746*K746)))</f>
        <v/>
      </c>
      <c r="N746" s="20">
        <f>IF($A746="","",$A746-WEEKDAY($A746,2)+1)</f>
        <v/>
      </c>
      <c r="O746" s="20">
        <f>IF($A746="","",TEXT($A746,"yyyy-mm"))</f>
        <v/>
      </c>
      <c r="P746" s="21">
        <f>IF($A746="","",TEXT(YEAR($A746),"0000")&amp;"-Q"&amp;ROUNDUP(MONTH($A746)/3,0))</f>
        <v/>
      </c>
    </row>
    <row r="747">
      <c r="A747" s="22" t="n"/>
      <c r="B747" s="20" t="n"/>
      <c r="C747" s="20" t="n"/>
      <c r="D747" s="20">
        <f>IFERROR(INDEX(XPMenu!$A$2:$A$1000, MATCH(C747, XPMenu!$B$2:$B$1000, 0)), "")</f>
        <v/>
      </c>
      <c r="E747" s="20" t="n"/>
      <c r="F747" s="20" t="n"/>
      <c r="G747" s="20" t="n"/>
      <c r="H747" s="20" t="n"/>
      <c r="I747" s="20">
        <f>IFERROR(VLOOKUP(D747,XPMenu!$A:$F,2,FALSE),"")</f>
        <v/>
      </c>
      <c r="J747" s="20">
        <f>IFERROR(VLOOKUP(D747,XPMenu!$A:$F,3,FALSE),"")</f>
        <v/>
      </c>
      <c r="K747" s="20">
        <f>IFERROR(VLOOKUP(D747,XPMenu!$A:$F,4,FALSE),"")</f>
        <v/>
      </c>
      <c r="L747" s="20" t="n"/>
      <c r="M747" s="20">
        <f>IF(A747="","",IF(F747&lt;&gt;"Yes",0,IF(L747&lt;&gt;"",L747,E747*K747)))</f>
        <v/>
      </c>
      <c r="N747" s="20">
        <f>IF($A747="","",$A747-WEEKDAY($A747,2)+1)</f>
        <v/>
      </c>
      <c r="O747" s="20">
        <f>IF($A747="","",TEXT($A747,"yyyy-mm"))</f>
        <v/>
      </c>
      <c r="P747" s="21">
        <f>IF($A747="","",TEXT(YEAR($A747),"0000")&amp;"-Q"&amp;ROUNDUP(MONTH($A747)/3,0))</f>
        <v/>
      </c>
    </row>
    <row r="748">
      <c r="A748" s="22" t="n"/>
      <c r="B748" s="20" t="n"/>
      <c r="C748" s="20" t="n"/>
      <c r="D748" s="20">
        <f>IFERROR(INDEX(XPMenu!$A$2:$A$1000, MATCH(C748, XPMenu!$B$2:$B$1000, 0)), "")</f>
        <v/>
      </c>
      <c r="E748" s="20" t="n"/>
      <c r="F748" s="20" t="n"/>
      <c r="G748" s="20" t="n"/>
      <c r="H748" s="20" t="n"/>
      <c r="I748" s="20">
        <f>IFERROR(VLOOKUP(D748,XPMenu!$A:$F,2,FALSE),"")</f>
        <v/>
      </c>
      <c r="J748" s="20">
        <f>IFERROR(VLOOKUP(D748,XPMenu!$A:$F,3,FALSE),"")</f>
        <v/>
      </c>
      <c r="K748" s="20">
        <f>IFERROR(VLOOKUP(D748,XPMenu!$A:$F,4,FALSE),"")</f>
        <v/>
      </c>
      <c r="L748" s="20" t="n"/>
      <c r="M748" s="20">
        <f>IF(A748="","",IF(F748&lt;&gt;"Yes",0,IF(L748&lt;&gt;"",L748,E748*K748)))</f>
        <v/>
      </c>
      <c r="N748" s="20">
        <f>IF($A748="","",$A748-WEEKDAY($A748,2)+1)</f>
        <v/>
      </c>
      <c r="O748" s="20">
        <f>IF($A748="","",TEXT($A748,"yyyy-mm"))</f>
        <v/>
      </c>
      <c r="P748" s="21">
        <f>IF($A748="","",TEXT(YEAR($A748),"0000")&amp;"-Q"&amp;ROUNDUP(MONTH($A748)/3,0))</f>
        <v/>
      </c>
    </row>
    <row r="749">
      <c r="A749" s="22" t="n"/>
      <c r="B749" s="20" t="n"/>
      <c r="C749" s="20" t="n"/>
      <c r="D749" s="20">
        <f>IFERROR(INDEX(XPMenu!$A$2:$A$1000, MATCH(C749, XPMenu!$B$2:$B$1000, 0)), "")</f>
        <v/>
      </c>
      <c r="E749" s="20" t="n"/>
      <c r="F749" s="20" t="n"/>
      <c r="G749" s="20" t="n"/>
      <c r="H749" s="20" t="n"/>
      <c r="I749" s="20">
        <f>IFERROR(VLOOKUP(D749,XPMenu!$A:$F,2,FALSE),"")</f>
        <v/>
      </c>
      <c r="J749" s="20">
        <f>IFERROR(VLOOKUP(D749,XPMenu!$A:$F,3,FALSE),"")</f>
        <v/>
      </c>
      <c r="K749" s="20">
        <f>IFERROR(VLOOKUP(D749,XPMenu!$A:$F,4,FALSE),"")</f>
        <v/>
      </c>
      <c r="L749" s="20" t="n"/>
      <c r="M749" s="20">
        <f>IF(A749="","",IF(F749&lt;&gt;"Yes",0,IF(L749&lt;&gt;"",L749,E749*K749)))</f>
        <v/>
      </c>
      <c r="N749" s="20">
        <f>IF($A749="","",$A749-WEEKDAY($A749,2)+1)</f>
        <v/>
      </c>
      <c r="O749" s="20">
        <f>IF($A749="","",TEXT($A749,"yyyy-mm"))</f>
        <v/>
      </c>
      <c r="P749" s="21">
        <f>IF($A749="","",TEXT(YEAR($A749),"0000")&amp;"-Q"&amp;ROUNDUP(MONTH($A749)/3,0))</f>
        <v/>
      </c>
    </row>
    <row r="750">
      <c r="A750" s="22" t="n"/>
      <c r="B750" s="20" t="n"/>
      <c r="C750" s="20" t="n"/>
      <c r="D750" s="20">
        <f>IFERROR(INDEX(XPMenu!$A$2:$A$1000, MATCH(C750, XPMenu!$B$2:$B$1000, 0)), "")</f>
        <v/>
      </c>
      <c r="E750" s="20" t="n"/>
      <c r="F750" s="20" t="n"/>
      <c r="G750" s="20" t="n"/>
      <c r="H750" s="20" t="n"/>
      <c r="I750" s="20">
        <f>IFERROR(VLOOKUP(D750,XPMenu!$A:$F,2,FALSE),"")</f>
        <v/>
      </c>
      <c r="J750" s="20">
        <f>IFERROR(VLOOKUP(D750,XPMenu!$A:$F,3,FALSE),"")</f>
        <v/>
      </c>
      <c r="K750" s="20">
        <f>IFERROR(VLOOKUP(D750,XPMenu!$A:$F,4,FALSE),"")</f>
        <v/>
      </c>
      <c r="L750" s="20" t="n"/>
      <c r="M750" s="20">
        <f>IF(A750="","",IF(F750&lt;&gt;"Yes",0,IF(L750&lt;&gt;"",L750,E750*K750)))</f>
        <v/>
      </c>
      <c r="N750" s="20">
        <f>IF($A750="","",$A750-WEEKDAY($A750,2)+1)</f>
        <v/>
      </c>
      <c r="O750" s="20">
        <f>IF($A750="","",TEXT($A750,"yyyy-mm"))</f>
        <v/>
      </c>
      <c r="P750" s="21">
        <f>IF($A750="","",TEXT(YEAR($A750),"0000")&amp;"-Q"&amp;ROUNDUP(MONTH($A750)/3,0))</f>
        <v/>
      </c>
    </row>
    <row r="751">
      <c r="A751" s="22" t="n"/>
      <c r="B751" s="20" t="n"/>
      <c r="C751" s="20" t="n"/>
      <c r="D751" s="20">
        <f>IFERROR(INDEX(XPMenu!$A$2:$A$1000, MATCH(C751, XPMenu!$B$2:$B$1000, 0)), "")</f>
        <v/>
      </c>
      <c r="E751" s="20" t="n"/>
      <c r="F751" s="20" t="n"/>
      <c r="G751" s="20" t="n"/>
      <c r="H751" s="20" t="n"/>
      <c r="I751" s="20">
        <f>IFERROR(VLOOKUP(D751,XPMenu!$A:$F,2,FALSE),"")</f>
        <v/>
      </c>
      <c r="J751" s="20">
        <f>IFERROR(VLOOKUP(D751,XPMenu!$A:$F,3,FALSE),"")</f>
        <v/>
      </c>
      <c r="K751" s="20">
        <f>IFERROR(VLOOKUP(D751,XPMenu!$A:$F,4,FALSE),"")</f>
        <v/>
      </c>
      <c r="L751" s="20" t="n"/>
      <c r="M751" s="20">
        <f>IF(A751="","",IF(F751&lt;&gt;"Yes",0,IF(L751&lt;&gt;"",L751,E751*K751)))</f>
        <v/>
      </c>
      <c r="N751" s="20">
        <f>IF($A751="","",$A751-WEEKDAY($A751,2)+1)</f>
        <v/>
      </c>
      <c r="O751" s="20">
        <f>IF($A751="","",TEXT($A751,"yyyy-mm"))</f>
        <v/>
      </c>
      <c r="P751" s="21">
        <f>IF($A751="","",TEXT(YEAR($A751),"0000")&amp;"-Q"&amp;ROUNDUP(MONTH($A751)/3,0))</f>
        <v/>
      </c>
    </row>
    <row r="752">
      <c r="A752" s="22" t="n"/>
      <c r="B752" s="20" t="n"/>
      <c r="C752" s="20" t="n"/>
      <c r="D752" s="20">
        <f>IFERROR(INDEX(XPMenu!$A$2:$A$1000, MATCH(C752, XPMenu!$B$2:$B$1000, 0)), "")</f>
        <v/>
      </c>
      <c r="E752" s="20" t="n"/>
      <c r="F752" s="20" t="n"/>
      <c r="G752" s="20" t="n"/>
      <c r="H752" s="20" t="n"/>
      <c r="I752" s="20">
        <f>IFERROR(VLOOKUP(D752,XPMenu!$A:$F,2,FALSE),"")</f>
        <v/>
      </c>
      <c r="J752" s="20">
        <f>IFERROR(VLOOKUP(D752,XPMenu!$A:$F,3,FALSE),"")</f>
        <v/>
      </c>
      <c r="K752" s="20">
        <f>IFERROR(VLOOKUP(D752,XPMenu!$A:$F,4,FALSE),"")</f>
        <v/>
      </c>
      <c r="L752" s="20" t="n"/>
      <c r="M752" s="20">
        <f>IF(A752="","",IF(F752&lt;&gt;"Yes",0,IF(L752&lt;&gt;"",L752,E752*K752)))</f>
        <v/>
      </c>
      <c r="N752" s="20">
        <f>IF($A752="","",$A752-WEEKDAY($A752,2)+1)</f>
        <v/>
      </c>
      <c r="O752" s="20">
        <f>IF($A752="","",TEXT($A752,"yyyy-mm"))</f>
        <v/>
      </c>
      <c r="P752" s="21">
        <f>IF($A752="","",TEXT(YEAR($A752),"0000")&amp;"-Q"&amp;ROUNDUP(MONTH($A752)/3,0))</f>
        <v/>
      </c>
    </row>
    <row r="753">
      <c r="A753" s="22" t="n"/>
      <c r="B753" s="20" t="n"/>
      <c r="C753" s="20" t="n"/>
      <c r="D753" s="20">
        <f>IFERROR(INDEX(XPMenu!$A$2:$A$1000, MATCH(C753, XPMenu!$B$2:$B$1000, 0)), "")</f>
        <v/>
      </c>
      <c r="E753" s="20" t="n"/>
      <c r="F753" s="20" t="n"/>
      <c r="G753" s="20" t="n"/>
      <c r="H753" s="20" t="n"/>
      <c r="I753" s="20">
        <f>IFERROR(VLOOKUP(D753,XPMenu!$A:$F,2,FALSE),"")</f>
        <v/>
      </c>
      <c r="J753" s="20">
        <f>IFERROR(VLOOKUP(D753,XPMenu!$A:$F,3,FALSE),"")</f>
        <v/>
      </c>
      <c r="K753" s="20">
        <f>IFERROR(VLOOKUP(D753,XPMenu!$A:$F,4,FALSE),"")</f>
        <v/>
      </c>
      <c r="L753" s="20" t="n"/>
      <c r="M753" s="20">
        <f>IF(A753="","",IF(F753&lt;&gt;"Yes",0,IF(L753&lt;&gt;"",L753,E753*K753)))</f>
        <v/>
      </c>
      <c r="N753" s="20">
        <f>IF($A753="","",$A753-WEEKDAY($A753,2)+1)</f>
        <v/>
      </c>
      <c r="O753" s="20">
        <f>IF($A753="","",TEXT($A753,"yyyy-mm"))</f>
        <v/>
      </c>
      <c r="P753" s="21">
        <f>IF($A753="","",TEXT(YEAR($A753),"0000")&amp;"-Q"&amp;ROUNDUP(MONTH($A753)/3,0))</f>
        <v/>
      </c>
    </row>
    <row r="754">
      <c r="A754" s="22" t="n"/>
      <c r="B754" s="20" t="n"/>
      <c r="C754" s="20" t="n"/>
      <c r="D754" s="20">
        <f>IFERROR(INDEX(XPMenu!$A$2:$A$1000, MATCH(C754, XPMenu!$B$2:$B$1000, 0)), "")</f>
        <v/>
      </c>
      <c r="E754" s="20" t="n"/>
      <c r="F754" s="20" t="n"/>
      <c r="G754" s="20" t="n"/>
      <c r="H754" s="20" t="n"/>
      <c r="I754" s="20">
        <f>IFERROR(VLOOKUP(D754,XPMenu!$A:$F,2,FALSE),"")</f>
        <v/>
      </c>
      <c r="J754" s="20">
        <f>IFERROR(VLOOKUP(D754,XPMenu!$A:$F,3,FALSE),"")</f>
        <v/>
      </c>
      <c r="K754" s="20">
        <f>IFERROR(VLOOKUP(D754,XPMenu!$A:$F,4,FALSE),"")</f>
        <v/>
      </c>
      <c r="L754" s="20" t="n"/>
      <c r="M754" s="20">
        <f>IF(A754="","",IF(F754&lt;&gt;"Yes",0,IF(L754&lt;&gt;"",L754,E754*K754)))</f>
        <v/>
      </c>
      <c r="N754" s="20">
        <f>IF($A754="","",$A754-WEEKDAY($A754,2)+1)</f>
        <v/>
      </c>
      <c r="O754" s="20">
        <f>IF($A754="","",TEXT($A754,"yyyy-mm"))</f>
        <v/>
      </c>
      <c r="P754" s="21">
        <f>IF($A754="","",TEXT(YEAR($A754),"0000")&amp;"-Q"&amp;ROUNDUP(MONTH($A754)/3,0))</f>
        <v/>
      </c>
    </row>
    <row r="755">
      <c r="A755" s="22" t="n"/>
      <c r="B755" s="20" t="n"/>
      <c r="C755" s="20" t="n"/>
      <c r="D755" s="20">
        <f>IFERROR(INDEX(XPMenu!$A$2:$A$1000, MATCH(C755, XPMenu!$B$2:$B$1000, 0)), "")</f>
        <v/>
      </c>
      <c r="E755" s="20" t="n"/>
      <c r="F755" s="20" t="n"/>
      <c r="G755" s="20" t="n"/>
      <c r="H755" s="20" t="n"/>
      <c r="I755" s="20">
        <f>IFERROR(VLOOKUP(D755,XPMenu!$A:$F,2,FALSE),"")</f>
        <v/>
      </c>
      <c r="J755" s="20">
        <f>IFERROR(VLOOKUP(D755,XPMenu!$A:$F,3,FALSE),"")</f>
        <v/>
      </c>
      <c r="K755" s="20">
        <f>IFERROR(VLOOKUP(D755,XPMenu!$A:$F,4,FALSE),"")</f>
        <v/>
      </c>
      <c r="L755" s="20" t="n"/>
      <c r="M755" s="20">
        <f>IF(A755="","",IF(F755&lt;&gt;"Yes",0,IF(L755&lt;&gt;"",L755,E755*K755)))</f>
        <v/>
      </c>
      <c r="N755" s="20">
        <f>IF($A755="","",$A755-WEEKDAY($A755,2)+1)</f>
        <v/>
      </c>
      <c r="O755" s="20">
        <f>IF($A755="","",TEXT($A755,"yyyy-mm"))</f>
        <v/>
      </c>
      <c r="P755" s="21">
        <f>IF($A755="","",TEXT(YEAR($A755),"0000")&amp;"-Q"&amp;ROUNDUP(MONTH($A755)/3,0))</f>
        <v/>
      </c>
    </row>
    <row r="756">
      <c r="A756" s="22" t="n"/>
      <c r="B756" s="20" t="n"/>
      <c r="C756" s="20" t="n"/>
      <c r="D756" s="20">
        <f>IFERROR(INDEX(XPMenu!$A$2:$A$1000, MATCH(C756, XPMenu!$B$2:$B$1000, 0)), "")</f>
        <v/>
      </c>
      <c r="E756" s="20" t="n"/>
      <c r="F756" s="20" t="n"/>
      <c r="G756" s="20" t="n"/>
      <c r="H756" s="20" t="n"/>
      <c r="I756" s="20">
        <f>IFERROR(VLOOKUP(D756,XPMenu!$A:$F,2,FALSE),"")</f>
        <v/>
      </c>
      <c r="J756" s="20">
        <f>IFERROR(VLOOKUP(D756,XPMenu!$A:$F,3,FALSE),"")</f>
        <v/>
      </c>
      <c r="K756" s="20">
        <f>IFERROR(VLOOKUP(D756,XPMenu!$A:$F,4,FALSE),"")</f>
        <v/>
      </c>
      <c r="L756" s="20" t="n"/>
      <c r="M756" s="20">
        <f>IF(A756="","",IF(F756&lt;&gt;"Yes",0,IF(L756&lt;&gt;"",L756,E756*K756)))</f>
        <v/>
      </c>
      <c r="N756" s="20">
        <f>IF($A756="","",$A756-WEEKDAY($A756,2)+1)</f>
        <v/>
      </c>
      <c r="O756" s="20">
        <f>IF($A756="","",TEXT($A756,"yyyy-mm"))</f>
        <v/>
      </c>
      <c r="P756" s="21">
        <f>IF($A756="","",TEXT(YEAR($A756),"0000")&amp;"-Q"&amp;ROUNDUP(MONTH($A756)/3,0))</f>
        <v/>
      </c>
    </row>
    <row r="757">
      <c r="A757" s="22" t="n"/>
      <c r="B757" s="20" t="n"/>
      <c r="C757" s="20" t="n"/>
      <c r="D757" s="20">
        <f>IFERROR(INDEX(XPMenu!$A$2:$A$1000, MATCH(C757, XPMenu!$B$2:$B$1000, 0)), "")</f>
        <v/>
      </c>
      <c r="E757" s="20" t="n"/>
      <c r="F757" s="20" t="n"/>
      <c r="G757" s="20" t="n"/>
      <c r="H757" s="20" t="n"/>
      <c r="I757" s="20">
        <f>IFERROR(VLOOKUP(D757,XPMenu!$A:$F,2,FALSE),"")</f>
        <v/>
      </c>
      <c r="J757" s="20">
        <f>IFERROR(VLOOKUP(D757,XPMenu!$A:$F,3,FALSE),"")</f>
        <v/>
      </c>
      <c r="K757" s="20">
        <f>IFERROR(VLOOKUP(D757,XPMenu!$A:$F,4,FALSE),"")</f>
        <v/>
      </c>
      <c r="L757" s="20" t="n"/>
      <c r="M757" s="20">
        <f>IF(A757="","",IF(F757&lt;&gt;"Yes",0,IF(L757&lt;&gt;"",L757,E757*K757)))</f>
        <v/>
      </c>
      <c r="N757" s="20">
        <f>IF($A757="","",$A757-WEEKDAY($A757,2)+1)</f>
        <v/>
      </c>
      <c r="O757" s="20">
        <f>IF($A757="","",TEXT($A757,"yyyy-mm"))</f>
        <v/>
      </c>
      <c r="P757" s="21">
        <f>IF($A757="","",TEXT(YEAR($A757),"0000")&amp;"-Q"&amp;ROUNDUP(MONTH($A757)/3,0))</f>
        <v/>
      </c>
    </row>
    <row r="758">
      <c r="A758" s="22" t="n"/>
      <c r="B758" s="20" t="n"/>
      <c r="C758" s="20" t="n"/>
      <c r="D758" s="20">
        <f>IFERROR(INDEX(XPMenu!$A$2:$A$1000, MATCH(C758, XPMenu!$B$2:$B$1000, 0)), "")</f>
        <v/>
      </c>
      <c r="E758" s="20" t="n"/>
      <c r="F758" s="20" t="n"/>
      <c r="G758" s="20" t="n"/>
      <c r="H758" s="20" t="n"/>
      <c r="I758" s="20">
        <f>IFERROR(VLOOKUP(D758,XPMenu!$A:$F,2,FALSE),"")</f>
        <v/>
      </c>
      <c r="J758" s="20">
        <f>IFERROR(VLOOKUP(D758,XPMenu!$A:$F,3,FALSE),"")</f>
        <v/>
      </c>
      <c r="K758" s="20">
        <f>IFERROR(VLOOKUP(D758,XPMenu!$A:$F,4,FALSE),"")</f>
        <v/>
      </c>
      <c r="L758" s="20" t="n"/>
      <c r="M758" s="20">
        <f>IF(A758="","",IF(F758&lt;&gt;"Yes",0,IF(L758&lt;&gt;"",L758,E758*K758)))</f>
        <v/>
      </c>
      <c r="N758" s="20">
        <f>IF($A758="","",$A758-WEEKDAY($A758,2)+1)</f>
        <v/>
      </c>
      <c r="O758" s="20">
        <f>IF($A758="","",TEXT($A758,"yyyy-mm"))</f>
        <v/>
      </c>
      <c r="P758" s="21">
        <f>IF($A758="","",TEXT(YEAR($A758),"0000")&amp;"-Q"&amp;ROUNDUP(MONTH($A758)/3,0))</f>
        <v/>
      </c>
    </row>
    <row r="759">
      <c r="A759" s="22" t="n"/>
      <c r="B759" s="20" t="n"/>
      <c r="C759" s="20" t="n"/>
      <c r="D759" s="20">
        <f>IFERROR(INDEX(XPMenu!$A$2:$A$1000, MATCH(C759, XPMenu!$B$2:$B$1000, 0)), "")</f>
        <v/>
      </c>
      <c r="E759" s="20" t="n"/>
      <c r="F759" s="20" t="n"/>
      <c r="G759" s="20" t="n"/>
      <c r="H759" s="20" t="n"/>
      <c r="I759" s="20">
        <f>IFERROR(VLOOKUP(D759,XPMenu!$A:$F,2,FALSE),"")</f>
        <v/>
      </c>
      <c r="J759" s="20">
        <f>IFERROR(VLOOKUP(D759,XPMenu!$A:$F,3,FALSE),"")</f>
        <v/>
      </c>
      <c r="K759" s="20">
        <f>IFERROR(VLOOKUP(D759,XPMenu!$A:$F,4,FALSE),"")</f>
        <v/>
      </c>
      <c r="L759" s="20" t="n"/>
      <c r="M759" s="20">
        <f>IF(A759="","",IF(F759&lt;&gt;"Yes",0,IF(L759&lt;&gt;"",L759,E759*K759)))</f>
        <v/>
      </c>
      <c r="N759" s="20">
        <f>IF($A759="","",$A759-WEEKDAY($A759,2)+1)</f>
        <v/>
      </c>
      <c r="O759" s="20">
        <f>IF($A759="","",TEXT($A759,"yyyy-mm"))</f>
        <v/>
      </c>
      <c r="P759" s="21">
        <f>IF($A759="","",TEXT(YEAR($A759),"0000")&amp;"-Q"&amp;ROUNDUP(MONTH($A759)/3,0))</f>
        <v/>
      </c>
    </row>
    <row r="760">
      <c r="A760" s="22" t="n"/>
      <c r="B760" s="20" t="n"/>
      <c r="C760" s="20" t="n"/>
      <c r="D760" s="20">
        <f>IFERROR(INDEX(XPMenu!$A$2:$A$1000, MATCH(C760, XPMenu!$B$2:$B$1000, 0)), "")</f>
        <v/>
      </c>
      <c r="E760" s="20" t="n"/>
      <c r="F760" s="20" t="n"/>
      <c r="G760" s="20" t="n"/>
      <c r="H760" s="20" t="n"/>
      <c r="I760" s="20">
        <f>IFERROR(VLOOKUP(D760,XPMenu!$A:$F,2,FALSE),"")</f>
        <v/>
      </c>
      <c r="J760" s="20">
        <f>IFERROR(VLOOKUP(D760,XPMenu!$A:$F,3,FALSE),"")</f>
        <v/>
      </c>
      <c r="K760" s="20">
        <f>IFERROR(VLOOKUP(D760,XPMenu!$A:$F,4,FALSE),"")</f>
        <v/>
      </c>
      <c r="L760" s="20" t="n"/>
      <c r="M760" s="20">
        <f>IF(A760="","",IF(F760&lt;&gt;"Yes",0,IF(L760&lt;&gt;"",L760,E760*K760)))</f>
        <v/>
      </c>
      <c r="N760" s="20">
        <f>IF($A760="","",$A760-WEEKDAY($A760,2)+1)</f>
        <v/>
      </c>
      <c r="O760" s="20">
        <f>IF($A760="","",TEXT($A760,"yyyy-mm"))</f>
        <v/>
      </c>
      <c r="P760" s="21">
        <f>IF($A760="","",TEXT(YEAR($A760),"0000")&amp;"-Q"&amp;ROUNDUP(MONTH($A760)/3,0))</f>
        <v/>
      </c>
    </row>
    <row r="761">
      <c r="A761" s="22" t="n"/>
      <c r="B761" s="20" t="n"/>
      <c r="C761" s="20" t="n"/>
      <c r="D761" s="20">
        <f>IFERROR(INDEX(XPMenu!$A$2:$A$1000, MATCH(C761, XPMenu!$B$2:$B$1000, 0)), "")</f>
        <v/>
      </c>
      <c r="E761" s="20" t="n"/>
      <c r="F761" s="20" t="n"/>
      <c r="G761" s="20" t="n"/>
      <c r="H761" s="20" t="n"/>
      <c r="I761" s="20">
        <f>IFERROR(VLOOKUP(D761,XPMenu!$A:$F,2,FALSE),"")</f>
        <v/>
      </c>
      <c r="J761" s="20">
        <f>IFERROR(VLOOKUP(D761,XPMenu!$A:$F,3,FALSE),"")</f>
        <v/>
      </c>
      <c r="K761" s="20">
        <f>IFERROR(VLOOKUP(D761,XPMenu!$A:$F,4,FALSE),"")</f>
        <v/>
      </c>
      <c r="L761" s="20" t="n"/>
      <c r="M761" s="20">
        <f>IF(A761="","",IF(F761&lt;&gt;"Yes",0,IF(L761&lt;&gt;"",L761,E761*K761)))</f>
        <v/>
      </c>
      <c r="N761" s="20">
        <f>IF($A761="","",$A761-WEEKDAY($A761,2)+1)</f>
        <v/>
      </c>
      <c r="O761" s="20">
        <f>IF($A761="","",TEXT($A761,"yyyy-mm"))</f>
        <v/>
      </c>
      <c r="P761" s="21">
        <f>IF($A761="","",TEXT(YEAR($A761),"0000")&amp;"-Q"&amp;ROUNDUP(MONTH($A761)/3,0))</f>
        <v/>
      </c>
    </row>
    <row r="762">
      <c r="A762" s="22" t="n"/>
      <c r="B762" s="20" t="n"/>
      <c r="C762" s="20" t="n"/>
      <c r="D762" s="20">
        <f>IFERROR(INDEX(XPMenu!$A$2:$A$1000, MATCH(C762, XPMenu!$B$2:$B$1000, 0)), "")</f>
        <v/>
      </c>
      <c r="E762" s="20" t="n"/>
      <c r="F762" s="20" t="n"/>
      <c r="G762" s="20" t="n"/>
      <c r="H762" s="20" t="n"/>
      <c r="I762" s="20">
        <f>IFERROR(VLOOKUP(D762,XPMenu!$A:$F,2,FALSE),"")</f>
        <v/>
      </c>
      <c r="J762" s="20">
        <f>IFERROR(VLOOKUP(D762,XPMenu!$A:$F,3,FALSE),"")</f>
        <v/>
      </c>
      <c r="K762" s="20">
        <f>IFERROR(VLOOKUP(D762,XPMenu!$A:$F,4,FALSE),"")</f>
        <v/>
      </c>
      <c r="L762" s="20" t="n"/>
      <c r="M762" s="20">
        <f>IF(A762="","",IF(F762&lt;&gt;"Yes",0,IF(L762&lt;&gt;"",L762,E762*K762)))</f>
        <v/>
      </c>
      <c r="N762" s="20">
        <f>IF($A762="","",$A762-WEEKDAY($A762,2)+1)</f>
        <v/>
      </c>
      <c r="O762" s="20">
        <f>IF($A762="","",TEXT($A762,"yyyy-mm"))</f>
        <v/>
      </c>
      <c r="P762" s="21">
        <f>IF($A762="","",TEXT(YEAR($A762),"0000")&amp;"-Q"&amp;ROUNDUP(MONTH($A762)/3,0))</f>
        <v/>
      </c>
    </row>
    <row r="763">
      <c r="A763" s="22" t="n"/>
      <c r="B763" s="20" t="n"/>
      <c r="C763" s="20" t="n"/>
      <c r="D763" s="20">
        <f>IFERROR(INDEX(XPMenu!$A$2:$A$1000, MATCH(C763, XPMenu!$B$2:$B$1000, 0)), "")</f>
        <v/>
      </c>
      <c r="E763" s="20" t="n"/>
      <c r="F763" s="20" t="n"/>
      <c r="G763" s="20" t="n"/>
      <c r="H763" s="20" t="n"/>
      <c r="I763" s="20">
        <f>IFERROR(VLOOKUP(D763,XPMenu!$A:$F,2,FALSE),"")</f>
        <v/>
      </c>
      <c r="J763" s="20">
        <f>IFERROR(VLOOKUP(D763,XPMenu!$A:$F,3,FALSE),"")</f>
        <v/>
      </c>
      <c r="K763" s="20">
        <f>IFERROR(VLOOKUP(D763,XPMenu!$A:$F,4,FALSE),"")</f>
        <v/>
      </c>
      <c r="L763" s="20" t="n"/>
      <c r="M763" s="20">
        <f>IF(A763="","",IF(F763&lt;&gt;"Yes",0,IF(L763&lt;&gt;"",L763,E763*K763)))</f>
        <v/>
      </c>
      <c r="N763" s="20">
        <f>IF($A763="","",$A763-WEEKDAY($A763,2)+1)</f>
        <v/>
      </c>
      <c r="O763" s="20">
        <f>IF($A763="","",TEXT($A763,"yyyy-mm"))</f>
        <v/>
      </c>
      <c r="P763" s="21">
        <f>IF($A763="","",TEXT(YEAR($A763),"0000")&amp;"-Q"&amp;ROUNDUP(MONTH($A763)/3,0))</f>
        <v/>
      </c>
    </row>
    <row r="764">
      <c r="A764" s="22" t="n"/>
      <c r="B764" s="20" t="n"/>
      <c r="C764" s="20" t="n"/>
      <c r="D764" s="20">
        <f>IFERROR(INDEX(XPMenu!$A$2:$A$1000, MATCH(C764, XPMenu!$B$2:$B$1000, 0)), "")</f>
        <v/>
      </c>
      <c r="E764" s="20" t="n"/>
      <c r="F764" s="20" t="n"/>
      <c r="G764" s="20" t="n"/>
      <c r="H764" s="20" t="n"/>
      <c r="I764" s="20">
        <f>IFERROR(VLOOKUP(D764,XPMenu!$A:$F,2,FALSE),"")</f>
        <v/>
      </c>
      <c r="J764" s="20">
        <f>IFERROR(VLOOKUP(D764,XPMenu!$A:$F,3,FALSE),"")</f>
        <v/>
      </c>
      <c r="K764" s="20">
        <f>IFERROR(VLOOKUP(D764,XPMenu!$A:$F,4,FALSE),"")</f>
        <v/>
      </c>
      <c r="L764" s="20" t="n"/>
      <c r="M764" s="20">
        <f>IF(A764="","",IF(F764&lt;&gt;"Yes",0,IF(L764&lt;&gt;"",L764,E764*K764)))</f>
        <v/>
      </c>
      <c r="N764" s="20">
        <f>IF($A764="","",$A764-WEEKDAY($A764,2)+1)</f>
        <v/>
      </c>
      <c r="O764" s="20">
        <f>IF($A764="","",TEXT($A764,"yyyy-mm"))</f>
        <v/>
      </c>
      <c r="P764" s="21">
        <f>IF($A764="","",TEXT(YEAR($A764),"0000")&amp;"-Q"&amp;ROUNDUP(MONTH($A764)/3,0))</f>
        <v/>
      </c>
    </row>
    <row r="765">
      <c r="A765" s="22" t="n"/>
      <c r="B765" s="20" t="n"/>
      <c r="C765" s="20" t="n"/>
      <c r="D765" s="20">
        <f>IFERROR(INDEX(XPMenu!$A$2:$A$1000, MATCH(C765, XPMenu!$B$2:$B$1000, 0)), "")</f>
        <v/>
      </c>
      <c r="E765" s="20" t="n"/>
      <c r="F765" s="20" t="n"/>
      <c r="G765" s="20" t="n"/>
      <c r="H765" s="20" t="n"/>
      <c r="I765" s="20">
        <f>IFERROR(VLOOKUP(D765,XPMenu!$A:$F,2,FALSE),"")</f>
        <v/>
      </c>
      <c r="J765" s="20">
        <f>IFERROR(VLOOKUP(D765,XPMenu!$A:$F,3,FALSE),"")</f>
        <v/>
      </c>
      <c r="K765" s="20">
        <f>IFERROR(VLOOKUP(D765,XPMenu!$A:$F,4,FALSE),"")</f>
        <v/>
      </c>
      <c r="L765" s="20" t="n"/>
      <c r="M765" s="20">
        <f>IF(A765="","",IF(F765&lt;&gt;"Yes",0,IF(L765&lt;&gt;"",L765,E765*K765)))</f>
        <v/>
      </c>
      <c r="N765" s="20">
        <f>IF($A765="","",$A765-WEEKDAY($A765,2)+1)</f>
        <v/>
      </c>
      <c r="O765" s="20">
        <f>IF($A765="","",TEXT($A765,"yyyy-mm"))</f>
        <v/>
      </c>
      <c r="P765" s="21">
        <f>IF($A765="","",TEXT(YEAR($A765),"0000")&amp;"-Q"&amp;ROUNDUP(MONTH($A765)/3,0))</f>
        <v/>
      </c>
    </row>
    <row r="766">
      <c r="A766" s="22" t="n"/>
      <c r="B766" s="20" t="n"/>
      <c r="C766" s="20" t="n"/>
      <c r="D766" s="20">
        <f>IFERROR(INDEX(XPMenu!$A$2:$A$1000, MATCH(C766, XPMenu!$B$2:$B$1000, 0)), "")</f>
        <v/>
      </c>
      <c r="E766" s="20" t="n"/>
      <c r="F766" s="20" t="n"/>
      <c r="G766" s="20" t="n"/>
      <c r="H766" s="20" t="n"/>
      <c r="I766" s="20">
        <f>IFERROR(VLOOKUP(D766,XPMenu!$A:$F,2,FALSE),"")</f>
        <v/>
      </c>
      <c r="J766" s="20">
        <f>IFERROR(VLOOKUP(D766,XPMenu!$A:$F,3,FALSE),"")</f>
        <v/>
      </c>
      <c r="K766" s="20">
        <f>IFERROR(VLOOKUP(D766,XPMenu!$A:$F,4,FALSE),"")</f>
        <v/>
      </c>
      <c r="L766" s="20" t="n"/>
      <c r="M766" s="20">
        <f>IF(A766="","",IF(F766&lt;&gt;"Yes",0,IF(L766&lt;&gt;"",L766,E766*K766)))</f>
        <v/>
      </c>
      <c r="N766" s="20">
        <f>IF($A766="","",$A766-WEEKDAY($A766,2)+1)</f>
        <v/>
      </c>
      <c r="O766" s="20">
        <f>IF($A766="","",TEXT($A766,"yyyy-mm"))</f>
        <v/>
      </c>
      <c r="P766" s="21">
        <f>IF($A766="","",TEXT(YEAR($A766),"0000")&amp;"-Q"&amp;ROUNDUP(MONTH($A766)/3,0))</f>
        <v/>
      </c>
    </row>
    <row r="767">
      <c r="A767" s="22" t="n"/>
      <c r="B767" s="20" t="n"/>
      <c r="C767" s="20" t="n"/>
      <c r="D767" s="20">
        <f>IFERROR(INDEX(XPMenu!$A$2:$A$1000, MATCH(C767, XPMenu!$B$2:$B$1000, 0)), "")</f>
        <v/>
      </c>
      <c r="E767" s="20" t="n"/>
      <c r="F767" s="20" t="n"/>
      <c r="G767" s="20" t="n"/>
      <c r="H767" s="20" t="n"/>
      <c r="I767" s="20">
        <f>IFERROR(VLOOKUP(D767,XPMenu!$A:$F,2,FALSE),"")</f>
        <v/>
      </c>
      <c r="J767" s="20">
        <f>IFERROR(VLOOKUP(D767,XPMenu!$A:$F,3,FALSE),"")</f>
        <v/>
      </c>
      <c r="K767" s="20">
        <f>IFERROR(VLOOKUP(D767,XPMenu!$A:$F,4,FALSE),"")</f>
        <v/>
      </c>
      <c r="L767" s="20" t="n"/>
      <c r="M767" s="20">
        <f>IF(A767="","",IF(F767&lt;&gt;"Yes",0,IF(L767&lt;&gt;"",L767,E767*K767)))</f>
        <v/>
      </c>
      <c r="N767" s="20">
        <f>IF($A767="","",$A767-WEEKDAY($A767,2)+1)</f>
        <v/>
      </c>
      <c r="O767" s="20">
        <f>IF($A767="","",TEXT($A767,"yyyy-mm"))</f>
        <v/>
      </c>
      <c r="P767" s="21">
        <f>IF($A767="","",TEXT(YEAR($A767),"0000")&amp;"-Q"&amp;ROUNDUP(MONTH($A767)/3,0))</f>
        <v/>
      </c>
    </row>
    <row r="768">
      <c r="A768" s="22" t="n"/>
      <c r="B768" s="20" t="n"/>
      <c r="C768" s="20" t="n"/>
      <c r="D768" s="20">
        <f>IFERROR(INDEX(XPMenu!$A$2:$A$1000, MATCH(C768, XPMenu!$B$2:$B$1000, 0)), "")</f>
        <v/>
      </c>
      <c r="E768" s="20" t="n"/>
      <c r="F768" s="20" t="n"/>
      <c r="G768" s="20" t="n"/>
      <c r="H768" s="20" t="n"/>
      <c r="I768" s="20">
        <f>IFERROR(VLOOKUP(D768,XPMenu!$A:$F,2,FALSE),"")</f>
        <v/>
      </c>
      <c r="J768" s="20">
        <f>IFERROR(VLOOKUP(D768,XPMenu!$A:$F,3,FALSE),"")</f>
        <v/>
      </c>
      <c r="K768" s="20">
        <f>IFERROR(VLOOKUP(D768,XPMenu!$A:$F,4,FALSE),"")</f>
        <v/>
      </c>
      <c r="L768" s="20" t="n"/>
      <c r="M768" s="20">
        <f>IF(A768="","",IF(F768&lt;&gt;"Yes",0,IF(L768&lt;&gt;"",L768,E768*K768)))</f>
        <v/>
      </c>
      <c r="N768" s="20">
        <f>IF($A768="","",$A768-WEEKDAY($A768,2)+1)</f>
        <v/>
      </c>
      <c r="O768" s="20">
        <f>IF($A768="","",TEXT($A768,"yyyy-mm"))</f>
        <v/>
      </c>
      <c r="P768" s="21">
        <f>IF($A768="","",TEXT(YEAR($A768),"0000")&amp;"-Q"&amp;ROUNDUP(MONTH($A768)/3,0))</f>
        <v/>
      </c>
    </row>
    <row r="769">
      <c r="A769" s="22" t="n"/>
      <c r="B769" s="20" t="n"/>
      <c r="C769" s="20" t="n"/>
      <c r="D769" s="20">
        <f>IFERROR(INDEX(XPMenu!$A$2:$A$1000, MATCH(C769, XPMenu!$B$2:$B$1000, 0)), "")</f>
        <v/>
      </c>
      <c r="E769" s="20" t="n"/>
      <c r="F769" s="20" t="n"/>
      <c r="G769" s="20" t="n"/>
      <c r="H769" s="20" t="n"/>
      <c r="I769" s="20">
        <f>IFERROR(VLOOKUP(D769,XPMenu!$A:$F,2,FALSE),"")</f>
        <v/>
      </c>
      <c r="J769" s="20">
        <f>IFERROR(VLOOKUP(D769,XPMenu!$A:$F,3,FALSE),"")</f>
        <v/>
      </c>
      <c r="K769" s="20">
        <f>IFERROR(VLOOKUP(D769,XPMenu!$A:$F,4,FALSE),"")</f>
        <v/>
      </c>
      <c r="L769" s="20" t="n"/>
      <c r="M769" s="20">
        <f>IF(A769="","",IF(F769&lt;&gt;"Yes",0,IF(L769&lt;&gt;"",L769,E769*K769)))</f>
        <v/>
      </c>
      <c r="N769" s="20">
        <f>IF($A769="","",$A769-WEEKDAY($A769,2)+1)</f>
        <v/>
      </c>
      <c r="O769" s="20">
        <f>IF($A769="","",TEXT($A769,"yyyy-mm"))</f>
        <v/>
      </c>
      <c r="P769" s="21">
        <f>IF($A769="","",TEXT(YEAR($A769),"0000")&amp;"-Q"&amp;ROUNDUP(MONTH($A769)/3,0))</f>
        <v/>
      </c>
    </row>
    <row r="770">
      <c r="A770" s="22" t="n"/>
      <c r="B770" s="20" t="n"/>
      <c r="C770" s="20" t="n"/>
      <c r="D770" s="20">
        <f>IFERROR(INDEX(XPMenu!$A$2:$A$1000, MATCH(C770, XPMenu!$B$2:$B$1000, 0)), "")</f>
        <v/>
      </c>
      <c r="E770" s="20" t="n"/>
      <c r="F770" s="20" t="n"/>
      <c r="G770" s="20" t="n"/>
      <c r="H770" s="20" t="n"/>
      <c r="I770" s="20">
        <f>IFERROR(VLOOKUP(D770,XPMenu!$A:$F,2,FALSE),"")</f>
        <v/>
      </c>
      <c r="J770" s="20">
        <f>IFERROR(VLOOKUP(D770,XPMenu!$A:$F,3,FALSE),"")</f>
        <v/>
      </c>
      <c r="K770" s="20">
        <f>IFERROR(VLOOKUP(D770,XPMenu!$A:$F,4,FALSE),"")</f>
        <v/>
      </c>
      <c r="L770" s="20" t="n"/>
      <c r="M770" s="20">
        <f>IF(A770="","",IF(F770&lt;&gt;"Yes",0,IF(L770&lt;&gt;"",L770,E770*K770)))</f>
        <v/>
      </c>
      <c r="N770" s="20">
        <f>IF($A770="","",$A770-WEEKDAY($A770,2)+1)</f>
        <v/>
      </c>
      <c r="O770" s="20">
        <f>IF($A770="","",TEXT($A770,"yyyy-mm"))</f>
        <v/>
      </c>
      <c r="P770" s="21">
        <f>IF($A770="","",TEXT(YEAR($A770),"0000")&amp;"-Q"&amp;ROUNDUP(MONTH($A770)/3,0))</f>
        <v/>
      </c>
    </row>
    <row r="771">
      <c r="A771" s="22" t="n"/>
      <c r="B771" s="20" t="n"/>
      <c r="C771" s="20" t="n"/>
      <c r="D771" s="20">
        <f>IFERROR(INDEX(XPMenu!$A$2:$A$1000, MATCH(C771, XPMenu!$B$2:$B$1000, 0)), "")</f>
        <v/>
      </c>
      <c r="E771" s="20" t="n"/>
      <c r="F771" s="20" t="n"/>
      <c r="G771" s="20" t="n"/>
      <c r="H771" s="20" t="n"/>
      <c r="I771" s="20">
        <f>IFERROR(VLOOKUP(D771,XPMenu!$A:$F,2,FALSE),"")</f>
        <v/>
      </c>
      <c r="J771" s="20">
        <f>IFERROR(VLOOKUP(D771,XPMenu!$A:$F,3,FALSE),"")</f>
        <v/>
      </c>
      <c r="K771" s="20">
        <f>IFERROR(VLOOKUP(D771,XPMenu!$A:$F,4,FALSE),"")</f>
        <v/>
      </c>
      <c r="L771" s="20" t="n"/>
      <c r="M771" s="20">
        <f>IF(A771="","",IF(F771&lt;&gt;"Yes",0,IF(L771&lt;&gt;"",L771,E771*K771)))</f>
        <v/>
      </c>
      <c r="N771" s="20">
        <f>IF($A771="","",$A771-WEEKDAY($A771,2)+1)</f>
        <v/>
      </c>
      <c r="O771" s="20">
        <f>IF($A771="","",TEXT($A771,"yyyy-mm"))</f>
        <v/>
      </c>
      <c r="P771" s="21">
        <f>IF($A771="","",TEXT(YEAR($A771),"0000")&amp;"-Q"&amp;ROUNDUP(MONTH($A771)/3,0))</f>
        <v/>
      </c>
    </row>
    <row r="772">
      <c r="A772" s="22" t="n"/>
      <c r="B772" s="20" t="n"/>
      <c r="C772" s="20" t="n"/>
      <c r="D772" s="20">
        <f>IFERROR(INDEX(XPMenu!$A$2:$A$1000, MATCH(C772, XPMenu!$B$2:$B$1000, 0)), "")</f>
        <v/>
      </c>
      <c r="E772" s="20" t="n"/>
      <c r="F772" s="20" t="n"/>
      <c r="G772" s="20" t="n"/>
      <c r="H772" s="20" t="n"/>
      <c r="I772" s="20">
        <f>IFERROR(VLOOKUP(D772,XPMenu!$A:$F,2,FALSE),"")</f>
        <v/>
      </c>
      <c r="J772" s="20">
        <f>IFERROR(VLOOKUP(D772,XPMenu!$A:$F,3,FALSE),"")</f>
        <v/>
      </c>
      <c r="K772" s="20">
        <f>IFERROR(VLOOKUP(D772,XPMenu!$A:$F,4,FALSE),"")</f>
        <v/>
      </c>
      <c r="L772" s="20" t="n"/>
      <c r="M772" s="20">
        <f>IF(A772="","",IF(F772&lt;&gt;"Yes",0,IF(L772&lt;&gt;"",L772,E772*K772)))</f>
        <v/>
      </c>
      <c r="N772" s="20">
        <f>IF($A772="","",$A772-WEEKDAY($A772,2)+1)</f>
        <v/>
      </c>
      <c r="O772" s="20">
        <f>IF($A772="","",TEXT($A772,"yyyy-mm"))</f>
        <v/>
      </c>
      <c r="P772" s="21">
        <f>IF($A772="","",TEXT(YEAR($A772),"0000")&amp;"-Q"&amp;ROUNDUP(MONTH($A772)/3,0))</f>
        <v/>
      </c>
    </row>
    <row r="773">
      <c r="A773" s="22" t="n"/>
      <c r="B773" s="20" t="n"/>
      <c r="C773" s="20" t="n"/>
      <c r="D773" s="20">
        <f>IFERROR(INDEX(XPMenu!$A$2:$A$1000, MATCH(C773, XPMenu!$B$2:$B$1000, 0)), "")</f>
        <v/>
      </c>
      <c r="E773" s="20" t="n"/>
      <c r="F773" s="20" t="n"/>
      <c r="G773" s="20" t="n"/>
      <c r="H773" s="20" t="n"/>
      <c r="I773" s="20">
        <f>IFERROR(VLOOKUP(D773,XPMenu!$A:$F,2,FALSE),"")</f>
        <v/>
      </c>
      <c r="J773" s="20">
        <f>IFERROR(VLOOKUP(D773,XPMenu!$A:$F,3,FALSE),"")</f>
        <v/>
      </c>
      <c r="K773" s="20">
        <f>IFERROR(VLOOKUP(D773,XPMenu!$A:$F,4,FALSE),"")</f>
        <v/>
      </c>
      <c r="L773" s="20" t="n"/>
      <c r="M773" s="20">
        <f>IF(A773="","",IF(F773&lt;&gt;"Yes",0,IF(L773&lt;&gt;"",L773,E773*K773)))</f>
        <v/>
      </c>
      <c r="N773" s="20">
        <f>IF($A773="","",$A773-WEEKDAY($A773,2)+1)</f>
        <v/>
      </c>
      <c r="O773" s="20">
        <f>IF($A773="","",TEXT($A773,"yyyy-mm"))</f>
        <v/>
      </c>
      <c r="P773" s="21">
        <f>IF($A773="","",TEXT(YEAR($A773),"0000")&amp;"-Q"&amp;ROUNDUP(MONTH($A773)/3,0))</f>
        <v/>
      </c>
    </row>
    <row r="774">
      <c r="A774" s="22" t="n"/>
      <c r="B774" s="20" t="n"/>
      <c r="C774" s="20" t="n"/>
      <c r="D774" s="20">
        <f>IFERROR(INDEX(XPMenu!$A$2:$A$1000, MATCH(C774, XPMenu!$B$2:$B$1000, 0)), "")</f>
        <v/>
      </c>
      <c r="E774" s="20" t="n"/>
      <c r="F774" s="20" t="n"/>
      <c r="G774" s="20" t="n"/>
      <c r="H774" s="20" t="n"/>
      <c r="I774" s="20">
        <f>IFERROR(VLOOKUP(D774,XPMenu!$A:$F,2,FALSE),"")</f>
        <v/>
      </c>
      <c r="J774" s="20">
        <f>IFERROR(VLOOKUP(D774,XPMenu!$A:$F,3,FALSE),"")</f>
        <v/>
      </c>
      <c r="K774" s="20">
        <f>IFERROR(VLOOKUP(D774,XPMenu!$A:$F,4,FALSE),"")</f>
        <v/>
      </c>
      <c r="L774" s="20" t="n"/>
      <c r="M774" s="20">
        <f>IF(A774="","",IF(F774&lt;&gt;"Yes",0,IF(L774&lt;&gt;"",L774,E774*K774)))</f>
        <v/>
      </c>
      <c r="N774" s="20">
        <f>IF($A774="","",$A774-WEEKDAY($A774,2)+1)</f>
        <v/>
      </c>
      <c r="O774" s="20">
        <f>IF($A774="","",TEXT($A774,"yyyy-mm"))</f>
        <v/>
      </c>
      <c r="P774" s="21">
        <f>IF($A774="","",TEXT(YEAR($A774),"0000")&amp;"-Q"&amp;ROUNDUP(MONTH($A774)/3,0))</f>
        <v/>
      </c>
    </row>
    <row r="775">
      <c r="A775" s="22" t="n"/>
      <c r="B775" s="20" t="n"/>
      <c r="C775" s="20" t="n"/>
      <c r="D775" s="20">
        <f>IFERROR(INDEX(XPMenu!$A$2:$A$1000, MATCH(C775, XPMenu!$B$2:$B$1000, 0)), "")</f>
        <v/>
      </c>
      <c r="E775" s="20" t="n"/>
      <c r="F775" s="20" t="n"/>
      <c r="G775" s="20" t="n"/>
      <c r="H775" s="20" t="n"/>
      <c r="I775" s="20">
        <f>IFERROR(VLOOKUP(D775,XPMenu!$A:$F,2,FALSE),"")</f>
        <v/>
      </c>
      <c r="J775" s="20">
        <f>IFERROR(VLOOKUP(D775,XPMenu!$A:$F,3,FALSE),"")</f>
        <v/>
      </c>
      <c r="K775" s="20">
        <f>IFERROR(VLOOKUP(D775,XPMenu!$A:$F,4,FALSE),"")</f>
        <v/>
      </c>
      <c r="L775" s="20" t="n"/>
      <c r="M775" s="20">
        <f>IF(A775="","",IF(F775&lt;&gt;"Yes",0,IF(L775&lt;&gt;"",L775,E775*K775)))</f>
        <v/>
      </c>
      <c r="N775" s="20">
        <f>IF($A775="","",$A775-WEEKDAY($A775,2)+1)</f>
        <v/>
      </c>
      <c r="O775" s="20">
        <f>IF($A775="","",TEXT($A775,"yyyy-mm"))</f>
        <v/>
      </c>
      <c r="P775" s="21">
        <f>IF($A775="","",TEXT(YEAR($A775),"0000")&amp;"-Q"&amp;ROUNDUP(MONTH($A775)/3,0))</f>
        <v/>
      </c>
    </row>
    <row r="776">
      <c r="A776" s="22" t="n"/>
      <c r="B776" s="20" t="n"/>
      <c r="C776" s="20" t="n"/>
      <c r="D776" s="20">
        <f>IFERROR(INDEX(XPMenu!$A$2:$A$1000, MATCH(C776, XPMenu!$B$2:$B$1000, 0)), "")</f>
        <v/>
      </c>
      <c r="E776" s="20" t="n"/>
      <c r="F776" s="20" t="n"/>
      <c r="G776" s="20" t="n"/>
      <c r="H776" s="20" t="n"/>
      <c r="I776" s="20">
        <f>IFERROR(VLOOKUP(D776,XPMenu!$A:$F,2,FALSE),"")</f>
        <v/>
      </c>
      <c r="J776" s="20">
        <f>IFERROR(VLOOKUP(D776,XPMenu!$A:$F,3,FALSE),"")</f>
        <v/>
      </c>
      <c r="K776" s="20">
        <f>IFERROR(VLOOKUP(D776,XPMenu!$A:$F,4,FALSE),"")</f>
        <v/>
      </c>
      <c r="L776" s="20" t="n"/>
      <c r="M776" s="20">
        <f>IF(A776="","",IF(F776&lt;&gt;"Yes",0,IF(L776&lt;&gt;"",L776,E776*K776)))</f>
        <v/>
      </c>
      <c r="N776" s="20">
        <f>IF($A776="","",$A776-WEEKDAY($A776,2)+1)</f>
        <v/>
      </c>
      <c r="O776" s="20">
        <f>IF($A776="","",TEXT($A776,"yyyy-mm"))</f>
        <v/>
      </c>
      <c r="P776" s="21">
        <f>IF($A776="","",TEXT(YEAR($A776),"0000")&amp;"-Q"&amp;ROUNDUP(MONTH($A776)/3,0))</f>
        <v/>
      </c>
    </row>
    <row r="777">
      <c r="A777" s="22" t="n"/>
      <c r="B777" s="20" t="n"/>
      <c r="C777" s="20" t="n"/>
      <c r="D777" s="20">
        <f>IFERROR(INDEX(XPMenu!$A$2:$A$1000, MATCH(C777, XPMenu!$B$2:$B$1000, 0)), "")</f>
        <v/>
      </c>
      <c r="E777" s="20" t="n"/>
      <c r="F777" s="20" t="n"/>
      <c r="G777" s="20" t="n"/>
      <c r="H777" s="20" t="n"/>
      <c r="I777" s="20">
        <f>IFERROR(VLOOKUP(D777,XPMenu!$A:$F,2,FALSE),"")</f>
        <v/>
      </c>
      <c r="J777" s="20">
        <f>IFERROR(VLOOKUP(D777,XPMenu!$A:$F,3,FALSE),"")</f>
        <v/>
      </c>
      <c r="K777" s="20">
        <f>IFERROR(VLOOKUP(D777,XPMenu!$A:$F,4,FALSE),"")</f>
        <v/>
      </c>
      <c r="L777" s="20" t="n"/>
      <c r="M777" s="20">
        <f>IF(A777="","",IF(F777&lt;&gt;"Yes",0,IF(L777&lt;&gt;"",L777,E777*K777)))</f>
        <v/>
      </c>
      <c r="N777" s="20">
        <f>IF($A777="","",$A777-WEEKDAY($A777,2)+1)</f>
        <v/>
      </c>
      <c r="O777" s="20">
        <f>IF($A777="","",TEXT($A777,"yyyy-mm"))</f>
        <v/>
      </c>
      <c r="P777" s="21">
        <f>IF($A777="","",TEXT(YEAR($A777),"0000")&amp;"-Q"&amp;ROUNDUP(MONTH($A777)/3,0))</f>
        <v/>
      </c>
    </row>
    <row r="778">
      <c r="A778" s="22" t="n"/>
      <c r="B778" s="20" t="n"/>
      <c r="C778" s="20" t="n"/>
      <c r="D778" s="20">
        <f>IFERROR(INDEX(XPMenu!$A$2:$A$1000, MATCH(C778, XPMenu!$B$2:$B$1000, 0)), "")</f>
        <v/>
      </c>
      <c r="E778" s="20" t="n"/>
      <c r="F778" s="20" t="n"/>
      <c r="G778" s="20" t="n"/>
      <c r="H778" s="20" t="n"/>
      <c r="I778" s="20">
        <f>IFERROR(VLOOKUP(D778,XPMenu!$A:$F,2,FALSE),"")</f>
        <v/>
      </c>
      <c r="J778" s="20">
        <f>IFERROR(VLOOKUP(D778,XPMenu!$A:$F,3,FALSE),"")</f>
        <v/>
      </c>
      <c r="K778" s="20">
        <f>IFERROR(VLOOKUP(D778,XPMenu!$A:$F,4,FALSE),"")</f>
        <v/>
      </c>
      <c r="L778" s="20" t="n"/>
      <c r="M778" s="20">
        <f>IF(A778="","",IF(F778&lt;&gt;"Yes",0,IF(L778&lt;&gt;"",L778,E778*K778)))</f>
        <v/>
      </c>
      <c r="N778" s="20">
        <f>IF($A778="","",$A778-WEEKDAY($A778,2)+1)</f>
        <v/>
      </c>
      <c r="O778" s="20">
        <f>IF($A778="","",TEXT($A778,"yyyy-mm"))</f>
        <v/>
      </c>
      <c r="P778" s="21">
        <f>IF($A778="","",TEXT(YEAR($A778),"0000")&amp;"-Q"&amp;ROUNDUP(MONTH($A778)/3,0))</f>
        <v/>
      </c>
    </row>
    <row r="779">
      <c r="A779" s="22" t="n"/>
      <c r="B779" s="20" t="n"/>
      <c r="C779" s="20" t="n"/>
      <c r="D779" s="20">
        <f>IFERROR(INDEX(XPMenu!$A$2:$A$1000, MATCH(C779, XPMenu!$B$2:$B$1000, 0)), "")</f>
        <v/>
      </c>
      <c r="E779" s="20" t="n"/>
      <c r="F779" s="20" t="n"/>
      <c r="G779" s="20" t="n"/>
      <c r="H779" s="20" t="n"/>
      <c r="I779" s="20">
        <f>IFERROR(VLOOKUP(D779,XPMenu!$A:$F,2,FALSE),"")</f>
        <v/>
      </c>
      <c r="J779" s="20">
        <f>IFERROR(VLOOKUP(D779,XPMenu!$A:$F,3,FALSE),"")</f>
        <v/>
      </c>
      <c r="K779" s="20">
        <f>IFERROR(VLOOKUP(D779,XPMenu!$A:$F,4,FALSE),"")</f>
        <v/>
      </c>
      <c r="L779" s="20" t="n"/>
      <c r="M779" s="20">
        <f>IF(A779="","",IF(F779&lt;&gt;"Yes",0,IF(L779&lt;&gt;"",L779,E779*K779)))</f>
        <v/>
      </c>
      <c r="N779" s="20">
        <f>IF($A779="","",$A779-WEEKDAY($A779,2)+1)</f>
        <v/>
      </c>
      <c r="O779" s="20">
        <f>IF($A779="","",TEXT($A779,"yyyy-mm"))</f>
        <v/>
      </c>
      <c r="P779" s="21">
        <f>IF($A779="","",TEXT(YEAR($A779),"0000")&amp;"-Q"&amp;ROUNDUP(MONTH($A779)/3,0))</f>
        <v/>
      </c>
    </row>
    <row r="780">
      <c r="A780" s="22" t="n"/>
      <c r="B780" s="20" t="n"/>
      <c r="C780" s="20" t="n"/>
      <c r="D780" s="20">
        <f>IFERROR(INDEX(XPMenu!$A$2:$A$1000, MATCH(C780, XPMenu!$B$2:$B$1000, 0)), "")</f>
        <v/>
      </c>
      <c r="E780" s="20" t="n"/>
      <c r="F780" s="20" t="n"/>
      <c r="G780" s="20" t="n"/>
      <c r="H780" s="20" t="n"/>
      <c r="I780" s="20">
        <f>IFERROR(VLOOKUP(D780,XPMenu!$A:$F,2,FALSE),"")</f>
        <v/>
      </c>
      <c r="J780" s="20">
        <f>IFERROR(VLOOKUP(D780,XPMenu!$A:$F,3,FALSE),"")</f>
        <v/>
      </c>
      <c r="K780" s="20">
        <f>IFERROR(VLOOKUP(D780,XPMenu!$A:$F,4,FALSE),"")</f>
        <v/>
      </c>
      <c r="L780" s="20" t="n"/>
      <c r="M780" s="20">
        <f>IF(A780="","",IF(F780&lt;&gt;"Yes",0,IF(L780&lt;&gt;"",L780,E780*K780)))</f>
        <v/>
      </c>
      <c r="N780" s="20">
        <f>IF($A780="","",$A780-WEEKDAY($A780,2)+1)</f>
        <v/>
      </c>
      <c r="O780" s="20">
        <f>IF($A780="","",TEXT($A780,"yyyy-mm"))</f>
        <v/>
      </c>
      <c r="P780" s="21">
        <f>IF($A780="","",TEXT(YEAR($A780),"0000")&amp;"-Q"&amp;ROUNDUP(MONTH($A780)/3,0))</f>
        <v/>
      </c>
    </row>
    <row r="781">
      <c r="A781" s="22" t="n"/>
      <c r="B781" s="20" t="n"/>
      <c r="C781" s="20" t="n"/>
      <c r="D781" s="20">
        <f>IFERROR(INDEX(XPMenu!$A$2:$A$1000, MATCH(C781, XPMenu!$B$2:$B$1000, 0)), "")</f>
        <v/>
      </c>
      <c r="E781" s="20" t="n"/>
      <c r="F781" s="20" t="n"/>
      <c r="G781" s="20" t="n"/>
      <c r="H781" s="20" t="n"/>
      <c r="I781" s="20">
        <f>IFERROR(VLOOKUP(D781,XPMenu!$A:$F,2,FALSE),"")</f>
        <v/>
      </c>
      <c r="J781" s="20">
        <f>IFERROR(VLOOKUP(D781,XPMenu!$A:$F,3,FALSE),"")</f>
        <v/>
      </c>
      <c r="K781" s="20">
        <f>IFERROR(VLOOKUP(D781,XPMenu!$A:$F,4,FALSE),"")</f>
        <v/>
      </c>
      <c r="L781" s="20" t="n"/>
      <c r="M781" s="20">
        <f>IF(A781="","",IF(F781&lt;&gt;"Yes",0,IF(L781&lt;&gt;"",L781,E781*K781)))</f>
        <v/>
      </c>
      <c r="N781" s="20">
        <f>IF($A781="","",$A781-WEEKDAY($A781,2)+1)</f>
        <v/>
      </c>
      <c r="O781" s="20">
        <f>IF($A781="","",TEXT($A781,"yyyy-mm"))</f>
        <v/>
      </c>
      <c r="P781" s="21">
        <f>IF($A781="","",TEXT(YEAR($A781),"0000")&amp;"-Q"&amp;ROUNDUP(MONTH($A781)/3,0))</f>
        <v/>
      </c>
    </row>
    <row r="782">
      <c r="A782" s="22" t="n"/>
      <c r="B782" s="20" t="n"/>
      <c r="C782" s="20" t="n"/>
      <c r="D782" s="20">
        <f>IFERROR(INDEX(XPMenu!$A$2:$A$1000, MATCH(C782, XPMenu!$B$2:$B$1000, 0)), "")</f>
        <v/>
      </c>
      <c r="E782" s="20" t="n"/>
      <c r="F782" s="20" t="n"/>
      <c r="G782" s="20" t="n"/>
      <c r="H782" s="20" t="n"/>
      <c r="I782" s="20">
        <f>IFERROR(VLOOKUP(D782,XPMenu!$A:$F,2,FALSE),"")</f>
        <v/>
      </c>
      <c r="J782" s="20">
        <f>IFERROR(VLOOKUP(D782,XPMenu!$A:$F,3,FALSE),"")</f>
        <v/>
      </c>
      <c r="K782" s="20">
        <f>IFERROR(VLOOKUP(D782,XPMenu!$A:$F,4,FALSE),"")</f>
        <v/>
      </c>
      <c r="L782" s="20" t="n"/>
      <c r="M782" s="20">
        <f>IF(A782="","",IF(F782&lt;&gt;"Yes",0,IF(L782&lt;&gt;"",L782,E782*K782)))</f>
        <v/>
      </c>
      <c r="N782" s="20">
        <f>IF($A782="","",$A782-WEEKDAY($A782,2)+1)</f>
        <v/>
      </c>
      <c r="O782" s="20">
        <f>IF($A782="","",TEXT($A782,"yyyy-mm"))</f>
        <v/>
      </c>
      <c r="P782" s="21">
        <f>IF($A782="","",TEXT(YEAR($A782),"0000")&amp;"-Q"&amp;ROUNDUP(MONTH($A782)/3,0))</f>
        <v/>
      </c>
    </row>
    <row r="783">
      <c r="A783" s="22" t="n"/>
      <c r="B783" s="20" t="n"/>
      <c r="C783" s="20" t="n"/>
      <c r="D783" s="20">
        <f>IFERROR(INDEX(XPMenu!$A$2:$A$1000, MATCH(C783, XPMenu!$B$2:$B$1000, 0)), "")</f>
        <v/>
      </c>
      <c r="E783" s="20" t="n"/>
      <c r="F783" s="20" t="n"/>
      <c r="G783" s="20" t="n"/>
      <c r="H783" s="20" t="n"/>
      <c r="I783" s="20">
        <f>IFERROR(VLOOKUP(D783,XPMenu!$A:$F,2,FALSE),"")</f>
        <v/>
      </c>
      <c r="J783" s="20">
        <f>IFERROR(VLOOKUP(D783,XPMenu!$A:$F,3,FALSE),"")</f>
        <v/>
      </c>
      <c r="K783" s="20">
        <f>IFERROR(VLOOKUP(D783,XPMenu!$A:$F,4,FALSE),"")</f>
        <v/>
      </c>
      <c r="L783" s="20" t="n"/>
      <c r="M783" s="20">
        <f>IF(A783="","",IF(F783&lt;&gt;"Yes",0,IF(L783&lt;&gt;"",L783,E783*K783)))</f>
        <v/>
      </c>
      <c r="N783" s="20">
        <f>IF($A783="","",$A783-WEEKDAY($A783,2)+1)</f>
        <v/>
      </c>
      <c r="O783" s="20">
        <f>IF($A783="","",TEXT($A783,"yyyy-mm"))</f>
        <v/>
      </c>
      <c r="P783" s="21">
        <f>IF($A783="","",TEXT(YEAR($A783),"0000")&amp;"-Q"&amp;ROUNDUP(MONTH($A783)/3,0))</f>
        <v/>
      </c>
    </row>
    <row r="784">
      <c r="A784" s="22" t="n"/>
      <c r="B784" s="20" t="n"/>
      <c r="C784" s="20" t="n"/>
      <c r="D784" s="20">
        <f>IFERROR(INDEX(XPMenu!$A$2:$A$1000, MATCH(C784, XPMenu!$B$2:$B$1000, 0)), "")</f>
        <v/>
      </c>
      <c r="E784" s="20" t="n"/>
      <c r="F784" s="20" t="n"/>
      <c r="G784" s="20" t="n"/>
      <c r="H784" s="20" t="n"/>
      <c r="I784" s="20">
        <f>IFERROR(VLOOKUP(D784,XPMenu!$A:$F,2,FALSE),"")</f>
        <v/>
      </c>
      <c r="J784" s="20">
        <f>IFERROR(VLOOKUP(D784,XPMenu!$A:$F,3,FALSE),"")</f>
        <v/>
      </c>
      <c r="K784" s="20">
        <f>IFERROR(VLOOKUP(D784,XPMenu!$A:$F,4,FALSE),"")</f>
        <v/>
      </c>
      <c r="L784" s="20" t="n"/>
      <c r="M784" s="20">
        <f>IF(A784="","",IF(F784&lt;&gt;"Yes",0,IF(L784&lt;&gt;"",L784,E784*K784)))</f>
        <v/>
      </c>
      <c r="N784" s="20">
        <f>IF($A784="","",$A784-WEEKDAY($A784,2)+1)</f>
        <v/>
      </c>
      <c r="O784" s="20">
        <f>IF($A784="","",TEXT($A784,"yyyy-mm"))</f>
        <v/>
      </c>
      <c r="P784" s="21">
        <f>IF($A784="","",TEXT(YEAR($A784),"0000")&amp;"-Q"&amp;ROUNDUP(MONTH($A784)/3,0))</f>
        <v/>
      </c>
    </row>
    <row r="785">
      <c r="A785" s="22" t="n"/>
      <c r="B785" s="20" t="n"/>
      <c r="C785" s="20" t="n"/>
      <c r="D785" s="20">
        <f>IFERROR(INDEX(XPMenu!$A$2:$A$1000, MATCH(C785, XPMenu!$B$2:$B$1000, 0)), "")</f>
        <v/>
      </c>
      <c r="E785" s="20" t="n"/>
      <c r="F785" s="20" t="n"/>
      <c r="G785" s="20" t="n"/>
      <c r="H785" s="20" t="n"/>
      <c r="I785" s="20">
        <f>IFERROR(VLOOKUP(D785,XPMenu!$A:$F,2,FALSE),"")</f>
        <v/>
      </c>
      <c r="J785" s="20">
        <f>IFERROR(VLOOKUP(D785,XPMenu!$A:$F,3,FALSE),"")</f>
        <v/>
      </c>
      <c r="K785" s="20">
        <f>IFERROR(VLOOKUP(D785,XPMenu!$A:$F,4,FALSE),"")</f>
        <v/>
      </c>
      <c r="L785" s="20" t="n"/>
      <c r="M785" s="20">
        <f>IF(A785="","",IF(F785&lt;&gt;"Yes",0,IF(L785&lt;&gt;"",L785,E785*K785)))</f>
        <v/>
      </c>
      <c r="N785" s="20">
        <f>IF($A785="","",$A785-WEEKDAY($A785,2)+1)</f>
        <v/>
      </c>
      <c r="O785" s="20">
        <f>IF($A785="","",TEXT($A785,"yyyy-mm"))</f>
        <v/>
      </c>
      <c r="P785" s="21">
        <f>IF($A785="","",TEXT(YEAR($A785),"0000")&amp;"-Q"&amp;ROUNDUP(MONTH($A785)/3,0))</f>
        <v/>
      </c>
    </row>
    <row r="786">
      <c r="A786" s="22" t="n"/>
      <c r="B786" s="20" t="n"/>
      <c r="C786" s="20" t="n"/>
      <c r="D786" s="20">
        <f>IFERROR(INDEX(XPMenu!$A$2:$A$1000, MATCH(C786, XPMenu!$B$2:$B$1000, 0)), "")</f>
        <v/>
      </c>
      <c r="E786" s="20" t="n"/>
      <c r="F786" s="20" t="n"/>
      <c r="G786" s="20" t="n"/>
      <c r="H786" s="20" t="n"/>
      <c r="I786" s="20">
        <f>IFERROR(VLOOKUP(D786,XPMenu!$A:$F,2,FALSE),"")</f>
        <v/>
      </c>
      <c r="J786" s="20">
        <f>IFERROR(VLOOKUP(D786,XPMenu!$A:$F,3,FALSE),"")</f>
        <v/>
      </c>
      <c r="K786" s="20">
        <f>IFERROR(VLOOKUP(D786,XPMenu!$A:$F,4,FALSE),"")</f>
        <v/>
      </c>
      <c r="L786" s="20" t="n"/>
      <c r="M786" s="20">
        <f>IF(A786="","",IF(F786&lt;&gt;"Yes",0,IF(L786&lt;&gt;"",L786,E786*K786)))</f>
        <v/>
      </c>
      <c r="N786" s="20">
        <f>IF($A786="","",$A786-WEEKDAY($A786,2)+1)</f>
        <v/>
      </c>
      <c r="O786" s="20">
        <f>IF($A786="","",TEXT($A786,"yyyy-mm"))</f>
        <v/>
      </c>
      <c r="P786" s="21">
        <f>IF($A786="","",TEXT(YEAR($A786),"0000")&amp;"-Q"&amp;ROUNDUP(MONTH($A786)/3,0))</f>
        <v/>
      </c>
    </row>
    <row r="787">
      <c r="A787" s="22" t="n"/>
      <c r="B787" s="20" t="n"/>
      <c r="C787" s="20" t="n"/>
      <c r="D787" s="20">
        <f>IFERROR(INDEX(XPMenu!$A$2:$A$1000, MATCH(C787, XPMenu!$B$2:$B$1000, 0)), "")</f>
        <v/>
      </c>
      <c r="E787" s="20" t="n"/>
      <c r="F787" s="20" t="n"/>
      <c r="G787" s="20" t="n"/>
      <c r="H787" s="20" t="n"/>
      <c r="I787" s="20">
        <f>IFERROR(VLOOKUP(D787,XPMenu!$A:$F,2,FALSE),"")</f>
        <v/>
      </c>
      <c r="J787" s="20">
        <f>IFERROR(VLOOKUP(D787,XPMenu!$A:$F,3,FALSE),"")</f>
        <v/>
      </c>
      <c r="K787" s="20">
        <f>IFERROR(VLOOKUP(D787,XPMenu!$A:$F,4,FALSE),"")</f>
        <v/>
      </c>
      <c r="L787" s="20" t="n"/>
      <c r="M787" s="20">
        <f>IF(A787="","",IF(F787&lt;&gt;"Yes",0,IF(L787&lt;&gt;"",L787,E787*K787)))</f>
        <v/>
      </c>
      <c r="N787" s="20">
        <f>IF($A787="","",$A787-WEEKDAY($A787,2)+1)</f>
        <v/>
      </c>
      <c r="O787" s="20">
        <f>IF($A787="","",TEXT($A787,"yyyy-mm"))</f>
        <v/>
      </c>
      <c r="P787" s="21">
        <f>IF($A787="","",TEXT(YEAR($A787),"0000")&amp;"-Q"&amp;ROUNDUP(MONTH($A787)/3,0))</f>
        <v/>
      </c>
    </row>
    <row r="788">
      <c r="A788" s="22" t="n"/>
      <c r="B788" s="20" t="n"/>
      <c r="C788" s="20" t="n"/>
      <c r="D788" s="20">
        <f>IFERROR(INDEX(XPMenu!$A$2:$A$1000, MATCH(C788, XPMenu!$B$2:$B$1000, 0)), "")</f>
        <v/>
      </c>
      <c r="E788" s="20" t="n"/>
      <c r="F788" s="20" t="n"/>
      <c r="G788" s="20" t="n"/>
      <c r="H788" s="20" t="n"/>
      <c r="I788" s="20">
        <f>IFERROR(VLOOKUP(D788,XPMenu!$A:$F,2,FALSE),"")</f>
        <v/>
      </c>
      <c r="J788" s="20">
        <f>IFERROR(VLOOKUP(D788,XPMenu!$A:$F,3,FALSE),"")</f>
        <v/>
      </c>
      <c r="K788" s="20">
        <f>IFERROR(VLOOKUP(D788,XPMenu!$A:$F,4,FALSE),"")</f>
        <v/>
      </c>
      <c r="L788" s="20" t="n"/>
      <c r="M788" s="20">
        <f>IF(A788="","",IF(F788&lt;&gt;"Yes",0,IF(L788&lt;&gt;"",L788,E788*K788)))</f>
        <v/>
      </c>
      <c r="N788" s="20">
        <f>IF($A788="","",$A788-WEEKDAY($A788,2)+1)</f>
        <v/>
      </c>
      <c r="O788" s="20">
        <f>IF($A788="","",TEXT($A788,"yyyy-mm"))</f>
        <v/>
      </c>
      <c r="P788" s="21">
        <f>IF($A788="","",TEXT(YEAR($A788),"0000")&amp;"-Q"&amp;ROUNDUP(MONTH($A788)/3,0))</f>
        <v/>
      </c>
    </row>
    <row r="789">
      <c r="A789" s="22" t="n"/>
      <c r="B789" s="20" t="n"/>
      <c r="C789" s="20" t="n"/>
      <c r="D789" s="20">
        <f>IFERROR(INDEX(XPMenu!$A$2:$A$1000, MATCH(C789, XPMenu!$B$2:$B$1000, 0)), "")</f>
        <v/>
      </c>
      <c r="E789" s="20" t="n"/>
      <c r="F789" s="20" t="n"/>
      <c r="G789" s="20" t="n"/>
      <c r="H789" s="20" t="n"/>
      <c r="I789" s="20">
        <f>IFERROR(VLOOKUP(D789,XPMenu!$A:$F,2,FALSE),"")</f>
        <v/>
      </c>
      <c r="J789" s="20">
        <f>IFERROR(VLOOKUP(D789,XPMenu!$A:$F,3,FALSE),"")</f>
        <v/>
      </c>
      <c r="K789" s="20">
        <f>IFERROR(VLOOKUP(D789,XPMenu!$A:$F,4,FALSE),"")</f>
        <v/>
      </c>
      <c r="L789" s="20" t="n"/>
      <c r="M789" s="20">
        <f>IF(A789="","",IF(F789&lt;&gt;"Yes",0,IF(L789&lt;&gt;"",L789,E789*K789)))</f>
        <v/>
      </c>
      <c r="N789" s="20">
        <f>IF($A789="","",$A789-WEEKDAY($A789,2)+1)</f>
        <v/>
      </c>
      <c r="O789" s="20">
        <f>IF($A789="","",TEXT($A789,"yyyy-mm"))</f>
        <v/>
      </c>
      <c r="P789" s="21">
        <f>IF($A789="","",TEXT(YEAR($A789),"0000")&amp;"-Q"&amp;ROUNDUP(MONTH($A789)/3,0))</f>
        <v/>
      </c>
    </row>
    <row r="790">
      <c r="A790" s="22" t="n"/>
      <c r="B790" s="20" t="n"/>
      <c r="C790" s="20" t="n"/>
      <c r="D790" s="20">
        <f>IFERROR(INDEX(XPMenu!$A$2:$A$1000, MATCH(C790, XPMenu!$B$2:$B$1000, 0)), "")</f>
        <v/>
      </c>
      <c r="E790" s="20" t="n"/>
      <c r="F790" s="20" t="n"/>
      <c r="G790" s="20" t="n"/>
      <c r="H790" s="20" t="n"/>
      <c r="I790" s="20">
        <f>IFERROR(VLOOKUP(D790,XPMenu!$A:$F,2,FALSE),"")</f>
        <v/>
      </c>
      <c r="J790" s="20">
        <f>IFERROR(VLOOKUP(D790,XPMenu!$A:$F,3,FALSE),"")</f>
        <v/>
      </c>
      <c r="K790" s="20">
        <f>IFERROR(VLOOKUP(D790,XPMenu!$A:$F,4,FALSE),"")</f>
        <v/>
      </c>
      <c r="L790" s="20" t="n"/>
      <c r="M790" s="20">
        <f>IF(A790="","",IF(F790&lt;&gt;"Yes",0,IF(L790&lt;&gt;"",L790,E790*K790)))</f>
        <v/>
      </c>
      <c r="N790" s="20">
        <f>IF($A790="","",$A790-WEEKDAY($A790,2)+1)</f>
        <v/>
      </c>
      <c r="O790" s="20">
        <f>IF($A790="","",TEXT($A790,"yyyy-mm"))</f>
        <v/>
      </c>
      <c r="P790" s="21">
        <f>IF($A790="","",TEXT(YEAR($A790),"0000")&amp;"-Q"&amp;ROUNDUP(MONTH($A790)/3,0))</f>
        <v/>
      </c>
    </row>
    <row r="791">
      <c r="A791" s="22" t="n"/>
      <c r="B791" s="20" t="n"/>
      <c r="C791" s="20" t="n"/>
      <c r="D791" s="20">
        <f>IFERROR(INDEX(XPMenu!$A$2:$A$1000, MATCH(C791, XPMenu!$B$2:$B$1000, 0)), "")</f>
        <v/>
      </c>
      <c r="E791" s="20" t="n"/>
      <c r="F791" s="20" t="n"/>
      <c r="G791" s="20" t="n"/>
      <c r="H791" s="20" t="n"/>
      <c r="I791" s="20">
        <f>IFERROR(VLOOKUP(D791,XPMenu!$A:$F,2,FALSE),"")</f>
        <v/>
      </c>
      <c r="J791" s="20">
        <f>IFERROR(VLOOKUP(D791,XPMenu!$A:$F,3,FALSE),"")</f>
        <v/>
      </c>
      <c r="K791" s="20">
        <f>IFERROR(VLOOKUP(D791,XPMenu!$A:$F,4,FALSE),"")</f>
        <v/>
      </c>
      <c r="L791" s="20" t="n"/>
      <c r="M791" s="20">
        <f>IF(A791="","",IF(F791&lt;&gt;"Yes",0,IF(L791&lt;&gt;"",L791,E791*K791)))</f>
        <v/>
      </c>
      <c r="N791" s="20">
        <f>IF($A791="","",$A791-WEEKDAY($A791,2)+1)</f>
        <v/>
      </c>
      <c r="O791" s="20">
        <f>IF($A791="","",TEXT($A791,"yyyy-mm"))</f>
        <v/>
      </c>
      <c r="P791" s="21">
        <f>IF($A791="","",TEXT(YEAR($A791),"0000")&amp;"-Q"&amp;ROUNDUP(MONTH($A791)/3,0))</f>
        <v/>
      </c>
    </row>
    <row r="792">
      <c r="A792" s="22" t="n"/>
      <c r="B792" s="20" t="n"/>
      <c r="C792" s="20" t="n"/>
      <c r="D792" s="20">
        <f>IFERROR(INDEX(XPMenu!$A$2:$A$1000, MATCH(C792, XPMenu!$B$2:$B$1000, 0)), "")</f>
        <v/>
      </c>
      <c r="E792" s="20" t="n"/>
      <c r="F792" s="20" t="n"/>
      <c r="G792" s="20" t="n"/>
      <c r="H792" s="20" t="n"/>
      <c r="I792" s="20">
        <f>IFERROR(VLOOKUP(D792,XPMenu!$A:$F,2,FALSE),"")</f>
        <v/>
      </c>
      <c r="J792" s="20">
        <f>IFERROR(VLOOKUP(D792,XPMenu!$A:$F,3,FALSE),"")</f>
        <v/>
      </c>
      <c r="K792" s="20">
        <f>IFERROR(VLOOKUP(D792,XPMenu!$A:$F,4,FALSE),"")</f>
        <v/>
      </c>
      <c r="L792" s="20" t="n"/>
      <c r="M792" s="20">
        <f>IF(A792="","",IF(F792&lt;&gt;"Yes",0,IF(L792&lt;&gt;"",L792,E792*K792)))</f>
        <v/>
      </c>
      <c r="N792" s="20">
        <f>IF($A792="","",$A792-WEEKDAY($A792,2)+1)</f>
        <v/>
      </c>
      <c r="O792" s="20">
        <f>IF($A792="","",TEXT($A792,"yyyy-mm"))</f>
        <v/>
      </c>
      <c r="P792" s="21">
        <f>IF($A792="","",TEXT(YEAR($A792),"0000")&amp;"-Q"&amp;ROUNDUP(MONTH($A792)/3,0))</f>
        <v/>
      </c>
    </row>
    <row r="793">
      <c r="A793" s="22" t="n"/>
      <c r="B793" s="20" t="n"/>
      <c r="C793" s="20" t="n"/>
      <c r="D793" s="20">
        <f>IFERROR(INDEX(XPMenu!$A$2:$A$1000, MATCH(C793, XPMenu!$B$2:$B$1000, 0)), "")</f>
        <v/>
      </c>
      <c r="E793" s="20" t="n"/>
      <c r="F793" s="20" t="n"/>
      <c r="G793" s="20" t="n"/>
      <c r="H793" s="20" t="n"/>
      <c r="I793" s="20">
        <f>IFERROR(VLOOKUP(D793,XPMenu!$A:$F,2,FALSE),"")</f>
        <v/>
      </c>
      <c r="J793" s="20">
        <f>IFERROR(VLOOKUP(D793,XPMenu!$A:$F,3,FALSE),"")</f>
        <v/>
      </c>
      <c r="K793" s="20">
        <f>IFERROR(VLOOKUP(D793,XPMenu!$A:$F,4,FALSE),"")</f>
        <v/>
      </c>
      <c r="L793" s="20" t="n"/>
      <c r="M793" s="20">
        <f>IF(A793="","",IF(F793&lt;&gt;"Yes",0,IF(L793&lt;&gt;"",L793,E793*K793)))</f>
        <v/>
      </c>
      <c r="N793" s="20">
        <f>IF($A793="","",$A793-WEEKDAY($A793,2)+1)</f>
        <v/>
      </c>
      <c r="O793" s="20">
        <f>IF($A793="","",TEXT($A793,"yyyy-mm"))</f>
        <v/>
      </c>
      <c r="P793" s="21">
        <f>IF($A793="","",TEXT(YEAR($A793),"0000")&amp;"-Q"&amp;ROUNDUP(MONTH($A793)/3,0))</f>
        <v/>
      </c>
    </row>
    <row r="794">
      <c r="A794" s="22" t="n"/>
      <c r="B794" s="20" t="n"/>
      <c r="C794" s="20" t="n"/>
      <c r="D794" s="20">
        <f>IFERROR(INDEX(XPMenu!$A$2:$A$1000, MATCH(C794, XPMenu!$B$2:$B$1000, 0)), "")</f>
        <v/>
      </c>
      <c r="E794" s="20" t="n"/>
      <c r="F794" s="20" t="n"/>
      <c r="G794" s="20" t="n"/>
      <c r="H794" s="20" t="n"/>
      <c r="I794" s="20">
        <f>IFERROR(VLOOKUP(D794,XPMenu!$A:$F,2,FALSE),"")</f>
        <v/>
      </c>
      <c r="J794" s="20">
        <f>IFERROR(VLOOKUP(D794,XPMenu!$A:$F,3,FALSE),"")</f>
        <v/>
      </c>
      <c r="K794" s="20">
        <f>IFERROR(VLOOKUP(D794,XPMenu!$A:$F,4,FALSE),"")</f>
        <v/>
      </c>
      <c r="L794" s="20" t="n"/>
      <c r="M794" s="20">
        <f>IF(A794="","",IF(F794&lt;&gt;"Yes",0,IF(L794&lt;&gt;"",L794,E794*K794)))</f>
        <v/>
      </c>
      <c r="N794" s="20">
        <f>IF($A794="","",$A794-WEEKDAY($A794,2)+1)</f>
        <v/>
      </c>
      <c r="O794" s="20">
        <f>IF($A794="","",TEXT($A794,"yyyy-mm"))</f>
        <v/>
      </c>
      <c r="P794" s="21">
        <f>IF($A794="","",TEXT(YEAR($A794),"0000")&amp;"-Q"&amp;ROUNDUP(MONTH($A794)/3,0))</f>
        <v/>
      </c>
    </row>
    <row r="795">
      <c r="A795" s="22" t="n"/>
      <c r="B795" s="20" t="n"/>
      <c r="C795" s="20" t="n"/>
      <c r="D795" s="20">
        <f>IFERROR(INDEX(XPMenu!$A$2:$A$1000, MATCH(C795, XPMenu!$B$2:$B$1000, 0)), "")</f>
        <v/>
      </c>
      <c r="E795" s="20" t="n"/>
      <c r="F795" s="20" t="n"/>
      <c r="G795" s="20" t="n"/>
      <c r="H795" s="20" t="n"/>
      <c r="I795" s="20">
        <f>IFERROR(VLOOKUP(D795,XPMenu!$A:$F,2,FALSE),"")</f>
        <v/>
      </c>
      <c r="J795" s="20">
        <f>IFERROR(VLOOKUP(D795,XPMenu!$A:$F,3,FALSE),"")</f>
        <v/>
      </c>
      <c r="K795" s="20">
        <f>IFERROR(VLOOKUP(D795,XPMenu!$A:$F,4,FALSE),"")</f>
        <v/>
      </c>
      <c r="L795" s="20" t="n"/>
      <c r="M795" s="20">
        <f>IF(A795="","",IF(F795&lt;&gt;"Yes",0,IF(L795&lt;&gt;"",L795,E795*K795)))</f>
        <v/>
      </c>
      <c r="N795" s="20">
        <f>IF($A795="","",$A795-WEEKDAY($A795,2)+1)</f>
        <v/>
      </c>
      <c r="O795" s="20">
        <f>IF($A795="","",TEXT($A795,"yyyy-mm"))</f>
        <v/>
      </c>
      <c r="P795" s="21">
        <f>IF($A795="","",TEXT(YEAR($A795),"0000")&amp;"-Q"&amp;ROUNDUP(MONTH($A795)/3,0))</f>
        <v/>
      </c>
    </row>
    <row r="796">
      <c r="A796" s="22" t="n"/>
      <c r="B796" s="20" t="n"/>
      <c r="C796" s="20" t="n"/>
      <c r="D796" s="20">
        <f>IFERROR(INDEX(XPMenu!$A$2:$A$1000, MATCH(C796, XPMenu!$B$2:$B$1000, 0)), "")</f>
        <v/>
      </c>
      <c r="E796" s="20" t="n"/>
      <c r="F796" s="20" t="n"/>
      <c r="G796" s="20" t="n"/>
      <c r="H796" s="20" t="n"/>
      <c r="I796" s="20">
        <f>IFERROR(VLOOKUP(D796,XPMenu!$A:$F,2,FALSE),"")</f>
        <v/>
      </c>
      <c r="J796" s="20">
        <f>IFERROR(VLOOKUP(D796,XPMenu!$A:$F,3,FALSE),"")</f>
        <v/>
      </c>
      <c r="K796" s="20">
        <f>IFERROR(VLOOKUP(D796,XPMenu!$A:$F,4,FALSE),"")</f>
        <v/>
      </c>
      <c r="L796" s="20" t="n"/>
      <c r="M796" s="20">
        <f>IF(A796="","",IF(F796&lt;&gt;"Yes",0,IF(L796&lt;&gt;"",L796,E796*K796)))</f>
        <v/>
      </c>
      <c r="N796" s="20">
        <f>IF($A796="","",$A796-WEEKDAY($A796,2)+1)</f>
        <v/>
      </c>
      <c r="O796" s="20">
        <f>IF($A796="","",TEXT($A796,"yyyy-mm"))</f>
        <v/>
      </c>
      <c r="P796" s="21">
        <f>IF($A796="","",TEXT(YEAR($A796),"0000")&amp;"-Q"&amp;ROUNDUP(MONTH($A796)/3,0))</f>
        <v/>
      </c>
    </row>
    <row r="797">
      <c r="A797" s="22" t="n"/>
      <c r="B797" s="20" t="n"/>
      <c r="C797" s="20" t="n"/>
      <c r="D797" s="20">
        <f>IFERROR(INDEX(XPMenu!$A$2:$A$1000, MATCH(C797, XPMenu!$B$2:$B$1000, 0)), "")</f>
        <v/>
      </c>
      <c r="E797" s="20" t="n"/>
      <c r="F797" s="20" t="n"/>
      <c r="G797" s="20" t="n"/>
      <c r="H797" s="20" t="n"/>
      <c r="I797" s="20">
        <f>IFERROR(VLOOKUP(D797,XPMenu!$A:$F,2,FALSE),"")</f>
        <v/>
      </c>
      <c r="J797" s="20">
        <f>IFERROR(VLOOKUP(D797,XPMenu!$A:$F,3,FALSE),"")</f>
        <v/>
      </c>
      <c r="K797" s="20">
        <f>IFERROR(VLOOKUP(D797,XPMenu!$A:$F,4,FALSE),"")</f>
        <v/>
      </c>
      <c r="L797" s="20" t="n"/>
      <c r="M797" s="20">
        <f>IF(A797="","",IF(F797&lt;&gt;"Yes",0,IF(L797&lt;&gt;"",L797,E797*K797)))</f>
        <v/>
      </c>
      <c r="N797" s="20">
        <f>IF($A797="","",$A797-WEEKDAY($A797,2)+1)</f>
        <v/>
      </c>
      <c r="O797" s="20">
        <f>IF($A797="","",TEXT($A797,"yyyy-mm"))</f>
        <v/>
      </c>
      <c r="P797" s="21">
        <f>IF($A797="","",TEXT(YEAR($A797),"0000")&amp;"-Q"&amp;ROUNDUP(MONTH($A797)/3,0))</f>
        <v/>
      </c>
    </row>
    <row r="798">
      <c r="A798" s="22" t="n"/>
      <c r="B798" s="20" t="n"/>
      <c r="C798" s="20" t="n"/>
      <c r="D798" s="20">
        <f>IFERROR(INDEX(XPMenu!$A$2:$A$1000, MATCH(C798, XPMenu!$B$2:$B$1000, 0)), "")</f>
        <v/>
      </c>
      <c r="E798" s="20" t="n"/>
      <c r="F798" s="20" t="n"/>
      <c r="G798" s="20" t="n"/>
      <c r="H798" s="20" t="n"/>
      <c r="I798" s="20">
        <f>IFERROR(VLOOKUP(D798,XPMenu!$A:$F,2,FALSE),"")</f>
        <v/>
      </c>
      <c r="J798" s="20">
        <f>IFERROR(VLOOKUP(D798,XPMenu!$A:$F,3,FALSE),"")</f>
        <v/>
      </c>
      <c r="K798" s="20">
        <f>IFERROR(VLOOKUP(D798,XPMenu!$A:$F,4,FALSE),"")</f>
        <v/>
      </c>
      <c r="L798" s="20" t="n"/>
      <c r="M798" s="20">
        <f>IF(A798="","",IF(F798&lt;&gt;"Yes",0,IF(L798&lt;&gt;"",L798,E798*K798)))</f>
        <v/>
      </c>
      <c r="N798" s="20">
        <f>IF($A798="","",$A798-WEEKDAY($A798,2)+1)</f>
        <v/>
      </c>
      <c r="O798" s="20">
        <f>IF($A798="","",TEXT($A798,"yyyy-mm"))</f>
        <v/>
      </c>
      <c r="P798" s="21">
        <f>IF($A798="","",TEXT(YEAR($A798),"0000")&amp;"-Q"&amp;ROUNDUP(MONTH($A798)/3,0))</f>
        <v/>
      </c>
    </row>
    <row r="799">
      <c r="A799" s="22" t="n"/>
      <c r="B799" s="20" t="n"/>
      <c r="C799" s="20" t="n"/>
      <c r="D799" s="20">
        <f>IFERROR(INDEX(XPMenu!$A$2:$A$1000, MATCH(C799, XPMenu!$B$2:$B$1000, 0)), "")</f>
        <v/>
      </c>
      <c r="E799" s="20" t="n"/>
      <c r="F799" s="20" t="n"/>
      <c r="G799" s="20" t="n"/>
      <c r="H799" s="20" t="n"/>
      <c r="I799" s="20">
        <f>IFERROR(VLOOKUP(D799,XPMenu!$A:$F,2,FALSE),"")</f>
        <v/>
      </c>
      <c r="J799" s="20">
        <f>IFERROR(VLOOKUP(D799,XPMenu!$A:$F,3,FALSE),"")</f>
        <v/>
      </c>
      <c r="K799" s="20">
        <f>IFERROR(VLOOKUP(D799,XPMenu!$A:$F,4,FALSE),"")</f>
        <v/>
      </c>
      <c r="L799" s="20" t="n"/>
      <c r="M799" s="20">
        <f>IF(A799="","",IF(F799&lt;&gt;"Yes",0,IF(L799&lt;&gt;"",L799,E799*K799)))</f>
        <v/>
      </c>
      <c r="N799" s="20">
        <f>IF($A799="","",$A799-WEEKDAY($A799,2)+1)</f>
        <v/>
      </c>
      <c r="O799" s="20">
        <f>IF($A799="","",TEXT($A799,"yyyy-mm"))</f>
        <v/>
      </c>
      <c r="P799" s="21">
        <f>IF($A799="","",TEXT(YEAR($A799),"0000")&amp;"-Q"&amp;ROUNDUP(MONTH($A799)/3,0))</f>
        <v/>
      </c>
    </row>
    <row r="800">
      <c r="A800" s="22" t="n"/>
      <c r="B800" s="20" t="n"/>
      <c r="C800" s="20" t="n"/>
      <c r="D800" s="20">
        <f>IFERROR(INDEX(XPMenu!$A$2:$A$1000, MATCH(C800, XPMenu!$B$2:$B$1000, 0)), "")</f>
        <v/>
      </c>
      <c r="E800" s="20" t="n"/>
      <c r="F800" s="20" t="n"/>
      <c r="G800" s="20" t="n"/>
      <c r="H800" s="20" t="n"/>
      <c r="I800" s="20">
        <f>IFERROR(VLOOKUP(D800,XPMenu!$A:$F,2,FALSE),"")</f>
        <v/>
      </c>
      <c r="J800" s="20">
        <f>IFERROR(VLOOKUP(D800,XPMenu!$A:$F,3,FALSE),"")</f>
        <v/>
      </c>
      <c r="K800" s="20">
        <f>IFERROR(VLOOKUP(D800,XPMenu!$A:$F,4,FALSE),"")</f>
        <v/>
      </c>
      <c r="L800" s="20" t="n"/>
      <c r="M800" s="20">
        <f>IF(A800="","",IF(F800&lt;&gt;"Yes",0,IF(L800&lt;&gt;"",L800,E800*K800)))</f>
        <v/>
      </c>
      <c r="N800" s="20">
        <f>IF($A800="","",$A800-WEEKDAY($A800,2)+1)</f>
        <v/>
      </c>
      <c r="O800" s="20">
        <f>IF($A800="","",TEXT($A800,"yyyy-mm"))</f>
        <v/>
      </c>
      <c r="P800" s="21">
        <f>IF($A800="","",TEXT(YEAR($A800),"0000")&amp;"-Q"&amp;ROUNDUP(MONTH($A800)/3,0))</f>
        <v/>
      </c>
    </row>
    <row r="801">
      <c r="A801" s="22" t="n"/>
      <c r="B801" s="20" t="n"/>
      <c r="C801" s="20" t="n"/>
      <c r="D801" s="20">
        <f>IFERROR(INDEX(XPMenu!$A$2:$A$1000, MATCH(C801, XPMenu!$B$2:$B$1000, 0)), "")</f>
        <v/>
      </c>
      <c r="E801" s="20" t="n"/>
      <c r="F801" s="20" t="n"/>
      <c r="G801" s="20" t="n"/>
      <c r="H801" s="20" t="n"/>
      <c r="I801" s="20">
        <f>IFERROR(VLOOKUP(D801,XPMenu!$A:$F,2,FALSE),"")</f>
        <v/>
      </c>
      <c r="J801" s="20">
        <f>IFERROR(VLOOKUP(D801,XPMenu!$A:$F,3,FALSE),"")</f>
        <v/>
      </c>
      <c r="K801" s="20">
        <f>IFERROR(VLOOKUP(D801,XPMenu!$A:$F,4,FALSE),"")</f>
        <v/>
      </c>
      <c r="L801" s="20" t="n"/>
      <c r="M801" s="20">
        <f>IF(A801="","",IF(F801&lt;&gt;"Yes",0,IF(L801&lt;&gt;"",L801,E801*K801)))</f>
        <v/>
      </c>
      <c r="N801" s="20">
        <f>IF($A801="","",$A801-WEEKDAY($A801,2)+1)</f>
        <v/>
      </c>
      <c r="O801" s="20">
        <f>IF($A801="","",TEXT($A801,"yyyy-mm"))</f>
        <v/>
      </c>
      <c r="P801" s="21">
        <f>IF($A801="","",TEXT(YEAR($A801),"0000")&amp;"-Q"&amp;ROUNDUP(MONTH($A801)/3,0))</f>
        <v/>
      </c>
    </row>
    <row r="802">
      <c r="A802" s="22" t="n"/>
      <c r="B802" s="20" t="n"/>
      <c r="C802" s="20" t="n"/>
      <c r="D802" s="20">
        <f>IFERROR(INDEX(XPMenu!$A$2:$A$1000, MATCH(C802, XPMenu!$B$2:$B$1000, 0)), "")</f>
        <v/>
      </c>
      <c r="E802" s="20" t="n"/>
      <c r="F802" s="20" t="n"/>
      <c r="G802" s="20" t="n"/>
      <c r="H802" s="20" t="n"/>
      <c r="I802" s="20">
        <f>IFERROR(VLOOKUP(D802,XPMenu!$A:$F,2,FALSE),"")</f>
        <v/>
      </c>
      <c r="J802" s="20">
        <f>IFERROR(VLOOKUP(D802,XPMenu!$A:$F,3,FALSE),"")</f>
        <v/>
      </c>
      <c r="K802" s="20">
        <f>IFERROR(VLOOKUP(D802,XPMenu!$A:$F,4,FALSE),"")</f>
        <v/>
      </c>
      <c r="L802" s="20" t="n"/>
      <c r="M802" s="20">
        <f>IF(A802="","",IF(F802&lt;&gt;"Yes",0,IF(L802&lt;&gt;"",L802,E802*K802)))</f>
        <v/>
      </c>
      <c r="N802" s="20">
        <f>IF($A802="","",$A802-WEEKDAY($A802,2)+1)</f>
        <v/>
      </c>
      <c r="O802" s="20">
        <f>IF($A802="","",TEXT($A802,"yyyy-mm"))</f>
        <v/>
      </c>
      <c r="P802" s="21">
        <f>IF($A802="","",TEXT(YEAR($A802),"0000")&amp;"-Q"&amp;ROUNDUP(MONTH($A802)/3,0))</f>
        <v/>
      </c>
    </row>
    <row r="803">
      <c r="A803" s="22" t="n"/>
      <c r="B803" s="20" t="n"/>
      <c r="C803" s="20" t="n"/>
      <c r="D803" s="20">
        <f>IFERROR(INDEX(XPMenu!$A$2:$A$1000, MATCH(C803, XPMenu!$B$2:$B$1000, 0)), "")</f>
        <v/>
      </c>
      <c r="E803" s="20" t="n"/>
      <c r="F803" s="20" t="n"/>
      <c r="G803" s="20" t="n"/>
      <c r="H803" s="20" t="n"/>
      <c r="I803" s="20">
        <f>IFERROR(VLOOKUP(D803,XPMenu!$A:$F,2,FALSE),"")</f>
        <v/>
      </c>
      <c r="J803" s="20">
        <f>IFERROR(VLOOKUP(D803,XPMenu!$A:$F,3,FALSE),"")</f>
        <v/>
      </c>
      <c r="K803" s="20">
        <f>IFERROR(VLOOKUP(D803,XPMenu!$A:$F,4,FALSE),"")</f>
        <v/>
      </c>
      <c r="L803" s="20" t="n"/>
      <c r="M803" s="20">
        <f>IF(A803="","",IF(F803&lt;&gt;"Yes",0,IF(L803&lt;&gt;"",L803,E803*K803)))</f>
        <v/>
      </c>
      <c r="N803" s="20">
        <f>IF($A803="","",$A803-WEEKDAY($A803,2)+1)</f>
        <v/>
      </c>
      <c r="O803" s="20">
        <f>IF($A803="","",TEXT($A803,"yyyy-mm"))</f>
        <v/>
      </c>
      <c r="P803" s="21">
        <f>IF($A803="","",TEXT(YEAR($A803),"0000")&amp;"-Q"&amp;ROUNDUP(MONTH($A803)/3,0))</f>
        <v/>
      </c>
    </row>
    <row r="804">
      <c r="A804" s="22" t="n"/>
      <c r="B804" s="20" t="n"/>
      <c r="C804" s="20" t="n"/>
      <c r="D804" s="20">
        <f>IFERROR(INDEX(XPMenu!$A$2:$A$1000, MATCH(C804, XPMenu!$B$2:$B$1000, 0)), "")</f>
        <v/>
      </c>
      <c r="E804" s="20" t="n"/>
      <c r="F804" s="20" t="n"/>
      <c r="G804" s="20" t="n"/>
      <c r="H804" s="20" t="n"/>
      <c r="I804" s="20">
        <f>IFERROR(VLOOKUP(D804,XPMenu!$A:$F,2,FALSE),"")</f>
        <v/>
      </c>
      <c r="J804" s="20">
        <f>IFERROR(VLOOKUP(D804,XPMenu!$A:$F,3,FALSE),"")</f>
        <v/>
      </c>
      <c r="K804" s="20">
        <f>IFERROR(VLOOKUP(D804,XPMenu!$A:$F,4,FALSE),"")</f>
        <v/>
      </c>
      <c r="L804" s="20" t="n"/>
      <c r="M804" s="20">
        <f>IF(A804="","",IF(F804&lt;&gt;"Yes",0,IF(L804&lt;&gt;"",L804,E804*K804)))</f>
        <v/>
      </c>
      <c r="N804" s="20">
        <f>IF($A804="","",$A804-WEEKDAY($A804,2)+1)</f>
        <v/>
      </c>
      <c r="O804" s="20">
        <f>IF($A804="","",TEXT($A804,"yyyy-mm"))</f>
        <v/>
      </c>
      <c r="P804" s="21">
        <f>IF($A804="","",TEXT(YEAR($A804),"0000")&amp;"-Q"&amp;ROUNDUP(MONTH($A804)/3,0))</f>
        <v/>
      </c>
    </row>
    <row r="805">
      <c r="A805" s="22" t="n"/>
      <c r="B805" s="20" t="n"/>
      <c r="C805" s="20" t="n"/>
      <c r="D805" s="20">
        <f>IFERROR(INDEX(XPMenu!$A$2:$A$1000, MATCH(C805, XPMenu!$B$2:$B$1000, 0)), "")</f>
        <v/>
      </c>
      <c r="E805" s="20" t="n"/>
      <c r="F805" s="20" t="n"/>
      <c r="G805" s="20" t="n"/>
      <c r="H805" s="20" t="n"/>
      <c r="I805" s="20">
        <f>IFERROR(VLOOKUP(D805,XPMenu!$A:$F,2,FALSE),"")</f>
        <v/>
      </c>
      <c r="J805" s="20">
        <f>IFERROR(VLOOKUP(D805,XPMenu!$A:$F,3,FALSE),"")</f>
        <v/>
      </c>
      <c r="K805" s="20">
        <f>IFERROR(VLOOKUP(D805,XPMenu!$A:$F,4,FALSE),"")</f>
        <v/>
      </c>
      <c r="L805" s="20" t="n"/>
      <c r="M805" s="20">
        <f>IF(A805="","",IF(F805&lt;&gt;"Yes",0,IF(L805&lt;&gt;"",L805,E805*K805)))</f>
        <v/>
      </c>
      <c r="N805" s="20">
        <f>IF($A805="","",$A805-WEEKDAY($A805,2)+1)</f>
        <v/>
      </c>
      <c r="O805" s="20">
        <f>IF($A805="","",TEXT($A805,"yyyy-mm"))</f>
        <v/>
      </c>
      <c r="P805" s="21">
        <f>IF($A805="","",TEXT(YEAR($A805),"0000")&amp;"-Q"&amp;ROUNDUP(MONTH($A805)/3,0))</f>
        <v/>
      </c>
    </row>
    <row r="806">
      <c r="A806" s="22" t="n"/>
      <c r="B806" s="20" t="n"/>
      <c r="C806" s="20" t="n"/>
      <c r="D806" s="20">
        <f>IFERROR(INDEX(XPMenu!$A$2:$A$1000, MATCH(C806, XPMenu!$B$2:$B$1000, 0)), "")</f>
        <v/>
      </c>
      <c r="E806" s="20" t="n"/>
      <c r="F806" s="20" t="n"/>
      <c r="G806" s="20" t="n"/>
      <c r="H806" s="20" t="n"/>
      <c r="I806" s="20">
        <f>IFERROR(VLOOKUP(D806,XPMenu!$A:$F,2,FALSE),"")</f>
        <v/>
      </c>
      <c r="J806" s="20">
        <f>IFERROR(VLOOKUP(D806,XPMenu!$A:$F,3,FALSE),"")</f>
        <v/>
      </c>
      <c r="K806" s="20">
        <f>IFERROR(VLOOKUP(D806,XPMenu!$A:$F,4,FALSE),"")</f>
        <v/>
      </c>
      <c r="L806" s="20" t="n"/>
      <c r="M806" s="20">
        <f>IF(A806="","",IF(F806&lt;&gt;"Yes",0,IF(L806&lt;&gt;"",L806,E806*K806)))</f>
        <v/>
      </c>
      <c r="N806" s="20">
        <f>IF($A806="","",$A806-WEEKDAY($A806,2)+1)</f>
        <v/>
      </c>
      <c r="O806" s="20">
        <f>IF($A806="","",TEXT($A806,"yyyy-mm"))</f>
        <v/>
      </c>
      <c r="P806" s="21">
        <f>IF($A806="","",TEXT(YEAR($A806),"0000")&amp;"-Q"&amp;ROUNDUP(MONTH($A806)/3,0))</f>
        <v/>
      </c>
    </row>
    <row r="807">
      <c r="A807" s="22" t="n"/>
      <c r="B807" s="20" t="n"/>
      <c r="C807" s="20" t="n"/>
      <c r="D807" s="20">
        <f>IFERROR(INDEX(XPMenu!$A$2:$A$1000, MATCH(C807, XPMenu!$B$2:$B$1000, 0)), "")</f>
        <v/>
      </c>
      <c r="E807" s="20" t="n"/>
      <c r="F807" s="20" t="n"/>
      <c r="G807" s="20" t="n"/>
      <c r="H807" s="20" t="n"/>
      <c r="I807" s="20">
        <f>IFERROR(VLOOKUP(D807,XPMenu!$A:$F,2,FALSE),"")</f>
        <v/>
      </c>
      <c r="J807" s="20">
        <f>IFERROR(VLOOKUP(D807,XPMenu!$A:$F,3,FALSE),"")</f>
        <v/>
      </c>
      <c r="K807" s="20">
        <f>IFERROR(VLOOKUP(D807,XPMenu!$A:$F,4,FALSE),"")</f>
        <v/>
      </c>
      <c r="L807" s="20" t="n"/>
      <c r="M807" s="20">
        <f>IF(A807="","",IF(F807&lt;&gt;"Yes",0,IF(L807&lt;&gt;"",L807,E807*K807)))</f>
        <v/>
      </c>
      <c r="N807" s="20">
        <f>IF($A807="","",$A807-WEEKDAY($A807,2)+1)</f>
        <v/>
      </c>
      <c r="O807" s="20">
        <f>IF($A807="","",TEXT($A807,"yyyy-mm"))</f>
        <v/>
      </c>
      <c r="P807" s="21">
        <f>IF($A807="","",TEXT(YEAR($A807),"0000")&amp;"-Q"&amp;ROUNDUP(MONTH($A807)/3,0))</f>
        <v/>
      </c>
    </row>
    <row r="808">
      <c r="A808" s="22" t="n"/>
      <c r="B808" s="20" t="n"/>
      <c r="C808" s="20" t="n"/>
      <c r="D808" s="20">
        <f>IFERROR(INDEX(XPMenu!$A$2:$A$1000, MATCH(C808, XPMenu!$B$2:$B$1000, 0)), "")</f>
        <v/>
      </c>
      <c r="E808" s="20" t="n"/>
      <c r="F808" s="20" t="n"/>
      <c r="G808" s="20" t="n"/>
      <c r="H808" s="20" t="n"/>
      <c r="I808" s="20">
        <f>IFERROR(VLOOKUP(D808,XPMenu!$A:$F,2,FALSE),"")</f>
        <v/>
      </c>
      <c r="J808" s="20">
        <f>IFERROR(VLOOKUP(D808,XPMenu!$A:$F,3,FALSE),"")</f>
        <v/>
      </c>
      <c r="K808" s="20">
        <f>IFERROR(VLOOKUP(D808,XPMenu!$A:$F,4,FALSE),"")</f>
        <v/>
      </c>
      <c r="L808" s="20" t="n"/>
      <c r="M808" s="20">
        <f>IF(A808="","",IF(F808&lt;&gt;"Yes",0,IF(L808&lt;&gt;"",L808,E808*K808)))</f>
        <v/>
      </c>
      <c r="N808" s="20">
        <f>IF($A808="","",$A808-WEEKDAY($A808,2)+1)</f>
        <v/>
      </c>
      <c r="O808" s="20">
        <f>IF($A808="","",TEXT($A808,"yyyy-mm"))</f>
        <v/>
      </c>
      <c r="P808" s="21">
        <f>IF($A808="","",TEXT(YEAR($A808),"0000")&amp;"-Q"&amp;ROUNDUP(MONTH($A808)/3,0))</f>
        <v/>
      </c>
    </row>
    <row r="809">
      <c r="A809" s="22" t="n"/>
      <c r="B809" s="20" t="n"/>
      <c r="C809" s="20" t="n"/>
      <c r="D809" s="20">
        <f>IFERROR(INDEX(XPMenu!$A$2:$A$1000, MATCH(C809, XPMenu!$B$2:$B$1000, 0)), "")</f>
        <v/>
      </c>
      <c r="E809" s="20" t="n"/>
      <c r="F809" s="20" t="n"/>
      <c r="G809" s="20" t="n"/>
      <c r="H809" s="20" t="n"/>
      <c r="I809" s="20">
        <f>IFERROR(VLOOKUP(D809,XPMenu!$A:$F,2,FALSE),"")</f>
        <v/>
      </c>
      <c r="J809" s="20">
        <f>IFERROR(VLOOKUP(D809,XPMenu!$A:$F,3,FALSE),"")</f>
        <v/>
      </c>
      <c r="K809" s="20">
        <f>IFERROR(VLOOKUP(D809,XPMenu!$A:$F,4,FALSE),"")</f>
        <v/>
      </c>
      <c r="L809" s="20" t="n"/>
      <c r="M809" s="20">
        <f>IF(A809="","",IF(F809&lt;&gt;"Yes",0,IF(L809&lt;&gt;"",L809,E809*K809)))</f>
        <v/>
      </c>
      <c r="N809" s="20">
        <f>IF($A809="","",$A809-WEEKDAY($A809,2)+1)</f>
        <v/>
      </c>
      <c r="O809" s="20">
        <f>IF($A809="","",TEXT($A809,"yyyy-mm"))</f>
        <v/>
      </c>
      <c r="P809" s="21">
        <f>IF($A809="","",TEXT(YEAR($A809),"0000")&amp;"-Q"&amp;ROUNDUP(MONTH($A809)/3,0))</f>
        <v/>
      </c>
    </row>
    <row r="810">
      <c r="A810" s="22" t="n"/>
      <c r="B810" s="20" t="n"/>
      <c r="C810" s="20" t="n"/>
      <c r="D810" s="20">
        <f>IFERROR(INDEX(XPMenu!$A$2:$A$1000, MATCH(C810, XPMenu!$B$2:$B$1000, 0)), "")</f>
        <v/>
      </c>
      <c r="E810" s="20" t="n"/>
      <c r="F810" s="20" t="n"/>
      <c r="G810" s="20" t="n"/>
      <c r="H810" s="20" t="n"/>
      <c r="I810" s="20">
        <f>IFERROR(VLOOKUP(D810,XPMenu!$A:$F,2,FALSE),"")</f>
        <v/>
      </c>
      <c r="J810" s="20">
        <f>IFERROR(VLOOKUP(D810,XPMenu!$A:$F,3,FALSE),"")</f>
        <v/>
      </c>
      <c r="K810" s="20">
        <f>IFERROR(VLOOKUP(D810,XPMenu!$A:$F,4,FALSE),"")</f>
        <v/>
      </c>
      <c r="L810" s="20" t="n"/>
      <c r="M810" s="20">
        <f>IF(A810="","",IF(F810&lt;&gt;"Yes",0,IF(L810&lt;&gt;"",L810,E810*K810)))</f>
        <v/>
      </c>
      <c r="N810" s="20">
        <f>IF($A810="","",$A810-WEEKDAY($A810,2)+1)</f>
        <v/>
      </c>
      <c r="O810" s="20">
        <f>IF($A810="","",TEXT($A810,"yyyy-mm"))</f>
        <v/>
      </c>
      <c r="P810" s="21">
        <f>IF($A810="","",TEXT(YEAR($A810),"0000")&amp;"-Q"&amp;ROUNDUP(MONTH($A810)/3,0))</f>
        <v/>
      </c>
    </row>
    <row r="811">
      <c r="A811" s="22" t="n"/>
      <c r="B811" s="20" t="n"/>
      <c r="C811" s="20" t="n"/>
      <c r="D811" s="20">
        <f>IFERROR(INDEX(XPMenu!$A$2:$A$1000, MATCH(C811, XPMenu!$B$2:$B$1000, 0)), "")</f>
        <v/>
      </c>
      <c r="E811" s="20" t="n"/>
      <c r="F811" s="20" t="n"/>
      <c r="G811" s="20" t="n"/>
      <c r="H811" s="20" t="n"/>
      <c r="I811" s="20">
        <f>IFERROR(VLOOKUP(D811,XPMenu!$A:$F,2,FALSE),"")</f>
        <v/>
      </c>
      <c r="J811" s="20">
        <f>IFERROR(VLOOKUP(D811,XPMenu!$A:$F,3,FALSE),"")</f>
        <v/>
      </c>
      <c r="K811" s="20">
        <f>IFERROR(VLOOKUP(D811,XPMenu!$A:$F,4,FALSE),"")</f>
        <v/>
      </c>
      <c r="L811" s="20" t="n"/>
      <c r="M811" s="20">
        <f>IF(A811="","",IF(F811&lt;&gt;"Yes",0,IF(L811&lt;&gt;"",L811,E811*K811)))</f>
        <v/>
      </c>
      <c r="N811" s="20">
        <f>IF($A811="","",$A811-WEEKDAY($A811,2)+1)</f>
        <v/>
      </c>
      <c r="O811" s="20">
        <f>IF($A811="","",TEXT($A811,"yyyy-mm"))</f>
        <v/>
      </c>
      <c r="P811" s="21">
        <f>IF($A811="","",TEXT(YEAR($A811),"0000")&amp;"-Q"&amp;ROUNDUP(MONTH($A811)/3,0))</f>
        <v/>
      </c>
    </row>
    <row r="812">
      <c r="A812" s="22" t="n"/>
      <c r="B812" s="20" t="n"/>
      <c r="C812" s="20" t="n"/>
      <c r="D812" s="20">
        <f>IFERROR(INDEX(XPMenu!$A$2:$A$1000, MATCH(C812, XPMenu!$B$2:$B$1000, 0)), "")</f>
        <v/>
      </c>
      <c r="E812" s="20" t="n"/>
      <c r="F812" s="20" t="n"/>
      <c r="G812" s="20" t="n"/>
      <c r="H812" s="20" t="n"/>
      <c r="I812" s="20">
        <f>IFERROR(VLOOKUP(D812,XPMenu!$A:$F,2,FALSE),"")</f>
        <v/>
      </c>
      <c r="J812" s="20">
        <f>IFERROR(VLOOKUP(D812,XPMenu!$A:$F,3,FALSE),"")</f>
        <v/>
      </c>
      <c r="K812" s="20">
        <f>IFERROR(VLOOKUP(D812,XPMenu!$A:$F,4,FALSE),"")</f>
        <v/>
      </c>
      <c r="L812" s="20" t="n"/>
      <c r="M812" s="20">
        <f>IF(A812="","",IF(F812&lt;&gt;"Yes",0,IF(L812&lt;&gt;"",L812,E812*K812)))</f>
        <v/>
      </c>
      <c r="N812" s="20">
        <f>IF($A812="","",$A812-WEEKDAY($A812,2)+1)</f>
        <v/>
      </c>
      <c r="O812" s="20">
        <f>IF($A812="","",TEXT($A812,"yyyy-mm"))</f>
        <v/>
      </c>
      <c r="P812" s="21">
        <f>IF($A812="","",TEXT(YEAR($A812),"0000")&amp;"-Q"&amp;ROUNDUP(MONTH($A812)/3,0))</f>
        <v/>
      </c>
    </row>
    <row r="813">
      <c r="A813" s="22" t="n"/>
      <c r="B813" s="20" t="n"/>
      <c r="C813" s="20" t="n"/>
      <c r="D813" s="20">
        <f>IFERROR(INDEX(XPMenu!$A$2:$A$1000, MATCH(C813, XPMenu!$B$2:$B$1000, 0)), "")</f>
        <v/>
      </c>
      <c r="E813" s="20" t="n"/>
      <c r="F813" s="20" t="n"/>
      <c r="G813" s="20" t="n"/>
      <c r="H813" s="20" t="n"/>
      <c r="I813" s="20">
        <f>IFERROR(VLOOKUP(D813,XPMenu!$A:$F,2,FALSE),"")</f>
        <v/>
      </c>
      <c r="J813" s="20">
        <f>IFERROR(VLOOKUP(D813,XPMenu!$A:$F,3,FALSE),"")</f>
        <v/>
      </c>
      <c r="K813" s="20">
        <f>IFERROR(VLOOKUP(D813,XPMenu!$A:$F,4,FALSE),"")</f>
        <v/>
      </c>
      <c r="L813" s="20" t="n"/>
      <c r="M813" s="20">
        <f>IF(A813="","",IF(F813&lt;&gt;"Yes",0,IF(L813&lt;&gt;"",L813,E813*K813)))</f>
        <v/>
      </c>
      <c r="N813" s="20">
        <f>IF($A813="","",$A813-WEEKDAY($A813,2)+1)</f>
        <v/>
      </c>
      <c r="O813" s="20">
        <f>IF($A813="","",TEXT($A813,"yyyy-mm"))</f>
        <v/>
      </c>
      <c r="P813" s="21">
        <f>IF($A813="","",TEXT(YEAR($A813),"0000")&amp;"-Q"&amp;ROUNDUP(MONTH($A813)/3,0))</f>
        <v/>
      </c>
    </row>
    <row r="814">
      <c r="A814" s="22" t="n"/>
      <c r="B814" s="20" t="n"/>
      <c r="C814" s="20" t="n"/>
      <c r="D814" s="20">
        <f>IFERROR(INDEX(XPMenu!$A$2:$A$1000, MATCH(C814, XPMenu!$B$2:$B$1000, 0)), "")</f>
        <v/>
      </c>
      <c r="E814" s="20" t="n"/>
      <c r="F814" s="20" t="n"/>
      <c r="G814" s="20" t="n"/>
      <c r="H814" s="20" t="n"/>
      <c r="I814" s="20">
        <f>IFERROR(VLOOKUP(D814,XPMenu!$A:$F,2,FALSE),"")</f>
        <v/>
      </c>
      <c r="J814" s="20">
        <f>IFERROR(VLOOKUP(D814,XPMenu!$A:$F,3,FALSE),"")</f>
        <v/>
      </c>
      <c r="K814" s="20">
        <f>IFERROR(VLOOKUP(D814,XPMenu!$A:$F,4,FALSE),"")</f>
        <v/>
      </c>
      <c r="L814" s="20" t="n"/>
      <c r="M814" s="20">
        <f>IF(A814="","",IF(F814&lt;&gt;"Yes",0,IF(L814&lt;&gt;"",L814,E814*K814)))</f>
        <v/>
      </c>
      <c r="N814" s="20">
        <f>IF($A814="","",$A814-WEEKDAY($A814,2)+1)</f>
        <v/>
      </c>
      <c r="O814" s="20">
        <f>IF($A814="","",TEXT($A814,"yyyy-mm"))</f>
        <v/>
      </c>
      <c r="P814" s="21">
        <f>IF($A814="","",TEXT(YEAR($A814),"0000")&amp;"-Q"&amp;ROUNDUP(MONTH($A814)/3,0))</f>
        <v/>
      </c>
    </row>
    <row r="815">
      <c r="A815" s="22" t="n"/>
      <c r="B815" s="20" t="n"/>
      <c r="C815" s="20" t="n"/>
      <c r="D815" s="20">
        <f>IFERROR(INDEX(XPMenu!$A$2:$A$1000, MATCH(C815, XPMenu!$B$2:$B$1000, 0)), "")</f>
        <v/>
      </c>
      <c r="E815" s="20" t="n"/>
      <c r="F815" s="20" t="n"/>
      <c r="G815" s="20" t="n"/>
      <c r="H815" s="20" t="n"/>
      <c r="I815" s="20">
        <f>IFERROR(VLOOKUP(D815,XPMenu!$A:$F,2,FALSE),"")</f>
        <v/>
      </c>
      <c r="J815" s="20">
        <f>IFERROR(VLOOKUP(D815,XPMenu!$A:$F,3,FALSE),"")</f>
        <v/>
      </c>
      <c r="K815" s="20">
        <f>IFERROR(VLOOKUP(D815,XPMenu!$A:$F,4,FALSE),"")</f>
        <v/>
      </c>
      <c r="L815" s="20" t="n"/>
      <c r="M815" s="20">
        <f>IF(A815="","",IF(F815&lt;&gt;"Yes",0,IF(L815&lt;&gt;"",L815,E815*K815)))</f>
        <v/>
      </c>
      <c r="N815" s="20">
        <f>IF($A815="","",$A815-WEEKDAY($A815,2)+1)</f>
        <v/>
      </c>
      <c r="O815" s="20">
        <f>IF($A815="","",TEXT($A815,"yyyy-mm"))</f>
        <v/>
      </c>
      <c r="P815" s="21">
        <f>IF($A815="","",TEXT(YEAR($A815),"0000")&amp;"-Q"&amp;ROUNDUP(MONTH($A815)/3,0))</f>
        <v/>
      </c>
    </row>
    <row r="816">
      <c r="A816" s="22" t="n"/>
      <c r="B816" s="20" t="n"/>
      <c r="C816" s="20" t="n"/>
      <c r="D816" s="20">
        <f>IFERROR(INDEX(XPMenu!$A$2:$A$1000, MATCH(C816, XPMenu!$B$2:$B$1000, 0)), "")</f>
        <v/>
      </c>
      <c r="E816" s="20" t="n"/>
      <c r="F816" s="20" t="n"/>
      <c r="G816" s="20" t="n"/>
      <c r="H816" s="20" t="n"/>
      <c r="I816" s="20">
        <f>IFERROR(VLOOKUP(D816,XPMenu!$A:$F,2,FALSE),"")</f>
        <v/>
      </c>
      <c r="J816" s="20">
        <f>IFERROR(VLOOKUP(D816,XPMenu!$A:$F,3,FALSE),"")</f>
        <v/>
      </c>
      <c r="K816" s="20">
        <f>IFERROR(VLOOKUP(D816,XPMenu!$A:$F,4,FALSE),"")</f>
        <v/>
      </c>
      <c r="L816" s="20" t="n"/>
      <c r="M816" s="20">
        <f>IF(A816="","",IF(F816&lt;&gt;"Yes",0,IF(L816&lt;&gt;"",L816,E816*K816)))</f>
        <v/>
      </c>
      <c r="N816" s="20">
        <f>IF($A816="","",$A816-WEEKDAY($A816,2)+1)</f>
        <v/>
      </c>
      <c r="O816" s="20">
        <f>IF($A816="","",TEXT($A816,"yyyy-mm"))</f>
        <v/>
      </c>
      <c r="P816" s="21">
        <f>IF($A816="","",TEXT(YEAR($A816),"0000")&amp;"-Q"&amp;ROUNDUP(MONTH($A816)/3,0))</f>
        <v/>
      </c>
    </row>
    <row r="817">
      <c r="A817" s="22" t="n"/>
      <c r="B817" s="20" t="n"/>
      <c r="C817" s="20" t="n"/>
      <c r="D817" s="20">
        <f>IFERROR(INDEX(XPMenu!$A$2:$A$1000, MATCH(C817, XPMenu!$B$2:$B$1000, 0)), "")</f>
        <v/>
      </c>
      <c r="E817" s="20" t="n"/>
      <c r="F817" s="20" t="n"/>
      <c r="G817" s="20" t="n"/>
      <c r="H817" s="20" t="n"/>
      <c r="I817" s="20">
        <f>IFERROR(VLOOKUP(D817,XPMenu!$A:$F,2,FALSE),"")</f>
        <v/>
      </c>
      <c r="J817" s="20">
        <f>IFERROR(VLOOKUP(D817,XPMenu!$A:$F,3,FALSE),"")</f>
        <v/>
      </c>
      <c r="K817" s="20">
        <f>IFERROR(VLOOKUP(D817,XPMenu!$A:$F,4,FALSE),"")</f>
        <v/>
      </c>
      <c r="L817" s="20" t="n"/>
      <c r="M817" s="20">
        <f>IF(A817="","",IF(F817&lt;&gt;"Yes",0,IF(L817&lt;&gt;"",L817,E817*K817)))</f>
        <v/>
      </c>
      <c r="N817" s="20">
        <f>IF($A817="","",$A817-WEEKDAY($A817,2)+1)</f>
        <v/>
      </c>
      <c r="O817" s="20">
        <f>IF($A817="","",TEXT($A817,"yyyy-mm"))</f>
        <v/>
      </c>
      <c r="P817" s="21">
        <f>IF($A817="","",TEXT(YEAR($A817),"0000")&amp;"-Q"&amp;ROUNDUP(MONTH($A817)/3,0))</f>
        <v/>
      </c>
    </row>
    <row r="818">
      <c r="A818" s="22" t="n"/>
      <c r="B818" s="20" t="n"/>
      <c r="C818" s="20" t="n"/>
      <c r="D818" s="20">
        <f>IFERROR(INDEX(XPMenu!$A$2:$A$1000, MATCH(C818, XPMenu!$B$2:$B$1000, 0)), "")</f>
        <v/>
      </c>
      <c r="E818" s="20" t="n"/>
      <c r="F818" s="20" t="n"/>
      <c r="G818" s="20" t="n"/>
      <c r="H818" s="20" t="n"/>
      <c r="I818" s="20">
        <f>IFERROR(VLOOKUP(D818,XPMenu!$A:$F,2,FALSE),"")</f>
        <v/>
      </c>
      <c r="J818" s="20">
        <f>IFERROR(VLOOKUP(D818,XPMenu!$A:$F,3,FALSE),"")</f>
        <v/>
      </c>
      <c r="K818" s="20">
        <f>IFERROR(VLOOKUP(D818,XPMenu!$A:$F,4,FALSE),"")</f>
        <v/>
      </c>
      <c r="L818" s="20" t="n"/>
      <c r="M818" s="20">
        <f>IF(A818="","",IF(F818&lt;&gt;"Yes",0,IF(L818&lt;&gt;"",L818,E818*K818)))</f>
        <v/>
      </c>
      <c r="N818" s="20">
        <f>IF($A818="","",$A818-WEEKDAY($A818,2)+1)</f>
        <v/>
      </c>
      <c r="O818" s="20">
        <f>IF($A818="","",TEXT($A818,"yyyy-mm"))</f>
        <v/>
      </c>
      <c r="P818" s="21">
        <f>IF($A818="","",TEXT(YEAR($A818),"0000")&amp;"-Q"&amp;ROUNDUP(MONTH($A818)/3,0))</f>
        <v/>
      </c>
    </row>
    <row r="819">
      <c r="A819" s="22" t="n"/>
      <c r="B819" s="20" t="n"/>
      <c r="C819" s="20" t="n"/>
      <c r="D819" s="20">
        <f>IFERROR(INDEX(XPMenu!$A$2:$A$1000, MATCH(C819, XPMenu!$B$2:$B$1000, 0)), "")</f>
        <v/>
      </c>
      <c r="E819" s="20" t="n"/>
      <c r="F819" s="20" t="n"/>
      <c r="G819" s="20" t="n"/>
      <c r="H819" s="20" t="n"/>
      <c r="I819" s="20">
        <f>IFERROR(VLOOKUP(D819,XPMenu!$A:$F,2,FALSE),"")</f>
        <v/>
      </c>
      <c r="J819" s="20">
        <f>IFERROR(VLOOKUP(D819,XPMenu!$A:$F,3,FALSE),"")</f>
        <v/>
      </c>
      <c r="K819" s="20">
        <f>IFERROR(VLOOKUP(D819,XPMenu!$A:$F,4,FALSE),"")</f>
        <v/>
      </c>
      <c r="L819" s="20" t="n"/>
      <c r="M819" s="20">
        <f>IF(A819="","",IF(F819&lt;&gt;"Yes",0,IF(L819&lt;&gt;"",L819,E819*K819)))</f>
        <v/>
      </c>
      <c r="N819" s="20">
        <f>IF($A819="","",$A819-WEEKDAY($A819,2)+1)</f>
        <v/>
      </c>
      <c r="O819" s="20">
        <f>IF($A819="","",TEXT($A819,"yyyy-mm"))</f>
        <v/>
      </c>
      <c r="P819" s="21">
        <f>IF($A819="","",TEXT(YEAR($A819),"0000")&amp;"-Q"&amp;ROUNDUP(MONTH($A819)/3,0))</f>
        <v/>
      </c>
    </row>
    <row r="820">
      <c r="A820" s="22" t="n"/>
      <c r="B820" s="20" t="n"/>
      <c r="C820" s="20" t="n"/>
      <c r="D820" s="20">
        <f>IFERROR(INDEX(XPMenu!$A$2:$A$1000, MATCH(C820, XPMenu!$B$2:$B$1000, 0)), "")</f>
        <v/>
      </c>
      <c r="E820" s="20" t="n"/>
      <c r="F820" s="20" t="n"/>
      <c r="G820" s="20" t="n"/>
      <c r="H820" s="20" t="n"/>
      <c r="I820" s="20">
        <f>IFERROR(VLOOKUP(D820,XPMenu!$A:$F,2,FALSE),"")</f>
        <v/>
      </c>
      <c r="J820" s="20">
        <f>IFERROR(VLOOKUP(D820,XPMenu!$A:$F,3,FALSE),"")</f>
        <v/>
      </c>
      <c r="K820" s="20">
        <f>IFERROR(VLOOKUP(D820,XPMenu!$A:$F,4,FALSE),"")</f>
        <v/>
      </c>
      <c r="L820" s="20" t="n"/>
      <c r="M820" s="20">
        <f>IF(A820="","",IF(F820&lt;&gt;"Yes",0,IF(L820&lt;&gt;"",L820,E820*K820)))</f>
        <v/>
      </c>
      <c r="N820" s="20">
        <f>IF($A820="","",$A820-WEEKDAY($A820,2)+1)</f>
        <v/>
      </c>
      <c r="O820" s="20">
        <f>IF($A820="","",TEXT($A820,"yyyy-mm"))</f>
        <v/>
      </c>
      <c r="P820" s="21">
        <f>IF($A820="","",TEXT(YEAR($A820),"0000")&amp;"-Q"&amp;ROUNDUP(MONTH($A820)/3,0))</f>
        <v/>
      </c>
    </row>
    <row r="821">
      <c r="A821" s="22" t="n"/>
      <c r="B821" s="20" t="n"/>
      <c r="C821" s="20" t="n"/>
      <c r="D821" s="20">
        <f>IFERROR(INDEX(XPMenu!$A$2:$A$1000, MATCH(C821, XPMenu!$B$2:$B$1000, 0)), "")</f>
        <v/>
      </c>
      <c r="E821" s="20" t="n"/>
      <c r="F821" s="20" t="n"/>
      <c r="G821" s="20" t="n"/>
      <c r="H821" s="20" t="n"/>
      <c r="I821" s="20">
        <f>IFERROR(VLOOKUP(D821,XPMenu!$A:$F,2,FALSE),"")</f>
        <v/>
      </c>
      <c r="J821" s="20">
        <f>IFERROR(VLOOKUP(D821,XPMenu!$A:$F,3,FALSE),"")</f>
        <v/>
      </c>
      <c r="K821" s="20">
        <f>IFERROR(VLOOKUP(D821,XPMenu!$A:$F,4,FALSE),"")</f>
        <v/>
      </c>
      <c r="L821" s="20" t="n"/>
      <c r="M821" s="20">
        <f>IF(A821="","",IF(F821&lt;&gt;"Yes",0,IF(L821&lt;&gt;"",L821,E821*K821)))</f>
        <v/>
      </c>
      <c r="N821" s="20">
        <f>IF($A821="","",$A821-WEEKDAY($A821,2)+1)</f>
        <v/>
      </c>
      <c r="O821" s="20">
        <f>IF($A821="","",TEXT($A821,"yyyy-mm"))</f>
        <v/>
      </c>
      <c r="P821" s="21">
        <f>IF($A821="","",TEXT(YEAR($A821),"0000")&amp;"-Q"&amp;ROUNDUP(MONTH($A821)/3,0))</f>
        <v/>
      </c>
    </row>
    <row r="822">
      <c r="A822" s="22" t="n"/>
      <c r="B822" s="20" t="n"/>
      <c r="C822" s="20" t="n"/>
      <c r="D822" s="20">
        <f>IFERROR(INDEX(XPMenu!$A$2:$A$1000, MATCH(C822, XPMenu!$B$2:$B$1000, 0)), "")</f>
        <v/>
      </c>
      <c r="E822" s="20" t="n"/>
      <c r="F822" s="20" t="n"/>
      <c r="G822" s="20" t="n"/>
      <c r="H822" s="20" t="n"/>
      <c r="I822" s="20">
        <f>IFERROR(VLOOKUP(D822,XPMenu!$A:$F,2,FALSE),"")</f>
        <v/>
      </c>
      <c r="J822" s="20">
        <f>IFERROR(VLOOKUP(D822,XPMenu!$A:$F,3,FALSE),"")</f>
        <v/>
      </c>
      <c r="K822" s="20">
        <f>IFERROR(VLOOKUP(D822,XPMenu!$A:$F,4,FALSE),"")</f>
        <v/>
      </c>
      <c r="L822" s="20" t="n"/>
      <c r="M822" s="20">
        <f>IF(A822="","",IF(F822&lt;&gt;"Yes",0,IF(L822&lt;&gt;"",L822,E822*K822)))</f>
        <v/>
      </c>
      <c r="N822" s="20">
        <f>IF($A822="","",$A822-WEEKDAY($A822,2)+1)</f>
        <v/>
      </c>
      <c r="O822" s="20">
        <f>IF($A822="","",TEXT($A822,"yyyy-mm"))</f>
        <v/>
      </c>
      <c r="P822" s="21">
        <f>IF($A822="","",TEXT(YEAR($A822),"0000")&amp;"-Q"&amp;ROUNDUP(MONTH($A822)/3,0))</f>
        <v/>
      </c>
    </row>
    <row r="823">
      <c r="A823" s="22" t="n"/>
      <c r="B823" s="20" t="n"/>
      <c r="C823" s="20" t="n"/>
      <c r="D823" s="20">
        <f>IFERROR(INDEX(XPMenu!$A$2:$A$1000, MATCH(C823, XPMenu!$B$2:$B$1000, 0)), "")</f>
        <v/>
      </c>
      <c r="E823" s="20" t="n"/>
      <c r="F823" s="20" t="n"/>
      <c r="G823" s="20" t="n"/>
      <c r="H823" s="20" t="n"/>
      <c r="I823" s="20">
        <f>IFERROR(VLOOKUP(D823,XPMenu!$A:$F,2,FALSE),"")</f>
        <v/>
      </c>
      <c r="J823" s="20">
        <f>IFERROR(VLOOKUP(D823,XPMenu!$A:$F,3,FALSE),"")</f>
        <v/>
      </c>
      <c r="K823" s="20">
        <f>IFERROR(VLOOKUP(D823,XPMenu!$A:$F,4,FALSE),"")</f>
        <v/>
      </c>
      <c r="L823" s="20" t="n"/>
      <c r="M823" s="20">
        <f>IF(A823="","",IF(F823&lt;&gt;"Yes",0,IF(L823&lt;&gt;"",L823,E823*K823)))</f>
        <v/>
      </c>
      <c r="N823" s="20">
        <f>IF($A823="","",$A823-WEEKDAY($A823,2)+1)</f>
        <v/>
      </c>
      <c r="O823" s="20">
        <f>IF($A823="","",TEXT($A823,"yyyy-mm"))</f>
        <v/>
      </c>
      <c r="P823" s="21">
        <f>IF($A823="","",TEXT(YEAR($A823),"0000")&amp;"-Q"&amp;ROUNDUP(MONTH($A823)/3,0))</f>
        <v/>
      </c>
    </row>
    <row r="824">
      <c r="A824" s="22" t="n"/>
      <c r="B824" s="20" t="n"/>
      <c r="C824" s="20" t="n"/>
      <c r="D824" s="20">
        <f>IFERROR(INDEX(XPMenu!$A$2:$A$1000, MATCH(C824, XPMenu!$B$2:$B$1000, 0)), "")</f>
        <v/>
      </c>
      <c r="E824" s="20" t="n"/>
      <c r="F824" s="20" t="n"/>
      <c r="G824" s="20" t="n"/>
      <c r="H824" s="20" t="n"/>
      <c r="I824" s="20">
        <f>IFERROR(VLOOKUP(D824,XPMenu!$A:$F,2,FALSE),"")</f>
        <v/>
      </c>
      <c r="J824" s="20">
        <f>IFERROR(VLOOKUP(D824,XPMenu!$A:$F,3,FALSE),"")</f>
        <v/>
      </c>
      <c r="K824" s="20">
        <f>IFERROR(VLOOKUP(D824,XPMenu!$A:$F,4,FALSE),"")</f>
        <v/>
      </c>
      <c r="L824" s="20" t="n"/>
      <c r="M824" s="20">
        <f>IF(A824="","",IF(F824&lt;&gt;"Yes",0,IF(L824&lt;&gt;"",L824,E824*K824)))</f>
        <v/>
      </c>
      <c r="N824" s="20">
        <f>IF($A824="","",$A824-WEEKDAY($A824,2)+1)</f>
        <v/>
      </c>
      <c r="O824" s="20">
        <f>IF($A824="","",TEXT($A824,"yyyy-mm"))</f>
        <v/>
      </c>
      <c r="P824" s="21">
        <f>IF($A824="","",TEXT(YEAR($A824),"0000")&amp;"-Q"&amp;ROUNDUP(MONTH($A824)/3,0))</f>
        <v/>
      </c>
    </row>
    <row r="825">
      <c r="A825" s="22" t="n"/>
      <c r="B825" s="20" t="n"/>
      <c r="C825" s="20" t="n"/>
      <c r="D825" s="20">
        <f>IFERROR(INDEX(XPMenu!$A$2:$A$1000, MATCH(C825, XPMenu!$B$2:$B$1000, 0)), "")</f>
        <v/>
      </c>
      <c r="E825" s="20" t="n"/>
      <c r="F825" s="20" t="n"/>
      <c r="G825" s="20" t="n"/>
      <c r="H825" s="20" t="n"/>
      <c r="I825" s="20">
        <f>IFERROR(VLOOKUP(D825,XPMenu!$A:$F,2,FALSE),"")</f>
        <v/>
      </c>
      <c r="J825" s="20">
        <f>IFERROR(VLOOKUP(D825,XPMenu!$A:$F,3,FALSE),"")</f>
        <v/>
      </c>
      <c r="K825" s="20">
        <f>IFERROR(VLOOKUP(D825,XPMenu!$A:$F,4,FALSE),"")</f>
        <v/>
      </c>
      <c r="L825" s="20" t="n"/>
      <c r="M825" s="20">
        <f>IF(A825="","",IF(F825&lt;&gt;"Yes",0,IF(L825&lt;&gt;"",L825,E825*K825)))</f>
        <v/>
      </c>
      <c r="N825" s="20">
        <f>IF($A825="","",$A825-WEEKDAY($A825,2)+1)</f>
        <v/>
      </c>
      <c r="O825" s="20">
        <f>IF($A825="","",TEXT($A825,"yyyy-mm"))</f>
        <v/>
      </c>
      <c r="P825" s="21">
        <f>IF($A825="","",TEXT(YEAR($A825),"0000")&amp;"-Q"&amp;ROUNDUP(MONTH($A825)/3,0))</f>
        <v/>
      </c>
    </row>
    <row r="826">
      <c r="A826" s="22" t="n"/>
      <c r="B826" s="20" t="n"/>
      <c r="C826" s="20" t="n"/>
      <c r="D826" s="20">
        <f>IFERROR(INDEX(XPMenu!$A$2:$A$1000, MATCH(C826, XPMenu!$B$2:$B$1000, 0)), "")</f>
        <v/>
      </c>
      <c r="E826" s="20" t="n"/>
      <c r="F826" s="20" t="n"/>
      <c r="G826" s="20" t="n"/>
      <c r="H826" s="20" t="n"/>
      <c r="I826" s="20">
        <f>IFERROR(VLOOKUP(D826,XPMenu!$A:$F,2,FALSE),"")</f>
        <v/>
      </c>
      <c r="J826" s="20">
        <f>IFERROR(VLOOKUP(D826,XPMenu!$A:$F,3,FALSE),"")</f>
        <v/>
      </c>
      <c r="K826" s="20">
        <f>IFERROR(VLOOKUP(D826,XPMenu!$A:$F,4,FALSE),"")</f>
        <v/>
      </c>
      <c r="L826" s="20" t="n"/>
      <c r="M826" s="20">
        <f>IF(A826="","",IF(F826&lt;&gt;"Yes",0,IF(L826&lt;&gt;"",L826,E826*K826)))</f>
        <v/>
      </c>
      <c r="N826" s="20">
        <f>IF($A826="","",$A826-WEEKDAY($A826,2)+1)</f>
        <v/>
      </c>
      <c r="O826" s="20">
        <f>IF($A826="","",TEXT($A826,"yyyy-mm"))</f>
        <v/>
      </c>
      <c r="P826" s="21">
        <f>IF($A826="","",TEXT(YEAR($A826),"0000")&amp;"-Q"&amp;ROUNDUP(MONTH($A826)/3,0))</f>
        <v/>
      </c>
    </row>
    <row r="827">
      <c r="A827" s="22" t="n"/>
      <c r="B827" s="20" t="n"/>
      <c r="C827" s="20" t="n"/>
      <c r="D827" s="20">
        <f>IFERROR(INDEX(XPMenu!$A$2:$A$1000, MATCH(C827, XPMenu!$B$2:$B$1000, 0)), "")</f>
        <v/>
      </c>
      <c r="E827" s="20" t="n"/>
      <c r="F827" s="20" t="n"/>
      <c r="G827" s="20" t="n"/>
      <c r="H827" s="20" t="n"/>
      <c r="I827" s="20">
        <f>IFERROR(VLOOKUP(D827,XPMenu!$A:$F,2,FALSE),"")</f>
        <v/>
      </c>
      <c r="J827" s="20">
        <f>IFERROR(VLOOKUP(D827,XPMenu!$A:$F,3,FALSE),"")</f>
        <v/>
      </c>
      <c r="K827" s="20">
        <f>IFERROR(VLOOKUP(D827,XPMenu!$A:$F,4,FALSE),"")</f>
        <v/>
      </c>
      <c r="L827" s="20" t="n"/>
      <c r="M827" s="20">
        <f>IF(A827="","",IF(F827&lt;&gt;"Yes",0,IF(L827&lt;&gt;"",L827,E827*K827)))</f>
        <v/>
      </c>
      <c r="N827" s="20">
        <f>IF($A827="","",$A827-WEEKDAY($A827,2)+1)</f>
        <v/>
      </c>
      <c r="O827" s="20">
        <f>IF($A827="","",TEXT($A827,"yyyy-mm"))</f>
        <v/>
      </c>
      <c r="P827" s="21">
        <f>IF($A827="","",TEXT(YEAR($A827),"0000")&amp;"-Q"&amp;ROUNDUP(MONTH($A827)/3,0))</f>
        <v/>
      </c>
    </row>
    <row r="828">
      <c r="A828" s="22" t="n"/>
      <c r="B828" s="20" t="n"/>
      <c r="C828" s="20" t="n"/>
      <c r="D828" s="20">
        <f>IFERROR(INDEX(XPMenu!$A$2:$A$1000, MATCH(C828, XPMenu!$B$2:$B$1000, 0)), "")</f>
        <v/>
      </c>
      <c r="E828" s="20" t="n"/>
      <c r="F828" s="20" t="n"/>
      <c r="G828" s="20" t="n"/>
      <c r="H828" s="20" t="n"/>
      <c r="I828" s="20">
        <f>IFERROR(VLOOKUP(D828,XPMenu!$A:$F,2,FALSE),"")</f>
        <v/>
      </c>
      <c r="J828" s="20">
        <f>IFERROR(VLOOKUP(D828,XPMenu!$A:$F,3,FALSE),"")</f>
        <v/>
      </c>
      <c r="K828" s="20">
        <f>IFERROR(VLOOKUP(D828,XPMenu!$A:$F,4,FALSE),"")</f>
        <v/>
      </c>
      <c r="L828" s="20" t="n"/>
      <c r="M828" s="20">
        <f>IF(A828="","",IF(F828&lt;&gt;"Yes",0,IF(L828&lt;&gt;"",L828,E828*K828)))</f>
        <v/>
      </c>
      <c r="N828" s="20">
        <f>IF($A828="","",$A828-WEEKDAY($A828,2)+1)</f>
        <v/>
      </c>
      <c r="O828" s="20">
        <f>IF($A828="","",TEXT($A828,"yyyy-mm"))</f>
        <v/>
      </c>
      <c r="P828" s="21">
        <f>IF($A828="","",TEXT(YEAR($A828),"0000")&amp;"-Q"&amp;ROUNDUP(MONTH($A828)/3,0))</f>
        <v/>
      </c>
    </row>
    <row r="829">
      <c r="A829" s="22" t="n"/>
      <c r="B829" s="20" t="n"/>
      <c r="C829" s="20" t="n"/>
      <c r="D829" s="20">
        <f>IFERROR(INDEX(XPMenu!$A$2:$A$1000, MATCH(C829, XPMenu!$B$2:$B$1000, 0)), "")</f>
        <v/>
      </c>
      <c r="E829" s="20" t="n"/>
      <c r="F829" s="20" t="n"/>
      <c r="G829" s="20" t="n"/>
      <c r="H829" s="20" t="n"/>
      <c r="I829" s="20">
        <f>IFERROR(VLOOKUP(D829,XPMenu!$A:$F,2,FALSE),"")</f>
        <v/>
      </c>
      <c r="J829" s="20">
        <f>IFERROR(VLOOKUP(D829,XPMenu!$A:$F,3,FALSE),"")</f>
        <v/>
      </c>
      <c r="K829" s="20">
        <f>IFERROR(VLOOKUP(D829,XPMenu!$A:$F,4,FALSE),"")</f>
        <v/>
      </c>
      <c r="L829" s="20" t="n"/>
      <c r="M829" s="20">
        <f>IF(A829="","",IF(F829&lt;&gt;"Yes",0,IF(L829&lt;&gt;"",L829,E829*K829)))</f>
        <v/>
      </c>
      <c r="N829" s="20">
        <f>IF($A829="","",$A829-WEEKDAY($A829,2)+1)</f>
        <v/>
      </c>
      <c r="O829" s="20">
        <f>IF($A829="","",TEXT($A829,"yyyy-mm"))</f>
        <v/>
      </c>
      <c r="P829" s="21">
        <f>IF($A829="","",TEXT(YEAR($A829),"0000")&amp;"-Q"&amp;ROUNDUP(MONTH($A829)/3,0))</f>
        <v/>
      </c>
    </row>
    <row r="830">
      <c r="A830" s="22" t="n"/>
      <c r="B830" s="20" t="n"/>
      <c r="C830" s="20" t="n"/>
      <c r="D830" s="20">
        <f>IFERROR(INDEX(XPMenu!$A$2:$A$1000, MATCH(C830, XPMenu!$B$2:$B$1000, 0)), "")</f>
        <v/>
      </c>
      <c r="E830" s="20" t="n"/>
      <c r="F830" s="20" t="n"/>
      <c r="G830" s="20" t="n"/>
      <c r="H830" s="20" t="n"/>
      <c r="I830" s="20">
        <f>IFERROR(VLOOKUP(D830,XPMenu!$A:$F,2,FALSE),"")</f>
        <v/>
      </c>
      <c r="J830" s="20">
        <f>IFERROR(VLOOKUP(D830,XPMenu!$A:$F,3,FALSE),"")</f>
        <v/>
      </c>
      <c r="K830" s="20">
        <f>IFERROR(VLOOKUP(D830,XPMenu!$A:$F,4,FALSE),"")</f>
        <v/>
      </c>
      <c r="L830" s="20" t="n"/>
      <c r="M830" s="20">
        <f>IF(A830="","",IF(F830&lt;&gt;"Yes",0,IF(L830&lt;&gt;"",L830,E830*K830)))</f>
        <v/>
      </c>
      <c r="N830" s="20">
        <f>IF($A830="","",$A830-WEEKDAY($A830,2)+1)</f>
        <v/>
      </c>
      <c r="O830" s="20">
        <f>IF($A830="","",TEXT($A830,"yyyy-mm"))</f>
        <v/>
      </c>
      <c r="P830" s="21">
        <f>IF($A830="","",TEXT(YEAR($A830),"0000")&amp;"-Q"&amp;ROUNDUP(MONTH($A830)/3,0))</f>
        <v/>
      </c>
    </row>
    <row r="831">
      <c r="A831" s="22" t="n"/>
      <c r="B831" s="20" t="n"/>
      <c r="C831" s="20" t="n"/>
      <c r="D831" s="20">
        <f>IFERROR(INDEX(XPMenu!$A$2:$A$1000, MATCH(C831, XPMenu!$B$2:$B$1000, 0)), "")</f>
        <v/>
      </c>
      <c r="E831" s="20" t="n"/>
      <c r="F831" s="20" t="n"/>
      <c r="G831" s="20" t="n"/>
      <c r="H831" s="20" t="n"/>
      <c r="I831" s="20">
        <f>IFERROR(VLOOKUP(D831,XPMenu!$A:$F,2,FALSE),"")</f>
        <v/>
      </c>
      <c r="J831" s="20">
        <f>IFERROR(VLOOKUP(D831,XPMenu!$A:$F,3,FALSE),"")</f>
        <v/>
      </c>
      <c r="K831" s="20">
        <f>IFERROR(VLOOKUP(D831,XPMenu!$A:$F,4,FALSE),"")</f>
        <v/>
      </c>
      <c r="L831" s="20" t="n"/>
      <c r="M831" s="20">
        <f>IF(A831="","",IF(F831&lt;&gt;"Yes",0,IF(L831&lt;&gt;"",L831,E831*K831)))</f>
        <v/>
      </c>
      <c r="N831" s="20">
        <f>IF($A831="","",$A831-WEEKDAY($A831,2)+1)</f>
        <v/>
      </c>
      <c r="O831" s="20">
        <f>IF($A831="","",TEXT($A831,"yyyy-mm"))</f>
        <v/>
      </c>
      <c r="P831" s="21">
        <f>IF($A831="","",TEXT(YEAR($A831),"0000")&amp;"-Q"&amp;ROUNDUP(MONTH($A831)/3,0))</f>
        <v/>
      </c>
    </row>
    <row r="832">
      <c r="A832" s="22" t="n"/>
      <c r="B832" s="20" t="n"/>
      <c r="C832" s="20" t="n"/>
      <c r="D832" s="20">
        <f>IFERROR(INDEX(XPMenu!$A$2:$A$1000, MATCH(C832, XPMenu!$B$2:$B$1000, 0)), "")</f>
        <v/>
      </c>
      <c r="E832" s="20" t="n"/>
      <c r="F832" s="20" t="n"/>
      <c r="G832" s="20" t="n"/>
      <c r="H832" s="20" t="n"/>
      <c r="I832" s="20">
        <f>IFERROR(VLOOKUP(D832,XPMenu!$A:$F,2,FALSE),"")</f>
        <v/>
      </c>
      <c r="J832" s="20">
        <f>IFERROR(VLOOKUP(D832,XPMenu!$A:$F,3,FALSE),"")</f>
        <v/>
      </c>
      <c r="K832" s="20">
        <f>IFERROR(VLOOKUP(D832,XPMenu!$A:$F,4,FALSE),"")</f>
        <v/>
      </c>
      <c r="L832" s="20" t="n"/>
      <c r="M832" s="20">
        <f>IF(A832="","",IF(F832&lt;&gt;"Yes",0,IF(L832&lt;&gt;"",L832,E832*K832)))</f>
        <v/>
      </c>
      <c r="N832" s="20">
        <f>IF($A832="","",$A832-WEEKDAY($A832,2)+1)</f>
        <v/>
      </c>
      <c r="O832" s="20">
        <f>IF($A832="","",TEXT($A832,"yyyy-mm"))</f>
        <v/>
      </c>
      <c r="P832" s="21">
        <f>IF($A832="","",TEXT(YEAR($A832),"0000")&amp;"-Q"&amp;ROUNDUP(MONTH($A832)/3,0))</f>
        <v/>
      </c>
    </row>
    <row r="833">
      <c r="A833" s="22" t="n"/>
      <c r="B833" s="20" t="n"/>
      <c r="C833" s="20" t="n"/>
      <c r="D833" s="20">
        <f>IFERROR(INDEX(XPMenu!$A$2:$A$1000, MATCH(C833, XPMenu!$B$2:$B$1000, 0)), "")</f>
        <v/>
      </c>
      <c r="E833" s="20" t="n"/>
      <c r="F833" s="20" t="n"/>
      <c r="G833" s="20" t="n"/>
      <c r="H833" s="20" t="n"/>
      <c r="I833" s="20">
        <f>IFERROR(VLOOKUP(D833,XPMenu!$A:$F,2,FALSE),"")</f>
        <v/>
      </c>
      <c r="J833" s="20">
        <f>IFERROR(VLOOKUP(D833,XPMenu!$A:$F,3,FALSE),"")</f>
        <v/>
      </c>
      <c r="K833" s="20">
        <f>IFERROR(VLOOKUP(D833,XPMenu!$A:$F,4,FALSE),"")</f>
        <v/>
      </c>
      <c r="L833" s="20" t="n"/>
      <c r="M833" s="20">
        <f>IF(A833="","",IF(F833&lt;&gt;"Yes",0,IF(L833&lt;&gt;"",L833,E833*K833)))</f>
        <v/>
      </c>
      <c r="N833" s="20">
        <f>IF($A833="","",$A833-WEEKDAY($A833,2)+1)</f>
        <v/>
      </c>
      <c r="O833" s="20">
        <f>IF($A833="","",TEXT($A833,"yyyy-mm"))</f>
        <v/>
      </c>
      <c r="P833" s="21">
        <f>IF($A833="","",TEXT(YEAR($A833),"0000")&amp;"-Q"&amp;ROUNDUP(MONTH($A833)/3,0))</f>
        <v/>
      </c>
    </row>
    <row r="834">
      <c r="A834" s="22" t="n"/>
      <c r="B834" s="20" t="n"/>
      <c r="C834" s="20" t="n"/>
      <c r="D834" s="20">
        <f>IFERROR(INDEX(XPMenu!$A$2:$A$1000, MATCH(C834, XPMenu!$B$2:$B$1000, 0)), "")</f>
        <v/>
      </c>
      <c r="E834" s="20" t="n"/>
      <c r="F834" s="20" t="n"/>
      <c r="G834" s="20" t="n"/>
      <c r="H834" s="20" t="n"/>
      <c r="I834" s="20">
        <f>IFERROR(VLOOKUP(D834,XPMenu!$A:$F,2,FALSE),"")</f>
        <v/>
      </c>
      <c r="J834" s="20">
        <f>IFERROR(VLOOKUP(D834,XPMenu!$A:$F,3,FALSE),"")</f>
        <v/>
      </c>
      <c r="K834" s="20">
        <f>IFERROR(VLOOKUP(D834,XPMenu!$A:$F,4,FALSE),"")</f>
        <v/>
      </c>
      <c r="L834" s="20" t="n"/>
      <c r="M834" s="20">
        <f>IF(A834="","",IF(F834&lt;&gt;"Yes",0,IF(L834&lt;&gt;"",L834,E834*K834)))</f>
        <v/>
      </c>
      <c r="N834" s="20">
        <f>IF($A834="","",$A834-WEEKDAY($A834,2)+1)</f>
        <v/>
      </c>
      <c r="O834" s="20">
        <f>IF($A834="","",TEXT($A834,"yyyy-mm"))</f>
        <v/>
      </c>
      <c r="P834" s="21">
        <f>IF($A834="","",TEXT(YEAR($A834),"0000")&amp;"-Q"&amp;ROUNDUP(MONTH($A834)/3,0))</f>
        <v/>
      </c>
    </row>
    <row r="835">
      <c r="A835" s="22" t="n"/>
      <c r="B835" s="20" t="n"/>
      <c r="C835" s="20" t="n"/>
      <c r="D835" s="20">
        <f>IFERROR(INDEX(XPMenu!$A$2:$A$1000, MATCH(C835, XPMenu!$B$2:$B$1000, 0)), "")</f>
        <v/>
      </c>
      <c r="E835" s="20" t="n"/>
      <c r="F835" s="20" t="n"/>
      <c r="G835" s="20" t="n"/>
      <c r="H835" s="20" t="n"/>
      <c r="I835" s="20">
        <f>IFERROR(VLOOKUP(D835,XPMenu!$A:$F,2,FALSE),"")</f>
        <v/>
      </c>
      <c r="J835" s="20">
        <f>IFERROR(VLOOKUP(D835,XPMenu!$A:$F,3,FALSE),"")</f>
        <v/>
      </c>
      <c r="K835" s="20">
        <f>IFERROR(VLOOKUP(D835,XPMenu!$A:$F,4,FALSE),"")</f>
        <v/>
      </c>
      <c r="L835" s="20" t="n"/>
      <c r="M835" s="20">
        <f>IF(A835="","",IF(F835&lt;&gt;"Yes",0,IF(L835&lt;&gt;"",L835,E835*K835)))</f>
        <v/>
      </c>
      <c r="N835" s="20">
        <f>IF($A835="","",$A835-WEEKDAY($A835,2)+1)</f>
        <v/>
      </c>
      <c r="O835" s="20">
        <f>IF($A835="","",TEXT($A835,"yyyy-mm"))</f>
        <v/>
      </c>
      <c r="P835" s="21">
        <f>IF($A835="","",TEXT(YEAR($A835),"0000")&amp;"-Q"&amp;ROUNDUP(MONTH($A835)/3,0))</f>
        <v/>
      </c>
    </row>
    <row r="836">
      <c r="A836" s="22" t="n"/>
      <c r="B836" s="20" t="n"/>
      <c r="C836" s="20" t="n"/>
      <c r="D836" s="20">
        <f>IFERROR(INDEX(XPMenu!$A$2:$A$1000, MATCH(C836, XPMenu!$B$2:$B$1000, 0)), "")</f>
        <v/>
      </c>
      <c r="E836" s="20" t="n"/>
      <c r="F836" s="20" t="n"/>
      <c r="G836" s="20" t="n"/>
      <c r="H836" s="20" t="n"/>
      <c r="I836" s="20">
        <f>IFERROR(VLOOKUP(D836,XPMenu!$A:$F,2,FALSE),"")</f>
        <v/>
      </c>
      <c r="J836" s="20">
        <f>IFERROR(VLOOKUP(D836,XPMenu!$A:$F,3,FALSE),"")</f>
        <v/>
      </c>
      <c r="K836" s="20">
        <f>IFERROR(VLOOKUP(D836,XPMenu!$A:$F,4,FALSE),"")</f>
        <v/>
      </c>
      <c r="L836" s="20" t="n"/>
      <c r="M836" s="20">
        <f>IF(A836="","",IF(F836&lt;&gt;"Yes",0,IF(L836&lt;&gt;"",L836,E836*K836)))</f>
        <v/>
      </c>
      <c r="N836" s="20">
        <f>IF($A836="","",$A836-WEEKDAY($A836,2)+1)</f>
        <v/>
      </c>
      <c r="O836" s="20">
        <f>IF($A836="","",TEXT($A836,"yyyy-mm"))</f>
        <v/>
      </c>
      <c r="P836" s="21">
        <f>IF($A836="","",TEXT(YEAR($A836),"0000")&amp;"-Q"&amp;ROUNDUP(MONTH($A836)/3,0))</f>
        <v/>
      </c>
    </row>
    <row r="837">
      <c r="A837" s="22" t="n"/>
      <c r="B837" s="20" t="n"/>
      <c r="C837" s="20" t="n"/>
      <c r="D837" s="20">
        <f>IFERROR(INDEX(XPMenu!$A$2:$A$1000, MATCH(C837, XPMenu!$B$2:$B$1000, 0)), "")</f>
        <v/>
      </c>
      <c r="E837" s="20" t="n"/>
      <c r="F837" s="20" t="n"/>
      <c r="G837" s="20" t="n"/>
      <c r="H837" s="20" t="n"/>
      <c r="I837" s="20">
        <f>IFERROR(VLOOKUP(D837,XPMenu!$A:$F,2,FALSE),"")</f>
        <v/>
      </c>
      <c r="J837" s="20">
        <f>IFERROR(VLOOKUP(D837,XPMenu!$A:$F,3,FALSE),"")</f>
        <v/>
      </c>
      <c r="K837" s="20">
        <f>IFERROR(VLOOKUP(D837,XPMenu!$A:$F,4,FALSE),"")</f>
        <v/>
      </c>
      <c r="L837" s="20" t="n"/>
      <c r="M837" s="20">
        <f>IF(A837="","",IF(F837&lt;&gt;"Yes",0,IF(L837&lt;&gt;"",L837,E837*K837)))</f>
        <v/>
      </c>
      <c r="N837" s="20">
        <f>IF($A837="","",$A837-WEEKDAY($A837,2)+1)</f>
        <v/>
      </c>
      <c r="O837" s="20">
        <f>IF($A837="","",TEXT($A837,"yyyy-mm"))</f>
        <v/>
      </c>
      <c r="P837" s="21">
        <f>IF($A837="","",TEXT(YEAR($A837),"0000")&amp;"-Q"&amp;ROUNDUP(MONTH($A837)/3,0))</f>
        <v/>
      </c>
    </row>
    <row r="838">
      <c r="A838" s="22" t="n"/>
      <c r="B838" s="20" t="n"/>
      <c r="C838" s="20" t="n"/>
      <c r="D838" s="20">
        <f>IFERROR(INDEX(XPMenu!$A$2:$A$1000, MATCH(C838, XPMenu!$B$2:$B$1000, 0)), "")</f>
        <v/>
      </c>
      <c r="E838" s="20" t="n"/>
      <c r="F838" s="20" t="n"/>
      <c r="G838" s="20" t="n"/>
      <c r="H838" s="20" t="n"/>
      <c r="I838" s="20">
        <f>IFERROR(VLOOKUP(D838,XPMenu!$A:$F,2,FALSE),"")</f>
        <v/>
      </c>
      <c r="J838" s="20">
        <f>IFERROR(VLOOKUP(D838,XPMenu!$A:$F,3,FALSE),"")</f>
        <v/>
      </c>
      <c r="K838" s="20">
        <f>IFERROR(VLOOKUP(D838,XPMenu!$A:$F,4,FALSE),"")</f>
        <v/>
      </c>
      <c r="L838" s="20" t="n"/>
      <c r="M838" s="20">
        <f>IF(A838="","",IF(F838&lt;&gt;"Yes",0,IF(L838&lt;&gt;"",L838,E838*K838)))</f>
        <v/>
      </c>
      <c r="N838" s="20">
        <f>IF($A838="","",$A838-WEEKDAY($A838,2)+1)</f>
        <v/>
      </c>
      <c r="O838" s="20">
        <f>IF($A838="","",TEXT($A838,"yyyy-mm"))</f>
        <v/>
      </c>
      <c r="P838" s="21">
        <f>IF($A838="","",TEXT(YEAR($A838),"0000")&amp;"-Q"&amp;ROUNDUP(MONTH($A838)/3,0))</f>
        <v/>
      </c>
    </row>
    <row r="839">
      <c r="A839" s="22" t="n"/>
      <c r="B839" s="20" t="n"/>
      <c r="C839" s="20" t="n"/>
      <c r="D839" s="20">
        <f>IFERROR(INDEX(XPMenu!$A$2:$A$1000, MATCH(C839, XPMenu!$B$2:$B$1000, 0)), "")</f>
        <v/>
      </c>
      <c r="E839" s="20" t="n"/>
      <c r="F839" s="20" t="n"/>
      <c r="G839" s="20" t="n"/>
      <c r="H839" s="20" t="n"/>
      <c r="I839" s="20">
        <f>IFERROR(VLOOKUP(D839,XPMenu!$A:$F,2,FALSE),"")</f>
        <v/>
      </c>
      <c r="J839" s="20">
        <f>IFERROR(VLOOKUP(D839,XPMenu!$A:$F,3,FALSE),"")</f>
        <v/>
      </c>
      <c r="K839" s="20">
        <f>IFERROR(VLOOKUP(D839,XPMenu!$A:$F,4,FALSE),"")</f>
        <v/>
      </c>
      <c r="L839" s="20" t="n"/>
      <c r="M839" s="20">
        <f>IF(A839="","",IF(F839&lt;&gt;"Yes",0,IF(L839&lt;&gt;"",L839,E839*K839)))</f>
        <v/>
      </c>
      <c r="N839" s="20">
        <f>IF($A839="","",$A839-WEEKDAY($A839,2)+1)</f>
        <v/>
      </c>
      <c r="O839" s="20">
        <f>IF($A839="","",TEXT($A839,"yyyy-mm"))</f>
        <v/>
      </c>
      <c r="P839" s="21">
        <f>IF($A839="","",TEXT(YEAR($A839),"0000")&amp;"-Q"&amp;ROUNDUP(MONTH($A839)/3,0))</f>
        <v/>
      </c>
    </row>
    <row r="840">
      <c r="A840" s="22" t="n"/>
      <c r="B840" s="20" t="n"/>
      <c r="C840" s="20" t="n"/>
      <c r="D840" s="20">
        <f>IFERROR(INDEX(XPMenu!$A$2:$A$1000, MATCH(C840, XPMenu!$B$2:$B$1000, 0)), "")</f>
        <v/>
      </c>
      <c r="E840" s="20" t="n"/>
      <c r="F840" s="20" t="n"/>
      <c r="G840" s="20" t="n"/>
      <c r="H840" s="20" t="n"/>
      <c r="I840" s="20">
        <f>IFERROR(VLOOKUP(D840,XPMenu!$A:$F,2,FALSE),"")</f>
        <v/>
      </c>
      <c r="J840" s="20">
        <f>IFERROR(VLOOKUP(D840,XPMenu!$A:$F,3,FALSE),"")</f>
        <v/>
      </c>
      <c r="K840" s="20">
        <f>IFERROR(VLOOKUP(D840,XPMenu!$A:$F,4,FALSE),"")</f>
        <v/>
      </c>
      <c r="L840" s="20" t="n"/>
      <c r="M840" s="20">
        <f>IF(A840="","",IF(F840&lt;&gt;"Yes",0,IF(L840&lt;&gt;"",L840,E840*K840)))</f>
        <v/>
      </c>
      <c r="N840" s="20">
        <f>IF($A840="","",$A840-WEEKDAY($A840,2)+1)</f>
        <v/>
      </c>
      <c r="O840" s="20">
        <f>IF($A840="","",TEXT($A840,"yyyy-mm"))</f>
        <v/>
      </c>
      <c r="P840" s="21">
        <f>IF($A840="","",TEXT(YEAR($A840),"0000")&amp;"-Q"&amp;ROUNDUP(MONTH($A840)/3,0))</f>
        <v/>
      </c>
    </row>
    <row r="841">
      <c r="A841" s="22" t="n"/>
      <c r="B841" s="20" t="n"/>
      <c r="C841" s="20" t="n"/>
      <c r="D841" s="20">
        <f>IFERROR(INDEX(XPMenu!$A$2:$A$1000, MATCH(C841, XPMenu!$B$2:$B$1000, 0)), "")</f>
        <v/>
      </c>
      <c r="E841" s="20" t="n"/>
      <c r="F841" s="20" t="n"/>
      <c r="G841" s="20" t="n"/>
      <c r="H841" s="20" t="n"/>
      <c r="I841" s="20">
        <f>IFERROR(VLOOKUP(D841,XPMenu!$A:$F,2,FALSE),"")</f>
        <v/>
      </c>
      <c r="J841" s="20">
        <f>IFERROR(VLOOKUP(D841,XPMenu!$A:$F,3,FALSE),"")</f>
        <v/>
      </c>
      <c r="K841" s="20">
        <f>IFERROR(VLOOKUP(D841,XPMenu!$A:$F,4,FALSE),"")</f>
        <v/>
      </c>
      <c r="L841" s="20" t="n"/>
      <c r="M841" s="20">
        <f>IF(A841="","",IF(F841&lt;&gt;"Yes",0,IF(L841&lt;&gt;"",L841,E841*K841)))</f>
        <v/>
      </c>
      <c r="N841" s="20">
        <f>IF($A841="","",$A841-WEEKDAY($A841,2)+1)</f>
        <v/>
      </c>
      <c r="O841" s="20">
        <f>IF($A841="","",TEXT($A841,"yyyy-mm"))</f>
        <v/>
      </c>
      <c r="P841" s="21">
        <f>IF($A841="","",TEXT(YEAR($A841),"0000")&amp;"-Q"&amp;ROUNDUP(MONTH($A841)/3,0))</f>
        <v/>
      </c>
    </row>
    <row r="842">
      <c r="A842" s="22" t="n"/>
      <c r="B842" s="20" t="n"/>
      <c r="C842" s="20" t="n"/>
      <c r="D842" s="20">
        <f>IFERROR(INDEX(XPMenu!$A$2:$A$1000, MATCH(C842, XPMenu!$B$2:$B$1000, 0)), "")</f>
        <v/>
      </c>
      <c r="E842" s="20" t="n"/>
      <c r="F842" s="20" t="n"/>
      <c r="G842" s="20" t="n"/>
      <c r="H842" s="20" t="n"/>
      <c r="I842" s="20">
        <f>IFERROR(VLOOKUP(D842,XPMenu!$A:$F,2,FALSE),"")</f>
        <v/>
      </c>
      <c r="J842" s="20">
        <f>IFERROR(VLOOKUP(D842,XPMenu!$A:$F,3,FALSE),"")</f>
        <v/>
      </c>
      <c r="K842" s="20">
        <f>IFERROR(VLOOKUP(D842,XPMenu!$A:$F,4,FALSE),"")</f>
        <v/>
      </c>
      <c r="L842" s="20" t="n"/>
      <c r="M842" s="20">
        <f>IF(A842="","",IF(F842&lt;&gt;"Yes",0,IF(L842&lt;&gt;"",L842,E842*K842)))</f>
        <v/>
      </c>
      <c r="N842" s="20">
        <f>IF($A842="","",$A842-WEEKDAY($A842,2)+1)</f>
        <v/>
      </c>
      <c r="O842" s="20">
        <f>IF($A842="","",TEXT($A842,"yyyy-mm"))</f>
        <v/>
      </c>
      <c r="P842" s="21">
        <f>IF($A842="","",TEXT(YEAR($A842),"0000")&amp;"-Q"&amp;ROUNDUP(MONTH($A842)/3,0))</f>
        <v/>
      </c>
    </row>
    <row r="843">
      <c r="A843" s="22" t="n"/>
      <c r="B843" s="20" t="n"/>
      <c r="C843" s="20" t="n"/>
      <c r="D843" s="20">
        <f>IFERROR(INDEX(XPMenu!$A$2:$A$1000, MATCH(C843, XPMenu!$B$2:$B$1000, 0)), "")</f>
        <v/>
      </c>
      <c r="E843" s="20" t="n"/>
      <c r="F843" s="20" t="n"/>
      <c r="G843" s="20" t="n"/>
      <c r="H843" s="20" t="n"/>
      <c r="I843" s="20">
        <f>IFERROR(VLOOKUP(D843,XPMenu!$A:$F,2,FALSE),"")</f>
        <v/>
      </c>
      <c r="J843" s="20">
        <f>IFERROR(VLOOKUP(D843,XPMenu!$A:$F,3,FALSE),"")</f>
        <v/>
      </c>
      <c r="K843" s="20">
        <f>IFERROR(VLOOKUP(D843,XPMenu!$A:$F,4,FALSE),"")</f>
        <v/>
      </c>
      <c r="L843" s="20" t="n"/>
      <c r="M843" s="20">
        <f>IF(A843="","",IF(F843&lt;&gt;"Yes",0,IF(L843&lt;&gt;"",L843,E843*K843)))</f>
        <v/>
      </c>
      <c r="N843" s="20">
        <f>IF($A843="","",$A843-WEEKDAY($A843,2)+1)</f>
        <v/>
      </c>
      <c r="O843" s="20">
        <f>IF($A843="","",TEXT($A843,"yyyy-mm"))</f>
        <v/>
      </c>
      <c r="P843" s="21">
        <f>IF($A843="","",TEXT(YEAR($A843),"0000")&amp;"-Q"&amp;ROUNDUP(MONTH($A843)/3,0))</f>
        <v/>
      </c>
    </row>
    <row r="844">
      <c r="A844" s="22" t="n"/>
      <c r="B844" s="20" t="n"/>
      <c r="C844" s="20" t="n"/>
      <c r="D844" s="20">
        <f>IFERROR(INDEX(XPMenu!$A$2:$A$1000, MATCH(C844, XPMenu!$B$2:$B$1000, 0)), "")</f>
        <v/>
      </c>
      <c r="E844" s="20" t="n"/>
      <c r="F844" s="20" t="n"/>
      <c r="G844" s="20" t="n"/>
      <c r="H844" s="20" t="n"/>
      <c r="I844" s="20">
        <f>IFERROR(VLOOKUP(D844,XPMenu!$A:$F,2,FALSE),"")</f>
        <v/>
      </c>
      <c r="J844" s="20">
        <f>IFERROR(VLOOKUP(D844,XPMenu!$A:$F,3,FALSE),"")</f>
        <v/>
      </c>
      <c r="K844" s="20">
        <f>IFERROR(VLOOKUP(D844,XPMenu!$A:$F,4,FALSE),"")</f>
        <v/>
      </c>
      <c r="L844" s="20" t="n"/>
      <c r="M844" s="20">
        <f>IF(A844="","",IF(F844&lt;&gt;"Yes",0,IF(L844&lt;&gt;"",L844,E844*K844)))</f>
        <v/>
      </c>
      <c r="N844" s="20">
        <f>IF($A844="","",$A844-WEEKDAY($A844,2)+1)</f>
        <v/>
      </c>
      <c r="O844" s="20">
        <f>IF($A844="","",TEXT($A844,"yyyy-mm"))</f>
        <v/>
      </c>
      <c r="P844" s="21">
        <f>IF($A844="","",TEXT(YEAR($A844),"0000")&amp;"-Q"&amp;ROUNDUP(MONTH($A844)/3,0))</f>
        <v/>
      </c>
    </row>
    <row r="845">
      <c r="A845" s="22" t="n"/>
      <c r="B845" s="20" t="n"/>
      <c r="C845" s="20" t="n"/>
      <c r="D845" s="20">
        <f>IFERROR(INDEX(XPMenu!$A$2:$A$1000, MATCH(C845, XPMenu!$B$2:$B$1000, 0)), "")</f>
        <v/>
      </c>
      <c r="E845" s="20" t="n"/>
      <c r="F845" s="20" t="n"/>
      <c r="G845" s="20" t="n"/>
      <c r="H845" s="20" t="n"/>
      <c r="I845" s="20">
        <f>IFERROR(VLOOKUP(D845,XPMenu!$A:$F,2,FALSE),"")</f>
        <v/>
      </c>
      <c r="J845" s="20">
        <f>IFERROR(VLOOKUP(D845,XPMenu!$A:$F,3,FALSE),"")</f>
        <v/>
      </c>
      <c r="K845" s="20">
        <f>IFERROR(VLOOKUP(D845,XPMenu!$A:$F,4,FALSE),"")</f>
        <v/>
      </c>
      <c r="L845" s="20" t="n"/>
      <c r="M845" s="20">
        <f>IF(A845="","",IF(F845&lt;&gt;"Yes",0,IF(L845&lt;&gt;"",L845,E845*K845)))</f>
        <v/>
      </c>
      <c r="N845" s="20">
        <f>IF($A845="","",$A845-WEEKDAY($A845,2)+1)</f>
        <v/>
      </c>
      <c r="O845" s="20">
        <f>IF($A845="","",TEXT($A845,"yyyy-mm"))</f>
        <v/>
      </c>
      <c r="P845" s="21">
        <f>IF($A845="","",TEXT(YEAR($A845),"0000")&amp;"-Q"&amp;ROUNDUP(MONTH($A845)/3,0))</f>
        <v/>
      </c>
    </row>
    <row r="846">
      <c r="A846" s="22" t="n"/>
      <c r="B846" s="20" t="n"/>
      <c r="C846" s="20" t="n"/>
      <c r="D846" s="20">
        <f>IFERROR(INDEX(XPMenu!$A$2:$A$1000, MATCH(C846, XPMenu!$B$2:$B$1000, 0)), "")</f>
        <v/>
      </c>
      <c r="E846" s="20" t="n"/>
      <c r="F846" s="20" t="n"/>
      <c r="G846" s="20" t="n"/>
      <c r="H846" s="20" t="n"/>
      <c r="I846" s="20">
        <f>IFERROR(VLOOKUP(D846,XPMenu!$A:$F,2,FALSE),"")</f>
        <v/>
      </c>
      <c r="J846" s="20">
        <f>IFERROR(VLOOKUP(D846,XPMenu!$A:$F,3,FALSE),"")</f>
        <v/>
      </c>
      <c r="K846" s="20">
        <f>IFERROR(VLOOKUP(D846,XPMenu!$A:$F,4,FALSE),"")</f>
        <v/>
      </c>
      <c r="L846" s="20" t="n"/>
      <c r="M846" s="20">
        <f>IF(A846="","",IF(F846&lt;&gt;"Yes",0,IF(L846&lt;&gt;"",L846,E846*K846)))</f>
        <v/>
      </c>
      <c r="N846" s="20">
        <f>IF($A846="","",$A846-WEEKDAY($A846,2)+1)</f>
        <v/>
      </c>
      <c r="O846" s="20">
        <f>IF($A846="","",TEXT($A846,"yyyy-mm"))</f>
        <v/>
      </c>
      <c r="P846" s="21">
        <f>IF($A846="","",TEXT(YEAR($A846),"0000")&amp;"-Q"&amp;ROUNDUP(MONTH($A846)/3,0))</f>
        <v/>
      </c>
    </row>
    <row r="847">
      <c r="A847" s="22" t="n"/>
      <c r="B847" s="20" t="n"/>
      <c r="C847" s="20" t="n"/>
      <c r="D847" s="20">
        <f>IFERROR(INDEX(XPMenu!$A$2:$A$1000, MATCH(C847, XPMenu!$B$2:$B$1000, 0)), "")</f>
        <v/>
      </c>
      <c r="E847" s="20" t="n"/>
      <c r="F847" s="20" t="n"/>
      <c r="G847" s="20" t="n"/>
      <c r="H847" s="20" t="n"/>
      <c r="I847" s="20">
        <f>IFERROR(VLOOKUP(D847,XPMenu!$A:$F,2,FALSE),"")</f>
        <v/>
      </c>
      <c r="J847" s="20">
        <f>IFERROR(VLOOKUP(D847,XPMenu!$A:$F,3,FALSE),"")</f>
        <v/>
      </c>
      <c r="K847" s="20">
        <f>IFERROR(VLOOKUP(D847,XPMenu!$A:$F,4,FALSE),"")</f>
        <v/>
      </c>
      <c r="L847" s="20" t="n"/>
      <c r="M847" s="20">
        <f>IF(A847="","",IF(F847&lt;&gt;"Yes",0,IF(L847&lt;&gt;"",L847,E847*K847)))</f>
        <v/>
      </c>
      <c r="N847" s="20">
        <f>IF($A847="","",$A847-WEEKDAY($A847,2)+1)</f>
        <v/>
      </c>
      <c r="O847" s="20">
        <f>IF($A847="","",TEXT($A847,"yyyy-mm"))</f>
        <v/>
      </c>
      <c r="P847" s="21">
        <f>IF($A847="","",TEXT(YEAR($A847),"0000")&amp;"-Q"&amp;ROUNDUP(MONTH($A847)/3,0))</f>
        <v/>
      </c>
    </row>
    <row r="848">
      <c r="A848" s="22" t="n"/>
      <c r="B848" s="20" t="n"/>
      <c r="C848" s="20" t="n"/>
      <c r="D848" s="20">
        <f>IFERROR(INDEX(XPMenu!$A$2:$A$1000, MATCH(C848, XPMenu!$B$2:$B$1000, 0)), "")</f>
        <v/>
      </c>
      <c r="E848" s="20" t="n"/>
      <c r="F848" s="20" t="n"/>
      <c r="G848" s="20" t="n"/>
      <c r="H848" s="20" t="n"/>
      <c r="I848" s="20">
        <f>IFERROR(VLOOKUP(D848,XPMenu!$A:$F,2,FALSE),"")</f>
        <v/>
      </c>
      <c r="J848" s="20">
        <f>IFERROR(VLOOKUP(D848,XPMenu!$A:$F,3,FALSE),"")</f>
        <v/>
      </c>
      <c r="K848" s="20">
        <f>IFERROR(VLOOKUP(D848,XPMenu!$A:$F,4,FALSE),"")</f>
        <v/>
      </c>
      <c r="L848" s="20" t="n"/>
      <c r="M848" s="20">
        <f>IF(A848="","",IF(F848&lt;&gt;"Yes",0,IF(L848&lt;&gt;"",L848,E848*K848)))</f>
        <v/>
      </c>
      <c r="N848" s="20">
        <f>IF($A848="","",$A848-WEEKDAY($A848,2)+1)</f>
        <v/>
      </c>
      <c r="O848" s="20">
        <f>IF($A848="","",TEXT($A848,"yyyy-mm"))</f>
        <v/>
      </c>
      <c r="P848" s="21">
        <f>IF($A848="","",TEXT(YEAR($A848),"0000")&amp;"-Q"&amp;ROUNDUP(MONTH($A848)/3,0))</f>
        <v/>
      </c>
    </row>
    <row r="849">
      <c r="A849" s="22" t="n"/>
      <c r="B849" s="20" t="n"/>
      <c r="C849" s="20" t="n"/>
      <c r="D849" s="20">
        <f>IFERROR(INDEX(XPMenu!$A$2:$A$1000, MATCH(C849, XPMenu!$B$2:$B$1000, 0)), "")</f>
        <v/>
      </c>
      <c r="E849" s="20" t="n"/>
      <c r="F849" s="20" t="n"/>
      <c r="G849" s="20" t="n"/>
      <c r="H849" s="20" t="n"/>
      <c r="I849" s="20">
        <f>IFERROR(VLOOKUP(D849,XPMenu!$A:$F,2,FALSE),"")</f>
        <v/>
      </c>
      <c r="J849" s="20">
        <f>IFERROR(VLOOKUP(D849,XPMenu!$A:$F,3,FALSE),"")</f>
        <v/>
      </c>
      <c r="K849" s="20">
        <f>IFERROR(VLOOKUP(D849,XPMenu!$A:$F,4,FALSE),"")</f>
        <v/>
      </c>
      <c r="L849" s="20" t="n"/>
      <c r="M849" s="20">
        <f>IF(A849="","",IF(F849&lt;&gt;"Yes",0,IF(L849&lt;&gt;"",L849,E849*K849)))</f>
        <v/>
      </c>
      <c r="N849" s="20">
        <f>IF($A849="","",$A849-WEEKDAY($A849,2)+1)</f>
        <v/>
      </c>
      <c r="O849" s="20">
        <f>IF($A849="","",TEXT($A849,"yyyy-mm"))</f>
        <v/>
      </c>
      <c r="P849" s="21">
        <f>IF($A849="","",TEXT(YEAR($A849),"0000")&amp;"-Q"&amp;ROUNDUP(MONTH($A849)/3,0))</f>
        <v/>
      </c>
    </row>
    <row r="850">
      <c r="A850" s="22" t="n"/>
      <c r="B850" s="20" t="n"/>
      <c r="C850" s="20" t="n"/>
      <c r="D850" s="20">
        <f>IFERROR(INDEX(XPMenu!$A$2:$A$1000, MATCH(C850, XPMenu!$B$2:$B$1000, 0)), "")</f>
        <v/>
      </c>
      <c r="E850" s="20" t="n"/>
      <c r="F850" s="20" t="n"/>
      <c r="G850" s="20" t="n"/>
      <c r="H850" s="20" t="n"/>
      <c r="I850" s="20">
        <f>IFERROR(VLOOKUP(D850,XPMenu!$A:$F,2,FALSE),"")</f>
        <v/>
      </c>
      <c r="J850" s="20">
        <f>IFERROR(VLOOKUP(D850,XPMenu!$A:$F,3,FALSE),"")</f>
        <v/>
      </c>
      <c r="K850" s="20">
        <f>IFERROR(VLOOKUP(D850,XPMenu!$A:$F,4,FALSE),"")</f>
        <v/>
      </c>
      <c r="L850" s="20" t="n"/>
      <c r="M850" s="20">
        <f>IF(A850="","",IF(F850&lt;&gt;"Yes",0,IF(L850&lt;&gt;"",L850,E850*K850)))</f>
        <v/>
      </c>
      <c r="N850" s="20">
        <f>IF($A850="","",$A850-WEEKDAY($A850,2)+1)</f>
        <v/>
      </c>
      <c r="O850" s="20">
        <f>IF($A850="","",TEXT($A850,"yyyy-mm"))</f>
        <v/>
      </c>
      <c r="P850" s="21">
        <f>IF($A850="","",TEXT(YEAR($A850),"0000")&amp;"-Q"&amp;ROUNDUP(MONTH($A850)/3,0))</f>
        <v/>
      </c>
    </row>
    <row r="851">
      <c r="A851" s="22" t="n"/>
      <c r="B851" s="20" t="n"/>
      <c r="C851" s="20" t="n"/>
      <c r="D851" s="20">
        <f>IFERROR(INDEX(XPMenu!$A$2:$A$1000, MATCH(C851, XPMenu!$B$2:$B$1000, 0)), "")</f>
        <v/>
      </c>
      <c r="E851" s="20" t="n"/>
      <c r="F851" s="20" t="n"/>
      <c r="G851" s="20" t="n"/>
      <c r="H851" s="20" t="n"/>
      <c r="I851" s="20">
        <f>IFERROR(VLOOKUP(D851,XPMenu!$A:$F,2,FALSE),"")</f>
        <v/>
      </c>
      <c r="J851" s="20">
        <f>IFERROR(VLOOKUP(D851,XPMenu!$A:$F,3,FALSE),"")</f>
        <v/>
      </c>
      <c r="K851" s="20">
        <f>IFERROR(VLOOKUP(D851,XPMenu!$A:$F,4,FALSE),"")</f>
        <v/>
      </c>
      <c r="L851" s="20" t="n"/>
      <c r="M851" s="20">
        <f>IF(A851="","",IF(F851&lt;&gt;"Yes",0,IF(L851&lt;&gt;"",L851,E851*K851)))</f>
        <v/>
      </c>
      <c r="N851" s="20">
        <f>IF($A851="","",$A851-WEEKDAY($A851,2)+1)</f>
        <v/>
      </c>
      <c r="O851" s="20">
        <f>IF($A851="","",TEXT($A851,"yyyy-mm"))</f>
        <v/>
      </c>
      <c r="P851" s="21">
        <f>IF($A851="","",TEXT(YEAR($A851),"0000")&amp;"-Q"&amp;ROUNDUP(MONTH($A851)/3,0))</f>
        <v/>
      </c>
    </row>
    <row r="852">
      <c r="A852" s="22" t="n"/>
      <c r="B852" s="20" t="n"/>
      <c r="C852" s="20" t="n"/>
      <c r="D852" s="20">
        <f>IFERROR(INDEX(XPMenu!$A$2:$A$1000, MATCH(C852, XPMenu!$B$2:$B$1000, 0)), "")</f>
        <v/>
      </c>
      <c r="E852" s="20" t="n"/>
      <c r="F852" s="20" t="n"/>
      <c r="G852" s="20" t="n"/>
      <c r="H852" s="20" t="n"/>
      <c r="I852" s="20">
        <f>IFERROR(VLOOKUP(D852,XPMenu!$A:$F,2,FALSE),"")</f>
        <v/>
      </c>
      <c r="J852" s="20">
        <f>IFERROR(VLOOKUP(D852,XPMenu!$A:$F,3,FALSE),"")</f>
        <v/>
      </c>
      <c r="K852" s="20">
        <f>IFERROR(VLOOKUP(D852,XPMenu!$A:$F,4,FALSE),"")</f>
        <v/>
      </c>
      <c r="L852" s="20" t="n"/>
      <c r="M852" s="20">
        <f>IF(A852="","",IF(F852&lt;&gt;"Yes",0,IF(L852&lt;&gt;"",L852,E852*K852)))</f>
        <v/>
      </c>
      <c r="N852" s="20">
        <f>IF($A852="","",$A852-WEEKDAY($A852,2)+1)</f>
        <v/>
      </c>
      <c r="O852" s="20">
        <f>IF($A852="","",TEXT($A852,"yyyy-mm"))</f>
        <v/>
      </c>
      <c r="P852" s="21">
        <f>IF($A852="","",TEXT(YEAR($A852),"0000")&amp;"-Q"&amp;ROUNDUP(MONTH($A852)/3,0))</f>
        <v/>
      </c>
    </row>
    <row r="853">
      <c r="A853" s="22" t="n"/>
      <c r="B853" s="20" t="n"/>
      <c r="C853" s="20" t="n"/>
      <c r="D853" s="20">
        <f>IFERROR(INDEX(XPMenu!$A$2:$A$1000, MATCH(C853, XPMenu!$B$2:$B$1000, 0)), "")</f>
        <v/>
      </c>
      <c r="E853" s="20" t="n"/>
      <c r="F853" s="20" t="n"/>
      <c r="G853" s="20" t="n"/>
      <c r="H853" s="20" t="n"/>
      <c r="I853" s="20">
        <f>IFERROR(VLOOKUP(D853,XPMenu!$A:$F,2,FALSE),"")</f>
        <v/>
      </c>
      <c r="J853" s="20">
        <f>IFERROR(VLOOKUP(D853,XPMenu!$A:$F,3,FALSE),"")</f>
        <v/>
      </c>
      <c r="K853" s="20">
        <f>IFERROR(VLOOKUP(D853,XPMenu!$A:$F,4,FALSE),"")</f>
        <v/>
      </c>
      <c r="L853" s="20" t="n"/>
      <c r="M853" s="20">
        <f>IF(A853="","",IF(F853&lt;&gt;"Yes",0,IF(L853&lt;&gt;"",L853,E853*K853)))</f>
        <v/>
      </c>
      <c r="N853" s="20">
        <f>IF($A853="","",$A853-WEEKDAY($A853,2)+1)</f>
        <v/>
      </c>
      <c r="O853" s="20">
        <f>IF($A853="","",TEXT($A853,"yyyy-mm"))</f>
        <v/>
      </c>
      <c r="P853" s="21">
        <f>IF($A853="","",TEXT(YEAR($A853),"0000")&amp;"-Q"&amp;ROUNDUP(MONTH($A853)/3,0))</f>
        <v/>
      </c>
    </row>
    <row r="854">
      <c r="A854" s="22" t="n"/>
      <c r="B854" s="20" t="n"/>
      <c r="C854" s="20" t="n"/>
      <c r="D854" s="20">
        <f>IFERROR(INDEX(XPMenu!$A$2:$A$1000, MATCH(C854, XPMenu!$B$2:$B$1000, 0)), "")</f>
        <v/>
      </c>
      <c r="E854" s="20" t="n"/>
      <c r="F854" s="20" t="n"/>
      <c r="G854" s="20" t="n"/>
      <c r="H854" s="20" t="n"/>
      <c r="I854" s="20">
        <f>IFERROR(VLOOKUP(D854,XPMenu!$A:$F,2,FALSE),"")</f>
        <v/>
      </c>
      <c r="J854" s="20">
        <f>IFERROR(VLOOKUP(D854,XPMenu!$A:$F,3,FALSE),"")</f>
        <v/>
      </c>
      <c r="K854" s="20">
        <f>IFERROR(VLOOKUP(D854,XPMenu!$A:$F,4,FALSE),"")</f>
        <v/>
      </c>
      <c r="L854" s="20" t="n"/>
      <c r="M854" s="20">
        <f>IF(A854="","",IF(F854&lt;&gt;"Yes",0,IF(L854&lt;&gt;"",L854,E854*K854)))</f>
        <v/>
      </c>
      <c r="N854" s="20">
        <f>IF($A854="","",$A854-WEEKDAY($A854,2)+1)</f>
        <v/>
      </c>
      <c r="O854" s="20">
        <f>IF($A854="","",TEXT($A854,"yyyy-mm"))</f>
        <v/>
      </c>
      <c r="P854" s="21">
        <f>IF($A854="","",TEXT(YEAR($A854),"0000")&amp;"-Q"&amp;ROUNDUP(MONTH($A854)/3,0))</f>
        <v/>
      </c>
    </row>
    <row r="855">
      <c r="A855" s="22" t="n"/>
      <c r="B855" s="20" t="n"/>
      <c r="C855" s="20" t="n"/>
      <c r="D855" s="20">
        <f>IFERROR(INDEX(XPMenu!$A$2:$A$1000, MATCH(C855, XPMenu!$B$2:$B$1000, 0)), "")</f>
        <v/>
      </c>
      <c r="E855" s="20" t="n"/>
      <c r="F855" s="20" t="n"/>
      <c r="G855" s="20" t="n"/>
      <c r="H855" s="20" t="n"/>
      <c r="I855" s="20">
        <f>IFERROR(VLOOKUP(D855,XPMenu!$A:$F,2,FALSE),"")</f>
        <v/>
      </c>
      <c r="J855" s="20">
        <f>IFERROR(VLOOKUP(D855,XPMenu!$A:$F,3,FALSE),"")</f>
        <v/>
      </c>
      <c r="K855" s="20">
        <f>IFERROR(VLOOKUP(D855,XPMenu!$A:$F,4,FALSE),"")</f>
        <v/>
      </c>
      <c r="L855" s="20" t="n"/>
      <c r="M855" s="20">
        <f>IF(A855="","",IF(F855&lt;&gt;"Yes",0,IF(L855&lt;&gt;"",L855,E855*K855)))</f>
        <v/>
      </c>
      <c r="N855" s="20">
        <f>IF($A855="","",$A855-WEEKDAY($A855,2)+1)</f>
        <v/>
      </c>
      <c r="O855" s="20">
        <f>IF($A855="","",TEXT($A855,"yyyy-mm"))</f>
        <v/>
      </c>
      <c r="P855" s="21">
        <f>IF($A855="","",TEXT(YEAR($A855),"0000")&amp;"-Q"&amp;ROUNDUP(MONTH($A855)/3,0))</f>
        <v/>
      </c>
    </row>
    <row r="856">
      <c r="A856" s="22" t="n"/>
      <c r="B856" s="20" t="n"/>
      <c r="C856" s="20" t="n"/>
      <c r="D856" s="20">
        <f>IFERROR(INDEX(XPMenu!$A$2:$A$1000, MATCH(C856, XPMenu!$B$2:$B$1000, 0)), "")</f>
        <v/>
      </c>
      <c r="E856" s="20" t="n"/>
      <c r="F856" s="20" t="n"/>
      <c r="G856" s="20" t="n"/>
      <c r="H856" s="20" t="n"/>
      <c r="I856" s="20">
        <f>IFERROR(VLOOKUP(D856,XPMenu!$A:$F,2,FALSE),"")</f>
        <v/>
      </c>
      <c r="J856" s="20">
        <f>IFERROR(VLOOKUP(D856,XPMenu!$A:$F,3,FALSE),"")</f>
        <v/>
      </c>
      <c r="K856" s="20">
        <f>IFERROR(VLOOKUP(D856,XPMenu!$A:$F,4,FALSE),"")</f>
        <v/>
      </c>
      <c r="L856" s="20" t="n"/>
      <c r="M856" s="20">
        <f>IF(A856="","",IF(F856&lt;&gt;"Yes",0,IF(L856&lt;&gt;"",L856,E856*K856)))</f>
        <v/>
      </c>
      <c r="N856" s="20">
        <f>IF($A856="","",$A856-WEEKDAY($A856,2)+1)</f>
        <v/>
      </c>
      <c r="O856" s="20">
        <f>IF($A856="","",TEXT($A856,"yyyy-mm"))</f>
        <v/>
      </c>
      <c r="P856" s="21">
        <f>IF($A856="","",TEXT(YEAR($A856),"0000")&amp;"-Q"&amp;ROUNDUP(MONTH($A856)/3,0))</f>
        <v/>
      </c>
    </row>
    <row r="857">
      <c r="A857" s="22" t="n"/>
      <c r="B857" s="20" t="n"/>
      <c r="C857" s="20" t="n"/>
      <c r="D857" s="20">
        <f>IFERROR(INDEX(XPMenu!$A$2:$A$1000, MATCH(C857, XPMenu!$B$2:$B$1000, 0)), "")</f>
        <v/>
      </c>
      <c r="E857" s="20" t="n"/>
      <c r="F857" s="20" t="n"/>
      <c r="G857" s="20" t="n"/>
      <c r="H857" s="20" t="n"/>
      <c r="I857" s="20">
        <f>IFERROR(VLOOKUP(D857,XPMenu!$A:$F,2,FALSE),"")</f>
        <v/>
      </c>
      <c r="J857" s="20">
        <f>IFERROR(VLOOKUP(D857,XPMenu!$A:$F,3,FALSE),"")</f>
        <v/>
      </c>
      <c r="K857" s="20">
        <f>IFERROR(VLOOKUP(D857,XPMenu!$A:$F,4,FALSE),"")</f>
        <v/>
      </c>
      <c r="L857" s="20" t="n"/>
      <c r="M857" s="20">
        <f>IF(A857="","",IF(F857&lt;&gt;"Yes",0,IF(L857&lt;&gt;"",L857,E857*K857)))</f>
        <v/>
      </c>
      <c r="N857" s="20">
        <f>IF($A857="","",$A857-WEEKDAY($A857,2)+1)</f>
        <v/>
      </c>
      <c r="O857" s="20">
        <f>IF($A857="","",TEXT($A857,"yyyy-mm"))</f>
        <v/>
      </c>
      <c r="P857" s="21">
        <f>IF($A857="","",TEXT(YEAR($A857),"0000")&amp;"-Q"&amp;ROUNDUP(MONTH($A857)/3,0))</f>
        <v/>
      </c>
    </row>
    <row r="858">
      <c r="A858" s="22" t="n"/>
      <c r="B858" s="20" t="n"/>
      <c r="C858" s="20" t="n"/>
      <c r="D858" s="20">
        <f>IFERROR(INDEX(XPMenu!$A$2:$A$1000, MATCH(C858, XPMenu!$B$2:$B$1000, 0)), "")</f>
        <v/>
      </c>
      <c r="E858" s="20" t="n"/>
      <c r="F858" s="20" t="n"/>
      <c r="G858" s="20" t="n"/>
      <c r="H858" s="20" t="n"/>
      <c r="I858" s="20">
        <f>IFERROR(VLOOKUP(D858,XPMenu!$A:$F,2,FALSE),"")</f>
        <v/>
      </c>
      <c r="J858" s="20">
        <f>IFERROR(VLOOKUP(D858,XPMenu!$A:$F,3,FALSE),"")</f>
        <v/>
      </c>
      <c r="K858" s="20">
        <f>IFERROR(VLOOKUP(D858,XPMenu!$A:$F,4,FALSE),"")</f>
        <v/>
      </c>
      <c r="L858" s="20" t="n"/>
      <c r="M858" s="20">
        <f>IF(A858="","",IF(F858&lt;&gt;"Yes",0,IF(L858&lt;&gt;"",L858,E858*K858)))</f>
        <v/>
      </c>
      <c r="N858" s="20">
        <f>IF($A858="","",$A858-WEEKDAY($A858,2)+1)</f>
        <v/>
      </c>
      <c r="O858" s="20">
        <f>IF($A858="","",TEXT($A858,"yyyy-mm"))</f>
        <v/>
      </c>
      <c r="P858" s="21">
        <f>IF($A858="","",TEXT(YEAR($A858),"0000")&amp;"-Q"&amp;ROUNDUP(MONTH($A858)/3,0))</f>
        <v/>
      </c>
    </row>
    <row r="859">
      <c r="A859" s="22" t="n"/>
      <c r="B859" s="20" t="n"/>
      <c r="C859" s="20" t="n"/>
      <c r="D859" s="20">
        <f>IFERROR(INDEX(XPMenu!$A$2:$A$1000, MATCH(C859, XPMenu!$B$2:$B$1000, 0)), "")</f>
        <v/>
      </c>
      <c r="E859" s="20" t="n"/>
      <c r="F859" s="20" t="n"/>
      <c r="G859" s="20" t="n"/>
      <c r="H859" s="20" t="n"/>
      <c r="I859" s="20">
        <f>IFERROR(VLOOKUP(D859,XPMenu!$A:$F,2,FALSE),"")</f>
        <v/>
      </c>
      <c r="J859" s="20">
        <f>IFERROR(VLOOKUP(D859,XPMenu!$A:$F,3,FALSE),"")</f>
        <v/>
      </c>
      <c r="K859" s="20">
        <f>IFERROR(VLOOKUP(D859,XPMenu!$A:$F,4,FALSE),"")</f>
        <v/>
      </c>
      <c r="L859" s="20" t="n"/>
      <c r="M859" s="20">
        <f>IF(A859="","",IF(F859&lt;&gt;"Yes",0,IF(L859&lt;&gt;"",L859,E859*K859)))</f>
        <v/>
      </c>
      <c r="N859" s="20">
        <f>IF($A859="","",$A859-WEEKDAY($A859,2)+1)</f>
        <v/>
      </c>
      <c r="O859" s="20">
        <f>IF($A859="","",TEXT($A859,"yyyy-mm"))</f>
        <v/>
      </c>
      <c r="P859" s="21">
        <f>IF($A859="","",TEXT(YEAR($A859),"0000")&amp;"-Q"&amp;ROUNDUP(MONTH($A859)/3,0))</f>
        <v/>
      </c>
    </row>
    <row r="860">
      <c r="A860" s="22" t="n"/>
      <c r="B860" s="20" t="n"/>
      <c r="C860" s="20" t="n"/>
      <c r="D860" s="20">
        <f>IFERROR(INDEX(XPMenu!$A$2:$A$1000, MATCH(C860, XPMenu!$B$2:$B$1000, 0)), "")</f>
        <v/>
      </c>
      <c r="E860" s="20" t="n"/>
      <c r="F860" s="20" t="n"/>
      <c r="G860" s="20" t="n"/>
      <c r="H860" s="20" t="n"/>
      <c r="I860" s="20">
        <f>IFERROR(VLOOKUP(D860,XPMenu!$A:$F,2,FALSE),"")</f>
        <v/>
      </c>
      <c r="J860" s="20">
        <f>IFERROR(VLOOKUP(D860,XPMenu!$A:$F,3,FALSE),"")</f>
        <v/>
      </c>
      <c r="K860" s="20">
        <f>IFERROR(VLOOKUP(D860,XPMenu!$A:$F,4,FALSE),"")</f>
        <v/>
      </c>
      <c r="L860" s="20" t="n"/>
      <c r="M860" s="20">
        <f>IF(A860="","",IF(F860&lt;&gt;"Yes",0,IF(L860&lt;&gt;"",L860,E860*K860)))</f>
        <v/>
      </c>
      <c r="N860" s="20">
        <f>IF($A860="","",$A860-WEEKDAY($A860,2)+1)</f>
        <v/>
      </c>
      <c r="O860" s="20">
        <f>IF($A860="","",TEXT($A860,"yyyy-mm"))</f>
        <v/>
      </c>
      <c r="P860" s="21">
        <f>IF($A860="","",TEXT(YEAR($A860),"0000")&amp;"-Q"&amp;ROUNDUP(MONTH($A860)/3,0))</f>
        <v/>
      </c>
    </row>
    <row r="861">
      <c r="A861" s="22" t="n"/>
      <c r="B861" s="20" t="n"/>
      <c r="C861" s="20" t="n"/>
      <c r="D861" s="20">
        <f>IFERROR(INDEX(XPMenu!$A$2:$A$1000, MATCH(C861, XPMenu!$B$2:$B$1000, 0)), "")</f>
        <v/>
      </c>
      <c r="E861" s="20" t="n"/>
      <c r="F861" s="20" t="n"/>
      <c r="G861" s="20" t="n"/>
      <c r="H861" s="20" t="n"/>
      <c r="I861" s="20">
        <f>IFERROR(VLOOKUP(D861,XPMenu!$A:$F,2,FALSE),"")</f>
        <v/>
      </c>
      <c r="J861" s="20">
        <f>IFERROR(VLOOKUP(D861,XPMenu!$A:$F,3,FALSE),"")</f>
        <v/>
      </c>
      <c r="K861" s="20">
        <f>IFERROR(VLOOKUP(D861,XPMenu!$A:$F,4,FALSE),"")</f>
        <v/>
      </c>
      <c r="L861" s="20" t="n"/>
      <c r="M861" s="20">
        <f>IF(A861="","",IF(F861&lt;&gt;"Yes",0,IF(L861&lt;&gt;"",L861,E861*K861)))</f>
        <v/>
      </c>
      <c r="N861" s="20">
        <f>IF($A861="","",$A861-WEEKDAY($A861,2)+1)</f>
        <v/>
      </c>
      <c r="O861" s="20">
        <f>IF($A861="","",TEXT($A861,"yyyy-mm"))</f>
        <v/>
      </c>
      <c r="P861" s="21">
        <f>IF($A861="","",TEXT(YEAR($A861),"0000")&amp;"-Q"&amp;ROUNDUP(MONTH($A861)/3,0))</f>
        <v/>
      </c>
    </row>
    <row r="862">
      <c r="A862" s="22" t="n"/>
      <c r="B862" s="20" t="n"/>
      <c r="C862" s="20" t="n"/>
      <c r="D862" s="20">
        <f>IFERROR(INDEX(XPMenu!$A$2:$A$1000, MATCH(C862, XPMenu!$B$2:$B$1000, 0)), "")</f>
        <v/>
      </c>
      <c r="E862" s="20" t="n"/>
      <c r="F862" s="20" t="n"/>
      <c r="G862" s="20" t="n"/>
      <c r="H862" s="20" t="n"/>
      <c r="I862" s="20">
        <f>IFERROR(VLOOKUP(D862,XPMenu!$A:$F,2,FALSE),"")</f>
        <v/>
      </c>
      <c r="J862" s="20">
        <f>IFERROR(VLOOKUP(D862,XPMenu!$A:$F,3,FALSE),"")</f>
        <v/>
      </c>
      <c r="K862" s="20">
        <f>IFERROR(VLOOKUP(D862,XPMenu!$A:$F,4,FALSE),"")</f>
        <v/>
      </c>
      <c r="L862" s="20" t="n"/>
      <c r="M862" s="20">
        <f>IF(A862="","",IF(F862&lt;&gt;"Yes",0,IF(L862&lt;&gt;"",L862,E862*K862)))</f>
        <v/>
      </c>
      <c r="N862" s="20">
        <f>IF($A862="","",$A862-WEEKDAY($A862,2)+1)</f>
        <v/>
      </c>
      <c r="O862" s="20">
        <f>IF($A862="","",TEXT($A862,"yyyy-mm"))</f>
        <v/>
      </c>
      <c r="P862" s="21">
        <f>IF($A862="","",TEXT(YEAR($A862),"0000")&amp;"-Q"&amp;ROUNDUP(MONTH($A862)/3,0))</f>
        <v/>
      </c>
    </row>
    <row r="863">
      <c r="A863" s="22" t="n"/>
      <c r="B863" s="20" t="n"/>
      <c r="C863" s="20" t="n"/>
      <c r="D863" s="20">
        <f>IFERROR(INDEX(XPMenu!$A$2:$A$1000, MATCH(C863, XPMenu!$B$2:$B$1000, 0)), "")</f>
        <v/>
      </c>
      <c r="E863" s="20" t="n"/>
      <c r="F863" s="20" t="n"/>
      <c r="G863" s="20" t="n"/>
      <c r="H863" s="20" t="n"/>
      <c r="I863" s="20">
        <f>IFERROR(VLOOKUP(D863,XPMenu!$A:$F,2,FALSE),"")</f>
        <v/>
      </c>
      <c r="J863" s="20">
        <f>IFERROR(VLOOKUP(D863,XPMenu!$A:$F,3,FALSE),"")</f>
        <v/>
      </c>
      <c r="K863" s="20">
        <f>IFERROR(VLOOKUP(D863,XPMenu!$A:$F,4,FALSE),"")</f>
        <v/>
      </c>
      <c r="L863" s="20" t="n"/>
      <c r="M863" s="20">
        <f>IF(A863="","",IF(F863&lt;&gt;"Yes",0,IF(L863&lt;&gt;"",L863,E863*K863)))</f>
        <v/>
      </c>
      <c r="N863" s="20">
        <f>IF($A863="","",$A863-WEEKDAY($A863,2)+1)</f>
        <v/>
      </c>
      <c r="O863" s="20">
        <f>IF($A863="","",TEXT($A863,"yyyy-mm"))</f>
        <v/>
      </c>
      <c r="P863" s="21">
        <f>IF($A863="","",TEXT(YEAR($A863),"0000")&amp;"-Q"&amp;ROUNDUP(MONTH($A863)/3,0))</f>
        <v/>
      </c>
    </row>
    <row r="864">
      <c r="A864" s="22" t="n"/>
      <c r="B864" s="20" t="n"/>
      <c r="C864" s="20" t="n"/>
      <c r="D864" s="20">
        <f>IFERROR(INDEX(XPMenu!$A$2:$A$1000, MATCH(C864, XPMenu!$B$2:$B$1000, 0)), "")</f>
        <v/>
      </c>
      <c r="E864" s="20" t="n"/>
      <c r="F864" s="20" t="n"/>
      <c r="G864" s="20" t="n"/>
      <c r="H864" s="20" t="n"/>
      <c r="I864" s="20">
        <f>IFERROR(VLOOKUP(D864,XPMenu!$A:$F,2,FALSE),"")</f>
        <v/>
      </c>
      <c r="J864" s="20">
        <f>IFERROR(VLOOKUP(D864,XPMenu!$A:$F,3,FALSE),"")</f>
        <v/>
      </c>
      <c r="K864" s="20">
        <f>IFERROR(VLOOKUP(D864,XPMenu!$A:$F,4,FALSE),"")</f>
        <v/>
      </c>
      <c r="L864" s="20" t="n"/>
      <c r="M864" s="20">
        <f>IF(A864="","",IF(F864&lt;&gt;"Yes",0,IF(L864&lt;&gt;"",L864,E864*K864)))</f>
        <v/>
      </c>
      <c r="N864" s="20">
        <f>IF($A864="","",$A864-WEEKDAY($A864,2)+1)</f>
        <v/>
      </c>
      <c r="O864" s="20">
        <f>IF($A864="","",TEXT($A864,"yyyy-mm"))</f>
        <v/>
      </c>
      <c r="P864" s="21">
        <f>IF($A864="","",TEXT(YEAR($A864),"0000")&amp;"-Q"&amp;ROUNDUP(MONTH($A864)/3,0))</f>
        <v/>
      </c>
    </row>
    <row r="865">
      <c r="A865" s="22" t="n"/>
      <c r="B865" s="20" t="n"/>
      <c r="C865" s="20" t="n"/>
      <c r="D865" s="20">
        <f>IFERROR(INDEX(XPMenu!$A$2:$A$1000, MATCH(C865, XPMenu!$B$2:$B$1000, 0)), "")</f>
        <v/>
      </c>
      <c r="E865" s="20" t="n"/>
      <c r="F865" s="20" t="n"/>
      <c r="G865" s="20" t="n"/>
      <c r="H865" s="20" t="n"/>
      <c r="I865" s="20">
        <f>IFERROR(VLOOKUP(D865,XPMenu!$A:$F,2,FALSE),"")</f>
        <v/>
      </c>
      <c r="J865" s="20">
        <f>IFERROR(VLOOKUP(D865,XPMenu!$A:$F,3,FALSE),"")</f>
        <v/>
      </c>
      <c r="K865" s="20">
        <f>IFERROR(VLOOKUP(D865,XPMenu!$A:$F,4,FALSE),"")</f>
        <v/>
      </c>
      <c r="L865" s="20" t="n"/>
      <c r="M865" s="20">
        <f>IF(A865="","",IF(F865&lt;&gt;"Yes",0,IF(L865&lt;&gt;"",L865,E865*K865)))</f>
        <v/>
      </c>
      <c r="N865" s="20">
        <f>IF($A865="","",$A865-WEEKDAY($A865,2)+1)</f>
        <v/>
      </c>
      <c r="O865" s="20">
        <f>IF($A865="","",TEXT($A865,"yyyy-mm"))</f>
        <v/>
      </c>
      <c r="P865" s="21">
        <f>IF($A865="","",TEXT(YEAR($A865),"0000")&amp;"-Q"&amp;ROUNDUP(MONTH($A865)/3,0))</f>
        <v/>
      </c>
    </row>
    <row r="866">
      <c r="A866" s="22" t="n"/>
      <c r="B866" s="20" t="n"/>
      <c r="C866" s="20" t="n"/>
      <c r="D866" s="20">
        <f>IFERROR(INDEX(XPMenu!$A$2:$A$1000, MATCH(C866, XPMenu!$B$2:$B$1000, 0)), "")</f>
        <v/>
      </c>
      <c r="E866" s="20" t="n"/>
      <c r="F866" s="20" t="n"/>
      <c r="G866" s="20" t="n"/>
      <c r="H866" s="20" t="n"/>
      <c r="I866" s="20">
        <f>IFERROR(VLOOKUP(D866,XPMenu!$A:$F,2,FALSE),"")</f>
        <v/>
      </c>
      <c r="J866" s="20">
        <f>IFERROR(VLOOKUP(D866,XPMenu!$A:$F,3,FALSE),"")</f>
        <v/>
      </c>
      <c r="K866" s="20">
        <f>IFERROR(VLOOKUP(D866,XPMenu!$A:$F,4,FALSE),"")</f>
        <v/>
      </c>
      <c r="L866" s="20" t="n"/>
      <c r="M866" s="20">
        <f>IF(A866="","",IF(F866&lt;&gt;"Yes",0,IF(L866&lt;&gt;"",L866,E866*K866)))</f>
        <v/>
      </c>
      <c r="N866" s="20">
        <f>IF($A866="","",$A866-WEEKDAY($A866,2)+1)</f>
        <v/>
      </c>
      <c r="O866" s="20">
        <f>IF($A866="","",TEXT($A866,"yyyy-mm"))</f>
        <v/>
      </c>
      <c r="P866" s="21">
        <f>IF($A866="","",TEXT(YEAR($A866),"0000")&amp;"-Q"&amp;ROUNDUP(MONTH($A866)/3,0))</f>
        <v/>
      </c>
    </row>
    <row r="867">
      <c r="A867" s="22" t="n"/>
      <c r="B867" s="20" t="n"/>
      <c r="C867" s="20" t="n"/>
      <c r="D867" s="20">
        <f>IFERROR(INDEX(XPMenu!$A$2:$A$1000, MATCH(C867, XPMenu!$B$2:$B$1000, 0)), "")</f>
        <v/>
      </c>
      <c r="E867" s="20" t="n"/>
      <c r="F867" s="20" t="n"/>
      <c r="G867" s="20" t="n"/>
      <c r="H867" s="20" t="n"/>
      <c r="I867" s="20">
        <f>IFERROR(VLOOKUP(D867,XPMenu!$A:$F,2,FALSE),"")</f>
        <v/>
      </c>
      <c r="J867" s="20">
        <f>IFERROR(VLOOKUP(D867,XPMenu!$A:$F,3,FALSE),"")</f>
        <v/>
      </c>
      <c r="K867" s="20">
        <f>IFERROR(VLOOKUP(D867,XPMenu!$A:$F,4,FALSE),"")</f>
        <v/>
      </c>
      <c r="L867" s="20" t="n"/>
      <c r="M867" s="20">
        <f>IF(A867="","",IF(F867&lt;&gt;"Yes",0,IF(L867&lt;&gt;"",L867,E867*K867)))</f>
        <v/>
      </c>
      <c r="N867" s="20">
        <f>IF($A867="","",$A867-WEEKDAY($A867,2)+1)</f>
        <v/>
      </c>
      <c r="O867" s="20">
        <f>IF($A867="","",TEXT($A867,"yyyy-mm"))</f>
        <v/>
      </c>
      <c r="P867" s="21">
        <f>IF($A867="","",TEXT(YEAR($A867),"0000")&amp;"-Q"&amp;ROUNDUP(MONTH($A867)/3,0))</f>
        <v/>
      </c>
    </row>
    <row r="868">
      <c r="A868" s="22" t="n"/>
      <c r="B868" s="20" t="n"/>
      <c r="C868" s="20" t="n"/>
      <c r="D868" s="20">
        <f>IFERROR(INDEX(XPMenu!$A$2:$A$1000, MATCH(C868, XPMenu!$B$2:$B$1000, 0)), "")</f>
        <v/>
      </c>
      <c r="E868" s="20" t="n"/>
      <c r="F868" s="20" t="n"/>
      <c r="G868" s="20" t="n"/>
      <c r="H868" s="20" t="n"/>
      <c r="I868" s="20">
        <f>IFERROR(VLOOKUP(D868,XPMenu!$A:$F,2,FALSE),"")</f>
        <v/>
      </c>
      <c r="J868" s="20">
        <f>IFERROR(VLOOKUP(D868,XPMenu!$A:$F,3,FALSE),"")</f>
        <v/>
      </c>
      <c r="K868" s="20">
        <f>IFERROR(VLOOKUP(D868,XPMenu!$A:$F,4,FALSE),"")</f>
        <v/>
      </c>
      <c r="L868" s="20" t="n"/>
      <c r="M868" s="20">
        <f>IF(A868="","",IF(F868&lt;&gt;"Yes",0,IF(L868&lt;&gt;"",L868,E868*K868)))</f>
        <v/>
      </c>
      <c r="N868" s="20">
        <f>IF($A868="","",$A868-WEEKDAY($A868,2)+1)</f>
        <v/>
      </c>
      <c r="O868" s="20">
        <f>IF($A868="","",TEXT($A868,"yyyy-mm"))</f>
        <v/>
      </c>
      <c r="P868" s="21">
        <f>IF($A868="","",TEXT(YEAR($A868),"0000")&amp;"-Q"&amp;ROUNDUP(MONTH($A868)/3,0))</f>
        <v/>
      </c>
    </row>
    <row r="869">
      <c r="A869" s="22" t="n"/>
      <c r="B869" s="20" t="n"/>
      <c r="C869" s="20" t="n"/>
      <c r="D869" s="20">
        <f>IFERROR(INDEX(XPMenu!$A$2:$A$1000, MATCH(C869, XPMenu!$B$2:$B$1000, 0)), "")</f>
        <v/>
      </c>
      <c r="E869" s="20" t="n"/>
      <c r="F869" s="20" t="n"/>
      <c r="G869" s="20" t="n"/>
      <c r="H869" s="20" t="n"/>
      <c r="I869" s="20">
        <f>IFERROR(VLOOKUP(D869,XPMenu!$A:$F,2,FALSE),"")</f>
        <v/>
      </c>
      <c r="J869" s="20">
        <f>IFERROR(VLOOKUP(D869,XPMenu!$A:$F,3,FALSE),"")</f>
        <v/>
      </c>
      <c r="K869" s="20">
        <f>IFERROR(VLOOKUP(D869,XPMenu!$A:$F,4,FALSE),"")</f>
        <v/>
      </c>
      <c r="L869" s="20" t="n"/>
      <c r="M869" s="20">
        <f>IF(A869="","",IF(F869&lt;&gt;"Yes",0,IF(L869&lt;&gt;"",L869,E869*K869)))</f>
        <v/>
      </c>
      <c r="N869" s="20">
        <f>IF($A869="","",$A869-WEEKDAY($A869,2)+1)</f>
        <v/>
      </c>
      <c r="O869" s="20">
        <f>IF($A869="","",TEXT($A869,"yyyy-mm"))</f>
        <v/>
      </c>
      <c r="P869" s="21">
        <f>IF($A869="","",TEXT(YEAR($A869),"0000")&amp;"-Q"&amp;ROUNDUP(MONTH($A869)/3,0))</f>
        <v/>
      </c>
    </row>
    <row r="870">
      <c r="A870" s="22" t="n"/>
      <c r="B870" s="20" t="n"/>
      <c r="C870" s="20" t="n"/>
      <c r="D870" s="20">
        <f>IFERROR(INDEX(XPMenu!$A$2:$A$1000, MATCH(C870, XPMenu!$B$2:$B$1000, 0)), "")</f>
        <v/>
      </c>
      <c r="E870" s="20" t="n"/>
      <c r="F870" s="20" t="n"/>
      <c r="G870" s="20" t="n"/>
      <c r="H870" s="20" t="n"/>
      <c r="I870" s="20">
        <f>IFERROR(VLOOKUP(D870,XPMenu!$A:$F,2,FALSE),"")</f>
        <v/>
      </c>
      <c r="J870" s="20">
        <f>IFERROR(VLOOKUP(D870,XPMenu!$A:$F,3,FALSE),"")</f>
        <v/>
      </c>
      <c r="K870" s="20">
        <f>IFERROR(VLOOKUP(D870,XPMenu!$A:$F,4,FALSE),"")</f>
        <v/>
      </c>
      <c r="L870" s="20" t="n"/>
      <c r="M870" s="20">
        <f>IF(A870="","",IF(F870&lt;&gt;"Yes",0,IF(L870&lt;&gt;"",L870,E870*K870)))</f>
        <v/>
      </c>
      <c r="N870" s="20">
        <f>IF($A870="","",$A870-WEEKDAY($A870,2)+1)</f>
        <v/>
      </c>
      <c r="O870" s="20">
        <f>IF($A870="","",TEXT($A870,"yyyy-mm"))</f>
        <v/>
      </c>
      <c r="P870" s="21">
        <f>IF($A870="","",TEXT(YEAR($A870),"0000")&amp;"-Q"&amp;ROUNDUP(MONTH($A870)/3,0))</f>
        <v/>
      </c>
    </row>
    <row r="871">
      <c r="A871" s="22" t="n"/>
      <c r="B871" s="20" t="n"/>
      <c r="C871" s="20" t="n"/>
      <c r="D871" s="20">
        <f>IFERROR(INDEX(XPMenu!$A$2:$A$1000, MATCH(C871, XPMenu!$B$2:$B$1000, 0)), "")</f>
        <v/>
      </c>
      <c r="E871" s="20" t="n"/>
      <c r="F871" s="20" t="n"/>
      <c r="G871" s="20" t="n"/>
      <c r="H871" s="20" t="n"/>
      <c r="I871" s="20">
        <f>IFERROR(VLOOKUP(D871,XPMenu!$A:$F,2,FALSE),"")</f>
        <v/>
      </c>
      <c r="J871" s="20">
        <f>IFERROR(VLOOKUP(D871,XPMenu!$A:$F,3,FALSE),"")</f>
        <v/>
      </c>
      <c r="K871" s="20">
        <f>IFERROR(VLOOKUP(D871,XPMenu!$A:$F,4,FALSE),"")</f>
        <v/>
      </c>
      <c r="L871" s="20" t="n"/>
      <c r="M871" s="20">
        <f>IF(A871="","",IF(F871&lt;&gt;"Yes",0,IF(L871&lt;&gt;"",L871,E871*K871)))</f>
        <v/>
      </c>
      <c r="N871" s="20">
        <f>IF($A871="","",$A871-WEEKDAY($A871,2)+1)</f>
        <v/>
      </c>
      <c r="O871" s="20">
        <f>IF($A871="","",TEXT($A871,"yyyy-mm"))</f>
        <v/>
      </c>
      <c r="P871" s="21">
        <f>IF($A871="","",TEXT(YEAR($A871),"0000")&amp;"-Q"&amp;ROUNDUP(MONTH($A871)/3,0))</f>
        <v/>
      </c>
    </row>
    <row r="872">
      <c r="A872" s="22" t="n"/>
      <c r="B872" s="20" t="n"/>
      <c r="C872" s="20" t="n"/>
      <c r="D872" s="20">
        <f>IFERROR(INDEX(XPMenu!$A$2:$A$1000, MATCH(C872, XPMenu!$B$2:$B$1000, 0)), "")</f>
        <v/>
      </c>
      <c r="E872" s="20" t="n"/>
      <c r="F872" s="20" t="n"/>
      <c r="G872" s="20" t="n"/>
      <c r="H872" s="20" t="n"/>
      <c r="I872" s="20">
        <f>IFERROR(VLOOKUP(D872,XPMenu!$A:$F,2,FALSE),"")</f>
        <v/>
      </c>
      <c r="J872" s="20">
        <f>IFERROR(VLOOKUP(D872,XPMenu!$A:$F,3,FALSE),"")</f>
        <v/>
      </c>
      <c r="K872" s="20">
        <f>IFERROR(VLOOKUP(D872,XPMenu!$A:$F,4,FALSE),"")</f>
        <v/>
      </c>
      <c r="L872" s="20" t="n"/>
      <c r="M872" s="20">
        <f>IF(A872="","",IF(F872&lt;&gt;"Yes",0,IF(L872&lt;&gt;"",L872,E872*K872)))</f>
        <v/>
      </c>
      <c r="N872" s="20">
        <f>IF($A872="","",$A872-WEEKDAY($A872,2)+1)</f>
        <v/>
      </c>
      <c r="O872" s="20">
        <f>IF($A872="","",TEXT($A872,"yyyy-mm"))</f>
        <v/>
      </c>
      <c r="P872" s="21">
        <f>IF($A872="","",TEXT(YEAR($A872),"0000")&amp;"-Q"&amp;ROUNDUP(MONTH($A872)/3,0))</f>
        <v/>
      </c>
    </row>
    <row r="873">
      <c r="A873" s="22" t="n"/>
      <c r="B873" s="20" t="n"/>
      <c r="C873" s="20" t="n"/>
      <c r="D873" s="20">
        <f>IFERROR(INDEX(XPMenu!$A$2:$A$1000, MATCH(C873, XPMenu!$B$2:$B$1000, 0)), "")</f>
        <v/>
      </c>
      <c r="E873" s="20" t="n"/>
      <c r="F873" s="20" t="n"/>
      <c r="G873" s="20" t="n"/>
      <c r="H873" s="20" t="n"/>
      <c r="I873" s="20">
        <f>IFERROR(VLOOKUP(D873,XPMenu!$A:$F,2,FALSE),"")</f>
        <v/>
      </c>
      <c r="J873" s="20">
        <f>IFERROR(VLOOKUP(D873,XPMenu!$A:$F,3,FALSE),"")</f>
        <v/>
      </c>
      <c r="K873" s="20">
        <f>IFERROR(VLOOKUP(D873,XPMenu!$A:$F,4,FALSE),"")</f>
        <v/>
      </c>
      <c r="L873" s="20" t="n"/>
      <c r="M873" s="20">
        <f>IF(A873="","",IF(F873&lt;&gt;"Yes",0,IF(L873&lt;&gt;"",L873,E873*K873)))</f>
        <v/>
      </c>
      <c r="N873" s="20">
        <f>IF($A873="","",$A873-WEEKDAY($A873,2)+1)</f>
        <v/>
      </c>
      <c r="O873" s="20">
        <f>IF($A873="","",TEXT($A873,"yyyy-mm"))</f>
        <v/>
      </c>
      <c r="P873" s="21">
        <f>IF($A873="","",TEXT(YEAR($A873),"0000")&amp;"-Q"&amp;ROUNDUP(MONTH($A873)/3,0))</f>
        <v/>
      </c>
    </row>
    <row r="874">
      <c r="A874" s="22" t="n"/>
      <c r="B874" s="20" t="n"/>
      <c r="C874" s="20" t="n"/>
      <c r="D874" s="20">
        <f>IFERROR(INDEX(XPMenu!$A$2:$A$1000, MATCH(C874, XPMenu!$B$2:$B$1000, 0)), "")</f>
        <v/>
      </c>
      <c r="E874" s="20" t="n"/>
      <c r="F874" s="20" t="n"/>
      <c r="G874" s="20" t="n"/>
      <c r="H874" s="20" t="n"/>
      <c r="I874" s="20">
        <f>IFERROR(VLOOKUP(D874,XPMenu!$A:$F,2,FALSE),"")</f>
        <v/>
      </c>
      <c r="J874" s="20">
        <f>IFERROR(VLOOKUP(D874,XPMenu!$A:$F,3,FALSE),"")</f>
        <v/>
      </c>
      <c r="K874" s="20">
        <f>IFERROR(VLOOKUP(D874,XPMenu!$A:$F,4,FALSE),"")</f>
        <v/>
      </c>
      <c r="L874" s="20" t="n"/>
      <c r="M874" s="20">
        <f>IF(A874="","",IF(F874&lt;&gt;"Yes",0,IF(L874&lt;&gt;"",L874,E874*K874)))</f>
        <v/>
      </c>
      <c r="N874" s="20">
        <f>IF($A874="","",$A874-WEEKDAY($A874,2)+1)</f>
        <v/>
      </c>
      <c r="O874" s="20">
        <f>IF($A874="","",TEXT($A874,"yyyy-mm"))</f>
        <v/>
      </c>
      <c r="P874" s="21">
        <f>IF($A874="","",TEXT(YEAR($A874),"0000")&amp;"-Q"&amp;ROUNDUP(MONTH($A874)/3,0))</f>
        <v/>
      </c>
    </row>
    <row r="875">
      <c r="A875" s="22" t="n"/>
      <c r="B875" s="20" t="n"/>
      <c r="C875" s="20" t="n"/>
      <c r="D875" s="20">
        <f>IFERROR(INDEX(XPMenu!$A$2:$A$1000, MATCH(C875, XPMenu!$B$2:$B$1000, 0)), "")</f>
        <v/>
      </c>
      <c r="E875" s="20" t="n"/>
      <c r="F875" s="20" t="n"/>
      <c r="G875" s="20" t="n"/>
      <c r="H875" s="20" t="n"/>
      <c r="I875" s="20">
        <f>IFERROR(VLOOKUP(D875,XPMenu!$A:$F,2,FALSE),"")</f>
        <v/>
      </c>
      <c r="J875" s="20">
        <f>IFERROR(VLOOKUP(D875,XPMenu!$A:$F,3,FALSE),"")</f>
        <v/>
      </c>
      <c r="K875" s="20">
        <f>IFERROR(VLOOKUP(D875,XPMenu!$A:$F,4,FALSE),"")</f>
        <v/>
      </c>
      <c r="L875" s="20" t="n"/>
      <c r="M875" s="20">
        <f>IF(A875="","",IF(F875&lt;&gt;"Yes",0,IF(L875&lt;&gt;"",L875,E875*K875)))</f>
        <v/>
      </c>
      <c r="N875" s="20">
        <f>IF($A875="","",$A875-WEEKDAY($A875,2)+1)</f>
        <v/>
      </c>
      <c r="O875" s="20">
        <f>IF($A875="","",TEXT($A875,"yyyy-mm"))</f>
        <v/>
      </c>
      <c r="P875" s="21">
        <f>IF($A875="","",TEXT(YEAR($A875),"0000")&amp;"-Q"&amp;ROUNDUP(MONTH($A875)/3,0))</f>
        <v/>
      </c>
    </row>
    <row r="876">
      <c r="A876" s="22" t="n"/>
      <c r="B876" s="20" t="n"/>
      <c r="C876" s="20" t="n"/>
      <c r="D876" s="20">
        <f>IFERROR(INDEX(XPMenu!$A$2:$A$1000, MATCH(C876, XPMenu!$B$2:$B$1000, 0)), "")</f>
        <v/>
      </c>
      <c r="E876" s="20" t="n"/>
      <c r="F876" s="20" t="n"/>
      <c r="G876" s="20" t="n"/>
      <c r="H876" s="20" t="n"/>
      <c r="I876" s="20">
        <f>IFERROR(VLOOKUP(D876,XPMenu!$A:$F,2,FALSE),"")</f>
        <v/>
      </c>
      <c r="J876" s="20">
        <f>IFERROR(VLOOKUP(D876,XPMenu!$A:$F,3,FALSE),"")</f>
        <v/>
      </c>
      <c r="K876" s="20">
        <f>IFERROR(VLOOKUP(D876,XPMenu!$A:$F,4,FALSE),"")</f>
        <v/>
      </c>
      <c r="L876" s="20" t="n"/>
      <c r="M876" s="20">
        <f>IF(A876="","",IF(F876&lt;&gt;"Yes",0,IF(L876&lt;&gt;"",L876,E876*K876)))</f>
        <v/>
      </c>
      <c r="N876" s="20">
        <f>IF($A876="","",$A876-WEEKDAY($A876,2)+1)</f>
        <v/>
      </c>
      <c r="O876" s="20">
        <f>IF($A876="","",TEXT($A876,"yyyy-mm"))</f>
        <v/>
      </c>
      <c r="P876" s="21">
        <f>IF($A876="","",TEXT(YEAR($A876),"0000")&amp;"-Q"&amp;ROUNDUP(MONTH($A876)/3,0))</f>
        <v/>
      </c>
    </row>
    <row r="877">
      <c r="A877" s="22" t="n"/>
      <c r="B877" s="20" t="n"/>
      <c r="C877" s="20" t="n"/>
      <c r="D877" s="20">
        <f>IFERROR(INDEX(XPMenu!$A$2:$A$1000, MATCH(C877, XPMenu!$B$2:$B$1000, 0)), "")</f>
        <v/>
      </c>
      <c r="E877" s="20" t="n"/>
      <c r="F877" s="20" t="n"/>
      <c r="G877" s="20" t="n"/>
      <c r="H877" s="20" t="n"/>
      <c r="I877" s="20">
        <f>IFERROR(VLOOKUP(D877,XPMenu!$A:$F,2,FALSE),"")</f>
        <v/>
      </c>
      <c r="J877" s="20">
        <f>IFERROR(VLOOKUP(D877,XPMenu!$A:$F,3,FALSE),"")</f>
        <v/>
      </c>
      <c r="K877" s="20">
        <f>IFERROR(VLOOKUP(D877,XPMenu!$A:$F,4,FALSE),"")</f>
        <v/>
      </c>
      <c r="L877" s="20" t="n"/>
      <c r="M877" s="20">
        <f>IF(A877="","",IF(F877&lt;&gt;"Yes",0,IF(L877&lt;&gt;"",L877,E877*K877)))</f>
        <v/>
      </c>
      <c r="N877" s="20">
        <f>IF($A877="","",$A877-WEEKDAY($A877,2)+1)</f>
        <v/>
      </c>
      <c r="O877" s="20">
        <f>IF($A877="","",TEXT($A877,"yyyy-mm"))</f>
        <v/>
      </c>
      <c r="P877" s="21">
        <f>IF($A877="","",TEXT(YEAR($A877),"0000")&amp;"-Q"&amp;ROUNDUP(MONTH($A877)/3,0))</f>
        <v/>
      </c>
    </row>
    <row r="878">
      <c r="A878" s="22" t="n"/>
      <c r="B878" s="20" t="n"/>
      <c r="C878" s="20" t="n"/>
      <c r="D878" s="20">
        <f>IFERROR(INDEX(XPMenu!$A$2:$A$1000, MATCH(C878, XPMenu!$B$2:$B$1000, 0)), "")</f>
        <v/>
      </c>
      <c r="E878" s="20" t="n"/>
      <c r="F878" s="20" t="n"/>
      <c r="G878" s="20" t="n"/>
      <c r="H878" s="20" t="n"/>
      <c r="I878" s="20">
        <f>IFERROR(VLOOKUP(D878,XPMenu!$A:$F,2,FALSE),"")</f>
        <v/>
      </c>
      <c r="J878" s="20">
        <f>IFERROR(VLOOKUP(D878,XPMenu!$A:$F,3,FALSE),"")</f>
        <v/>
      </c>
      <c r="K878" s="20">
        <f>IFERROR(VLOOKUP(D878,XPMenu!$A:$F,4,FALSE),"")</f>
        <v/>
      </c>
      <c r="L878" s="20" t="n"/>
      <c r="M878" s="20">
        <f>IF(A878="","",IF(F878&lt;&gt;"Yes",0,IF(L878&lt;&gt;"",L878,E878*K878)))</f>
        <v/>
      </c>
      <c r="N878" s="20">
        <f>IF($A878="","",$A878-WEEKDAY($A878,2)+1)</f>
        <v/>
      </c>
      <c r="O878" s="20">
        <f>IF($A878="","",TEXT($A878,"yyyy-mm"))</f>
        <v/>
      </c>
      <c r="P878" s="21">
        <f>IF($A878="","",TEXT(YEAR($A878),"0000")&amp;"-Q"&amp;ROUNDUP(MONTH($A878)/3,0))</f>
        <v/>
      </c>
    </row>
    <row r="879">
      <c r="A879" s="22" t="n"/>
      <c r="B879" s="20" t="n"/>
      <c r="C879" s="20" t="n"/>
      <c r="D879" s="20">
        <f>IFERROR(INDEX(XPMenu!$A$2:$A$1000, MATCH(C879, XPMenu!$B$2:$B$1000, 0)), "")</f>
        <v/>
      </c>
      <c r="E879" s="20" t="n"/>
      <c r="F879" s="20" t="n"/>
      <c r="G879" s="20" t="n"/>
      <c r="H879" s="20" t="n"/>
      <c r="I879" s="20">
        <f>IFERROR(VLOOKUP(D879,XPMenu!$A:$F,2,FALSE),"")</f>
        <v/>
      </c>
      <c r="J879" s="20">
        <f>IFERROR(VLOOKUP(D879,XPMenu!$A:$F,3,FALSE),"")</f>
        <v/>
      </c>
      <c r="K879" s="20">
        <f>IFERROR(VLOOKUP(D879,XPMenu!$A:$F,4,FALSE),"")</f>
        <v/>
      </c>
      <c r="L879" s="20" t="n"/>
      <c r="M879" s="20">
        <f>IF(A879="","",IF(F879&lt;&gt;"Yes",0,IF(L879&lt;&gt;"",L879,E879*K879)))</f>
        <v/>
      </c>
      <c r="N879" s="20">
        <f>IF($A879="","",$A879-WEEKDAY($A879,2)+1)</f>
        <v/>
      </c>
      <c r="O879" s="20">
        <f>IF($A879="","",TEXT($A879,"yyyy-mm"))</f>
        <v/>
      </c>
      <c r="P879" s="21">
        <f>IF($A879="","",TEXT(YEAR($A879),"0000")&amp;"-Q"&amp;ROUNDUP(MONTH($A879)/3,0))</f>
        <v/>
      </c>
    </row>
    <row r="880">
      <c r="A880" s="22" t="n"/>
      <c r="B880" s="20" t="n"/>
      <c r="C880" s="20" t="n"/>
      <c r="D880" s="20">
        <f>IFERROR(INDEX(XPMenu!$A$2:$A$1000, MATCH(C880, XPMenu!$B$2:$B$1000, 0)), "")</f>
        <v/>
      </c>
      <c r="E880" s="20" t="n"/>
      <c r="F880" s="20" t="n"/>
      <c r="G880" s="20" t="n"/>
      <c r="H880" s="20" t="n"/>
      <c r="I880" s="20">
        <f>IFERROR(VLOOKUP(D880,XPMenu!$A:$F,2,FALSE),"")</f>
        <v/>
      </c>
      <c r="J880" s="20">
        <f>IFERROR(VLOOKUP(D880,XPMenu!$A:$F,3,FALSE),"")</f>
        <v/>
      </c>
      <c r="K880" s="20">
        <f>IFERROR(VLOOKUP(D880,XPMenu!$A:$F,4,FALSE),"")</f>
        <v/>
      </c>
      <c r="L880" s="20" t="n"/>
      <c r="M880" s="20">
        <f>IF(A880="","",IF(F880&lt;&gt;"Yes",0,IF(L880&lt;&gt;"",L880,E880*K880)))</f>
        <v/>
      </c>
      <c r="N880" s="20">
        <f>IF($A880="","",$A880-WEEKDAY($A880,2)+1)</f>
        <v/>
      </c>
      <c r="O880" s="20">
        <f>IF($A880="","",TEXT($A880,"yyyy-mm"))</f>
        <v/>
      </c>
      <c r="P880" s="21">
        <f>IF($A880="","",TEXT(YEAR($A880),"0000")&amp;"-Q"&amp;ROUNDUP(MONTH($A880)/3,0))</f>
        <v/>
      </c>
    </row>
    <row r="881">
      <c r="A881" s="22" t="n"/>
      <c r="B881" s="20" t="n"/>
      <c r="C881" s="20" t="n"/>
      <c r="D881" s="20">
        <f>IFERROR(INDEX(XPMenu!$A$2:$A$1000, MATCH(C881, XPMenu!$B$2:$B$1000, 0)), "")</f>
        <v/>
      </c>
      <c r="E881" s="20" t="n"/>
      <c r="F881" s="20" t="n"/>
      <c r="G881" s="20" t="n"/>
      <c r="H881" s="20" t="n"/>
      <c r="I881" s="20">
        <f>IFERROR(VLOOKUP(D881,XPMenu!$A:$F,2,FALSE),"")</f>
        <v/>
      </c>
      <c r="J881" s="20">
        <f>IFERROR(VLOOKUP(D881,XPMenu!$A:$F,3,FALSE),"")</f>
        <v/>
      </c>
      <c r="K881" s="20">
        <f>IFERROR(VLOOKUP(D881,XPMenu!$A:$F,4,FALSE),"")</f>
        <v/>
      </c>
      <c r="L881" s="20" t="n"/>
      <c r="M881" s="20">
        <f>IF(A881="","",IF(F881&lt;&gt;"Yes",0,IF(L881&lt;&gt;"",L881,E881*K881)))</f>
        <v/>
      </c>
      <c r="N881" s="20">
        <f>IF($A881="","",$A881-WEEKDAY($A881,2)+1)</f>
        <v/>
      </c>
      <c r="O881" s="20">
        <f>IF($A881="","",TEXT($A881,"yyyy-mm"))</f>
        <v/>
      </c>
      <c r="P881" s="21">
        <f>IF($A881="","",TEXT(YEAR($A881),"0000")&amp;"-Q"&amp;ROUNDUP(MONTH($A881)/3,0))</f>
        <v/>
      </c>
    </row>
    <row r="882">
      <c r="A882" s="22" t="n"/>
      <c r="B882" s="20" t="n"/>
      <c r="C882" s="20" t="n"/>
      <c r="D882" s="20">
        <f>IFERROR(INDEX(XPMenu!$A$2:$A$1000, MATCH(C882, XPMenu!$B$2:$B$1000, 0)), "")</f>
        <v/>
      </c>
      <c r="E882" s="20" t="n"/>
      <c r="F882" s="20" t="n"/>
      <c r="G882" s="20" t="n"/>
      <c r="H882" s="20" t="n"/>
      <c r="I882" s="20">
        <f>IFERROR(VLOOKUP(D882,XPMenu!$A:$F,2,FALSE),"")</f>
        <v/>
      </c>
      <c r="J882" s="20">
        <f>IFERROR(VLOOKUP(D882,XPMenu!$A:$F,3,FALSE),"")</f>
        <v/>
      </c>
      <c r="K882" s="20">
        <f>IFERROR(VLOOKUP(D882,XPMenu!$A:$F,4,FALSE),"")</f>
        <v/>
      </c>
      <c r="L882" s="20" t="n"/>
      <c r="M882" s="20">
        <f>IF(A882="","",IF(F882&lt;&gt;"Yes",0,IF(L882&lt;&gt;"",L882,E882*K882)))</f>
        <v/>
      </c>
      <c r="N882" s="20">
        <f>IF($A882="","",$A882-WEEKDAY($A882,2)+1)</f>
        <v/>
      </c>
      <c r="O882" s="20">
        <f>IF($A882="","",TEXT($A882,"yyyy-mm"))</f>
        <v/>
      </c>
      <c r="P882" s="21">
        <f>IF($A882="","",TEXT(YEAR($A882),"0000")&amp;"-Q"&amp;ROUNDUP(MONTH($A882)/3,0))</f>
        <v/>
      </c>
    </row>
    <row r="883">
      <c r="A883" s="22" t="n"/>
      <c r="B883" s="20" t="n"/>
      <c r="C883" s="20" t="n"/>
      <c r="D883" s="20">
        <f>IFERROR(INDEX(XPMenu!$A$2:$A$1000, MATCH(C883, XPMenu!$B$2:$B$1000, 0)), "")</f>
        <v/>
      </c>
      <c r="E883" s="20" t="n"/>
      <c r="F883" s="20" t="n"/>
      <c r="G883" s="20" t="n"/>
      <c r="H883" s="20" t="n"/>
      <c r="I883" s="20">
        <f>IFERROR(VLOOKUP(D883,XPMenu!$A:$F,2,FALSE),"")</f>
        <v/>
      </c>
      <c r="J883" s="20">
        <f>IFERROR(VLOOKUP(D883,XPMenu!$A:$F,3,FALSE),"")</f>
        <v/>
      </c>
      <c r="K883" s="20">
        <f>IFERROR(VLOOKUP(D883,XPMenu!$A:$F,4,FALSE),"")</f>
        <v/>
      </c>
      <c r="L883" s="20" t="n"/>
      <c r="M883" s="20">
        <f>IF(A883="","",IF(F883&lt;&gt;"Yes",0,IF(L883&lt;&gt;"",L883,E883*K883)))</f>
        <v/>
      </c>
      <c r="N883" s="20">
        <f>IF($A883="","",$A883-WEEKDAY($A883,2)+1)</f>
        <v/>
      </c>
      <c r="O883" s="20">
        <f>IF($A883="","",TEXT($A883,"yyyy-mm"))</f>
        <v/>
      </c>
      <c r="P883" s="21">
        <f>IF($A883="","",TEXT(YEAR($A883),"0000")&amp;"-Q"&amp;ROUNDUP(MONTH($A883)/3,0))</f>
        <v/>
      </c>
    </row>
    <row r="884">
      <c r="A884" s="22" t="n"/>
      <c r="B884" s="20" t="n"/>
      <c r="C884" s="20" t="n"/>
      <c r="D884" s="20">
        <f>IFERROR(INDEX(XPMenu!$A$2:$A$1000, MATCH(C884, XPMenu!$B$2:$B$1000, 0)), "")</f>
        <v/>
      </c>
      <c r="E884" s="20" t="n"/>
      <c r="F884" s="20" t="n"/>
      <c r="G884" s="20" t="n"/>
      <c r="H884" s="20" t="n"/>
      <c r="I884" s="20">
        <f>IFERROR(VLOOKUP(D884,XPMenu!$A:$F,2,FALSE),"")</f>
        <v/>
      </c>
      <c r="J884" s="20">
        <f>IFERROR(VLOOKUP(D884,XPMenu!$A:$F,3,FALSE),"")</f>
        <v/>
      </c>
      <c r="K884" s="20">
        <f>IFERROR(VLOOKUP(D884,XPMenu!$A:$F,4,FALSE),"")</f>
        <v/>
      </c>
      <c r="L884" s="20" t="n"/>
      <c r="M884" s="20">
        <f>IF(A884="","",IF(F884&lt;&gt;"Yes",0,IF(L884&lt;&gt;"",L884,E884*K884)))</f>
        <v/>
      </c>
      <c r="N884" s="20">
        <f>IF($A884="","",$A884-WEEKDAY($A884,2)+1)</f>
        <v/>
      </c>
      <c r="O884" s="20">
        <f>IF($A884="","",TEXT($A884,"yyyy-mm"))</f>
        <v/>
      </c>
      <c r="P884" s="21">
        <f>IF($A884="","",TEXT(YEAR($A884),"0000")&amp;"-Q"&amp;ROUNDUP(MONTH($A884)/3,0))</f>
        <v/>
      </c>
    </row>
    <row r="885">
      <c r="A885" s="22" t="n"/>
      <c r="B885" s="20" t="n"/>
      <c r="C885" s="20" t="n"/>
      <c r="D885" s="20">
        <f>IFERROR(INDEX(XPMenu!$A$2:$A$1000, MATCH(C885, XPMenu!$B$2:$B$1000, 0)), "")</f>
        <v/>
      </c>
      <c r="E885" s="20" t="n"/>
      <c r="F885" s="20" t="n"/>
      <c r="G885" s="20" t="n"/>
      <c r="H885" s="20" t="n"/>
      <c r="I885" s="20">
        <f>IFERROR(VLOOKUP(D885,XPMenu!$A:$F,2,FALSE),"")</f>
        <v/>
      </c>
      <c r="J885" s="20">
        <f>IFERROR(VLOOKUP(D885,XPMenu!$A:$F,3,FALSE),"")</f>
        <v/>
      </c>
      <c r="K885" s="20">
        <f>IFERROR(VLOOKUP(D885,XPMenu!$A:$F,4,FALSE),"")</f>
        <v/>
      </c>
      <c r="L885" s="20" t="n"/>
      <c r="M885" s="20">
        <f>IF(A885="","",IF(F885&lt;&gt;"Yes",0,IF(L885&lt;&gt;"",L885,E885*K885)))</f>
        <v/>
      </c>
      <c r="N885" s="20">
        <f>IF($A885="","",$A885-WEEKDAY($A885,2)+1)</f>
        <v/>
      </c>
      <c r="O885" s="20">
        <f>IF($A885="","",TEXT($A885,"yyyy-mm"))</f>
        <v/>
      </c>
      <c r="P885" s="21">
        <f>IF($A885="","",TEXT(YEAR($A885),"0000")&amp;"-Q"&amp;ROUNDUP(MONTH($A885)/3,0))</f>
        <v/>
      </c>
    </row>
    <row r="886">
      <c r="A886" s="22" t="n"/>
      <c r="B886" s="20" t="n"/>
      <c r="C886" s="20" t="n"/>
      <c r="D886" s="20">
        <f>IFERROR(INDEX(XPMenu!$A$2:$A$1000, MATCH(C886, XPMenu!$B$2:$B$1000, 0)), "")</f>
        <v/>
      </c>
      <c r="E886" s="20" t="n"/>
      <c r="F886" s="20" t="n"/>
      <c r="G886" s="20" t="n"/>
      <c r="H886" s="20" t="n"/>
      <c r="I886" s="20">
        <f>IFERROR(VLOOKUP(D886,XPMenu!$A:$F,2,FALSE),"")</f>
        <v/>
      </c>
      <c r="J886" s="20">
        <f>IFERROR(VLOOKUP(D886,XPMenu!$A:$F,3,FALSE),"")</f>
        <v/>
      </c>
      <c r="K886" s="20">
        <f>IFERROR(VLOOKUP(D886,XPMenu!$A:$F,4,FALSE),"")</f>
        <v/>
      </c>
      <c r="L886" s="20" t="n"/>
      <c r="M886" s="20">
        <f>IF(A886="","",IF(F886&lt;&gt;"Yes",0,IF(L886&lt;&gt;"",L886,E886*K886)))</f>
        <v/>
      </c>
      <c r="N886" s="20">
        <f>IF($A886="","",$A886-WEEKDAY($A886,2)+1)</f>
        <v/>
      </c>
      <c r="O886" s="20">
        <f>IF($A886="","",TEXT($A886,"yyyy-mm"))</f>
        <v/>
      </c>
      <c r="P886" s="21">
        <f>IF($A886="","",TEXT(YEAR($A886),"0000")&amp;"-Q"&amp;ROUNDUP(MONTH($A886)/3,0))</f>
        <v/>
      </c>
    </row>
    <row r="887">
      <c r="A887" s="22" t="n"/>
      <c r="B887" s="20" t="n"/>
      <c r="C887" s="20" t="n"/>
      <c r="D887" s="20">
        <f>IFERROR(INDEX(XPMenu!$A$2:$A$1000, MATCH(C887, XPMenu!$B$2:$B$1000, 0)), "")</f>
        <v/>
      </c>
      <c r="E887" s="20" t="n"/>
      <c r="F887" s="20" t="n"/>
      <c r="G887" s="20" t="n"/>
      <c r="H887" s="20" t="n"/>
      <c r="I887" s="20">
        <f>IFERROR(VLOOKUP(D887,XPMenu!$A:$F,2,FALSE),"")</f>
        <v/>
      </c>
      <c r="J887" s="20">
        <f>IFERROR(VLOOKUP(D887,XPMenu!$A:$F,3,FALSE),"")</f>
        <v/>
      </c>
      <c r="K887" s="20">
        <f>IFERROR(VLOOKUP(D887,XPMenu!$A:$F,4,FALSE),"")</f>
        <v/>
      </c>
      <c r="L887" s="20" t="n"/>
      <c r="M887" s="20">
        <f>IF(A887="","",IF(F887&lt;&gt;"Yes",0,IF(L887&lt;&gt;"",L887,E887*K887)))</f>
        <v/>
      </c>
      <c r="N887" s="20">
        <f>IF($A887="","",$A887-WEEKDAY($A887,2)+1)</f>
        <v/>
      </c>
      <c r="O887" s="20">
        <f>IF($A887="","",TEXT($A887,"yyyy-mm"))</f>
        <v/>
      </c>
      <c r="P887" s="21">
        <f>IF($A887="","",TEXT(YEAR($A887),"0000")&amp;"-Q"&amp;ROUNDUP(MONTH($A887)/3,0))</f>
        <v/>
      </c>
    </row>
    <row r="888">
      <c r="A888" s="22" t="n"/>
      <c r="B888" s="20" t="n"/>
      <c r="C888" s="20" t="n"/>
      <c r="D888" s="20">
        <f>IFERROR(INDEX(XPMenu!$A$2:$A$1000, MATCH(C888, XPMenu!$B$2:$B$1000, 0)), "")</f>
        <v/>
      </c>
      <c r="E888" s="20" t="n"/>
      <c r="F888" s="20" t="n"/>
      <c r="G888" s="20" t="n"/>
      <c r="H888" s="20" t="n"/>
      <c r="I888" s="20">
        <f>IFERROR(VLOOKUP(D888,XPMenu!$A:$F,2,FALSE),"")</f>
        <v/>
      </c>
      <c r="J888" s="20">
        <f>IFERROR(VLOOKUP(D888,XPMenu!$A:$F,3,FALSE),"")</f>
        <v/>
      </c>
      <c r="K888" s="20">
        <f>IFERROR(VLOOKUP(D888,XPMenu!$A:$F,4,FALSE),"")</f>
        <v/>
      </c>
      <c r="L888" s="20" t="n"/>
      <c r="M888" s="20">
        <f>IF(A888="","",IF(F888&lt;&gt;"Yes",0,IF(L888&lt;&gt;"",L888,E888*K888)))</f>
        <v/>
      </c>
      <c r="N888" s="20">
        <f>IF($A888="","",$A888-WEEKDAY($A888,2)+1)</f>
        <v/>
      </c>
      <c r="O888" s="20">
        <f>IF($A888="","",TEXT($A888,"yyyy-mm"))</f>
        <v/>
      </c>
      <c r="P888" s="21">
        <f>IF($A888="","",TEXT(YEAR($A888),"0000")&amp;"-Q"&amp;ROUNDUP(MONTH($A888)/3,0))</f>
        <v/>
      </c>
    </row>
    <row r="889">
      <c r="A889" s="22" t="n"/>
      <c r="B889" s="20" t="n"/>
      <c r="C889" s="20" t="n"/>
      <c r="D889" s="20">
        <f>IFERROR(INDEX(XPMenu!$A$2:$A$1000, MATCH(C889, XPMenu!$B$2:$B$1000, 0)), "")</f>
        <v/>
      </c>
      <c r="E889" s="20" t="n"/>
      <c r="F889" s="20" t="n"/>
      <c r="G889" s="20" t="n"/>
      <c r="H889" s="20" t="n"/>
      <c r="I889" s="20">
        <f>IFERROR(VLOOKUP(D889,XPMenu!$A:$F,2,FALSE),"")</f>
        <v/>
      </c>
      <c r="J889" s="20">
        <f>IFERROR(VLOOKUP(D889,XPMenu!$A:$F,3,FALSE),"")</f>
        <v/>
      </c>
      <c r="K889" s="20">
        <f>IFERROR(VLOOKUP(D889,XPMenu!$A:$F,4,FALSE),"")</f>
        <v/>
      </c>
      <c r="L889" s="20" t="n"/>
      <c r="M889" s="20">
        <f>IF(A889="","",IF(F889&lt;&gt;"Yes",0,IF(L889&lt;&gt;"",L889,E889*K889)))</f>
        <v/>
      </c>
      <c r="N889" s="20">
        <f>IF($A889="","",$A889-WEEKDAY($A889,2)+1)</f>
        <v/>
      </c>
      <c r="O889" s="20">
        <f>IF($A889="","",TEXT($A889,"yyyy-mm"))</f>
        <v/>
      </c>
      <c r="P889" s="21">
        <f>IF($A889="","",TEXT(YEAR($A889),"0000")&amp;"-Q"&amp;ROUNDUP(MONTH($A889)/3,0))</f>
        <v/>
      </c>
    </row>
    <row r="890">
      <c r="A890" s="22" t="n"/>
      <c r="B890" s="20" t="n"/>
      <c r="C890" s="20" t="n"/>
      <c r="D890" s="20">
        <f>IFERROR(INDEX(XPMenu!$A$2:$A$1000, MATCH(C890, XPMenu!$B$2:$B$1000, 0)), "")</f>
        <v/>
      </c>
      <c r="E890" s="20" t="n"/>
      <c r="F890" s="20" t="n"/>
      <c r="G890" s="20" t="n"/>
      <c r="H890" s="20" t="n"/>
      <c r="I890" s="20">
        <f>IFERROR(VLOOKUP(D890,XPMenu!$A:$F,2,FALSE),"")</f>
        <v/>
      </c>
      <c r="J890" s="20">
        <f>IFERROR(VLOOKUP(D890,XPMenu!$A:$F,3,FALSE),"")</f>
        <v/>
      </c>
      <c r="K890" s="20">
        <f>IFERROR(VLOOKUP(D890,XPMenu!$A:$F,4,FALSE),"")</f>
        <v/>
      </c>
      <c r="L890" s="20" t="n"/>
      <c r="M890" s="20">
        <f>IF(A890="","",IF(F890&lt;&gt;"Yes",0,IF(L890&lt;&gt;"",L890,E890*K890)))</f>
        <v/>
      </c>
      <c r="N890" s="20">
        <f>IF($A890="","",$A890-WEEKDAY($A890,2)+1)</f>
        <v/>
      </c>
      <c r="O890" s="20">
        <f>IF($A890="","",TEXT($A890,"yyyy-mm"))</f>
        <v/>
      </c>
      <c r="P890" s="21">
        <f>IF($A890="","",TEXT(YEAR($A890),"0000")&amp;"-Q"&amp;ROUNDUP(MONTH($A890)/3,0))</f>
        <v/>
      </c>
    </row>
    <row r="891">
      <c r="A891" s="22" t="n"/>
      <c r="B891" s="20" t="n"/>
      <c r="C891" s="20" t="n"/>
      <c r="D891" s="20">
        <f>IFERROR(INDEX(XPMenu!$A$2:$A$1000, MATCH(C891, XPMenu!$B$2:$B$1000, 0)), "")</f>
        <v/>
      </c>
      <c r="E891" s="20" t="n"/>
      <c r="F891" s="20" t="n"/>
      <c r="G891" s="20" t="n"/>
      <c r="H891" s="20" t="n"/>
      <c r="I891" s="20">
        <f>IFERROR(VLOOKUP(D891,XPMenu!$A:$F,2,FALSE),"")</f>
        <v/>
      </c>
      <c r="J891" s="20">
        <f>IFERROR(VLOOKUP(D891,XPMenu!$A:$F,3,FALSE),"")</f>
        <v/>
      </c>
      <c r="K891" s="20">
        <f>IFERROR(VLOOKUP(D891,XPMenu!$A:$F,4,FALSE),"")</f>
        <v/>
      </c>
      <c r="L891" s="20" t="n"/>
      <c r="M891" s="20">
        <f>IF(A891="","",IF(F891&lt;&gt;"Yes",0,IF(L891&lt;&gt;"",L891,E891*K891)))</f>
        <v/>
      </c>
      <c r="N891" s="20">
        <f>IF($A891="","",$A891-WEEKDAY($A891,2)+1)</f>
        <v/>
      </c>
      <c r="O891" s="20">
        <f>IF($A891="","",TEXT($A891,"yyyy-mm"))</f>
        <v/>
      </c>
      <c r="P891" s="21">
        <f>IF($A891="","",TEXT(YEAR($A891),"0000")&amp;"-Q"&amp;ROUNDUP(MONTH($A891)/3,0))</f>
        <v/>
      </c>
    </row>
    <row r="892">
      <c r="A892" s="22" t="n"/>
      <c r="B892" s="20" t="n"/>
      <c r="C892" s="20" t="n"/>
      <c r="D892" s="20">
        <f>IFERROR(INDEX(XPMenu!$A$2:$A$1000, MATCH(C892, XPMenu!$B$2:$B$1000, 0)), "")</f>
        <v/>
      </c>
      <c r="E892" s="20" t="n"/>
      <c r="F892" s="20" t="n"/>
      <c r="G892" s="20" t="n"/>
      <c r="H892" s="20" t="n"/>
      <c r="I892" s="20">
        <f>IFERROR(VLOOKUP(D892,XPMenu!$A:$F,2,FALSE),"")</f>
        <v/>
      </c>
      <c r="J892" s="20">
        <f>IFERROR(VLOOKUP(D892,XPMenu!$A:$F,3,FALSE),"")</f>
        <v/>
      </c>
      <c r="K892" s="20">
        <f>IFERROR(VLOOKUP(D892,XPMenu!$A:$F,4,FALSE),"")</f>
        <v/>
      </c>
      <c r="L892" s="20" t="n"/>
      <c r="M892" s="20">
        <f>IF(A892="","",IF(F892&lt;&gt;"Yes",0,IF(L892&lt;&gt;"",L892,E892*K892)))</f>
        <v/>
      </c>
      <c r="N892" s="20">
        <f>IF($A892="","",$A892-WEEKDAY($A892,2)+1)</f>
        <v/>
      </c>
      <c r="O892" s="20">
        <f>IF($A892="","",TEXT($A892,"yyyy-mm"))</f>
        <v/>
      </c>
      <c r="P892" s="21">
        <f>IF($A892="","",TEXT(YEAR($A892),"0000")&amp;"-Q"&amp;ROUNDUP(MONTH($A892)/3,0))</f>
        <v/>
      </c>
    </row>
    <row r="893">
      <c r="A893" s="22" t="n"/>
      <c r="B893" s="20" t="n"/>
      <c r="C893" s="20" t="n"/>
      <c r="D893" s="20">
        <f>IFERROR(INDEX(XPMenu!$A$2:$A$1000, MATCH(C893, XPMenu!$B$2:$B$1000, 0)), "")</f>
        <v/>
      </c>
      <c r="E893" s="20" t="n"/>
      <c r="F893" s="20" t="n"/>
      <c r="G893" s="20" t="n"/>
      <c r="H893" s="20" t="n"/>
      <c r="I893" s="20">
        <f>IFERROR(VLOOKUP(D893,XPMenu!$A:$F,2,FALSE),"")</f>
        <v/>
      </c>
      <c r="J893" s="20">
        <f>IFERROR(VLOOKUP(D893,XPMenu!$A:$F,3,FALSE),"")</f>
        <v/>
      </c>
      <c r="K893" s="20">
        <f>IFERROR(VLOOKUP(D893,XPMenu!$A:$F,4,FALSE),"")</f>
        <v/>
      </c>
      <c r="L893" s="20" t="n"/>
      <c r="M893" s="20">
        <f>IF(A893="","",IF(F893&lt;&gt;"Yes",0,IF(L893&lt;&gt;"",L893,E893*K893)))</f>
        <v/>
      </c>
      <c r="N893" s="20">
        <f>IF($A893="","",$A893-WEEKDAY($A893,2)+1)</f>
        <v/>
      </c>
      <c r="O893" s="20">
        <f>IF($A893="","",TEXT($A893,"yyyy-mm"))</f>
        <v/>
      </c>
      <c r="P893" s="21">
        <f>IF($A893="","",TEXT(YEAR($A893),"0000")&amp;"-Q"&amp;ROUNDUP(MONTH($A893)/3,0))</f>
        <v/>
      </c>
    </row>
    <row r="894">
      <c r="A894" s="22" t="n"/>
      <c r="B894" s="20" t="n"/>
      <c r="C894" s="20" t="n"/>
      <c r="D894" s="20">
        <f>IFERROR(INDEX(XPMenu!$A$2:$A$1000, MATCH(C894, XPMenu!$B$2:$B$1000, 0)), "")</f>
        <v/>
      </c>
      <c r="E894" s="20" t="n"/>
      <c r="F894" s="20" t="n"/>
      <c r="G894" s="20" t="n"/>
      <c r="H894" s="20" t="n"/>
      <c r="I894" s="20">
        <f>IFERROR(VLOOKUP(D894,XPMenu!$A:$F,2,FALSE),"")</f>
        <v/>
      </c>
      <c r="J894" s="20">
        <f>IFERROR(VLOOKUP(D894,XPMenu!$A:$F,3,FALSE),"")</f>
        <v/>
      </c>
      <c r="K894" s="20">
        <f>IFERROR(VLOOKUP(D894,XPMenu!$A:$F,4,FALSE),"")</f>
        <v/>
      </c>
      <c r="L894" s="20" t="n"/>
      <c r="M894" s="20">
        <f>IF(A894="","",IF(F894&lt;&gt;"Yes",0,IF(L894&lt;&gt;"",L894,E894*K894)))</f>
        <v/>
      </c>
      <c r="N894" s="20">
        <f>IF($A894="","",$A894-WEEKDAY($A894,2)+1)</f>
        <v/>
      </c>
      <c r="O894" s="20">
        <f>IF($A894="","",TEXT($A894,"yyyy-mm"))</f>
        <v/>
      </c>
      <c r="P894" s="21">
        <f>IF($A894="","",TEXT(YEAR($A894),"0000")&amp;"-Q"&amp;ROUNDUP(MONTH($A894)/3,0))</f>
        <v/>
      </c>
    </row>
    <row r="895">
      <c r="A895" s="22" t="n"/>
      <c r="B895" s="20" t="n"/>
      <c r="C895" s="20" t="n"/>
      <c r="D895" s="20">
        <f>IFERROR(INDEX(XPMenu!$A$2:$A$1000, MATCH(C895, XPMenu!$B$2:$B$1000, 0)), "")</f>
        <v/>
      </c>
      <c r="E895" s="20" t="n"/>
      <c r="F895" s="20" t="n"/>
      <c r="G895" s="20" t="n"/>
      <c r="H895" s="20" t="n"/>
      <c r="I895" s="20">
        <f>IFERROR(VLOOKUP(D895,XPMenu!$A:$F,2,FALSE),"")</f>
        <v/>
      </c>
      <c r="J895" s="20">
        <f>IFERROR(VLOOKUP(D895,XPMenu!$A:$F,3,FALSE),"")</f>
        <v/>
      </c>
      <c r="K895" s="20">
        <f>IFERROR(VLOOKUP(D895,XPMenu!$A:$F,4,FALSE),"")</f>
        <v/>
      </c>
      <c r="L895" s="20" t="n"/>
      <c r="M895" s="20">
        <f>IF(A895="","",IF(F895&lt;&gt;"Yes",0,IF(L895&lt;&gt;"",L895,E895*K895)))</f>
        <v/>
      </c>
      <c r="N895" s="20">
        <f>IF($A895="","",$A895-WEEKDAY($A895,2)+1)</f>
        <v/>
      </c>
      <c r="O895" s="20">
        <f>IF($A895="","",TEXT($A895,"yyyy-mm"))</f>
        <v/>
      </c>
      <c r="P895" s="21">
        <f>IF($A895="","",TEXT(YEAR($A895),"0000")&amp;"-Q"&amp;ROUNDUP(MONTH($A895)/3,0))</f>
        <v/>
      </c>
    </row>
    <row r="896">
      <c r="A896" s="22" t="n"/>
      <c r="B896" s="20" t="n"/>
      <c r="C896" s="20" t="n"/>
      <c r="D896" s="20">
        <f>IFERROR(INDEX(XPMenu!$A$2:$A$1000, MATCH(C896, XPMenu!$B$2:$B$1000, 0)), "")</f>
        <v/>
      </c>
      <c r="E896" s="20" t="n"/>
      <c r="F896" s="20" t="n"/>
      <c r="G896" s="20" t="n"/>
      <c r="H896" s="20" t="n"/>
      <c r="I896" s="20">
        <f>IFERROR(VLOOKUP(D896,XPMenu!$A:$F,2,FALSE),"")</f>
        <v/>
      </c>
      <c r="J896" s="20">
        <f>IFERROR(VLOOKUP(D896,XPMenu!$A:$F,3,FALSE),"")</f>
        <v/>
      </c>
      <c r="K896" s="20">
        <f>IFERROR(VLOOKUP(D896,XPMenu!$A:$F,4,FALSE),"")</f>
        <v/>
      </c>
      <c r="L896" s="20" t="n"/>
      <c r="M896" s="20">
        <f>IF(A896="","",IF(F896&lt;&gt;"Yes",0,IF(L896&lt;&gt;"",L896,E896*K896)))</f>
        <v/>
      </c>
      <c r="N896" s="20">
        <f>IF($A896="","",$A896-WEEKDAY($A896,2)+1)</f>
        <v/>
      </c>
      <c r="O896" s="20">
        <f>IF($A896="","",TEXT($A896,"yyyy-mm"))</f>
        <v/>
      </c>
      <c r="P896" s="21">
        <f>IF($A896="","",TEXT(YEAR($A896),"0000")&amp;"-Q"&amp;ROUNDUP(MONTH($A896)/3,0))</f>
        <v/>
      </c>
    </row>
    <row r="897">
      <c r="A897" s="22" t="n"/>
      <c r="B897" s="20" t="n"/>
      <c r="C897" s="20" t="n"/>
      <c r="D897" s="20">
        <f>IFERROR(INDEX(XPMenu!$A$2:$A$1000, MATCH(C897, XPMenu!$B$2:$B$1000, 0)), "")</f>
        <v/>
      </c>
      <c r="E897" s="20" t="n"/>
      <c r="F897" s="20" t="n"/>
      <c r="G897" s="20" t="n"/>
      <c r="H897" s="20" t="n"/>
      <c r="I897" s="20">
        <f>IFERROR(VLOOKUP(D897,XPMenu!$A:$F,2,FALSE),"")</f>
        <v/>
      </c>
      <c r="J897" s="20">
        <f>IFERROR(VLOOKUP(D897,XPMenu!$A:$F,3,FALSE),"")</f>
        <v/>
      </c>
      <c r="K897" s="20">
        <f>IFERROR(VLOOKUP(D897,XPMenu!$A:$F,4,FALSE),"")</f>
        <v/>
      </c>
      <c r="L897" s="20" t="n"/>
      <c r="M897" s="20">
        <f>IF(A897="","",IF(F897&lt;&gt;"Yes",0,IF(L897&lt;&gt;"",L897,E897*K897)))</f>
        <v/>
      </c>
      <c r="N897" s="20">
        <f>IF($A897="","",$A897-WEEKDAY($A897,2)+1)</f>
        <v/>
      </c>
      <c r="O897" s="20">
        <f>IF($A897="","",TEXT($A897,"yyyy-mm"))</f>
        <v/>
      </c>
      <c r="P897" s="21">
        <f>IF($A897="","",TEXT(YEAR($A897),"0000")&amp;"-Q"&amp;ROUNDUP(MONTH($A897)/3,0))</f>
        <v/>
      </c>
    </row>
    <row r="898">
      <c r="A898" s="22" t="n"/>
      <c r="B898" s="20" t="n"/>
      <c r="C898" s="20" t="n"/>
      <c r="D898" s="20">
        <f>IFERROR(INDEX(XPMenu!$A$2:$A$1000, MATCH(C898, XPMenu!$B$2:$B$1000, 0)), "")</f>
        <v/>
      </c>
      <c r="E898" s="20" t="n"/>
      <c r="F898" s="20" t="n"/>
      <c r="G898" s="20" t="n"/>
      <c r="H898" s="20" t="n"/>
      <c r="I898" s="20">
        <f>IFERROR(VLOOKUP(D898,XPMenu!$A:$F,2,FALSE),"")</f>
        <v/>
      </c>
      <c r="J898" s="20">
        <f>IFERROR(VLOOKUP(D898,XPMenu!$A:$F,3,FALSE),"")</f>
        <v/>
      </c>
      <c r="K898" s="20">
        <f>IFERROR(VLOOKUP(D898,XPMenu!$A:$F,4,FALSE),"")</f>
        <v/>
      </c>
      <c r="L898" s="20" t="n"/>
      <c r="M898" s="20">
        <f>IF(A898="","",IF(F898&lt;&gt;"Yes",0,IF(L898&lt;&gt;"",L898,E898*K898)))</f>
        <v/>
      </c>
      <c r="N898" s="20">
        <f>IF($A898="","",$A898-WEEKDAY($A898,2)+1)</f>
        <v/>
      </c>
      <c r="O898" s="20">
        <f>IF($A898="","",TEXT($A898,"yyyy-mm"))</f>
        <v/>
      </c>
      <c r="P898" s="21">
        <f>IF($A898="","",TEXT(YEAR($A898),"0000")&amp;"-Q"&amp;ROUNDUP(MONTH($A898)/3,0))</f>
        <v/>
      </c>
    </row>
    <row r="899">
      <c r="A899" s="22" t="n"/>
      <c r="B899" s="20" t="n"/>
      <c r="C899" s="20" t="n"/>
      <c r="D899" s="20">
        <f>IFERROR(INDEX(XPMenu!$A$2:$A$1000, MATCH(C899, XPMenu!$B$2:$B$1000, 0)), "")</f>
        <v/>
      </c>
      <c r="E899" s="20" t="n"/>
      <c r="F899" s="20" t="n"/>
      <c r="G899" s="20" t="n"/>
      <c r="H899" s="20" t="n"/>
      <c r="I899" s="20">
        <f>IFERROR(VLOOKUP(D899,XPMenu!$A:$F,2,FALSE),"")</f>
        <v/>
      </c>
      <c r="J899" s="20">
        <f>IFERROR(VLOOKUP(D899,XPMenu!$A:$F,3,FALSE),"")</f>
        <v/>
      </c>
      <c r="K899" s="20">
        <f>IFERROR(VLOOKUP(D899,XPMenu!$A:$F,4,FALSE),"")</f>
        <v/>
      </c>
      <c r="L899" s="20" t="n"/>
      <c r="M899" s="20">
        <f>IF(A899="","",IF(F899&lt;&gt;"Yes",0,IF(L899&lt;&gt;"",L899,E899*K899)))</f>
        <v/>
      </c>
      <c r="N899" s="20">
        <f>IF($A899="","",$A899-WEEKDAY($A899,2)+1)</f>
        <v/>
      </c>
      <c r="O899" s="20">
        <f>IF($A899="","",TEXT($A899,"yyyy-mm"))</f>
        <v/>
      </c>
      <c r="P899" s="21">
        <f>IF($A899="","",TEXT(YEAR($A899),"0000")&amp;"-Q"&amp;ROUNDUP(MONTH($A899)/3,0))</f>
        <v/>
      </c>
    </row>
    <row r="900">
      <c r="A900" s="22" t="n"/>
      <c r="B900" s="20" t="n"/>
      <c r="C900" s="20" t="n"/>
      <c r="D900" s="20">
        <f>IFERROR(INDEX(XPMenu!$A$2:$A$1000, MATCH(C900, XPMenu!$B$2:$B$1000, 0)), "")</f>
        <v/>
      </c>
      <c r="E900" s="20" t="n"/>
      <c r="F900" s="20" t="n"/>
      <c r="G900" s="20" t="n"/>
      <c r="H900" s="20" t="n"/>
      <c r="I900" s="20">
        <f>IFERROR(VLOOKUP(D900,XPMenu!$A:$F,2,FALSE),"")</f>
        <v/>
      </c>
      <c r="J900" s="20">
        <f>IFERROR(VLOOKUP(D900,XPMenu!$A:$F,3,FALSE),"")</f>
        <v/>
      </c>
      <c r="K900" s="20">
        <f>IFERROR(VLOOKUP(D900,XPMenu!$A:$F,4,FALSE),"")</f>
        <v/>
      </c>
      <c r="L900" s="20" t="n"/>
      <c r="M900" s="20">
        <f>IF(A900="","",IF(F900&lt;&gt;"Yes",0,IF(L900&lt;&gt;"",L900,E900*K900)))</f>
        <v/>
      </c>
      <c r="N900" s="20">
        <f>IF($A900="","",$A900-WEEKDAY($A900,2)+1)</f>
        <v/>
      </c>
      <c r="O900" s="20">
        <f>IF($A900="","",TEXT($A900,"yyyy-mm"))</f>
        <v/>
      </c>
      <c r="P900" s="21">
        <f>IF($A900="","",TEXT(YEAR($A900),"0000")&amp;"-Q"&amp;ROUNDUP(MONTH($A900)/3,0))</f>
        <v/>
      </c>
    </row>
    <row r="901">
      <c r="A901" s="22" t="n"/>
      <c r="B901" s="20" t="n"/>
      <c r="C901" s="20" t="n"/>
      <c r="D901" s="20">
        <f>IFERROR(INDEX(XPMenu!$A$2:$A$1000, MATCH(C901, XPMenu!$B$2:$B$1000, 0)), "")</f>
        <v/>
      </c>
      <c r="E901" s="20" t="n"/>
      <c r="F901" s="20" t="n"/>
      <c r="G901" s="20" t="n"/>
      <c r="H901" s="20" t="n"/>
      <c r="I901" s="20">
        <f>IFERROR(VLOOKUP(D901,XPMenu!$A:$F,2,FALSE),"")</f>
        <v/>
      </c>
      <c r="J901" s="20">
        <f>IFERROR(VLOOKUP(D901,XPMenu!$A:$F,3,FALSE),"")</f>
        <v/>
      </c>
      <c r="K901" s="20">
        <f>IFERROR(VLOOKUP(D901,XPMenu!$A:$F,4,FALSE),"")</f>
        <v/>
      </c>
      <c r="L901" s="20" t="n"/>
      <c r="M901" s="20">
        <f>IF(A901="","",IF(F901&lt;&gt;"Yes",0,IF(L901&lt;&gt;"",L901,E901*K901)))</f>
        <v/>
      </c>
      <c r="N901" s="20">
        <f>IF($A901="","",$A901-WEEKDAY($A901,2)+1)</f>
        <v/>
      </c>
      <c r="O901" s="20">
        <f>IF($A901="","",TEXT($A901,"yyyy-mm"))</f>
        <v/>
      </c>
      <c r="P901" s="21">
        <f>IF($A901="","",TEXT(YEAR($A901),"0000")&amp;"-Q"&amp;ROUNDUP(MONTH($A901)/3,0))</f>
        <v/>
      </c>
    </row>
    <row r="902">
      <c r="A902" s="22" t="n"/>
      <c r="B902" s="20" t="n"/>
      <c r="C902" s="20" t="n"/>
      <c r="D902" s="20">
        <f>IFERROR(INDEX(XPMenu!$A$2:$A$1000, MATCH(C902, XPMenu!$B$2:$B$1000, 0)), "")</f>
        <v/>
      </c>
      <c r="E902" s="20" t="n"/>
      <c r="F902" s="20" t="n"/>
      <c r="G902" s="20" t="n"/>
      <c r="H902" s="20" t="n"/>
      <c r="I902" s="20">
        <f>IFERROR(VLOOKUP(D902,XPMenu!$A:$F,2,FALSE),"")</f>
        <v/>
      </c>
      <c r="J902" s="20">
        <f>IFERROR(VLOOKUP(D902,XPMenu!$A:$F,3,FALSE),"")</f>
        <v/>
      </c>
      <c r="K902" s="20">
        <f>IFERROR(VLOOKUP(D902,XPMenu!$A:$F,4,FALSE),"")</f>
        <v/>
      </c>
      <c r="L902" s="20" t="n"/>
      <c r="M902" s="20">
        <f>IF(A902="","",IF(F902&lt;&gt;"Yes",0,IF(L902&lt;&gt;"",L902,E902*K902)))</f>
        <v/>
      </c>
      <c r="N902" s="20">
        <f>IF($A902="","",$A902-WEEKDAY($A902,2)+1)</f>
        <v/>
      </c>
      <c r="O902" s="20">
        <f>IF($A902="","",TEXT($A902,"yyyy-mm"))</f>
        <v/>
      </c>
      <c r="P902" s="21">
        <f>IF($A902="","",TEXT(YEAR($A902),"0000")&amp;"-Q"&amp;ROUNDUP(MONTH($A902)/3,0))</f>
        <v/>
      </c>
    </row>
    <row r="903">
      <c r="A903" s="22" t="n"/>
      <c r="B903" s="20" t="n"/>
      <c r="C903" s="20" t="n"/>
      <c r="D903" s="20">
        <f>IFERROR(INDEX(XPMenu!$A$2:$A$1000, MATCH(C903, XPMenu!$B$2:$B$1000, 0)), "")</f>
        <v/>
      </c>
      <c r="E903" s="20" t="n"/>
      <c r="F903" s="20" t="n"/>
      <c r="G903" s="20" t="n"/>
      <c r="H903" s="20" t="n"/>
      <c r="I903" s="20">
        <f>IFERROR(VLOOKUP(D903,XPMenu!$A:$F,2,FALSE),"")</f>
        <v/>
      </c>
      <c r="J903" s="20">
        <f>IFERROR(VLOOKUP(D903,XPMenu!$A:$F,3,FALSE),"")</f>
        <v/>
      </c>
      <c r="K903" s="20">
        <f>IFERROR(VLOOKUP(D903,XPMenu!$A:$F,4,FALSE),"")</f>
        <v/>
      </c>
      <c r="L903" s="20" t="n"/>
      <c r="M903" s="20">
        <f>IF(A903="","",IF(F903&lt;&gt;"Yes",0,IF(L903&lt;&gt;"",L903,E903*K903)))</f>
        <v/>
      </c>
      <c r="N903" s="20">
        <f>IF($A903="","",$A903-WEEKDAY($A903,2)+1)</f>
        <v/>
      </c>
      <c r="O903" s="20">
        <f>IF($A903="","",TEXT($A903,"yyyy-mm"))</f>
        <v/>
      </c>
      <c r="P903" s="21">
        <f>IF($A903="","",TEXT(YEAR($A903),"0000")&amp;"-Q"&amp;ROUNDUP(MONTH($A903)/3,0))</f>
        <v/>
      </c>
    </row>
    <row r="904">
      <c r="A904" s="22" t="n"/>
      <c r="B904" s="20" t="n"/>
      <c r="C904" s="20" t="n"/>
      <c r="D904" s="20">
        <f>IFERROR(INDEX(XPMenu!$A$2:$A$1000, MATCH(C904, XPMenu!$B$2:$B$1000, 0)), "")</f>
        <v/>
      </c>
      <c r="E904" s="20" t="n"/>
      <c r="F904" s="20" t="n"/>
      <c r="G904" s="20" t="n"/>
      <c r="H904" s="20" t="n"/>
      <c r="I904" s="20">
        <f>IFERROR(VLOOKUP(D904,XPMenu!$A:$F,2,FALSE),"")</f>
        <v/>
      </c>
      <c r="J904" s="20">
        <f>IFERROR(VLOOKUP(D904,XPMenu!$A:$F,3,FALSE),"")</f>
        <v/>
      </c>
      <c r="K904" s="20">
        <f>IFERROR(VLOOKUP(D904,XPMenu!$A:$F,4,FALSE),"")</f>
        <v/>
      </c>
      <c r="L904" s="20" t="n"/>
      <c r="M904" s="20">
        <f>IF(A904="","",IF(F904&lt;&gt;"Yes",0,IF(L904&lt;&gt;"",L904,E904*K904)))</f>
        <v/>
      </c>
      <c r="N904" s="20">
        <f>IF($A904="","",$A904-WEEKDAY($A904,2)+1)</f>
        <v/>
      </c>
      <c r="O904" s="20">
        <f>IF($A904="","",TEXT($A904,"yyyy-mm"))</f>
        <v/>
      </c>
      <c r="P904" s="21">
        <f>IF($A904="","",TEXT(YEAR($A904),"0000")&amp;"-Q"&amp;ROUNDUP(MONTH($A904)/3,0))</f>
        <v/>
      </c>
    </row>
    <row r="905">
      <c r="A905" s="22" t="n"/>
      <c r="B905" s="20" t="n"/>
      <c r="C905" s="20" t="n"/>
      <c r="D905" s="20">
        <f>IFERROR(INDEX(XPMenu!$A$2:$A$1000, MATCH(C905, XPMenu!$B$2:$B$1000, 0)), "")</f>
        <v/>
      </c>
      <c r="E905" s="20" t="n"/>
      <c r="F905" s="20" t="n"/>
      <c r="G905" s="20" t="n"/>
      <c r="H905" s="20" t="n"/>
      <c r="I905" s="20">
        <f>IFERROR(VLOOKUP(D905,XPMenu!$A:$F,2,FALSE),"")</f>
        <v/>
      </c>
      <c r="J905" s="20">
        <f>IFERROR(VLOOKUP(D905,XPMenu!$A:$F,3,FALSE),"")</f>
        <v/>
      </c>
      <c r="K905" s="20">
        <f>IFERROR(VLOOKUP(D905,XPMenu!$A:$F,4,FALSE),"")</f>
        <v/>
      </c>
      <c r="L905" s="20" t="n"/>
      <c r="M905" s="20">
        <f>IF(A905="","",IF(F905&lt;&gt;"Yes",0,IF(L905&lt;&gt;"",L905,E905*K905)))</f>
        <v/>
      </c>
      <c r="N905" s="20">
        <f>IF($A905="","",$A905-WEEKDAY($A905,2)+1)</f>
        <v/>
      </c>
      <c r="O905" s="20">
        <f>IF($A905="","",TEXT($A905,"yyyy-mm"))</f>
        <v/>
      </c>
      <c r="P905" s="21">
        <f>IF($A905="","",TEXT(YEAR($A905),"0000")&amp;"-Q"&amp;ROUNDUP(MONTH($A905)/3,0))</f>
        <v/>
      </c>
    </row>
    <row r="906">
      <c r="A906" s="22" t="n"/>
      <c r="B906" s="20" t="n"/>
      <c r="C906" s="20" t="n"/>
      <c r="D906" s="20">
        <f>IFERROR(INDEX(XPMenu!$A$2:$A$1000, MATCH(C906, XPMenu!$B$2:$B$1000, 0)), "")</f>
        <v/>
      </c>
      <c r="E906" s="20" t="n"/>
      <c r="F906" s="20" t="n"/>
      <c r="G906" s="20" t="n"/>
      <c r="H906" s="20" t="n"/>
      <c r="I906" s="20">
        <f>IFERROR(VLOOKUP(D906,XPMenu!$A:$F,2,FALSE),"")</f>
        <v/>
      </c>
      <c r="J906" s="20">
        <f>IFERROR(VLOOKUP(D906,XPMenu!$A:$F,3,FALSE),"")</f>
        <v/>
      </c>
      <c r="K906" s="20">
        <f>IFERROR(VLOOKUP(D906,XPMenu!$A:$F,4,FALSE),"")</f>
        <v/>
      </c>
      <c r="L906" s="20" t="n"/>
      <c r="M906" s="20">
        <f>IF(A906="","",IF(F906&lt;&gt;"Yes",0,IF(L906&lt;&gt;"",L906,E906*K906)))</f>
        <v/>
      </c>
      <c r="N906" s="20">
        <f>IF($A906="","",$A906-WEEKDAY($A906,2)+1)</f>
        <v/>
      </c>
      <c r="O906" s="20">
        <f>IF($A906="","",TEXT($A906,"yyyy-mm"))</f>
        <v/>
      </c>
      <c r="P906" s="21">
        <f>IF($A906="","",TEXT(YEAR($A906),"0000")&amp;"-Q"&amp;ROUNDUP(MONTH($A906)/3,0))</f>
        <v/>
      </c>
    </row>
    <row r="907">
      <c r="A907" s="22" t="n"/>
      <c r="B907" s="20" t="n"/>
      <c r="C907" s="20" t="n"/>
      <c r="D907" s="20">
        <f>IFERROR(INDEX(XPMenu!$A$2:$A$1000, MATCH(C907, XPMenu!$B$2:$B$1000, 0)), "")</f>
        <v/>
      </c>
      <c r="E907" s="20" t="n"/>
      <c r="F907" s="20" t="n"/>
      <c r="G907" s="20" t="n"/>
      <c r="H907" s="20" t="n"/>
      <c r="I907" s="20">
        <f>IFERROR(VLOOKUP(D907,XPMenu!$A:$F,2,FALSE),"")</f>
        <v/>
      </c>
      <c r="J907" s="20">
        <f>IFERROR(VLOOKUP(D907,XPMenu!$A:$F,3,FALSE),"")</f>
        <v/>
      </c>
      <c r="K907" s="20">
        <f>IFERROR(VLOOKUP(D907,XPMenu!$A:$F,4,FALSE),"")</f>
        <v/>
      </c>
      <c r="L907" s="20" t="n"/>
      <c r="M907" s="20">
        <f>IF(A907="","",IF(F907&lt;&gt;"Yes",0,IF(L907&lt;&gt;"",L907,E907*K907)))</f>
        <v/>
      </c>
      <c r="N907" s="20">
        <f>IF($A907="","",$A907-WEEKDAY($A907,2)+1)</f>
        <v/>
      </c>
      <c r="O907" s="20">
        <f>IF($A907="","",TEXT($A907,"yyyy-mm"))</f>
        <v/>
      </c>
      <c r="P907" s="21">
        <f>IF($A907="","",TEXT(YEAR($A907),"0000")&amp;"-Q"&amp;ROUNDUP(MONTH($A907)/3,0))</f>
        <v/>
      </c>
    </row>
    <row r="908">
      <c r="A908" s="22" t="n"/>
      <c r="B908" s="20" t="n"/>
      <c r="C908" s="20" t="n"/>
      <c r="D908" s="20">
        <f>IFERROR(INDEX(XPMenu!$A$2:$A$1000, MATCH(C908, XPMenu!$B$2:$B$1000, 0)), "")</f>
        <v/>
      </c>
      <c r="E908" s="20" t="n"/>
      <c r="F908" s="20" t="n"/>
      <c r="G908" s="20" t="n"/>
      <c r="H908" s="20" t="n"/>
      <c r="I908" s="20">
        <f>IFERROR(VLOOKUP(D908,XPMenu!$A:$F,2,FALSE),"")</f>
        <v/>
      </c>
      <c r="J908" s="20">
        <f>IFERROR(VLOOKUP(D908,XPMenu!$A:$F,3,FALSE),"")</f>
        <v/>
      </c>
      <c r="K908" s="20">
        <f>IFERROR(VLOOKUP(D908,XPMenu!$A:$F,4,FALSE),"")</f>
        <v/>
      </c>
      <c r="L908" s="20" t="n"/>
      <c r="M908" s="20">
        <f>IF(A908="","",IF(F908&lt;&gt;"Yes",0,IF(L908&lt;&gt;"",L908,E908*K908)))</f>
        <v/>
      </c>
      <c r="N908" s="20">
        <f>IF($A908="","",$A908-WEEKDAY($A908,2)+1)</f>
        <v/>
      </c>
      <c r="O908" s="20">
        <f>IF($A908="","",TEXT($A908,"yyyy-mm"))</f>
        <v/>
      </c>
      <c r="P908" s="21">
        <f>IF($A908="","",TEXT(YEAR($A908),"0000")&amp;"-Q"&amp;ROUNDUP(MONTH($A908)/3,0))</f>
        <v/>
      </c>
    </row>
    <row r="909">
      <c r="A909" s="22" t="n"/>
      <c r="B909" s="20" t="n"/>
      <c r="C909" s="20" t="n"/>
      <c r="D909" s="20">
        <f>IFERROR(INDEX(XPMenu!$A$2:$A$1000, MATCH(C909, XPMenu!$B$2:$B$1000, 0)), "")</f>
        <v/>
      </c>
      <c r="E909" s="20" t="n"/>
      <c r="F909" s="20" t="n"/>
      <c r="G909" s="20" t="n"/>
      <c r="H909" s="20" t="n"/>
      <c r="I909" s="20">
        <f>IFERROR(VLOOKUP(D909,XPMenu!$A:$F,2,FALSE),"")</f>
        <v/>
      </c>
      <c r="J909" s="20">
        <f>IFERROR(VLOOKUP(D909,XPMenu!$A:$F,3,FALSE),"")</f>
        <v/>
      </c>
      <c r="K909" s="20">
        <f>IFERROR(VLOOKUP(D909,XPMenu!$A:$F,4,FALSE),"")</f>
        <v/>
      </c>
      <c r="L909" s="20" t="n"/>
      <c r="M909" s="20">
        <f>IF(A909="","",IF(F909&lt;&gt;"Yes",0,IF(L909&lt;&gt;"",L909,E909*K909)))</f>
        <v/>
      </c>
      <c r="N909" s="20">
        <f>IF($A909="","",$A909-WEEKDAY($A909,2)+1)</f>
        <v/>
      </c>
      <c r="O909" s="20">
        <f>IF($A909="","",TEXT($A909,"yyyy-mm"))</f>
        <v/>
      </c>
      <c r="P909" s="21">
        <f>IF($A909="","",TEXT(YEAR($A909),"0000")&amp;"-Q"&amp;ROUNDUP(MONTH($A909)/3,0))</f>
        <v/>
      </c>
    </row>
    <row r="910">
      <c r="A910" s="22" t="n"/>
      <c r="B910" s="20" t="n"/>
      <c r="C910" s="20" t="n"/>
      <c r="D910" s="20">
        <f>IFERROR(INDEX(XPMenu!$A$2:$A$1000, MATCH(C910, XPMenu!$B$2:$B$1000, 0)), "")</f>
        <v/>
      </c>
      <c r="E910" s="20" t="n"/>
      <c r="F910" s="20" t="n"/>
      <c r="G910" s="20" t="n"/>
      <c r="H910" s="20" t="n"/>
      <c r="I910" s="20">
        <f>IFERROR(VLOOKUP(D910,XPMenu!$A:$F,2,FALSE),"")</f>
        <v/>
      </c>
      <c r="J910" s="20">
        <f>IFERROR(VLOOKUP(D910,XPMenu!$A:$F,3,FALSE),"")</f>
        <v/>
      </c>
      <c r="K910" s="20">
        <f>IFERROR(VLOOKUP(D910,XPMenu!$A:$F,4,FALSE),"")</f>
        <v/>
      </c>
      <c r="L910" s="20" t="n"/>
      <c r="M910" s="20">
        <f>IF(A910="","",IF(F910&lt;&gt;"Yes",0,IF(L910&lt;&gt;"",L910,E910*K910)))</f>
        <v/>
      </c>
      <c r="N910" s="20">
        <f>IF($A910="","",$A910-WEEKDAY($A910,2)+1)</f>
        <v/>
      </c>
      <c r="O910" s="20">
        <f>IF($A910="","",TEXT($A910,"yyyy-mm"))</f>
        <v/>
      </c>
      <c r="P910" s="21">
        <f>IF($A910="","",TEXT(YEAR($A910),"0000")&amp;"-Q"&amp;ROUNDUP(MONTH($A910)/3,0))</f>
        <v/>
      </c>
    </row>
    <row r="911">
      <c r="A911" s="22" t="n"/>
      <c r="B911" s="20" t="n"/>
      <c r="C911" s="20" t="n"/>
      <c r="D911" s="20">
        <f>IFERROR(INDEX(XPMenu!$A$2:$A$1000, MATCH(C911, XPMenu!$B$2:$B$1000, 0)), "")</f>
        <v/>
      </c>
      <c r="E911" s="20" t="n"/>
      <c r="F911" s="20" t="n"/>
      <c r="G911" s="20" t="n"/>
      <c r="H911" s="20" t="n"/>
      <c r="I911" s="20">
        <f>IFERROR(VLOOKUP(D911,XPMenu!$A:$F,2,FALSE),"")</f>
        <v/>
      </c>
      <c r="J911" s="20">
        <f>IFERROR(VLOOKUP(D911,XPMenu!$A:$F,3,FALSE),"")</f>
        <v/>
      </c>
      <c r="K911" s="20">
        <f>IFERROR(VLOOKUP(D911,XPMenu!$A:$F,4,FALSE),"")</f>
        <v/>
      </c>
      <c r="L911" s="20" t="n"/>
      <c r="M911" s="20">
        <f>IF(A911="","",IF(F911&lt;&gt;"Yes",0,IF(L911&lt;&gt;"",L911,E911*K911)))</f>
        <v/>
      </c>
      <c r="N911" s="20">
        <f>IF($A911="","",$A911-WEEKDAY($A911,2)+1)</f>
        <v/>
      </c>
      <c r="O911" s="20">
        <f>IF($A911="","",TEXT($A911,"yyyy-mm"))</f>
        <v/>
      </c>
      <c r="P911" s="21">
        <f>IF($A911="","",TEXT(YEAR($A911),"0000")&amp;"-Q"&amp;ROUNDUP(MONTH($A911)/3,0))</f>
        <v/>
      </c>
    </row>
    <row r="912">
      <c r="A912" s="22" t="n"/>
      <c r="B912" s="20" t="n"/>
      <c r="C912" s="20" t="n"/>
      <c r="D912" s="20">
        <f>IFERROR(INDEX(XPMenu!$A$2:$A$1000, MATCH(C912, XPMenu!$B$2:$B$1000, 0)), "")</f>
        <v/>
      </c>
      <c r="E912" s="20" t="n"/>
      <c r="F912" s="20" t="n"/>
      <c r="G912" s="20" t="n"/>
      <c r="H912" s="20" t="n"/>
      <c r="I912" s="20">
        <f>IFERROR(VLOOKUP(D912,XPMenu!$A:$F,2,FALSE),"")</f>
        <v/>
      </c>
      <c r="J912" s="20">
        <f>IFERROR(VLOOKUP(D912,XPMenu!$A:$F,3,FALSE),"")</f>
        <v/>
      </c>
      <c r="K912" s="20">
        <f>IFERROR(VLOOKUP(D912,XPMenu!$A:$F,4,FALSE),"")</f>
        <v/>
      </c>
      <c r="L912" s="20" t="n"/>
      <c r="M912" s="20">
        <f>IF(A912="","",IF(F912&lt;&gt;"Yes",0,IF(L912&lt;&gt;"",L912,E912*K912)))</f>
        <v/>
      </c>
      <c r="N912" s="20">
        <f>IF($A912="","",$A912-WEEKDAY($A912,2)+1)</f>
        <v/>
      </c>
      <c r="O912" s="20">
        <f>IF($A912="","",TEXT($A912,"yyyy-mm"))</f>
        <v/>
      </c>
      <c r="P912" s="21">
        <f>IF($A912="","",TEXT(YEAR($A912),"0000")&amp;"-Q"&amp;ROUNDUP(MONTH($A912)/3,0))</f>
        <v/>
      </c>
    </row>
    <row r="913">
      <c r="A913" s="22" t="n"/>
      <c r="B913" s="20" t="n"/>
      <c r="C913" s="20" t="n"/>
      <c r="D913" s="20">
        <f>IFERROR(INDEX(XPMenu!$A$2:$A$1000, MATCH(C913, XPMenu!$B$2:$B$1000, 0)), "")</f>
        <v/>
      </c>
      <c r="E913" s="20" t="n"/>
      <c r="F913" s="20" t="n"/>
      <c r="G913" s="20" t="n"/>
      <c r="H913" s="20" t="n"/>
      <c r="I913" s="20">
        <f>IFERROR(VLOOKUP(D913,XPMenu!$A:$F,2,FALSE),"")</f>
        <v/>
      </c>
      <c r="J913" s="20">
        <f>IFERROR(VLOOKUP(D913,XPMenu!$A:$F,3,FALSE),"")</f>
        <v/>
      </c>
      <c r="K913" s="20">
        <f>IFERROR(VLOOKUP(D913,XPMenu!$A:$F,4,FALSE),"")</f>
        <v/>
      </c>
      <c r="L913" s="20" t="n"/>
      <c r="M913" s="20">
        <f>IF(A913="","",IF(F913&lt;&gt;"Yes",0,IF(L913&lt;&gt;"",L913,E913*K913)))</f>
        <v/>
      </c>
      <c r="N913" s="20">
        <f>IF($A913="","",$A913-WEEKDAY($A913,2)+1)</f>
        <v/>
      </c>
      <c r="O913" s="20">
        <f>IF($A913="","",TEXT($A913,"yyyy-mm"))</f>
        <v/>
      </c>
      <c r="P913" s="21">
        <f>IF($A913="","",TEXT(YEAR($A913),"0000")&amp;"-Q"&amp;ROUNDUP(MONTH($A913)/3,0))</f>
        <v/>
      </c>
    </row>
    <row r="914">
      <c r="A914" s="22" t="n"/>
      <c r="B914" s="20" t="n"/>
      <c r="C914" s="20" t="n"/>
      <c r="D914" s="20">
        <f>IFERROR(INDEX(XPMenu!$A$2:$A$1000, MATCH(C914, XPMenu!$B$2:$B$1000, 0)), "")</f>
        <v/>
      </c>
      <c r="E914" s="20" t="n"/>
      <c r="F914" s="20" t="n"/>
      <c r="G914" s="20" t="n"/>
      <c r="H914" s="20" t="n"/>
      <c r="I914" s="20">
        <f>IFERROR(VLOOKUP(D914,XPMenu!$A:$F,2,FALSE),"")</f>
        <v/>
      </c>
      <c r="J914" s="20">
        <f>IFERROR(VLOOKUP(D914,XPMenu!$A:$F,3,FALSE),"")</f>
        <v/>
      </c>
      <c r="K914" s="20">
        <f>IFERROR(VLOOKUP(D914,XPMenu!$A:$F,4,FALSE),"")</f>
        <v/>
      </c>
      <c r="L914" s="20" t="n"/>
      <c r="M914" s="20">
        <f>IF(A914="","",IF(F914&lt;&gt;"Yes",0,IF(L914&lt;&gt;"",L914,E914*K914)))</f>
        <v/>
      </c>
      <c r="N914" s="20">
        <f>IF($A914="","",$A914-WEEKDAY($A914,2)+1)</f>
        <v/>
      </c>
      <c r="O914" s="20">
        <f>IF($A914="","",TEXT($A914,"yyyy-mm"))</f>
        <v/>
      </c>
      <c r="P914" s="21">
        <f>IF($A914="","",TEXT(YEAR($A914),"0000")&amp;"-Q"&amp;ROUNDUP(MONTH($A914)/3,0))</f>
        <v/>
      </c>
    </row>
    <row r="915">
      <c r="A915" s="22" t="n"/>
      <c r="B915" s="20" t="n"/>
      <c r="C915" s="20" t="n"/>
      <c r="D915" s="20">
        <f>IFERROR(INDEX(XPMenu!$A$2:$A$1000, MATCH(C915, XPMenu!$B$2:$B$1000, 0)), "")</f>
        <v/>
      </c>
      <c r="E915" s="20" t="n"/>
      <c r="F915" s="20" t="n"/>
      <c r="G915" s="20" t="n"/>
      <c r="H915" s="20" t="n"/>
      <c r="I915" s="20">
        <f>IFERROR(VLOOKUP(D915,XPMenu!$A:$F,2,FALSE),"")</f>
        <v/>
      </c>
      <c r="J915" s="20">
        <f>IFERROR(VLOOKUP(D915,XPMenu!$A:$F,3,FALSE),"")</f>
        <v/>
      </c>
      <c r="K915" s="20">
        <f>IFERROR(VLOOKUP(D915,XPMenu!$A:$F,4,FALSE),"")</f>
        <v/>
      </c>
      <c r="L915" s="20" t="n"/>
      <c r="M915" s="20">
        <f>IF(A915="","",IF(F915&lt;&gt;"Yes",0,IF(L915&lt;&gt;"",L915,E915*K915)))</f>
        <v/>
      </c>
      <c r="N915" s="20">
        <f>IF($A915="","",$A915-WEEKDAY($A915,2)+1)</f>
        <v/>
      </c>
      <c r="O915" s="20">
        <f>IF($A915="","",TEXT($A915,"yyyy-mm"))</f>
        <v/>
      </c>
      <c r="P915" s="21">
        <f>IF($A915="","",TEXT(YEAR($A915),"0000")&amp;"-Q"&amp;ROUNDUP(MONTH($A915)/3,0))</f>
        <v/>
      </c>
    </row>
    <row r="916">
      <c r="A916" s="22" t="n"/>
      <c r="B916" s="20" t="n"/>
      <c r="C916" s="20" t="n"/>
      <c r="D916" s="20">
        <f>IFERROR(INDEX(XPMenu!$A$2:$A$1000, MATCH(C916, XPMenu!$B$2:$B$1000, 0)), "")</f>
        <v/>
      </c>
      <c r="E916" s="20" t="n"/>
      <c r="F916" s="20" t="n"/>
      <c r="G916" s="20" t="n"/>
      <c r="H916" s="20" t="n"/>
      <c r="I916" s="20">
        <f>IFERROR(VLOOKUP(D916,XPMenu!$A:$F,2,FALSE),"")</f>
        <v/>
      </c>
      <c r="J916" s="20">
        <f>IFERROR(VLOOKUP(D916,XPMenu!$A:$F,3,FALSE),"")</f>
        <v/>
      </c>
      <c r="K916" s="20">
        <f>IFERROR(VLOOKUP(D916,XPMenu!$A:$F,4,FALSE),"")</f>
        <v/>
      </c>
      <c r="L916" s="20" t="n"/>
      <c r="M916" s="20">
        <f>IF(A916="","",IF(F916&lt;&gt;"Yes",0,IF(L916&lt;&gt;"",L916,E916*K916)))</f>
        <v/>
      </c>
      <c r="N916" s="20">
        <f>IF($A916="","",$A916-WEEKDAY($A916,2)+1)</f>
        <v/>
      </c>
      <c r="O916" s="20">
        <f>IF($A916="","",TEXT($A916,"yyyy-mm"))</f>
        <v/>
      </c>
      <c r="P916" s="21">
        <f>IF($A916="","",TEXT(YEAR($A916),"0000")&amp;"-Q"&amp;ROUNDUP(MONTH($A916)/3,0))</f>
        <v/>
      </c>
    </row>
    <row r="917">
      <c r="A917" s="22" t="n"/>
      <c r="B917" s="20" t="n"/>
      <c r="C917" s="20" t="n"/>
      <c r="D917" s="20">
        <f>IFERROR(INDEX(XPMenu!$A$2:$A$1000, MATCH(C917, XPMenu!$B$2:$B$1000, 0)), "")</f>
        <v/>
      </c>
      <c r="E917" s="20" t="n"/>
      <c r="F917" s="20" t="n"/>
      <c r="G917" s="20" t="n"/>
      <c r="H917" s="20" t="n"/>
      <c r="I917" s="20">
        <f>IFERROR(VLOOKUP(D917,XPMenu!$A:$F,2,FALSE),"")</f>
        <v/>
      </c>
      <c r="J917" s="20">
        <f>IFERROR(VLOOKUP(D917,XPMenu!$A:$F,3,FALSE),"")</f>
        <v/>
      </c>
      <c r="K917" s="20">
        <f>IFERROR(VLOOKUP(D917,XPMenu!$A:$F,4,FALSE),"")</f>
        <v/>
      </c>
      <c r="L917" s="20" t="n"/>
      <c r="M917" s="20">
        <f>IF(A917="","",IF(F917&lt;&gt;"Yes",0,IF(L917&lt;&gt;"",L917,E917*K917)))</f>
        <v/>
      </c>
      <c r="N917" s="20">
        <f>IF($A917="","",$A917-WEEKDAY($A917,2)+1)</f>
        <v/>
      </c>
      <c r="O917" s="20">
        <f>IF($A917="","",TEXT($A917,"yyyy-mm"))</f>
        <v/>
      </c>
      <c r="P917" s="21">
        <f>IF($A917="","",TEXT(YEAR($A917),"0000")&amp;"-Q"&amp;ROUNDUP(MONTH($A917)/3,0))</f>
        <v/>
      </c>
    </row>
    <row r="918">
      <c r="A918" s="22" t="n"/>
      <c r="B918" s="20" t="n"/>
      <c r="C918" s="20" t="n"/>
      <c r="D918" s="20">
        <f>IFERROR(INDEX(XPMenu!$A$2:$A$1000, MATCH(C918, XPMenu!$B$2:$B$1000, 0)), "")</f>
        <v/>
      </c>
      <c r="E918" s="20" t="n"/>
      <c r="F918" s="20" t="n"/>
      <c r="G918" s="20" t="n"/>
      <c r="H918" s="20" t="n"/>
      <c r="I918" s="20">
        <f>IFERROR(VLOOKUP(D918,XPMenu!$A:$F,2,FALSE),"")</f>
        <v/>
      </c>
      <c r="J918" s="20">
        <f>IFERROR(VLOOKUP(D918,XPMenu!$A:$F,3,FALSE),"")</f>
        <v/>
      </c>
      <c r="K918" s="20">
        <f>IFERROR(VLOOKUP(D918,XPMenu!$A:$F,4,FALSE),"")</f>
        <v/>
      </c>
      <c r="L918" s="20" t="n"/>
      <c r="M918" s="20">
        <f>IF(A918="","",IF(F918&lt;&gt;"Yes",0,IF(L918&lt;&gt;"",L918,E918*K918)))</f>
        <v/>
      </c>
      <c r="N918" s="20">
        <f>IF($A918="","",$A918-WEEKDAY($A918,2)+1)</f>
        <v/>
      </c>
      <c r="O918" s="20">
        <f>IF($A918="","",TEXT($A918,"yyyy-mm"))</f>
        <v/>
      </c>
      <c r="P918" s="21">
        <f>IF($A918="","",TEXT(YEAR($A918),"0000")&amp;"-Q"&amp;ROUNDUP(MONTH($A918)/3,0))</f>
        <v/>
      </c>
    </row>
    <row r="919">
      <c r="A919" s="22" t="n"/>
      <c r="B919" s="20" t="n"/>
      <c r="C919" s="20" t="n"/>
      <c r="D919" s="20">
        <f>IFERROR(INDEX(XPMenu!$A$2:$A$1000, MATCH(C919, XPMenu!$B$2:$B$1000, 0)), "")</f>
        <v/>
      </c>
      <c r="E919" s="20" t="n"/>
      <c r="F919" s="20" t="n"/>
      <c r="G919" s="20" t="n"/>
      <c r="H919" s="20" t="n"/>
      <c r="I919" s="20">
        <f>IFERROR(VLOOKUP(D919,XPMenu!$A:$F,2,FALSE),"")</f>
        <v/>
      </c>
      <c r="J919" s="20">
        <f>IFERROR(VLOOKUP(D919,XPMenu!$A:$F,3,FALSE),"")</f>
        <v/>
      </c>
      <c r="K919" s="20">
        <f>IFERROR(VLOOKUP(D919,XPMenu!$A:$F,4,FALSE),"")</f>
        <v/>
      </c>
      <c r="L919" s="20" t="n"/>
      <c r="M919" s="20">
        <f>IF(A919="","",IF(F919&lt;&gt;"Yes",0,IF(L919&lt;&gt;"",L919,E919*K919)))</f>
        <v/>
      </c>
      <c r="N919" s="20">
        <f>IF($A919="","",$A919-WEEKDAY($A919,2)+1)</f>
        <v/>
      </c>
      <c r="O919" s="20">
        <f>IF($A919="","",TEXT($A919,"yyyy-mm"))</f>
        <v/>
      </c>
      <c r="P919" s="21">
        <f>IF($A919="","",TEXT(YEAR($A919),"0000")&amp;"-Q"&amp;ROUNDUP(MONTH($A919)/3,0))</f>
        <v/>
      </c>
    </row>
    <row r="920">
      <c r="A920" s="22" t="n"/>
      <c r="B920" s="20" t="n"/>
      <c r="C920" s="20" t="n"/>
      <c r="D920" s="20">
        <f>IFERROR(INDEX(XPMenu!$A$2:$A$1000, MATCH(C920, XPMenu!$B$2:$B$1000, 0)), "")</f>
        <v/>
      </c>
      <c r="E920" s="20" t="n"/>
      <c r="F920" s="20" t="n"/>
      <c r="G920" s="20" t="n"/>
      <c r="H920" s="20" t="n"/>
      <c r="I920" s="20">
        <f>IFERROR(VLOOKUP(D920,XPMenu!$A:$F,2,FALSE),"")</f>
        <v/>
      </c>
      <c r="J920" s="20">
        <f>IFERROR(VLOOKUP(D920,XPMenu!$A:$F,3,FALSE),"")</f>
        <v/>
      </c>
      <c r="K920" s="20">
        <f>IFERROR(VLOOKUP(D920,XPMenu!$A:$F,4,FALSE),"")</f>
        <v/>
      </c>
      <c r="L920" s="20" t="n"/>
      <c r="M920" s="20">
        <f>IF(A920="","",IF(F920&lt;&gt;"Yes",0,IF(L920&lt;&gt;"",L920,E920*K920)))</f>
        <v/>
      </c>
      <c r="N920" s="20">
        <f>IF($A920="","",$A920-WEEKDAY($A920,2)+1)</f>
        <v/>
      </c>
      <c r="O920" s="20">
        <f>IF($A920="","",TEXT($A920,"yyyy-mm"))</f>
        <v/>
      </c>
      <c r="P920" s="21">
        <f>IF($A920="","",TEXT(YEAR($A920),"0000")&amp;"-Q"&amp;ROUNDUP(MONTH($A920)/3,0))</f>
        <v/>
      </c>
    </row>
    <row r="921">
      <c r="A921" s="22" t="n"/>
      <c r="B921" s="20" t="n"/>
      <c r="C921" s="20" t="n"/>
      <c r="D921" s="20">
        <f>IFERROR(INDEX(XPMenu!$A$2:$A$1000, MATCH(C921, XPMenu!$B$2:$B$1000, 0)), "")</f>
        <v/>
      </c>
      <c r="E921" s="20" t="n"/>
      <c r="F921" s="20" t="n"/>
      <c r="G921" s="20" t="n"/>
      <c r="H921" s="20" t="n"/>
      <c r="I921" s="20">
        <f>IFERROR(VLOOKUP(D921,XPMenu!$A:$F,2,FALSE),"")</f>
        <v/>
      </c>
      <c r="J921" s="20">
        <f>IFERROR(VLOOKUP(D921,XPMenu!$A:$F,3,FALSE),"")</f>
        <v/>
      </c>
      <c r="K921" s="20">
        <f>IFERROR(VLOOKUP(D921,XPMenu!$A:$F,4,FALSE),"")</f>
        <v/>
      </c>
      <c r="L921" s="20" t="n"/>
      <c r="M921" s="20">
        <f>IF(A921="","",IF(F921&lt;&gt;"Yes",0,IF(L921&lt;&gt;"",L921,E921*K921)))</f>
        <v/>
      </c>
      <c r="N921" s="20">
        <f>IF($A921="","",$A921-WEEKDAY($A921,2)+1)</f>
        <v/>
      </c>
      <c r="O921" s="20">
        <f>IF($A921="","",TEXT($A921,"yyyy-mm"))</f>
        <v/>
      </c>
      <c r="P921" s="21">
        <f>IF($A921="","",TEXT(YEAR($A921),"0000")&amp;"-Q"&amp;ROUNDUP(MONTH($A921)/3,0))</f>
        <v/>
      </c>
    </row>
    <row r="922">
      <c r="A922" s="22" t="n"/>
      <c r="B922" s="20" t="n"/>
      <c r="C922" s="20" t="n"/>
      <c r="D922" s="20">
        <f>IFERROR(INDEX(XPMenu!$A$2:$A$1000, MATCH(C922, XPMenu!$B$2:$B$1000, 0)), "")</f>
        <v/>
      </c>
      <c r="E922" s="20" t="n"/>
      <c r="F922" s="20" t="n"/>
      <c r="G922" s="20" t="n"/>
      <c r="H922" s="20" t="n"/>
      <c r="I922" s="20">
        <f>IFERROR(VLOOKUP(D922,XPMenu!$A:$F,2,FALSE),"")</f>
        <v/>
      </c>
      <c r="J922" s="20">
        <f>IFERROR(VLOOKUP(D922,XPMenu!$A:$F,3,FALSE),"")</f>
        <v/>
      </c>
      <c r="K922" s="20">
        <f>IFERROR(VLOOKUP(D922,XPMenu!$A:$F,4,FALSE),"")</f>
        <v/>
      </c>
      <c r="L922" s="20" t="n"/>
      <c r="M922" s="20">
        <f>IF(A922="","",IF(F922&lt;&gt;"Yes",0,IF(L922&lt;&gt;"",L922,E922*K922)))</f>
        <v/>
      </c>
      <c r="N922" s="20">
        <f>IF($A922="","",$A922-WEEKDAY($A922,2)+1)</f>
        <v/>
      </c>
      <c r="O922" s="20">
        <f>IF($A922="","",TEXT($A922,"yyyy-mm"))</f>
        <v/>
      </c>
      <c r="P922" s="21">
        <f>IF($A922="","",TEXT(YEAR($A922),"0000")&amp;"-Q"&amp;ROUNDUP(MONTH($A922)/3,0))</f>
        <v/>
      </c>
    </row>
    <row r="923">
      <c r="A923" s="22" t="n"/>
      <c r="B923" s="20" t="n"/>
      <c r="C923" s="20" t="n"/>
      <c r="D923" s="20">
        <f>IFERROR(INDEX(XPMenu!$A$2:$A$1000, MATCH(C923, XPMenu!$B$2:$B$1000, 0)), "")</f>
        <v/>
      </c>
      <c r="E923" s="20" t="n"/>
      <c r="F923" s="20" t="n"/>
      <c r="G923" s="20" t="n"/>
      <c r="H923" s="20" t="n"/>
      <c r="I923" s="20">
        <f>IFERROR(VLOOKUP(D923,XPMenu!$A:$F,2,FALSE),"")</f>
        <v/>
      </c>
      <c r="J923" s="20">
        <f>IFERROR(VLOOKUP(D923,XPMenu!$A:$F,3,FALSE),"")</f>
        <v/>
      </c>
      <c r="K923" s="20">
        <f>IFERROR(VLOOKUP(D923,XPMenu!$A:$F,4,FALSE),"")</f>
        <v/>
      </c>
      <c r="L923" s="20" t="n"/>
      <c r="M923" s="20">
        <f>IF(A923="","",IF(F923&lt;&gt;"Yes",0,IF(L923&lt;&gt;"",L923,E923*K923)))</f>
        <v/>
      </c>
      <c r="N923" s="20">
        <f>IF($A923="","",$A923-WEEKDAY($A923,2)+1)</f>
        <v/>
      </c>
      <c r="O923" s="20">
        <f>IF($A923="","",TEXT($A923,"yyyy-mm"))</f>
        <v/>
      </c>
      <c r="P923" s="21">
        <f>IF($A923="","",TEXT(YEAR($A923),"0000")&amp;"-Q"&amp;ROUNDUP(MONTH($A923)/3,0))</f>
        <v/>
      </c>
    </row>
    <row r="924">
      <c r="A924" s="22" t="n"/>
      <c r="B924" s="20" t="n"/>
      <c r="C924" s="20" t="n"/>
      <c r="D924" s="20">
        <f>IFERROR(INDEX(XPMenu!$A$2:$A$1000, MATCH(C924, XPMenu!$B$2:$B$1000, 0)), "")</f>
        <v/>
      </c>
      <c r="E924" s="20" t="n"/>
      <c r="F924" s="20" t="n"/>
      <c r="G924" s="20" t="n"/>
      <c r="H924" s="20" t="n"/>
      <c r="I924" s="20">
        <f>IFERROR(VLOOKUP(D924,XPMenu!$A:$F,2,FALSE),"")</f>
        <v/>
      </c>
      <c r="J924" s="20">
        <f>IFERROR(VLOOKUP(D924,XPMenu!$A:$F,3,FALSE),"")</f>
        <v/>
      </c>
      <c r="K924" s="20">
        <f>IFERROR(VLOOKUP(D924,XPMenu!$A:$F,4,FALSE),"")</f>
        <v/>
      </c>
      <c r="L924" s="20" t="n"/>
      <c r="M924" s="20">
        <f>IF(A924="","",IF(F924&lt;&gt;"Yes",0,IF(L924&lt;&gt;"",L924,E924*K924)))</f>
        <v/>
      </c>
      <c r="N924" s="20">
        <f>IF($A924="","",$A924-WEEKDAY($A924,2)+1)</f>
        <v/>
      </c>
      <c r="O924" s="20">
        <f>IF($A924="","",TEXT($A924,"yyyy-mm"))</f>
        <v/>
      </c>
      <c r="P924" s="21">
        <f>IF($A924="","",TEXT(YEAR($A924),"0000")&amp;"-Q"&amp;ROUNDUP(MONTH($A924)/3,0))</f>
        <v/>
      </c>
    </row>
    <row r="925">
      <c r="A925" s="22" t="n"/>
      <c r="B925" s="20" t="n"/>
      <c r="C925" s="20" t="n"/>
      <c r="D925" s="20">
        <f>IFERROR(INDEX(XPMenu!$A$2:$A$1000, MATCH(C925, XPMenu!$B$2:$B$1000, 0)), "")</f>
        <v/>
      </c>
      <c r="E925" s="20" t="n"/>
      <c r="F925" s="20" t="n"/>
      <c r="G925" s="20" t="n"/>
      <c r="H925" s="20" t="n"/>
      <c r="I925" s="20">
        <f>IFERROR(VLOOKUP(D925,XPMenu!$A:$F,2,FALSE),"")</f>
        <v/>
      </c>
      <c r="J925" s="20">
        <f>IFERROR(VLOOKUP(D925,XPMenu!$A:$F,3,FALSE),"")</f>
        <v/>
      </c>
      <c r="K925" s="20">
        <f>IFERROR(VLOOKUP(D925,XPMenu!$A:$F,4,FALSE),"")</f>
        <v/>
      </c>
      <c r="L925" s="20" t="n"/>
      <c r="M925" s="20">
        <f>IF(A925="","",IF(F925&lt;&gt;"Yes",0,IF(L925&lt;&gt;"",L925,E925*K925)))</f>
        <v/>
      </c>
      <c r="N925" s="20">
        <f>IF($A925="","",$A925-WEEKDAY($A925,2)+1)</f>
        <v/>
      </c>
      <c r="O925" s="20">
        <f>IF($A925="","",TEXT($A925,"yyyy-mm"))</f>
        <v/>
      </c>
      <c r="P925" s="21">
        <f>IF($A925="","",TEXT(YEAR($A925),"0000")&amp;"-Q"&amp;ROUNDUP(MONTH($A925)/3,0))</f>
        <v/>
      </c>
    </row>
    <row r="926">
      <c r="A926" s="22" t="n"/>
      <c r="B926" s="20" t="n"/>
      <c r="C926" s="20" t="n"/>
      <c r="D926" s="20">
        <f>IFERROR(INDEX(XPMenu!$A$2:$A$1000, MATCH(C926, XPMenu!$B$2:$B$1000, 0)), "")</f>
        <v/>
      </c>
      <c r="E926" s="20" t="n"/>
      <c r="F926" s="20" t="n"/>
      <c r="G926" s="20" t="n"/>
      <c r="H926" s="20" t="n"/>
      <c r="I926" s="20">
        <f>IFERROR(VLOOKUP(D926,XPMenu!$A:$F,2,FALSE),"")</f>
        <v/>
      </c>
      <c r="J926" s="20">
        <f>IFERROR(VLOOKUP(D926,XPMenu!$A:$F,3,FALSE),"")</f>
        <v/>
      </c>
      <c r="K926" s="20">
        <f>IFERROR(VLOOKUP(D926,XPMenu!$A:$F,4,FALSE),"")</f>
        <v/>
      </c>
      <c r="L926" s="20" t="n"/>
      <c r="M926" s="20">
        <f>IF(A926="","",IF(F926&lt;&gt;"Yes",0,IF(L926&lt;&gt;"",L926,E926*K926)))</f>
        <v/>
      </c>
      <c r="N926" s="20">
        <f>IF($A926="","",$A926-WEEKDAY($A926,2)+1)</f>
        <v/>
      </c>
      <c r="O926" s="20">
        <f>IF($A926="","",TEXT($A926,"yyyy-mm"))</f>
        <v/>
      </c>
      <c r="P926" s="21">
        <f>IF($A926="","",TEXT(YEAR($A926),"0000")&amp;"-Q"&amp;ROUNDUP(MONTH($A926)/3,0))</f>
        <v/>
      </c>
    </row>
    <row r="927">
      <c r="A927" s="22" t="n"/>
      <c r="B927" s="20" t="n"/>
      <c r="C927" s="20" t="n"/>
      <c r="D927" s="20">
        <f>IFERROR(INDEX(XPMenu!$A$2:$A$1000, MATCH(C927, XPMenu!$B$2:$B$1000, 0)), "")</f>
        <v/>
      </c>
      <c r="E927" s="20" t="n"/>
      <c r="F927" s="20" t="n"/>
      <c r="G927" s="20" t="n"/>
      <c r="H927" s="20" t="n"/>
      <c r="I927" s="20">
        <f>IFERROR(VLOOKUP(D927,XPMenu!$A:$F,2,FALSE),"")</f>
        <v/>
      </c>
      <c r="J927" s="20">
        <f>IFERROR(VLOOKUP(D927,XPMenu!$A:$F,3,FALSE),"")</f>
        <v/>
      </c>
      <c r="K927" s="20">
        <f>IFERROR(VLOOKUP(D927,XPMenu!$A:$F,4,FALSE),"")</f>
        <v/>
      </c>
      <c r="L927" s="20" t="n"/>
      <c r="M927" s="20">
        <f>IF(A927="","",IF(F927&lt;&gt;"Yes",0,IF(L927&lt;&gt;"",L927,E927*K927)))</f>
        <v/>
      </c>
      <c r="N927" s="20">
        <f>IF($A927="","",$A927-WEEKDAY($A927,2)+1)</f>
        <v/>
      </c>
      <c r="O927" s="20">
        <f>IF($A927="","",TEXT($A927,"yyyy-mm"))</f>
        <v/>
      </c>
      <c r="P927" s="21">
        <f>IF($A927="","",TEXT(YEAR($A927),"0000")&amp;"-Q"&amp;ROUNDUP(MONTH($A927)/3,0))</f>
        <v/>
      </c>
    </row>
    <row r="928">
      <c r="A928" s="22" t="n"/>
      <c r="B928" s="20" t="n"/>
      <c r="C928" s="20" t="n"/>
      <c r="D928" s="20">
        <f>IFERROR(INDEX(XPMenu!$A$2:$A$1000, MATCH(C928, XPMenu!$B$2:$B$1000, 0)), "")</f>
        <v/>
      </c>
      <c r="E928" s="20" t="n"/>
      <c r="F928" s="20" t="n"/>
      <c r="G928" s="20" t="n"/>
      <c r="H928" s="20" t="n"/>
      <c r="I928" s="20">
        <f>IFERROR(VLOOKUP(D928,XPMenu!$A:$F,2,FALSE),"")</f>
        <v/>
      </c>
      <c r="J928" s="20">
        <f>IFERROR(VLOOKUP(D928,XPMenu!$A:$F,3,FALSE),"")</f>
        <v/>
      </c>
      <c r="K928" s="20">
        <f>IFERROR(VLOOKUP(D928,XPMenu!$A:$F,4,FALSE),"")</f>
        <v/>
      </c>
      <c r="L928" s="20" t="n"/>
      <c r="M928" s="20">
        <f>IF(A928="","",IF(F928&lt;&gt;"Yes",0,IF(L928&lt;&gt;"",L928,E928*K928)))</f>
        <v/>
      </c>
      <c r="N928" s="20">
        <f>IF($A928="","",$A928-WEEKDAY($A928,2)+1)</f>
        <v/>
      </c>
      <c r="O928" s="20">
        <f>IF($A928="","",TEXT($A928,"yyyy-mm"))</f>
        <v/>
      </c>
      <c r="P928" s="21">
        <f>IF($A928="","",TEXT(YEAR($A928),"0000")&amp;"-Q"&amp;ROUNDUP(MONTH($A928)/3,0))</f>
        <v/>
      </c>
    </row>
    <row r="929">
      <c r="A929" s="22" t="n"/>
      <c r="B929" s="20" t="n"/>
      <c r="C929" s="20" t="n"/>
      <c r="D929" s="20">
        <f>IFERROR(INDEX(XPMenu!$A$2:$A$1000, MATCH(C929, XPMenu!$B$2:$B$1000, 0)), "")</f>
        <v/>
      </c>
      <c r="E929" s="20" t="n"/>
      <c r="F929" s="20" t="n"/>
      <c r="G929" s="20" t="n"/>
      <c r="H929" s="20" t="n"/>
      <c r="I929" s="20">
        <f>IFERROR(VLOOKUP(D929,XPMenu!$A:$F,2,FALSE),"")</f>
        <v/>
      </c>
      <c r="J929" s="20">
        <f>IFERROR(VLOOKUP(D929,XPMenu!$A:$F,3,FALSE),"")</f>
        <v/>
      </c>
      <c r="K929" s="20">
        <f>IFERROR(VLOOKUP(D929,XPMenu!$A:$F,4,FALSE),"")</f>
        <v/>
      </c>
      <c r="L929" s="20" t="n"/>
      <c r="M929" s="20">
        <f>IF(A929="","",IF(F929&lt;&gt;"Yes",0,IF(L929&lt;&gt;"",L929,E929*K929)))</f>
        <v/>
      </c>
      <c r="N929" s="20">
        <f>IF($A929="","",$A929-WEEKDAY($A929,2)+1)</f>
        <v/>
      </c>
      <c r="O929" s="20">
        <f>IF($A929="","",TEXT($A929,"yyyy-mm"))</f>
        <v/>
      </c>
      <c r="P929" s="21">
        <f>IF($A929="","",TEXT(YEAR($A929),"0000")&amp;"-Q"&amp;ROUNDUP(MONTH($A929)/3,0))</f>
        <v/>
      </c>
    </row>
    <row r="930">
      <c r="A930" s="22" t="n"/>
      <c r="B930" s="20" t="n"/>
      <c r="C930" s="20" t="n"/>
      <c r="D930" s="20">
        <f>IFERROR(INDEX(XPMenu!$A$2:$A$1000, MATCH(C930, XPMenu!$B$2:$B$1000, 0)), "")</f>
        <v/>
      </c>
      <c r="E930" s="20" t="n"/>
      <c r="F930" s="20" t="n"/>
      <c r="G930" s="20" t="n"/>
      <c r="H930" s="20" t="n"/>
      <c r="I930" s="20">
        <f>IFERROR(VLOOKUP(D930,XPMenu!$A:$F,2,FALSE),"")</f>
        <v/>
      </c>
      <c r="J930" s="20">
        <f>IFERROR(VLOOKUP(D930,XPMenu!$A:$F,3,FALSE),"")</f>
        <v/>
      </c>
      <c r="K930" s="20">
        <f>IFERROR(VLOOKUP(D930,XPMenu!$A:$F,4,FALSE),"")</f>
        <v/>
      </c>
      <c r="L930" s="20" t="n"/>
      <c r="M930" s="20">
        <f>IF(A930="","",IF(F930&lt;&gt;"Yes",0,IF(L930&lt;&gt;"",L930,E930*K930)))</f>
        <v/>
      </c>
      <c r="N930" s="20">
        <f>IF($A930="","",$A930-WEEKDAY($A930,2)+1)</f>
        <v/>
      </c>
      <c r="O930" s="20">
        <f>IF($A930="","",TEXT($A930,"yyyy-mm"))</f>
        <v/>
      </c>
      <c r="P930" s="21">
        <f>IF($A930="","",TEXT(YEAR($A930),"0000")&amp;"-Q"&amp;ROUNDUP(MONTH($A930)/3,0))</f>
        <v/>
      </c>
    </row>
    <row r="931">
      <c r="A931" s="22" t="n"/>
      <c r="B931" s="20" t="n"/>
      <c r="C931" s="20" t="n"/>
      <c r="D931" s="20">
        <f>IFERROR(INDEX(XPMenu!$A$2:$A$1000, MATCH(C931, XPMenu!$B$2:$B$1000, 0)), "")</f>
        <v/>
      </c>
      <c r="E931" s="20" t="n"/>
      <c r="F931" s="20" t="n"/>
      <c r="G931" s="20" t="n"/>
      <c r="H931" s="20" t="n"/>
      <c r="I931" s="20">
        <f>IFERROR(VLOOKUP(D931,XPMenu!$A:$F,2,FALSE),"")</f>
        <v/>
      </c>
      <c r="J931" s="20">
        <f>IFERROR(VLOOKUP(D931,XPMenu!$A:$F,3,FALSE),"")</f>
        <v/>
      </c>
      <c r="K931" s="20">
        <f>IFERROR(VLOOKUP(D931,XPMenu!$A:$F,4,FALSE),"")</f>
        <v/>
      </c>
      <c r="L931" s="20" t="n"/>
      <c r="M931" s="20">
        <f>IF(A931="","",IF(F931&lt;&gt;"Yes",0,IF(L931&lt;&gt;"",L931,E931*K931)))</f>
        <v/>
      </c>
      <c r="N931" s="20">
        <f>IF($A931="","",$A931-WEEKDAY($A931,2)+1)</f>
        <v/>
      </c>
      <c r="O931" s="20">
        <f>IF($A931="","",TEXT($A931,"yyyy-mm"))</f>
        <v/>
      </c>
      <c r="P931" s="21">
        <f>IF($A931="","",TEXT(YEAR($A931),"0000")&amp;"-Q"&amp;ROUNDUP(MONTH($A931)/3,0))</f>
        <v/>
      </c>
    </row>
    <row r="932">
      <c r="A932" s="22" t="n"/>
      <c r="B932" s="20" t="n"/>
      <c r="C932" s="20" t="n"/>
      <c r="D932" s="20">
        <f>IFERROR(INDEX(XPMenu!$A$2:$A$1000, MATCH(C932, XPMenu!$B$2:$B$1000, 0)), "")</f>
        <v/>
      </c>
      <c r="E932" s="20" t="n"/>
      <c r="F932" s="20" t="n"/>
      <c r="G932" s="20" t="n"/>
      <c r="H932" s="20" t="n"/>
      <c r="I932" s="20">
        <f>IFERROR(VLOOKUP(D932,XPMenu!$A:$F,2,FALSE),"")</f>
        <v/>
      </c>
      <c r="J932" s="20">
        <f>IFERROR(VLOOKUP(D932,XPMenu!$A:$F,3,FALSE),"")</f>
        <v/>
      </c>
      <c r="K932" s="20">
        <f>IFERROR(VLOOKUP(D932,XPMenu!$A:$F,4,FALSE),"")</f>
        <v/>
      </c>
      <c r="L932" s="20" t="n"/>
      <c r="M932" s="20">
        <f>IF(A932="","",IF(F932&lt;&gt;"Yes",0,IF(L932&lt;&gt;"",L932,E932*K932)))</f>
        <v/>
      </c>
      <c r="N932" s="20">
        <f>IF($A932="","",$A932-WEEKDAY($A932,2)+1)</f>
        <v/>
      </c>
      <c r="O932" s="20">
        <f>IF($A932="","",TEXT($A932,"yyyy-mm"))</f>
        <v/>
      </c>
      <c r="P932" s="21">
        <f>IF($A932="","",TEXT(YEAR($A932),"0000")&amp;"-Q"&amp;ROUNDUP(MONTH($A932)/3,0))</f>
        <v/>
      </c>
    </row>
    <row r="933">
      <c r="A933" s="22" t="n"/>
      <c r="B933" s="20" t="n"/>
      <c r="C933" s="20" t="n"/>
      <c r="D933" s="20">
        <f>IFERROR(INDEX(XPMenu!$A$2:$A$1000, MATCH(C933, XPMenu!$B$2:$B$1000, 0)), "")</f>
        <v/>
      </c>
      <c r="E933" s="20" t="n"/>
      <c r="F933" s="20" t="n"/>
      <c r="G933" s="20" t="n"/>
      <c r="H933" s="20" t="n"/>
      <c r="I933" s="20">
        <f>IFERROR(VLOOKUP(D933,XPMenu!$A:$F,2,FALSE),"")</f>
        <v/>
      </c>
      <c r="J933" s="20">
        <f>IFERROR(VLOOKUP(D933,XPMenu!$A:$F,3,FALSE),"")</f>
        <v/>
      </c>
      <c r="K933" s="20">
        <f>IFERROR(VLOOKUP(D933,XPMenu!$A:$F,4,FALSE),"")</f>
        <v/>
      </c>
      <c r="L933" s="20" t="n"/>
      <c r="M933" s="20">
        <f>IF(A933="","",IF(F933&lt;&gt;"Yes",0,IF(L933&lt;&gt;"",L933,E933*K933)))</f>
        <v/>
      </c>
      <c r="N933" s="20">
        <f>IF($A933="","",$A933-WEEKDAY($A933,2)+1)</f>
        <v/>
      </c>
      <c r="O933" s="20">
        <f>IF($A933="","",TEXT($A933,"yyyy-mm"))</f>
        <v/>
      </c>
      <c r="P933" s="21">
        <f>IF($A933="","",TEXT(YEAR($A933),"0000")&amp;"-Q"&amp;ROUNDUP(MONTH($A933)/3,0))</f>
        <v/>
      </c>
    </row>
    <row r="934">
      <c r="A934" s="22" t="n"/>
      <c r="B934" s="20" t="n"/>
      <c r="C934" s="20" t="n"/>
      <c r="D934" s="20">
        <f>IFERROR(INDEX(XPMenu!$A$2:$A$1000, MATCH(C934, XPMenu!$B$2:$B$1000, 0)), "")</f>
        <v/>
      </c>
      <c r="E934" s="20" t="n"/>
      <c r="F934" s="20" t="n"/>
      <c r="G934" s="20" t="n"/>
      <c r="H934" s="20" t="n"/>
      <c r="I934" s="20">
        <f>IFERROR(VLOOKUP(D934,XPMenu!$A:$F,2,FALSE),"")</f>
        <v/>
      </c>
      <c r="J934" s="20">
        <f>IFERROR(VLOOKUP(D934,XPMenu!$A:$F,3,FALSE),"")</f>
        <v/>
      </c>
      <c r="K934" s="20">
        <f>IFERROR(VLOOKUP(D934,XPMenu!$A:$F,4,FALSE),"")</f>
        <v/>
      </c>
      <c r="L934" s="20" t="n"/>
      <c r="M934" s="20">
        <f>IF(A934="","",IF(F934&lt;&gt;"Yes",0,IF(L934&lt;&gt;"",L934,E934*K934)))</f>
        <v/>
      </c>
      <c r="N934" s="20">
        <f>IF($A934="","",$A934-WEEKDAY($A934,2)+1)</f>
        <v/>
      </c>
      <c r="O934" s="20">
        <f>IF($A934="","",TEXT($A934,"yyyy-mm"))</f>
        <v/>
      </c>
      <c r="P934" s="21">
        <f>IF($A934="","",TEXT(YEAR($A934),"0000")&amp;"-Q"&amp;ROUNDUP(MONTH($A934)/3,0))</f>
        <v/>
      </c>
    </row>
    <row r="935">
      <c r="A935" s="22" t="n"/>
      <c r="B935" s="20" t="n"/>
      <c r="C935" s="20" t="n"/>
      <c r="D935" s="20">
        <f>IFERROR(INDEX(XPMenu!$A$2:$A$1000, MATCH(C935, XPMenu!$B$2:$B$1000, 0)), "")</f>
        <v/>
      </c>
      <c r="E935" s="20" t="n"/>
      <c r="F935" s="20" t="n"/>
      <c r="G935" s="20" t="n"/>
      <c r="H935" s="20" t="n"/>
      <c r="I935" s="20">
        <f>IFERROR(VLOOKUP(D935,XPMenu!$A:$F,2,FALSE),"")</f>
        <v/>
      </c>
      <c r="J935" s="20">
        <f>IFERROR(VLOOKUP(D935,XPMenu!$A:$F,3,FALSE),"")</f>
        <v/>
      </c>
      <c r="K935" s="20">
        <f>IFERROR(VLOOKUP(D935,XPMenu!$A:$F,4,FALSE),"")</f>
        <v/>
      </c>
      <c r="L935" s="20" t="n"/>
      <c r="M935" s="20">
        <f>IF(A935="","",IF(F935&lt;&gt;"Yes",0,IF(L935&lt;&gt;"",L935,E935*K935)))</f>
        <v/>
      </c>
      <c r="N935" s="20">
        <f>IF($A935="","",$A935-WEEKDAY($A935,2)+1)</f>
        <v/>
      </c>
      <c r="O935" s="20">
        <f>IF($A935="","",TEXT($A935,"yyyy-mm"))</f>
        <v/>
      </c>
      <c r="P935" s="21">
        <f>IF($A935="","",TEXT(YEAR($A935),"0000")&amp;"-Q"&amp;ROUNDUP(MONTH($A935)/3,0))</f>
        <v/>
      </c>
    </row>
    <row r="936">
      <c r="A936" s="22" t="n"/>
      <c r="B936" s="20" t="n"/>
      <c r="C936" s="20" t="n"/>
      <c r="D936" s="20">
        <f>IFERROR(INDEX(XPMenu!$A$2:$A$1000, MATCH(C936, XPMenu!$B$2:$B$1000, 0)), "")</f>
        <v/>
      </c>
      <c r="E936" s="20" t="n"/>
      <c r="F936" s="20" t="n"/>
      <c r="G936" s="20" t="n"/>
      <c r="H936" s="20" t="n"/>
      <c r="I936" s="20">
        <f>IFERROR(VLOOKUP(D936,XPMenu!$A:$F,2,FALSE),"")</f>
        <v/>
      </c>
      <c r="J936" s="20">
        <f>IFERROR(VLOOKUP(D936,XPMenu!$A:$F,3,FALSE),"")</f>
        <v/>
      </c>
      <c r="K936" s="20">
        <f>IFERROR(VLOOKUP(D936,XPMenu!$A:$F,4,FALSE),"")</f>
        <v/>
      </c>
      <c r="L936" s="20" t="n"/>
      <c r="M936" s="20">
        <f>IF(A936="","",IF(F936&lt;&gt;"Yes",0,IF(L936&lt;&gt;"",L936,E936*K936)))</f>
        <v/>
      </c>
      <c r="N936" s="20">
        <f>IF($A936="","",$A936-WEEKDAY($A936,2)+1)</f>
        <v/>
      </c>
      <c r="O936" s="20">
        <f>IF($A936="","",TEXT($A936,"yyyy-mm"))</f>
        <v/>
      </c>
      <c r="P936" s="21">
        <f>IF($A936="","",TEXT(YEAR($A936),"0000")&amp;"-Q"&amp;ROUNDUP(MONTH($A936)/3,0))</f>
        <v/>
      </c>
    </row>
    <row r="937">
      <c r="A937" s="22" t="n"/>
      <c r="B937" s="20" t="n"/>
      <c r="C937" s="20" t="n"/>
      <c r="D937" s="20">
        <f>IFERROR(INDEX(XPMenu!$A$2:$A$1000, MATCH(C937, XPMenu!$B$2:$B$1000, 0)), "")</f>
        <v/>
      </c>
      <c r="E937" s="20" t="n"/>
      <c r="F937" s="20" t="n"/>
      <c r="G937" s="20" t="n"/>
      <c r="H937" s="20" t="n"/>
      <c r="I937" s="20">
        <f>IFERROR(VLOOKUP(D937,XPMenu!$A:$F,2,FALSE),"")</f>
        <v/>
      </c>
      <c r="J937" s="20">
        <f>IFERROR(VLOOKUP(D937,XPMenu!$A:$F,3,FALSE),"")</f>
        <v/>
      </c>
      <c r="K937" s="20">
        <f>IFERROR(VLOOKUP(D937,XPMenu!$A:$F,4,FALSE),"")</f>
        <v/>
      </c>
      <c r="L937" s="20" t="n"/>
      <c r="M937" s="20">
        <f>IF(A937="","",IF(F937&lt;&gt;"Yes",0,IF(L937&lt;&gt;"",L937,E937*K937)))</f>
        <v/>
      </c>
      <c r="N937" s="20">
        <f>IF($A937="","",$A937-WEEKDAY($A937,2)+1)</f>
        <v/>
      </c>
      <c r="O937" s="20">
        <f>IF($A937="","",TEXT($A937,"yyyy-mm"))</f>
        <v/>
      </c>
      <c r="P937" s="21">
        <f>IF($A937="","",TEXT(YEAR($A937),"0000")&amp;"-Q"&amp;ROUNDUP(MONTH($A937)/3,0))</f>
        <v/>
      </c>
    </row>
    <row r="938">
      <c r="A938" s="22" t="n"/>
      <c r="B938" s="20" t="n"/>
      <c r="C938" s="20" t="n"/>
      <c r="D938" s="20">
        <f>IFERROR(INDEX(XPMenu!$A$2:$A$1000, MATCH(C938, XPMenu!$B$2:$B$1000, 0)), "")</f>
        <v/>
      </c>
      <c r="E938" s="20" t="n"/>
      <c r="F938" s="20" t="n"/>
      <c r="G938" s="20" t="n"/>
      <c r="H938" s="20" t="n"/>
      <c r="I938" s="20">
        <f>IFERROR(VLOOKUP(D938,XPMenu!$A:$F,2,FALSE),"")</f>
        <v/>
      </c>
      <c r="J938" s="20">
        <f>IFERROR(VLOOKUP(D938,XPMenu!$A:$F,3,FALSE),"")</f>
        <v/>
      </c>
      <c r="K938" s="20">
        <f>IFERROR(VLOOKUP(D938,XPMenu!$A:$F,4,FALSE),"")</f>
        <v/>
      </c>
      <c r="L938" s="20" t="n"/>
      <c r="M938" s="20">
        <f>IF(A938="","",IF(F938&lt;&gt;"Yes",0,IF(L938&lt;&gt;"",L938,E938*K938)))</f>
        <v/>
      </c>
      <c r="N938" s="20">
        <f>IF($A938="","",$A938-WEEKDAY($A938,2)+1)</f>
        <v/>
      </c>
      <c r="O938" s="20">
        <f>IF($A938="","",TEXT($A938,"yyyy-mm"))</f>
        <v/>
      </c>
      <c r="P938" s="21">
        <f>IF($A938="","",TEXT(YEAR($A938),"0000")&amp;"-Q"&amp;ROUNDUP(MONTH($A938)/3,0))</f>
        <v/>
      </c>
    </row>
    <row r="939">
      <c r="A939" s="22" t="n"/>
      <c r="B939" s="20" t="n"/>
      <c r="C939" s="20" t="n"/>
      <c r="D939" s="20">
        <f>IFERROR(INDEX(XPMenu!$A$2:$A$1000, MATCH(C939, XPMenu!$B$2:$B$1000, 0)), "")</f>
        <v/>
      </c>
      <c r="E939" s="20" t="n"/>
      <c r="F939" s="20" t="n"/>
      <c r="G939" s="20" t="n"/>
      <c r="H939" s="20" t="n"/>
      <c r="I939" s="20">
        <f>IFERROR(VLOOKUP(D939,XPMenu!$A:$F,2,FALSE),"")</f>
        <v/>
      </c>
      <c r="J939" s="20">
        <f>IFERROR(VLOOKUP(D939,XPMenu!$A:$F,3,FALSE),"")</f>
        <v/>
      </c>
      <c r="K939" s="20">
        <f>IFERROR(VLOOKUP(D939,XPMenu!$A:$F,4,FALSE),"")</f>
        <v/>
      </c>
      <c r="L939" s="20" t="n"/>
      <c r="M939" s="20">
        <f>IF(A939="","",IF(F939&lt;&gt;"Yes",0,IF(L939&lt;&gt;"",L939,E939*K939)))</f>
        <v/>
      </c>
      <c r="N939" s="20">
        <f>IF($A939="","",$A939-WEEKDAY($A939,2)+1)</f>
        <v/>
      </c>
      <c r="O939" s="20">
        <f>IF($A939="","",TEXT($A939,"yyyy-mm"))</f>
        <v/>
      </c>
      <c r="P939" s="21">
        <f>IF($A939="","",TEXT(YEAR($A939),"0000")&amp;"-Q"&amp;ROUNDUP(MONTH($A939)/3,0))</f>
        <v/>
      </c>
    </row>
    <row r="940">
      <c r="A940" s="22" t="n"/>
      <c r="B940" s="20" t="n"/>
      <c r="C940" s="20" t="n"/>
      <c r="D940" s="20">
        <f>IFERROR(INDEX(XPMenu!$A$2:$A$1000, MATCH(C940, XPMenu!$B$2:$B$1000, 0)), "")</f>
        <v/>
      </c>
      <c r="E940" s="20" t="n"/>
      <c r="F940" s="20" t="n"/>
      <c r="G940" s="20" t="n"/>
      <c r="H940" s="20" t="n"/>
      <c r="I940" s="20">
        <f>IFERROR(VLOOKUP(D940,XPMenu!$A:$F,2,FALSE),"")</f>
        <v/>
      </c>
      <c r="J940" s="20">
        <f>IFERROR(VLOOKUP(D940,XPMenu!$A:$F,3,FALSE),"")</f>
        <v/>
      </c>
      <c r="K940" s="20">
        <f>IFERROR(VLOOKUP(D940,XPMenu!$A:$F,4,FALSE),"")</f>
        <v/>
      </c>
      <c r="L940" s="20" t="n"/>
      <c r="M940" s="20">
        <f>IF(A940="","",IF(F940&lt;&gt;"Yes",0,IF(L940&lt;&gt;"",L940,E940*K940)))</f>
        <v/>
      </c>
      <c r="N940" s="20">
        <f>IF($A940="","",$A940-WEEKDAY($A940,2)+1)</f>
        <v/>
      </c>
      <c r="O940" s="20">
        <f>IF($A940="","",TEXT($A940,"yyyy-mm"))</f>
        <v/>
      </c>
      <c r="P940" s="21">
        <f>IF($A940="","",TEXT(YEAR($A940),"0000")&amp;"-Q"&amp;ROUNDUP(MONTH($A940)/3,0))</f>
        <v/>
      </c>
    </row>
    <row r="941">
      <c r="A941" s="22" t="n"/>
      <c r="B941" s="20" t="n"/>
      <c r="C941" s="20" t="n"/>
      <c r="D941" s="20">
        <f>IFERROR(INDEX(XPMenu!$A$2:$A$1000, MATCH(C941, XPMenu!$B$2:$B$1000, 0)), "")</f>
        <v/>
      </c>
      <c r="E941" s="20" t="n"/>
      <c r="F941" s="20" t="n"/>
      <c r="G941" s="20" t="n"/>
      <c r="H941" s="20" t="n"/>
      <c r="I941" s="20">
        <f>IFERROR(VLOOKUP(D941,XPMenu!$A:$F,2,FALSE),"")</f>
        <v/>
      </c>
      <c r="J941" s="20">
        <f>IFERROR(VLOOKUP(D941,XPMenu!$A:$F,3,FALSE),"")</f>
        <v/>
      </c>
      <c r="K941" s="20">
        <f>IFERROR(VLOOKUP(D941,XPMenu!$A:$F,4,FALSE),"")</f>
        <v/>
      </c>
      <c r="L941" s="20" t="n"/>
      <c r="M941" s="20">
        <f>IF(A941="","",IF(F941&lt;&gt;"Yes",0,IF(L941&lt;&gt;"",L941,E941*K941)))</f>
        <v/>
      </c>
      <c r="N941" s="20">
        <f>IF($A941="","",$A941-WEEKDAY($A941,2)+1)</f>
        <v/>
      </c>
      <c r="O941" s="20">
        <f>IF($A941="","",TEXT($A941,"yyyy-mm"))</f>
        <v/>
      </c>
      <c r="P941" s="21">
        <f>IF($A941="","",TEXT(YEAR($A941),"0000")&amp;"-Q"&amp;ROUNDUP(MONTH($A941)/3,0))</f>
        <v/>
      </c>
    </row>
    <row r="942">
      <c r="A942" s="22" t="n"/>
      <c r="B942" s="20" t="n"/>
      <c r="C942" s="20" t="n"/>
      <c r="D942" s="20">
        <f>IFERROR(INDEX(XPMenu!$A$2:$A$1000, MATCH(C942, XPMenu!$B$2:$B$1000, 0)), "")</f>
        <v/>
      </c>
      <c r="E942" s="20" t="n"/>
      <c r="F942" s="20" t="n"/>
      <c r="G942" s="20" t="n"/>
      <c r="H942" s="20" t="n"/>
      <c r="I942" s="20">
        <f>IFERROR(VLOOKUP(D942,XPMenu!$A:$F,2,FALSE),"")</f>
        <v/>
      </c>
      <c r="J942" s="20">
        <f>IFERROR(VLOOKUP(D942,XPMenu!$A:$F,3,FALSE),"")</f>
        <v/>
      </c>
      <c r="K942" s="20">
        <f>IFERROR(VLOOKUP(D942,XPMenu!$A:$F,4,FALSE),"")</f>
        <v/>
      </c>
      <c r="L942" s="20" t="n"/>
      <c r="M942" s="20">
        <f>IF(A942="","",IF(F942&lt;&gt;"Yes",0,IF(L942&lt;&gt;"",L942,E942*K942)))</f>
        <v/>
      </c>
      <c r="N942" s="20">
        <f>IF($A942="","",$A942-WEEKDAY($A942,2)+1)</f>
        <v/>
      </c>
      <c r="O942" s="20">
        <f>IF($A942="","",TEXT($A942,"yyyy-mm"))</f>
        <v/>
      </c>
      <c r="P942" s="21">
        <f>IF($A942="","",TEXT(YEAR($A942),"0000")&amp;"-Q"&amp;ROUNDUP(MONTH($A942)/3,0))</f>
        <v/>
      </c>
    </row>
    <row r="943">
      <c r="A943" s="22" t="n"/>
      <c r="B943" s="20" t="n"/>
      <c r="C943" s="20" t="n"/>
      <c r="D943" s="20">
        <f>IFERROR(INDEX(XPMenu!$A$2:$A$1000, MATCH(C943, XPMenu!$B$2:$B$1000, 0)), "")</f>
        <v/>
      </c>
      <c r="E943" s="20" t="n"/>
      <c r="F943" s="20" t="n"/>
      <c r="G943" s="20" t="n"/>
      <c r="H943" s="20" t="n"/>
      <c r="I943" s="20">
        <f>IFERROR(VLOOKUP(D943,XPMenu!$A:$F,2,FALSE),"")</f>
        <v/>
      </c>
      <c r="J943" s="20">
        <f>IFERROR(VLOOKUP(D943,XPMenu!$A:$F,3,FALSE),"")</f>
        <v/>
      </c>
      <c r="K943" s="20">
        <f>IFERROR(VLOOKUP(D943,XPMenu!$A:$F,4,FALSE),"")</f>
        <v/>
      </c>
      <c r="L943" s="20" t="n"/>
      <c r="M943" s="20">
        <f>IF(A943="","",IF(F943&lt;&gt;"Yes",0,IF(L943&lt;&gt;"",L943,E943*K943)))</f>
        <v/>
      </c>
      <c r="N943" s="20">
        <f>IF($A943="","",$A943-WEEKDAY($A943,2)+1)</f>
        <v/>
      </c>
      <c r="O943" s="20">
        <f>IF($A943="","",TEXT($A943,"yyyy-mm"))</f>
        <v/>
      </c>
      <c r="P943" s="21">
        <f>IF($A943="","",TEXT(YEAR($A943),"0000")&amp;"-Q"&amp;ROUNDUP(MONTH($A943)/3,0))</f>
        <v/>
      </c>
    </row>
    <row r="944">
      <c r="A944" s="22" t="n"/>
      <c r="B944" s="20" t="n"/>
      <c r="C944" s="20" t="n"/>
      <c r="D944" s="20">
        <f>IFERROR(INDEX(XPMenu!$A$2:$A$1000, MATCH(C944, XPMenu!$B$2:$B$1000, 0)), "")</f>
        <v/>
      </c>
      <c r="E944" s="20" t="n"/>
      <c r="F944" s="20" t="n"/>
      <c r="G944" s="20" t="n"/>
      <c r="H944" s="20" t="n"/>
      <c r="I944" s="20">
        <f>IFERROR(VLOOKUP(D944,XPMenu!$A:$F,2,FALSE),"")</f>
        <v/>
      </c>
      <c r="J944" s="20">
        <f>IFERROR(VLOOKUP(D944,XPMenu!$A:$F,3,FALSE),"")</f>
        <v/>
      </c>
      <c r="K944" s="20">
        <f>IFERROR(VLOOKUP(D944,XPMenu!$A:$F,4,FALSE),"")</f>
        <v/>
      </c>
      <c r="L944" s="20" t="n"/>
      <c r="M944" s="20">
        <f>IF(A944="","",IF(F944&lt;&gt;"Yes",0,IF(L944&lt;&gt;"",L944,E944*K944)))</f>
        <v/>
      </c>
      <c r="N944" s="20">
        <f>IF($A944="","",$A944-WEEKDAY($A944,2)+1)</f>
        <v/>
      </c>
      <c r="O944" s="20">
        <f>IF($A944="","",TEXT($A944,"yyyy-mm"))</f>
        <v/>
      </c>
      <c r="P944" s="21">
        <f>IF($A944="","",TEXT(YEAR($A944),"0000")&amp;"-Q"&amp;ROUNDUP(MONTH($A944)/3,0))</f>
        <v/>
      </c>
    </row>
    <row r="945">
      <c r="A945" s="22" t="n"/>
      <c r="B945" s="20" t="n"/>
      <c r="C945" s="20" t="n"/>
      <c r="D945" s="20">
        <f>IFERROR(INDEX(XPMenu!$A$2:$A$1000, MATCH(C945, XPMenu!$B$2:$B$1000, 0)), "")</f>
        <v/>
      </c>
      <c r="E945" s="20" t="n"/>
      <c r="F945" s="20" t="n"/>
      <c r="G945" s="20" t="n"/>
      <c r="H945" s="20" t="n"/>
      <c r="I945" s="20">
        <f>IFERROR(VLOOKUP(D945,XPMenu!$A:$F,2,FALSE),"")</f>
        <v/>
      </c>
      <c r="J945" s="20">
        <f>IFERROR(VLOOKUP(D945,XPMenu!$A:$F,3,FALSE),"")</f>
        <v/>
      </c>
      <c r="K945" s="20">
        <f>IFERROR(VLOOKUP(D945,XPMenu!$A:$F,4,FALSE),"")</f>
        <v/>
      </c>
      <c r="L945" s="20" t="n"/>
      <c r="M945" s="20">
        <f>IF(A945="","",IF(F945&lt;&gt;"Yes",0,IF(L945&lt;&gt;"",L945,E945*K945)))</f>
        <v/>
      </c>
      <c r="N945" s="20">
        <f>IF($A945="","",$A945-WEEKDAY($A945,2)+1)</f>
        <v/>
      </c>
      <c r="O945" s="20">
        <f>IF($A945="","",TEXT($A945,"yyyy-mm"))</f>
        <v/>
      </c>
      <c r="P945" s="21">
        <f>IF($A945="","",TEXT(YEAR($A945),"0000")&amp;"-Q"&amp;ROUNDUP(MONTH($A945)/3,0))</f>
        <v/>
      </c>
    </row>
    <row r="946">
      <c r="A946" s="22" t="n"/>
      <c r="B946" s="20" t="n"/>
      <c r="C946" s="20" t="n"/>
      <c r="D946" s="20">
        <f>IFERROR(INDEX(XPMenu!$A$2:$A$1000, MATCH(C946, XPMenu!$B$2:$B$1000, 0)), "")</f>
        <v/>
      </c>
      <c r="E946" s="20" t="n"/>
      <c r="F946" s="20" t="n"/>
      <c r="G946" s="20" t="n"/>
      <c r="H946" s="20" t="n"/>
      <c r="I946" s="20">
        <f>IFERROR(VLOOKUP(D946,XPMenu!$A:$F,2,FALSE),"")</f>
        <v/>
      </c>
      <c r="J946" s="20">
        <f>IFERROR(VLOOKUP(D946,XPMenu!$A:$F,3,FALSE),"")</f>
        <v/>
      </c>
      <c r="K946" s="20">
        <f>IFERROR(VLOOKUP(D946,XPMenu!$A:$F,4,FALSE),"")</f>
        <v/>
      </c>
      <c r="L946" s="20" t="n"/>
      <c r="M946" s="20">
        <f>IF(A946="","",IF(F946&lt;&gt;"Yes",0,IF(L946&lt;&gt;"",L946,E946*K946)))</f>
        <v/>
      </c>
      <c r="N946" s="20">
        <f>IF($A946="","",$A946-WEEKDAY($A946,2)+1)</f>
        <v/>
      </c>
      <c r="O946" s="20">
        <f>IF($A946="","",TEXT($A946,"yyyy-mm"))</f>
        <v/>
      </c>
      <c r="P946" s="21">
        <f>IF($A946="","",TEXT(YEAR($A946),"0000")&amp;"-Q"&amp;ROUNDUP(MONTH($A946)/3,0))</f>
        <v/>
      </c>
    </row>
    <row r="947">
      <c r="A947" s="22" t="n"/>
      <c r="B947" s="20" t="n"/>
      <c r="C947" s="20" t="n"/>
      <c r="D947" s="20">
        <f>IFERROR(INDEX(XPMenu!$A$2:$A$1000, MATCH(C947, XPMenu!$B$2:$B$1000, 0)), "")</f>
        <v/>
      </c>
      <c r="E947" s="20" t="n"/>
      <c r="F947" s="20" t="n"/>
      <c r="G947" s="20" t="n"/>
      <c r="H947" s="20" t="n"/>
      <c r="I947" s="20">
        <f>IFERROR(VLOOKUP(D947,XPMenu!$A:$F,2,FALSE),"")</f>
        <v/>
      </c>
      <c r="J947" s="20">
        <f>IFERROR(VLOOKUP(D947,XPMenu!$A:$F,3,FALSE),"")</f>
        <v/>
      </c>
      <c r="K947" s="20">
        <f>IFERROR(VLOOKUP(D947,XPMenu!$A:$F,4,FALSE),"")</f>
        <v/>
      </c>
      <c r="L947" s="20" t="n"/>
      <c r="M947" s="20">
        <f>IF(A947="","",IF(F947&lt;&gt;"Yes",0,IF(L947&lt;&gt;"",L947,E947*K947)))</f>
        <v/>
      </c>
      <c r="N947" s="20">
        <f>IF($A947="","",$A947-WEEKDAY($A947,2)+1)</f>
        <v/>
      </c>
      <c r="O947" s="20">
        <f>IF($A947="","",TEXT($A947,"yyyy-mm"))</f>
        <v/>
      </c>
      <c r="P947" s="21">
        <f>IF($A947="","",TEXT(YEAR($A947),"0000")&amp;"-Q"&amp;ROUNDUP(MONTH($A947)/3,0))</f>
        <v/>
      </c>
    </row>
    <row r="948">
      <c r="A948" s="22" t="n"/>
      <c r="B948" s="20" t="n"/>
      <c r="C948" s="20" t="n"/>
      <c r="D948" s="20">
        <f>IFERROR(INDEX(XPMenu!$A$2:$A$1000, MATCH(C948, XPMenu!$B$2:$B$1000, 0)), "")</f>
        <v/>
      </c>
      <c r="E948" s="20" t="n"/>
      <c r="F948" s="20" t="n"/>
      <c r="G948" s="20" t="n"/>
      <c r="H948" s="20" t="n"/>
      <c r="I948" s="20">
        <f>IFERROR(VLOOKUP(D948,XPMenu!$A:$F,2,FALSE),"")</f>
        <v/>
      </c>
      <c r="J948" s="20">
        <f>IFERROR(VLOOKUP(D948,XPMenu!$A:$F,3,FALSE),"")</f>
        <v/>
      </c>
      <c r="K948" s="20">
        <f>IFERROR(VLOOKUP(D948,XPMenu!$A:$F,4,FALSE),"")</f>
        <v/>
      </c>
      <c r="L948" s="20" t="n"/>
      <c r="M948" s="20">
        <f>IF(A948="","",IF(F948&lt;&gt;"Yes",0,IF(L948&lt;&gt;"",L948,E948*K948)))</f>
        <v/>
      </c>
      <c r="N948" s="20">
        <f>IF($A948="","",$A948-WEEKDAY($A948,2)+1)</f>
        <v/>
      </c>
      <c r="O948" s="20">
        <f>IF($A948="","",TEXT($A948,"yyyy-mm"))</f>
        <v/>
      </c>
      <c r="P948" s="21">
        <f>IF($A948="","",TEXT(YEAR($A948),"0000")&amp;"-Q"&amp;ROUNDUP(MONTH($A948)/3,0))</f>
        <v/>
      </c>
    </row>
    <row r="949">
      <c r="A949" s="22" t="n"/>
      <c r="B949" s="20" t="n"/>
      <c r="C949" s="20" t="n"/>
      <c r="D949" s="20">
        <f>IFERROR(INDEX(XPMenu!$A$2:$A$1000, MATCH(C949, XPMenu!$B$2:$B$1000, 0)), "")</f>
        <v/>
      </c>
      <c r="E949" s="20" t="n"/>
      <c r="F949" s="20" t="n"/>
      <c r="G949" s="20" t="n"/>
      <c r="H949" s="20" t="n"/>
      <c r="I949" s="20">
        <f>IFERROR(VLOOKUP(D949,XPMenu!$A:$F,2,FALSE),"")</f>
        <v/>
      </c>
      <c r="J949" s="20">
        <f>IFERROR(VLOOKUP(D949,XPMenu!$A:$F,3,FALSE),"")</f>
        <v/>
      </c>
      <c r="K949" s="20">
        <f>IFERROR(VLOOKUP(D949,XPMenu!$A:$F,4,FALSE),"")</f>
        <v/>
      </c>
      <c r="L949" s="20" t="n"/>
      <c r="M949" s="20">
        <f>IF(A949="","",IF(F949&lt;&gt;"Yes",0,IF(L949&lt;&gt;"",L949,E949*K949)))</f>
        <v/>
      </c>
      <c r="N949" s="20">
        <f>IF($A949="","",$A949-WEEKDAY($A949,2)+1)</f>
        <v/>
      </c>
      <c r="O949" s="20">
        <f>IF($A949="","",TEXT($A949,"yyyy-mm"))</f>
        <v/>
      </c>
      <c r="P949" s="21">
        <f>IF($A949="","",TEXT(YEAR($A949),"0000")&amp;"-Q"&amp;ROUNDUP(MONTH($A949)/3,0))</f>
        <v/>
      </c>
    </row>
    <row r="950">
      <c r="A950" s="22" t="n"/>
      <c r="B950" s="20" t="n"/>
      <c r="C950" s="20" t="n"/>
      <c r="D950" s="20">
        <f>IFERROR(INDEX(XPMenu!$A$2:$A$1000, MATCH(C950, XPMenu!$B$2:$B$1000, 0)), "")</f>
        <v/>
      </c>
      <c r="E950" s="20" t="n"/>
      <c r="F950" s="20" t="n"/>
      <c r="G950" s="20" t="n"/>
      <c r="H950" s="20" t="n"/>
      <c r="I950" s="20">
        <f>IFERROR(VLOOKUP(D950,XPMenu!$A:$F,2,FALSE),"")</f>
        <v/>
      </c>
      <c r="J950" s="20">
        <f>IFERROR(VLOOKUP(D950,XPMenu!$A:$F,3,FALSE),"")</f>
        <v/>
      </c>
      <c r="K950" s="20">
        <f>IFERROR(VLOOKUP(D950,XPMenu!$A:$F,4,FALSE),"")</f>
        <v/>
      </c>
      <c r="L950" s="20" t="n"/>
      <c r="M950" s="20">
        <f>IF(A950="","",IF(F950&lt;&gt;"Yes",0,IF(L950&lt;&gt;"",L950,E950*K950)))</f>
        <v/>
      </c>
      <c r="N950" s="20">
        <f>IF($A950="","",$A950-WEEKDAY($A950,2)+1)</f>
        <v/>
      </c>
      <c r="O950" s="20">
        <f>IF($A950="","",TEXT($A950,"yyyy-mm"))</f>
        <v/>
      </c>
      <c r="P950" s="21">
        <f>IF($A950="","",TEXT(YEAR($A950),"0000")&amp;"-Q"&amp;ROUNDUP(MONTH($A950)/3,0))</f>
        <v/>
      </c>
    </row>
    <row r="951">
      <c r="A951" s="22" t="n"/>
      <c r="B951" s="20" t="n"/>
      <c r="C951" s="20" t="n"/>
      <c r="D951" s="20">
        <f>IFERROR(INDEX(XPMenu!$A$2:$A$1000, MATCH(C951, XPMenu!$B$2:$B$1000, 0)), "")</f>
        <v/>
      </c>
      <c r="E951" s="20" t="n"/>
      <c r="F951" s="20" t="n"/>
      <c r="G951" s="20" t="n"/>
      <c r="H951" s="20" t="n"/>
      <c r="I951" s="20">
        <f>IFERROR(VLOOKUP(D951,XPMenu!$A:$F,2,FALSE),"")</f>
        <v/>
      </c>
      <c r="J951" s="20">
        <f>IFERROR(VLOOKUP(D951,XPMenu!$A:$F,3,FALSE),"")</f>
        <v/>
      </c>
      <c r="K951" s="20">
        <f>IFERROR(VLOOKUP(D951,XPMenu!$A:$F,4,FALSE),"")</f>
        <v/>
      </c>
      <c r="L951" s="20" t="n"/>
      <c r="M951" s="20">
        <f>IF(A951="","",IF(F951&lt;&gt;"Yes",0,IF(L951&lt;&gt;"",L951,E951*K951)))</f>
        <v/>
      </c>
      <c r="N951" s="20">
        <f>IF($A951="","",$A951-WEEKDAY($A951,2)+1)</f>
        <v/>
      </c>
      <c r="O951" s="20">
        <f>IF($A951="","",TEXT($A951,"yyyy-mm"))</f>
        <v/>
      </c>
      <c r="P951" s="21">
        <f>IF($A951="","",TEXT(YEAR($A951),"0000")&amp;"-Q"&amp;ROUNDUP(MONTH($A951)/3,0))</f>
        <v/>
      </c>
    </row>
    <row r="952">
      <c r="A952" s="22" t="n"/>
      <c r="B952" s="20" t="n"/>
      <c r="C952" s="20" t="n"/>
      <c r="D952" s="20">
        <f>IFERROR(INDEX(XPMenu!$A$2:$A$1000, MATCH(C952, XPMenu!$B$2:$B$1000, 0)), "")</f>
        <v/>
      </c>
      <c r="E952" s="20" t="n"/>
      <c r="F952" s="20" t="n"/>
      <c r="G952" s="20" t="n"/>
      <c r="H952" s="20" t="n"/>
      <c r="I952" s="20">
        <f>IFERROR(VLOOKUP(D952,XPMenu!$A:$F,2,FALSE),"")</f>
        <v/>
      </c>
      <c r="J952" s="20">
        <f>IFERROR(VLOOKUP(D952,XPMenu!$A:$F,3,FALSE),"")</f>
        <v/>
      </c>
      <c r="K952" s="20">
        <f>IFERROR(VLOOKUP(D952,XPMenu!$A:$F,4,FALSE),"")</f>
        <v/>
      </c>
      <c r="L952" s="20" t="n"/>
      <c r="M952" s="20">
        <f>IF(A952="","",IF(F952&lt;&gt;"Yes",0,IF(L952&lt;&gt;"",L952,E952*K952)))</f>
        <v/>
      </c>
      <c r="N952" s="20">
        <f>IF($A952="","",$A952-WEEKDAY($A952,2)+1)</f>
        <v/>
      </c>
      <c r="O952" s="20">
        <f>IF($A952="","",TEXT($A952,"yyyy-mm"))</f>
        <v/>
      </c>
      <c r="P952" s="21">
        <f>IF($A952="","",TEXT(YEAR($A952),"0000")&amp;"-Q"&amp;ROUNDUP(MONTH($A952)/3,0))</f>
        <v/>
      </c>
    </row>
    <row r="953">
      <c r="A953" s="22" t="n"/>
      <c r="B953" s="20" t="n"/>
      <c r="C953" s="20" t="n"/>
      <c r="D953" s="20">
        <f>IFERROR(INDEX(XPMenu!$A$2:$A$1000, MATCH(C953, XPMenu!$B$2:$B$1000, 0)), "")</f>
        <v/>
      </c>
      <c r="E953" s="20" t="n"/>
      <c r="F953" s="20" t="n"/>
      <c r="G953" s="20" t="n"/>
      <c r="H953" s="20" t="n"/>
      <c r="I953" s="20">
        <f>IFERROR(VLOOKUP(D953,XPMenu!$A:$F,2,FALSE),"")</f>
        <v/>
      </c>
      <c r="J953" s="20">
        <f>IFERROR(VLOOKUP(D953,XPMenu!$A:$F,3,FALSE),"")</f>
        <v/>
      </c>
      <c r="K953" s="20">
        <f>IFERROR(VLOOKUP(D953,XPMenu!$A:$F,4,FALSE),"")</f>
        <v/>
      </c>
      <c r="L953" s="20" t="n"/>
      <c r="M953" s="20">
        <f>IF(A953="","",IF(F953&lt;&gt;"Yes",0,IF(L953&lt;&gt;"",L953,E953*K953)))</f>
        <v/>
      </c>
      <c r="N953" s="20">
        <f>IF($A953="","",$A953-WEEKDAY($A953,2)+1)</f>
        <v/>
      </c>
      <c r="O953" s="20">
        <f>IF($A953="","",TEXT($A953,"yyyy-mm"))</f>
        <v/>
      </c>
      <c r="P953" s="21">
        <f>IF($A953="","",TEXT(YEAR($A953),"0000")&amp;"-Q"&amp;ROUNDUP(MONTH($A953)/3,0))</f>
        <v/>
      </c>
    </row>
    <row r="954">
      <c r="A954" s="22" t="n"/>
      <c r="B954" s="20" t="n"/>
      <c r="C954" s="20" t="n"/>
      <c r="D954" s="20">
        <f>IFERROR(INDEX(XPMenu!$A$2:$A$1000, MATCH(C954, XPMenu!$B$2:$B$1000, 0)), "")</f>
        <v/>
      </c>
      <c r="E954" s="20" t="n"/>
      <c r="F954" s="20" t="n"/>
      <c r="G954" s="20" t="n"/>
      <c r="H954" s="20" t="n"/>
      <c r="I954" s="20">
        <f>IFERROR(VLOOKUP(D954,XPMenu!$A:$F,2,FALSE),"")</f>
        <v/>
      </c>
      <c r="J954" s="20">
        <f>IFERROR(VLOOKUP(D954,XPMenu!$A:$F,3,FALSE),"")</f>
        <v/>
      </c>
      <c r="K954" s="20">
        <f>IFERROR(VLOOKUP(D954,XPMenu!$A:$F,4,FALSE),"")</f>
        <v/>
      </c>
      <c r="L954" s="20" t="n"/>
      <c r="M954" s="20">
        <f>IF(A954="","",IF(F954&lt;&gt;"Yes",0,IF(L954&lt;&gt;"",L954,E954*K954)))</f>
        <v/>
      </c>
      <c r="N954" s="20">
        <f>IF($A954="","",$A954-WEEKDAY($A954,2)+1)</f>
        <v/>
      </c>
      <c r="O954" s="20">
        <f>IF($A954="","",TEXT($A954,"yyyy-mm"))</f>
        <v/>
      </c>
      <c r="P954" s="21">
        <f>IF($A954="","",TEXT(YEAR($A954),"0000")&amp;"-Q"&amp;ROUNDUP(MONTH($A954)/3,0))</f>
        <v/>
      </c>
    </row>
    <row r="955">
      <c r="A955" s="22" t="n"/>
      <c r="B955" s="20" t="n"/>
      <c r="C955" s="20" t="n"/>
      <c r="D955" s="20">
        <f>IFERROR(INDEX(XPMenu!$A$2:$A$1000, MATCH(C955, XPMenu!$B$2:$B$1000, 0)), "")</f>
        <v/>
      </c>
      <c r="E955" s="20" t="n"/>
      <c r="F955" s="20" t="n"/>
      <c r="G955" s="20" t="n"/>
      <c r="H955" s="20" t="n"/>
      <c r="I955" s="20">
        <f>IFERROR(VLOOKUP(D955,XPMenu!$A:$F,2,FALSE),"")</f>
        <v/>
      </c>
      <c r="J955" s="20">
        <f>IFERROR(VLOOKUP(D955,XPMenu!$A:$F,3,FALSE),"")</f>
        <v/>
      </c>
      <c r="K955" s="20">
        <f>IFERROR(VLOOKUP(D955,XPMenu!$A:$F,4,FALSE),"")</f>
        <v/>
      </c>
      <c r="L955" s="20" t="n"/>
      <c r="M955" s="20">
        <f>IF(A955="","",IF(F955&lt;&gt;"Yes",0,IF(L955&lt;&gt;"",L955,E955*K955)))</f>
        <v/>
      </c>
      <c r="N955" s="20">
        <f>IF($A955="","",$A955-WEEKDAY($A955,2)+1)</f>
        <v/>
      </c>
      <c r="O955" s="20">
        <f>IF($A955="","",TEXT($A955,"yyyy-mm"))</f>
        <v/>
      </c>
      <c r="P955" s="21">
        <f>IF($A955="","",TEXT(YEAR($A955),"0000")&amp;"-Q"&amp;ROUNDUP(MONTH($A955)/3,0))</f>
        <v/>
      </c>
    </row>
    <row r="956">
      <c r="A956" s="22" t="n"/>
      <c r="B956" s="20" t="n"/>
      <c r="C956" s="20" t="n"/>
      <c r="D956" s="20">
        <f>IFERROR(INDEX(XPMenu!$A$2:$A$1000, MATCH(C956, XPMenu!$B$2:$B$1000, 0)), "")</f>
        <v/>
      </c>
      <c r="E956" s="20" t="n"/>
      <c r="F956" s="20" t="n"/>
      <c r="G956" s="20" t="n"/>
      <c r="H956" s="20" t="n"/>
      <c r="I956" s="20">
        <f>IFERROR(VLOOKUP(D956,XPMenu!$A:$F,2,FALSE),"")</f>
        <v/>
      </c>
      <c r="J956" s="20">
        <f>IFERROR(VLOOKUP(D956,XPMenu!$A:$F,3,FALSE),"")</f>
        <v/>
      </c>
      <c r="K956" s="20">
        <f>IFERROR(VLOOKUP(D956,XPMenu!$A:$F,4,FALSE),"")</f>
        <v/>
      </c>
      <c r="L956" s="20" t="n"/>
      <c r="M956" s="20">
        <f>IF(A956="","",IF(F956&lt;&gt;"Yes",0,IF(L956&lt;&gt;"",L956,E956*K956)))</f>
        <v/>
      </c>
      <c r="N956" s="20">
        <f>IF($A956="","",$A956-WEEKDAY($A956,2)+1)</f>
        <v/>
      </c>
      <c r="O956" s="20">
        <f>IF($A956="","",TEXT($A956,"yyyy-mm"))</f>
        <v/>
      </c>
      <c r="P956" s="21">
        <f>IF($A956="","",TEXT(YEAR($A956),"0000")&amp;"-Q"&amp;ROUNDUP(MONTH($A956)/3,0))</f>
        <v/>
      </c>
    </row>
    <row r="957">
      <c r="A957" s="22" t="n"/>
      <c r="B957" s="20" t="n"/>
      <c r="C957" s="20" t="n"/>
      <c r="D957" s="20">
        <f>IFERROR(INDEX(XPMenu!$A$2:$A$1000, MATCH(C957, XPMenu!$B$2:$B$1000, 0)), "")</f>
        <v/>
      </c>
      <c r="E957" s="20" t="n"/>
      <c r="F957" s="20" t="n"/>
      <c r="G957" s="20" t="n"/>
      <c r="H957" s="20" t="n"/>
      <c r="I957" s="20">
        <f>IFERROR(VLOOKUP(D957,XPMenu!$A:$F,2,FALSE),"")</f>
        <v/>
      </c>
      <c r="J957" s="20">
        <f>IFERROR(VLOOKUP(D957,XPMenu!$A:$F,3,FALSE),"")</f>
        <v/>
      </c>
      <c r="K957" s="20">
        <f>IFERROR(VLOOKUP(D957,XPMenu!$A:$F,4,FALSE),"")</f>
        <v/>
      </c>
      <c r="L957" s="20" t="n"/>
      <c r="M957" s="20">
        <f>IF(A957="","",IF(F957&lt;&gt;"Yes",0,IF(L957&lt;&gt;"",L957,E957*K957)))</f>
        <v/>
      </c>
      <c r="N957" s="20">
        <f>IF($A957="","",$A957-WEEKDAY($A957,2)+1)</f>
        <v/>
      </c>
      <c r="O957" s="20">
        <f>IF($A957="","",TEXT($A957,"yyyy-mm"))</f>
        <v/>
      </c>
      <c r="P957" s="21">
        <f>IF($A957="","",TEXT(YEAR($A957),"0000")&amp;"-Q"&amp;ROUNDUP(MONTH($A957)/3,0))</f>
        <v/>
      </c>
    </row>
    <row r="958">
      <c r="A958" s="22" t="n"/>
      <c r="B958" s="20" t="n"/>
      <c r="C958" s="20" t="n"/>
      <c r="D958" s="20">
        <f>IFERROR(INDEX(XPMenu!$A$2:$A$1000, MATCH(C958, XPMenu!$B$2:$B$1000, 0)), "")</f>
        <v/>
      </c>
      <c r="E958" s="20" t="n"/>
      <c r="F958" s="20" t="n"/>
      <c r="G958" s="20" t="n"/>
      <c r="H958" s="20" t="n"/>
      <c r="I958" s="20">
        <f>IFERROR(VLOOKUP(D958,XPMenu!$A:$F,2,FALSE),"")</f>
        <v/>
      </c>
      <c r="J958" s="20">
        <f>IFERROR(VLOOKUP(D958,XPMenu!$A:$F,3,FALSE),"")</f>
        <v/>
      </c>
      <c r="K958" s="20">
        <f>IFERROR(VLOOKUP(D958,XPMenu!$A:$F,4,FALSE),"")</f>
        <v/>
      </c>
      <c r="L958" s="20" t="n"/>
      <c r="M958" s="20">
        <f>IF(A958="","",IF(F958&lt;&gt;"Yes",0,IF(L958&lt;&gt;"",L958,E958*K958)))</f>
        <v/>
      </c>
      <c r="N958" s="20">
        <f>IF($A958="","",$A958-WEEKDAY($A958,2)+1)</f>
        <v/>
      </c>
      <c r="O958" s="20">
        <f>IF($A958="","",TEXT($A958,"yyyy-mm"))</f>
        <v/>
      </c>
      <c r="P958" s="21">
        <f>IF($A958="","",TEXT(YEAR($A958),"0000")&amp;"-Q"&amp;ROUNDUP(MONTH($A958)/3,0))</f>
        <v/>
      </c>
    </row>
    <row r="959">
      <c r="A959" s="22" t="n"/>
      <c r="B959" s="20" t="n"/>
      <c r="C959" s="20" t="n"/>
      <c r="D959" s="20">
        <f>IFERROR(INDEX(XPMenu!$A$2:$A$1000, MATCH(C959, XPMenu!$B$2:$B$1000, 0)), "")</f>
        <v/>
      </c>
      <c r="E959" s="20" t="n"/>
      <c r="F959" s="20" t="n"/>
      <c r="G959" s="20" t="n"/>
      <c r="H959" s="20" t="n"/>
      <c r="I959" s="20">
        <f>IFERROR(VLOOKUP(D959,XPMenu!$A:$F,2,FALSE),"")</f>
        <v/>
      </c>
      <c r="J959" s="20">
        <f>IFERROR(VLOOKUP(D959,XPMenu!$A:$F,3,FALSE),"")</f>
        <v/>
      </c>
      <c r="K959" s="20">
        <f>IFERROR(VLOOKUP(D959,XPMenu!$A:$F,4,FALSE),"")</f>
        <v/>
      </c>
      <c r="L959" s="20" t="n"/>
      <c r="M959" s="20">
        <f>IF(A959="","",IF(F959&lt;&gt;"Yes",0,IF(L959&lt;&gt;"",L959,E959*K959)))</f>
        <v/>
      </c>
      <c r="N959" s="20">
        <f>IF($A959="","",$A959-WEEKDAY($A959,2)+1)</f>
        <v/>
      </c>
      <c r="O959" s="20">
        <f>IF($A959="","",TEXT($A959,"yyyy-mm"))</f>
        <v/>
      </c>
      <c r="P959" s="21">
        <f>IF($A959="","",TEXT(YEAR($A959),"0000")&amp;"-Q"&amp;ROUNDUP(MONTH($A959)/3,0))</f>
        <v/>
      </c>
    </row>
    <row r="960">
      <c r="A960" s="22" t="n"/>
      <c r="B960" s="20" t="n"/>
      <c r="C960" s="20" t="n"/>
      <c r="D960" s="20">
        <f>IFERROR(INDEX(XPMenu!$A$2:$A$1000, MATCH(C960, XPMenu!$B$2:$B$1000, 0)), "")</f>
        <v/>
      </c>
      <c r="E960" s="20" t="n"/>
      <c r="F960" s="20" t="n"/>
      <c r="G960" s="20" t="n"/>
      <c r="H960" s="20" t="n"/>
      <c r="I960" s="20">
        <f>IFERROR(VLOOKUP(D960,XPMenu!$A:$F,2,FALSE),"")</f>
        <v/>
      </c>
      <c r="J960" s="20">
        <f>IFERROR(VLOOKUP(D960,XPMenu!$A:$F,3,FALSE),"")</f>
        <v/>
      </c>
      <c r="K960" s="20">
        <f>IFERROR(VLOOKUP(D960,XPMenu!$A:$F,4,FALSE),"")</f>
        <v/>
      </c>
      <c r="L960" s="20" t="n"/>
      <c r="M960" s="20">
        <f>IF(A960="","",IF(F960&lt;&gt;"Yes",0,IF(L960&lt;&gt;"",L960,E960*K960)))</f>
        <v/>
      </c>
      <c r="N960" s="20">
        <f>IF($A960="","",$A960-WEEKDAY($A960,2)+1)</f>
        <v/>
      </c>
      <c r="O960" s="20">
        <f>IF($A960="","",TEXT($A960,"yyyy-mm"))</f>
        <v/>
      </c>
      <c r="P960" s="21">
        <f>IF($A960="","",TEXT(YEAR($A960),"0000")&amp;"-Q"&amp;ROUNDUP(MONTH($A960)/3,0))</f>
        <v/>
      </c>
    </row>
    <row r="961">
      <c r="A961" s="22" t="n"/>
      <c r="B961" s="20" t="n"/>
      <c r="C961" s="20" t="n"/>
      <c r="D961" s="20">
        <f>IFERROR(INDEX(XPMenu!$A$2:$A$1000, MATCH(C961, XPMenu!$B$2:$B$1000, 0)), "")</f>
        <v/>
      </c>
      <c r="E961" s="20" t="n"/>
      <c r="F961" s="20" t="n"/>
      <c r="G961" s="20" t="n"/>
      <c r="H961" s="20" t="n"/>
      <c r="I961" s="20">
        <f>IFERROR(VLOOKUP(D961,XPMenu!$A:$F,2,FALSE),"")</f>
        <v/>
      </c>
      <c r="J961" s="20">
        <f>IFERROR(VLOOKUP(D961,XPMenu!$A:$F,3,FALSE),"")</f>
        <v/>
      </c>
      <c r="K961" s="20">
        <f>IFERROR(VLOOKUP(D961,XPMenu!$A:$F,4,FALSE),"")</f>
        <v/>
      </c>
      <c r="L961" s="20" t="n"/>
      <c r="M961" s="20">
        <f>IF(A961="","",IF(F961&lt;&gt;"Yes",0,IF(L961&lt;&gt;"",L961,E961*K961)))</f>
        <v/>
      </c>
      <c r="N961" s="20">
        <f>IF($A961="","",$A961-WEEKDAY($A961,2)+1)</f>
        <v/>
      </c>
      <c r="O961" s="20">
        <f>IF($A961="","",TEXT($A961,"yyyy-mm"))</f>
        <v/>
      </c>
      <c r="P961" s="21">
        <f>IF($A961="","",TEXT(YEAR($A961),"0000")&amp;"-Q"&amp;ROUNDUP(MONTH($A961)/3,0))</f>
        <v/>
      </c>
    </row>
    <row r="962">
      <c r="A962" s="22" t="n"/>
      <c r="B962" s="20" t="n"/>
      <c r="C962" s="20" t="n"/>
      <c r="D962" s="20">
        <f>IFERROR(INDEX(XPMenu!$A$2:$A$1000, MATCH(C962, XPMenu!$B$2:$B$1000, 0)), "")</f>
        <v/>
      </c>
      <c r="E962" s="20" t="n"/>
      <c r="F962" s="20" t="n"/>
      <c r="G962" s="20" t="n"/>
      <c r="H962" s="20" t="n"/>
      <c r="I962" s="20">
        <f>IFERROR(VLOOKUP(D962,XPMenu!$A:$F,2,FALSE),"")</f>
        <v/>
      </c>
      <c r="J962" s="20">
        <f>IFERROR(VLOOKUP(D962,XPMenu!$A:$F,3,FALSE),"")</f>
        <v/>
      </c>
      <c r="K962" s="20">
        <f>IFERROR(VLOOKUP(D962,XPMenu!$A:$F,4,FALSE),"")</f>
        <v/>
      </c>
      <c r="L962" s="20" t="n"/>
      <c r="M962" s="20">
        <f>IF(A962="","",IF(F962&lt;&gt;"Yes",0,IF(L962&lt;&gt;"",L962,E962*K962)))</f>
        <v/>
      </c>
      <c r="N962" s="20">
        <f>IF($A962="","",$A962-WEEKDAY($A962,2)+1)</f>
        <v/>
      </c>
      <c r="O962" s="20">
        <f>IF($A962="","",TEXT($A962,"yyyy-mm"))</f>
        <v/>
      </c>
      <c r="P962" s="21">
        <f>IF($A962="","",TEXT(YEAR($A962),"0000")&amp;"-Q"&amp;ROUNDUP(MONTH($A962)/3,0))</f>
        <v/>
      </c>
    </row>
    <row r="963">
      <c r="A963" s="22" t="n"/>
      <c r="B963" s="20" t="n"/>
      <c r="C963" s="20" t="n"/>
      <c r="D963" s="20">
        <f>IFERROR(INDEX(XPMenu!$A$2:$A$1000, MATCH(C963, XPMenu!$B$2:$B$1000, 0)), "")</f>
        <v/>
      </c>
      <c r="E963" s="20" t="n"/>
      <c r="F963" s="20" t="n"/>
      <c r="G963" s="20" t="n"/>
      <c r="H963" s="20" t="n"/>
      <c r="I963" s="20">
        <f>IFERROR(VLOOKUP(D963,XPMenu!$A:$F,2,FALSE),"")</f>
        <v/>
      </c>
      <c r="J963" s="20">
        <f>IFERROR(VLOOKUP(D963,XPMenu!$A:$F,3,FALSE),"")</f>
        <v/>
      </c>
      <c r="K963" s="20">
        <f>IFERROR(VLOOKUP(D963,XPMenu!$A:$F,4,FALSE),"")</f>
        <v/>
      </c>
      <c r="L963" s="20" t="n"/>
      <c r="M963" s="20">
        <f>IF(A963="","",IF(F963&lt;&gt;"Yes",0,IF(L963&lt;&gt;"",L963,E963*K963)))</f>
        <v/>
      </c>
      <c r="N963" s="20">
        <f>IF($A963="","",$A963-WEEKDAY($A963,2)+1)</f>
        <v/>
      </c>
      <c r="O963" s="20">
        <f>IF($A963="","",TEXT($A963,"yyyy-mm"))</f>
        <v/>
      </c>
      <c r="P963" s="21">
        <f>IF($A963="","",TEXT(YEAR($A963),"0000")&amp;"-Q"&amp;ROUNDUP(MONTH($A963)/3,0))</f>
        <v/>
      </c>
    </row>
    <row r="964">
      <c r="A964" s="22" t="n"/>
      <c r="B964" s="20" t="n"/>
      <c r="C964" s="20" t="n"/>
      <c r="D964" s="20">
        <f>IFERROR(INDEX(XPMenu!$A$2:$A$1000, MATCH(C964, XPMenu!$B$2:$B$1000, 0)), "")</f>
        <v/>
      </c>
      <c r="E964" s="20" t="n"/>
      <c r="F964" s="20" t="n"/>
      <c r="G964" s="20" t="n"/>
      <c r="H964" s="20" t="n"/>
      <c r="I964" s="20">
        <f>IFERROR(VLOOKUP(D964,XPMenu!$A:$F,2,FALSE),"")</f>
        <v/>
      </c>
      <c r="J964" s="20">
        <f>IFERROR(VLOOKUP(D964,XPMenu!$A:$F,3,FALSE),"")</f>
        <v/>
      </c>
      <c r="K964" s="20">
        <f>IFERROR(VLOOKUP(D964,XPMenu!$A:$F,4,FALSE),"")</f>
        <v/>
      </c>
      <c r="L964" s="20" t="n"/>
      <c r="M964" s="20">
        <f>IF(A964="","",IF(F964&lt;&gt;"Yes",0,IF(L964&lt;&gt;"",L964,E964*K964)))</f>
        <v/>
      </c>
      <c r="N964" s="20">
        <f>IF($A964="","",$A964-WEEKDAY($A964,2)+1)</f>
        <v/>
      </c>
      <c r="O964" s="20">
        <f>IF($A964="","",TEXT($A964,"yyyy-mm"))</f>
        <v/>
      </c>
      <c r="P964" s="21">
        <f>IF($A964="","",TEXT(YEAR($A964),"0000")&amp;"-Q"&amp;ROUNDUP(MONTH($A964)/3,0))</f>
        <v/>
      </c>
    </row>
    <row r="965">
      <c r="A965" s="22" t="n"/>
      <c r="B965" s="20" t="n"/>
      <c r="C965" s="20" t="n"/>
      <c r="D965" s="20">
        <f>IFERROR(INDEX(XPMenu!$A$2:$A$1000, MATCH(C965, XPMenu!$B$2:$B$1000, 0)), "")</f>
        <v/>
      </c>
      <c r="E965" s="20" t="n"/>
      <c r="F965" s="20" t="n"/>
      <c r="G965" s="20" t="n"/>
      <c r="H965" s="20" t="n"/>
      <c r="I965" s="20">
        <f>IFERROR(VLOOKUP(D965,XPMenu!$A:$F,2,FALSE),"")</f>
        <v/>
      </c>
      <c r="J965" s="20">
        <f>IFERROR(VLOOKUP(D965,XPMenu!$A:$F,3,FALSE),"")</f>
        <v/>
      </c>
      <c r="K965" s="20">
        <f>IFERROR(VLOOKUP(D965,XPMenu!$A:$F,4,FALSE),"")</f>
        <v/>
      </c>
      <c r="L965" s="20" t="n"/>
      <c r="M965" s="20">
        <f>IF(A965="","",IF(F965&lt;&gt;"Yes",0,IF(L965&lt;&gt;"",L965,E965*K965)))</f>
        <v/>
      </c>
      <c r="N965" s="20">
        <f>IF($A965="","",$A965-WEEKDAY($A965,2)+1)</f>
        <v/>
      </c>
      <c r="O965" s="20">
        <f>IF($A965="","",TEXT($A965,"yyyy-mm"))</f>
        <v/>
      </c>
      <c r="P965" s="21">
        <f>IF($A965="","",TEXT(YEAR($A965),"0000")&amp;"-Q"&amp;ROUNDUP(MONTH($A965)/3,0))</f>
        <v/>
      </c>
    </row>
    <row r="966">
      <c r="A966" s="22" t="n"/>
      <c r="B966" s="20" t="n"/>
      <c r="C966" s="20" t="n"/>
      <c r="D966" s="20">
        <f>IFERROR(INDEX(XPMenu!$A$2:$A$1000, MATCH(C966, XPMenu!$B$2:$B$1000, 0)), "")</f>
        <v/>
      </c>
      <c r="E966" s="20" t="n"/>
      <c r="F966" s="20" t="n"/>
      <c r="G966" s="20" t="n"/>
      <c r="H966" s="20" t="n"/>
      <c r="I966" s="20">
        <f>IFERROR(VLOOKUP(D966,XPMenu!$A:$F,2,FALSE),"")</f>
        <v/>
      </c>
      <c r="J966" s="20">
        <f>IFERROR(VLOOKUP(D966,XPMenu!$A:$F,3,FALSE),"")</f>
        <v/>
      </c>
      <c r="K966" s="20">
        <f>IFERROR(VLOOKUP(D966,XPMenu!$A:$F,4,FALSE),"")</f>
        <v/>
      </c>
      <c r="L966" s="20" t="n"/>
      <c r="M966" s="20">
        <f>IF(A966="","",IF(F966&lt;&gt;"Yes",0,IF(L966&lt;&gt;"",L966,E966*K966)))</f>
        <v/>
      </c>
      <c r="N966" s="20">
        <f>IF($A966="","",$A966-WEEKDAY($A966,2)+1)</f>
        <v/>
      </c>
      <c r="O966" s="20">
        <f>IF($A966="","",TEXT($A966,"yyyy-mm"))</f>
        <v/>
      </c>
      <c r="P966" s="21">
        <f>IF($A966="","",TEXT(YEAR($A966),"0000")&amp;"-Q"&amp;ROUNDUP(MONTH($A966)/3,0))</f>
        <v/>
      </c>
    </row>
    <row r="967">
      <c r="A967" s="22" t="n"/>
      <c r="B967" s="20" t="n"/>
      <c r="C967" s="20" t="n"/>
      <c r="D967" s="20">
        <f>IFERROR(INDEX(XPMenu!$A$2:$A$1000, MATCH(C967, XPMenu!$B$2:$B$1000, 0)), "")</f>
        <v/>
      </c>
      <c r="E967" s="20" t="n"/>
      <c r="F967" s="20" t="n"/>
      <c r="G967" s="20" t="n"/>
      <c r="H967" s="20" t="n"/>
      <c r="I967" s="20">
        <f>IFERROR(VLOOKUP(D967,XPMenu!$A:$F,2,FALSE),"")</f>
        <v/>
      </c>
      <c r="J967" s="20">
        <f>IFERROR(VLOOKUP(D967,XPMenu!$A:$F,3,FALSE),"")</f>
        <v/>
      </c>
      <c r="K967" s="20">
        <f>IFERROR(VLOOKUP(D967,XPMenu!$A:$F,4,FALSE),"")</f>
        <v/>
      </c>
      <c r="L967" s="20" t="n"/>
      <c r="M967" s="20">
        <f>IF(A967="","",IF(F967&lt;&gt;"Yes",0,IF(L967&lt;&gt;"",L967,E967*K967)))</f>
        <v/>
      </c>
      <c r="N967" s="20">
        <f>IF($A967="","",$A967-WEEKDAY($A967,2)+1)</f>
        <v/>
      </c>
      <c r="O967" s="20">
        <f>IF($A967="","",TEXT($A967,"yyyy-mm"))</f>
        <v/>
      </c>
      <c r="P967" s="21">
        <f>IF($A967="","",TEXT(YEAR($A967),"0000")&amp;"-Q"&amp;ROUNDUP(MONTH($A967)/3,0))</f>
        <v/>
      </c>
    </row>
    <row r="968">
      <c r="A968" s="22" t="n"/>
      <c r="B968" s="20" t="n"/>
      <c r="C968" s="20" t="n"/>
      <c r="D968" s="20">
        <f>IFERROR(INDEX(XPMenu!$A$2:$A$1000, MATCH(C968, XPMenu!$B$2:$B$1000, 0)), "")</f>
        <v/>
      </c>
      <c r="E968" s="20" t="n"/>
      <c r="F968" s="20" t="n"/>
      <c r="G968" s="20" t="n"/>
      <c r="H968" s="20" t="n"/>
      <c r="I968" s="20">
        <f>IFERROR(VLOOKUP(D968,XPMenu!$A:$F,2,FALSE),"")</f>
        <v/>
      </c>
      <c r="J968" s="20">
        <f>IFERROR(VLOOKUP(D968,XPMenu!$A:$F,3,FALSE),"")</f>
        <v/>
      </c>
      <c r="K968" s="20">
        <f>IFERROR(VLOOKUP(D968,XPMenu!$A:$F,4,FALSE),"")</f>
        <v/>
      </c>
      <c r="L968" s="20" t="n"/>
      <c r="M968" s="20">
        <f>IF(A968="","",IF(F968&lt;&gt;"Yes",0,IF(L968&lt;&gt;"",L968,E968*K968)))</f>
        <v/>
      </c>
      <c r="N968" s="20">
        <f>IF($A968="","",$A968-WEEKDAY($A968,2)+1)</f>
        <v/>
      </c>
      <c r="O968" s="20">
        <f>IF($A968="","",TEXT($A968,"yyyy-mm"))</f>
        <v/>
      </c>
      <c r="P968" s="21">
        <f>IF($A968="","",TEXT(YEAR($A968),"0000")&amp;"-Q"&amp;ROUNDUP(MONTH($A968)/3,0))</f>
        <v/>
      </c>
    </row>
    <row r="969">
      <c r="A969" s="22" t="n"/>
      <c r="B969" s="20" t="n"/>
      <c r="C969" s="20" t="n"/>
      <c r="D969" s="20">
        <f>IFERROR(INDEX(XPMenu!$A$2:$A$1000, MATCH(C969, XPMenu!$B$2:$B$1000, 0)), "")</f>
        <v/>
      </c>
      <c r="E969" s="20" t="n"/>
      <c r="F969" s="20" t="n"/>
      <c r="G969" s="20" t="n"/>
      <c r="H969" s="20" t="n"/>
      <c r="I969" s="20">
        <f>IFERROR(VLOOKUP(D969,XPMenu!$A:$F,2,FALSE),"")</f>
        <v/>
      </c>
      <c r="J969" s="20">
        <f>IFERROR(VLOOKUP(D969,XPMenu!$A:$F,3,FALSE),"")</f>
        <v/>
      </c>
      <c r="K969" s="20">
        <f>IFERROR(VLOOKUP(D969,XPMenu!$A:$F,4,FALSE),"")</f>
        <v/>
      </c>
      <c r="L969" s="20" t="n"/>
      <c r="M969" s="20">
        <f>IF(A969="","",IF(F969&lt;&gt;"Yes",0,IF(L969&lt;&gt;"",L969,E969*K969)))</f>
        <v/>
      </c>
      <c r="N969" s="20">
        <f>IF($A969="","",$A969-WEEKDAY($A969,2)+1)</f>
        <v/>
      </c>
      <c r="O969" s="20">
        <f>IF($A969="","",TEXT($A969,"yyyy-mm"))</f>
        <v/>
      </c>
      <c r="P969" s="21">
        <f>IF($A969="","",TEXT(YEAR($A969),"0000")&amp;"-Q"&amp;ROUNDUP(MONTH($A969)/3,0))</f>
        <v/>
      </c>
    </row>
    <row r="970">
      <c r="A970" s="22" t="n"/>
      <c r="B970" s="20" t="n"/>
      <c r="C970" s="20" t="n"/>
      <c r="D970" s="20">
        <f>IFERROR(INDEX(XPMenu!$A$2:$A$1000, MATCH(C970, XPMenu!$B$2:$B$1000, 0)), "")</f>
        <v/>
      </c>
      <c r="E970" s="20" t="n"/>
      <c r="F970" s="20" t="n"/>
      <c r="G970" s="20" t="n"/>
      <c r="H970" s="20" t="n"/>
      <c r="I970" s="20">
        <f>IFERROR(VLOOKUP(D970,XPMenu!$A:$F,2,FALSE),"")</f>
        <v/>
      </c>
      <c r="J970" s="20">
        <f>IFERROR(VLOOKUP(D970,XPMenu!$A:$F,3,FALSE),"")</f>
        <v/>
      </c>
      <c r="K970" s="20">
        <f>IFERROR(VLOOKUP(D970,XPMenu!$A:$F,4,FALSE),"")</f>
        <v/>
      </c>
      <c r="L970" s="20" t="n"/>
      <c r="M970" s="20">
        <f>IF(A970="","",IF(F970&lt;&gt;"Yes",0,IF(L970&lt;&gt;"",L970,E970*K970)))</f>
        <v/>
      </c>
      <c r="N970" s="20">
        <f>IF($A970="","",$A970-WEEKDAY($A970,2)+1)</f>
        <v/>
      </c>
      <c r="O970" s="20">
        <f>IF($A970="","",TEXT($A970,"yyyy-mm"))</f>
        <v/>
      </c>
      <c r="P970" s="21">
        <f>IF($A970="","",TEXT(YEAR($A970),"0000")&amp;"-Q"&amp;ROUNDUP(MONTH($A970)/3,0))</f>
        <v/>
      </c>
    </row>
    <row r="971">
      <c r="A971" s="22" t="n"/>
      <c r="B971" s="20" t="n"/>
      <c r="C971" s="20" t="n"/>
      <c r="D971" s="20">
        <f>IFERROR(INDEX(XPMenu!$A$2:$A$1000, MATCH(C971, XPMenu!$B$2:$B$1000, 0)), "")</f>
        <v/>
      </c>
      <c r="E971" s="20" t="n"/>
      <c r="F971" s="20" t="n"/>
      <c r="G971" s="20" t="n"/>
      <c r="H971" s="20" t="n"/>
      <c r="I971" s="20">
        <f>IFERROR(VLOOKUP(D971,XPMenu!$A:$F,2,FALSE),"")</f>
        <v/>
      </c>
      <c r="J971" s="20">
        <f>IFERROR(VLOOKUP(D971,XPMenu!$A:$F,3,FALSE),"")</f>
        <v/>
      </c>
      <c r="K971" s="20">
        <f>IFERROR(VLOOKUP(D971,XPMenu!$A:$F,4,FALSE),"")</f>
        <v/>
      </c>
      <c r="L971" s="20" t="n"/>
      <c r="M971" s="20">
        <f>IF(A971="","",IF(F971&lt;&gt;"Yes",0,IF(L971&lt;&gt;"",L971,E971*K971)))</f>
        <v/>
      </c>
      <c r="N971" s="20">
        <f>IF($A971="","",$A971-WEEKDAY($A971,2)+1)</f>
        <v/>
      </c>
      <c r="O971" s="20">
        <f>IF($A971="","",TEXT($A971,"yyyy-mm"))</f>
        <v/>
      </c>
      <c r="P971" s="21">
        <f>IF($A971="","",TEXT(YEAR($A971),"0000")&amp;"-Q"&amp;ROUNDUP(MONTH($A971)/3,0))</f>
        <v/>
      </c>
    </row>
    <row r="972">
      <c r="A972" s="22" t="n"/>
      <c r="B972" s="20" t="n"/>
      <c r="C972" s="20" t="n"/>
      <c r="D972" s="20">
        <f>IFERROR(INDEX(XPMenu!$A$2:$A$1000, MATCH(C972, XPMenu!$B$2:$B$1000, 0)), "")</f>
        <v/>
      </c>
      <c r="E972" s="20" t="n"/>
      <c r="F972" s="20" t="n"/>
      <c r="G972" s="20" t="n"/>
      <c r="H972" s="20" t="n"/>
      <c r="I972" s="20">
        <f>IFERROR(VLOOKUP(D972,XPMenu!$A:$F,2,FALSE),"")</f>
        <v/>
      </c>
      <c r="J972" s="20">
        <f>IFERROR(VLOOKUP(D972,XPMenu!$A:$F,3,FALSE),"")</f>
        <v/>
      </c>
      <c r="K972" s="20">
        <f>IFERROR(VLOOKUP(D972,XPMenu!$A:$F,4,FALSE),"")</f>
        <v/>
      </c>
      <c r="L972" s="20" t="n"/>
      <c r="M972" s="20">
        <f>IF(A972="","",IF(F972&lt;&gt;"Yes",0,IF(L972&lt;&gt;"",L972,E972*K972)))</f>
        <v/>
      </c>
      <c r="N972" s="20">
        <f>IF($A972="","",$A972-WEEKDAY($A972,2)+1)</f>
        <v/>
      </c>
      <c r="O972" s="20">
        <f>IF($A972="","",TEXT($A972,"yyyy-mm"))</f>
        <v/>
      </c>
      <c r="P972" s="21">
        <f>IF($A972="","",TEXT(YEAR($A972),"0000")&amp;"-Q"&amp;ROUNDUP(MONTH($A972)/3,0))</f>
        <v/>
      </c>
    </row>
    <row r="973">
      <c r="A973" s="22" t="n"/>
      <c r="B973" s="20" t="n"/>
      <c r="C973" s="20" t="n"/>
      <c r="D973" s="20">
        <f>IFERROR(INDEX(XPMenu!$A$2:$A$1000, MATCH(C973, XPMenu!$B$2:$B$1000, 0)), "")</f>
        <v/>
      </c>
      <c r="E973" s="20" t="n"/>
      <c r="F973" s="20" t="n"/>
      <c r="G973" s="20" t="n"/>
      <c r="H973" s="20" t="n"/>
      <c r="I973" s="20">
        <f>IFERROR(VLOOKUP(D973,XPMenu!$A:$F,2,FALSE),"")</f>
        <v/>
      </c>
      <c r="J973" s="20">
        <f>IFERROR(VLOOKUP(D973,XPMenu!$A:$F,3,FALSE),"")</f>
        <v/>
      </c>
      <c r="K973" s="20">
        <f>IFERROR(VLOOKUP(D973,XPMenu!$A:$F,4,FALSE),"")</f>
        <v/>
      </c>
      <c r="L973" s="20" t="n"/>
      <c r="M973" s="20">
        <f>IF(A973="","",IF(F973&lt;&gt;"Yes",0,IF(L973&lt;&gt;"",L973,E973*K973)))</f>
        <v/>
      </c>
      <c r="N973" s="20">
        <f>IF($A973="","",$A973-WEEKDAY($A973,2)+1)</f>
        <v/>
      </c>
      <c r="O973" s="20">
        <f>IF($A973="","",TEXT($A973,"yyyy-mm"))</f>
        <v/>
      </c>
      <c r="P973" s="21">
        <f>IF($A973="","",TEXT(YEAR($A973),"0000")&amp;"-Q"&amp;ROUNDUP(MONTH($A973)/3,0))</f>
        <v/>
      </c>
    </row>
    <row r="974">
      <c r="A974" s="22" t="n"/>
      <c r="B974" s="20" t="n"/>
      <c r="C974" s="20" t="n"/>
      <c r="D974" s="20">
        <f>IFERROR(INDEX(XPMenu!$A$2:$A$1000, MATCH(C974, XPMenu!$B$2:$B$1000, 0)), "")</f>
        <v/>
      </c>
      <c r="E974" s="20" t="n"/>
      <c r="F974" s="20" t="n"/>
      <c r="G974" s="20" t="n"/>
      <c r="H974" s="20" t="n"/>
      <c r="I974" s="20">
        <f>IFERROR(VLOOKUP(D974,XPMenu!$A:$F,2,FALSE),"")</f>
        <v/>
      </c>
      <c r="J974" s="20">
        <f>IFERROR(VLOOKUP(D974,XPMenu!$A:$F,3,FALSE),"")</f>
        <v/>
      </c>
      <c r="K974" s="20">
        <f>IFERROR(VLOOKUP(D974,XPMenu!$A:$F,4,FALSE),"")</f>
        <v/>
      </c>
      <c r="L974" s="20" t="n"/>
      <c r="M974" s="20">
        <f>IF(A974="","",IF(F974&lt;&gt;"Yes",0,IF(L974&lt;&gt;"",L974,E974*K974)))</f>
        <v/>
      </c>
      <c r="N974" s="20">
        <f>IF($A974="","",$A974-WEEKDAY($A974,2)+1)</f>
        <v/>
      </c>
      <c r="O974" s="20">
        <f>IF($A974="","",TEXT($A974,"yyyy-mm"))</f>
        <v/>
      </c>
      <c r="P974" s="21">
        <f>IF($A974="","",TEXT(YEAR($A974),"0000")&amp;"-Q"&amp;ROUNDUP(MONTH($A974)/3,0))</f>
        <v/>
      </c>
    </row>
    <row r="975">
      <c r="A975" s="22" t="n"/>
      <c r="B975" s="20" t="n"/>
      <c r="C975" s="20" t="n"/>
      <c r="D975" s="20">
        <f>IFERROR(INDEX(XPMenu!$A$2:$A$1000, MATCH(C975, XPMenu!$B$2:$B$1000, 0)), "")</f>
        <v/>
      </c>
      <c r="E975" s="20" t="n"/>
      <c r="F975" s="20" t="n"/>
      <c r="G975" s="20" t="n"/>
      <c r="H975" s="20" t="n"/>
      <c r="I975" s="20">
        <f>IFERROR(VLOOKUP(D975,XPMenu!$A:$F,2,FALSE),"")</f>
        <v/>
      </c>
      <c r="J975" s="20">
        <f>IFERROR(VLOOKUP(D975,XPMenu!$A:$F,3,FALSE),"")</f>
        <v/>
      </c>
      <c r="K975" s="20">
        <f>IFERROR(VLOOKUP(D975,XPMenu!$A:$F,4,FALSE),"")</f>
        <v/>
      </c>
      <c r="L975" s="20" t="n"/>
      <c r="M975" s="20">
        <f>IF(A975="","",IF(F975&lt;&gt;"Yes",0,IF(L975&lt;&gt;"",L975,E975*K975)))</f>
        <v/>
      </c>
      <c r="N975" s="20">
        <f>IF($A975="","",$A975-WEEKDAY($A975,2)+1)</f>
        <v/>
      </c>
      <c r="O975" s="20">
        <f>IF($A975="","",TEXT($A975,"yyyy-mm"))</f>
        <v/>
      </c>
      <c r="P975" s="21">
        <f>IF($A975="","",TEXT(YEAR($A975),"0000")&amp;"-Q"&amp;ROUNDUP(MONTH($A975)/3,0))</f>
        <v/>
      </c>
    </row>
    <row r="976">
      <c r="A976" s="22" t="n"/>
      <c r="B976" s="20" t="n"/>
      <c r="C976" s="20" t="n"/>
      <c r="D976" s="20">
        <f>IFERROR(INDEX(XPMenu!$A$2:$A$1000, MATCH(C976, XPMenu!$B$2:$B$1000, 0)), "")</f>
        <v/>
      </c>
      <c r="E976" s="20" t="n"/>
      <c r="F976" s="20" t="n"/>
      <c r="G976" s="20" t="n"/>
      <c r="H976" s="20" t="n"/>
      <c r="I976" s="20">
        <f>IFERROR(VLOOKUP(D976,XPMenu!$A:$F,2,FALSE),"")</f>
        <v/>
      </c>
      <c r="J976" s="20">
        <f>IFERROR(VLOOKUP(D976,XPMenu!$A:$F,3,FALSE),"")</f>
        <v/>
      </c>
      <c r="K976" s="20">
        <f>IFERROR(VLOOKUP(D976,XPMenu!$A:$F,4,FALSE),"")</f>
        <v/>
      </c>
      <c r="L976" s="20" t="n"/>
      <c r="M976" s="20">
        <f>IF(A976="","",IF(F976&lt;&gt;"Yes",0,IF(L976&lt;&gt;"",L976,E976*K976)))</f>
        <v/>
      </c>
      <c r="N976" s="20">
        <f>IF($A976="","",$A976-WEEKDAY($A976,2)+1)</f>
        <v/>
      </c>
      <c r="O976" s="20">
        <f>IF($A976="","",TEXT($A976,"yyyy-mm"))</f>
        <v/>
      </c>
      <c r="P976" s="21">
        <f>IF($A976="","",TEXT(YEAR($A976),"0000")&amp;"-Q"&amp;ROUNDUP(MONTH($A976)/3,0))</f>
        <v/>
      </c>
    </row>
    <row r="977">
      <c r="A977" s="22" t="n"/>
      <c r="B977" s="20" t="n"/>
      <c r="C977" s="20" t="n"/>
      <c r="D977" s="20">
        <f>IFERROR(INDEX(XPMenu!$A$2:$A$1000, MATCH(C977, XPMenu!$B$2:$B$1000, 0)), "")</f>
        <v/>
      </c>
      <c r="E977" s="20" t="n"/>
      <c r="F977" s="20" t="n"/>
      <c r="G977" s="20" t="n"/>
      <c r="H977" s="20" t="n"/>
      <c r="I977" s="20">
        <f>IFERROR(VLOOKUP(D977,XPMenu!$A:$F,2,FALSE),"")</f>
        <v/>
      </c>
      <c r="J977" s="20">
        <f>IFERROR(VLOOKUP(D977,XPMenu!$A:$F,3,FALSE),"")</f>
        <v/>
      </c>
      <c r="K977" s="20">
        <f>IFERROR(VLOOKUP(D977,XPMenu!$A:$F,4,FALSE),"")</f>
        <v/>
      </c>
      <c r="L977" s="20" t="n"/>
      <c r="M977" s="20">
        <f>IF(A977="","",IF(F977&lt;&gt;"Yes",0,IF(L977&lt;&gt;"",L977,E977*K977)))</f>
        <v/>
      </c>
      <c r="N977" s="20">
        <f>IF($A977="","",$A977-WEEKDAY($A977,2)+1)</f>
        <v/>
      </c>
      <c r="O977" s="20">
        <f>IF($A977="","",TEXT($A977,"yyyy-mm"))</f>
        <v/>
      </c>
      <c r="P977" s="21">
        <f>IF($A977="","",TEXT(YEAR($A977),"0000")&amp;"-Q"&amp;ROUNDUP(MONTH($A977)/3,0))</f>
        <v/>
      </c>
    </row>
    <row r="978">
      <c r="A978" s="22" t="n"/>
      <c r="B978" s="20" t="n"/>
      <c r="C978" s="20" t="n"/>
      <c r="D978" s="20">
        <f>IFERROR(INDEX(XPMenu!$A$2:$A$1000, MATCH(C978, XPMenu!$B$2:$B$1000, 0)), "")</f>
        <v/>
      </c>
      <c r="E978" s="20" t="n"/>
      <c r="F978" s="20" t="n"/>
      <c r="G978" s="20" t="n"/>
      <c r="H978" s="20" t="n"/>
      <c r="I978" s="20">
        <f>IFERROR(VLOOKUP(D978,XPMenu!$A:$F,2,FALSE),"")</f>
        <v/>
      </c>
      <c r="J978" s="20">
        <f>IFERROR(VLOOKUP(D978,XPMenu!$A:$F,3,FALSE),"")</f>
        <v/>
      </c>
      <c r="K978" s="20">
        <f>IFERROR(VLOOKUP(D978,XPMenu!$A:$F,4,FALSE),"")</f>
        <v/>
      </c>
      <c r="L978" s="20" t="n"/>
      <c r="M978" s="20">
        <f>IF(A978="","",IF(F978&lt;&gt;"Yes",0,IF(L978&lt;&gt;"",L978,E978*K978)))</f>
        <v/>
      </c>
      <c r="N978" s="20">
        <f>IF($A978="","",$A978-WEEKDAY($A978,2)+1)</f>
        <v/>
      </c>
      <c r="O978" s="20">
        <f>IF($A978="","",TEXT($A978,"yyyy-mm"))</f>
        <v/>
      </c>
      <c r="P978" s="21">
        <f>IF($A978="","",TEXT(YEAR($A978),"0000")&amp;"-Q"&amp;ROUNDUP(MONTH($A978)/3,0))</f>
        <v/>
      </c>
    </row>
    <row r="979">
      <c r="A979" s="22" t="n"/>
      <c r="B979" s="20" t="n"/>
      <c r="C979" s="20" t="n"/>
      <c r="D979" s="20">
        <f>IFERROR(INDEX(XPMenu!$A$2:$A$1000, MATCH(C979, XPMenu!$B$2:$B$1000, 0)), "")</f>
        <v/>
      </c>
      <c r="E979" s="20" t="n"/>
      <c r="F979" s="20" t="n"/>
      <c r="G979" s="20" t="n"/>
      <c r="H979" s="20" t="n"/>
      <c r="I979" s="20">
        <f>IFERROR(VLOOKUP(D979,XPMenu!$A:$F,2,FALSE),"")</f>
        <v/>
      </c>
      <c r="J979" s="20">
        <f>IFERROR(VLOOKUP(D979,XPMenu!$A:$F,3,FALSE),"")</f>
        <v/>
      </c>
      <c r="K979" s="20">
        <f>IFERROR(VLOOKUP(D979,XPMenu!$A:$F,4,FALSE),"")</f>
        <v/>
      </c>
      <c r="L979" s="20" t="n"/>
      <c r="M979" s="20">
        <f>IF(A979="","",IF(F979&lt;&gt;"Yes",0,IF(L979&lt;&gt;"",L979,E979*K979)))</f>
        <v/>
      </c>
      <c r="N979" s="20">
        <f>IF($A979="","",$A979-WEEKDAY($A979,2)+1)</f>
        <v/>
      </c>
      <c r="O979" s="20">
        <f>IF($A979="","",TEXT($A979,"yyyy-mm"))</f>
        <v/>
      </c>
      <c r="P979" s="21">
        <f>IF($A979="","",TEXT(YEAR($A979),"0000")&amp;"-Q"&amp;ROUNDUP(MONTH($A979)/3,0))</f>
        <v/>
      </c>
    </row>
    <row r="980">
      <c r="A980" s="22" t="n"/>
      <c r="B980" s="20" t="n"/>
      <c r="C980" s="20" t="n"/>
      <c r="D980" s="20">
        <f>IFERROR(INDEX(XPMenu!$A$2:$A$1000, MATCH(C980, XPMenu!$B$2:$B$1000, 0)), "")</f>
        <v/>
      </c>
      <c r="E980" s="20" t="n"/>
      <c r="F980" s="20" t="n"/>
      <c r="G980" s="20" t="n"/>
      <c r="H980" s="20" t="n"/>
      <c r="I980" s="20">
        <f>IFERROR(VLOOKUP(D980,XPMenu!$A:$F,2,FALSE),"")</f>
        <v/>
      </c>
      <c r="J980" s="20">
        <f>IFERROR(VLOOKUP(D980,XPMenu!$A:$F,3,FALSE),"")</f>
        <v/>
      </c>
      <c r="K980" s="20">
        <f>IFERROR(VLOOKUP(D980,XPMenu!$A:$F,4,FALSE),"")</f>
        <v/>
      </c>
      <c r="L980" s="20" t="n"/>
      <c r="M980" s="20">
        <f>IF(A980="","",IF(F980&lt;&gt;"Yes",0,IF(L980&lt;&gt;"",L980,E980*K980)))</f>
        <v/>
      </c>
      <c r="N980" s="20">
        <f>IF($A980="","",$A980-WEEKDAY($A980,2)+1)</f>
        <v/>
      </c>
      <c r="O980" s="20">
        <f>IF($A980="","",TEXT($A980,"yyyy-mm"))</f>
        <v/>
      </c>
      <c r="P980" s="21">
        <f>IF($A980="","",TEXT(YEAR($A980),"0000")&amp;"-Q"&amp;ROUNDUP(MONTH($A980)/3,0))</f>
        <v/>
      </c>
    </row>
    <row r="981">
      <c r="A981" s="22" t="n"/>
      <c r="B981" s="20" t="n"/>
      <c r="C981" s="20" t="n"/>
      <c r="D981" s="20">
        <f>IFERROR(INDEX(XPMenu!$A$2:$A$1000, MATCH(C981, XPMenu!$B$2:$B$1000, 0)), "")</f>
        <v/>
      </c>
      <c r="E981" s="20" t="n"/>
      <c r="F981" s="20" t="n"/>
      <c r="G981" s="20" t="n"/>
      <c r="H981" s="20" t="n"/>
      <c r="I981" s="20">
        <f>IFERROR(VLOOKUP(D981,XPMenu!$A:$F,2,FALSE),"")</f>
        <v/>
      </c>
      <c r="J981" s="20">
        <f>IFERROR(VLOOKUP(D981,XPMenu!$A:$F,3,FALSE),"")</f>
        <v/>
      </c>
      <c r="K981" s="20">
        <f>IFERROR(VLOOKUP(D981,XPMenu!$A:$F,4,FALSE),"")</f>
        <v/>
      </c>
      <c r="L981" s="20" t="n"/>
      <c r="M981" s="20">
        <f>IF(A981="","",IF(F981&lt;&gt;"Yes",0,IF(L981&lt;&gt;"",L981,E981*K981)))</f>
        <v/>
      </c>
      <c r="N981" s="20">
        <f>IF($A981="","",$A981-WEEKDAY($A981,2)+1)</f>
        <v/>
      </c>
      <c r="O981" s="20">
        <f>IF($A981="","",TEXT($A981,"yyyy-mm"))</f>
        <v/>
      </c>
      <c r="P981" s="21">
        <f>IF($A981="","",TEXT(YEAR($A981),"0000")&amp;"-Q"&amp;ROUNDUP(MONTH($A981)/3,0))</f>
        <v/>
      </c>
    </row>
    <row r="982">
      <c r="A982" s="22" t="n"/>
      <c r="B982" s="20" t="n"/>
      <c r="C982" s="20" t="n"/>
      <c r="D982" s="20">
        <f>IFERROR(INDEX(XPMenu!$A$2:$A$1000, MATCH(C982, XPMenu!$B$2:$B$1000, 0)), "")</f>
        <v/>
      </c>
      <c r="E982" s="20" t="n"/>
      <c r="F982" s="20" t="n"/>
      <c r="G982" s="20" t="n"/>
      <c r="H982" s="20" t="n"/>
      <c r="I982" s="20">
        <f>IFERROR(VLOOKUP(D982,XPMenu!$A:$F,2,FALSE),"")</f>
        <v/>
      </c>
      <c r="J982" s="20">
        <f>IFERROR(VLOOKUP(D982,XPMenu!$A:$F,3,FALSE),"")</f>
        <v/>
      </c>
      <c r="K982" s="20">
        <f>IFERROR(VLOOKUP(D982,XPMenu!$A:$F,4,FALSE),"")</f>
        <v/>
      </c>
      <c r="L982" s="20" t="n"/>
      <c r="M982" s="20">
        <f>IF(A982="","",IF(F982&lt;&gt;"Yes",0,IF(L982&lt;&gt;"",L982,E982*K982)))</f>
        <v/>
      </c>
      <c r="N982" s="20">
        <f>IF($A982="","",$A982-WEEKDAY($A982,2)+1)</f>
        <v/>
      </c>
      <c r="O982" s="20">
        <f>IF($A982="","",TEXT($A982,"yyyy-mm"))</f>
        <v/>
      </c>
      <c r="P982" s="21">
        <f>IF($A982="","",TEXT(YEAR($A982),"0000")&amp;"-Q"&amp;ROUNDUP(MONTH($A982)/3,0))</f>
        <v/>
      </c>
    </row>
    <row r="983">
      <c r="A983" s="22" t="n"/>
      <c r="B983" s="20" t="n"/>
      <c r="C983" s="20" t="n"/>
      <c r="D983" s="20">
        <f>IFERROR(INDEX(XPMenu!$A$2:$A$1000, MATCH(C983, XPMenu!$B$2:$B$1000, 0)), "")</f>
        <v/>
      </c>
      <c r="E983" s="20" t="n"/>
      <c r="F983" s="20" t="n"/>
      <c r="G983" s="20" t="n"/>
      <c r="H983" s="20" t="n"/>
      <c r="I983" s="20">
        <f>IFERROR(VLOOKUP(D983,XPMenu!$A:$F,2,FALSE),"")</f>
        <v/>
      </c>
      <c r="J983" s="20">
        <f>IFERROR(VLOOKUP(D983,XPMenu!$A:$F,3,FALSE),"")</f>
        <v/>
      </c>
      <c r="K983" s="20">
        <f>IFERROR(VLOOKUP(D983,XPMenu!$A:$F,4,FALSE),"")</f>
        <v/>
      </c>
      <c r="L983" s="20" t="n"/>
      <c r="M983" s="20">
        <f>IF(A983="","",IF(F983&lt;&gt;"Yes",0,IF(L983&lt;&gt;"",L983,E983*K983)))</f>
        <v/>
      </c>
      <c r="N983" s="20">
        <f>IF($A983="","",$A983-WEEKDAY($A983,2)+1)</f>
        <v/>
      </c>
      <c r="O983" s="20">
        <f>IF($A983="","",TEXT($A983,"yyyy-mm"))</f>
        <v/>
      </c>
      <c r="P983" s="21">
        <f>IF($A983="","",TEXT(YEAR($A983),"0000")&amp;"-Q"&amp;ROUNDUP(MONTH($A983)/3,0))</f>
        <v/>
      </c>
    </row>
    <row r="984">
      <c r="A984" s="22" t="n"/>
      <c r="B984" s="20" t="n"/>
      <c r="C984" s="20" t="n"/>
      <c r="D984" s="20">
        <f>IFERROR(INDEX(XPMenu!$A$2:$A$1000, MATCH(C984, XPMenu!$B$2:$B$1000, 0)), "")</f>
        <v/>
      </c>
      <c r="E984" s="20" t="n"/>
      <c r="F984" s="20" t="n"/>
      <c r="G984" s="20" t="n"/>
      <c r="H984" s="20" t="n"/>
      <c r="I984" s="20">
        <f>IFERROR(VLOOKUP(D984,XPMenu!$A:$F,2,FALSE),"")</f>
        <v/>
      </c>
      <c r="J984" s="20">
        <f>IFERROR(VLOOKUP(D984,XPMenu!$A:$F,3,FALSE),"")</f>
        <v/>
      </c>
      <c r="K984" s="20">
        <f>IFERROR(VLOOKUP(D984,XPMenu!$A:$F,4,FALSE),"")</f>
        <v/>
      </c>
      <c r="L984" s="20" t="n"/>
      <c r="M984" s="20">
        <f>IF(A984="","",IF(F984&lt;&gt;"Yes",0,IF(L984&lt;&gt;"",L984,E984*K984)))</f>
        <v/>
      </c>
      <c r="N984" s="20">
        <f>IF($A984="","",$A984-WEEKDAY($A984,2)+1)</f>
        <v/>
      </c>
      <c r="O984" s="20">
        <f>IF($A984="","",TEXT($A984,"yyyy-mm"))</f>
        <v/>
      </c>
      <c r="P984" s="21">
        <f>IF($A984="","",TEXT(YEAR($A984),"0000")&amp;"-Q"&amp;ROUNDUP(MONTH($A984)/3,0))</f>
        <v/>
      </c>
    </row>
    <row r="985">
      <c r="A985" s="22" t="n"/>
      <c r="B985" s="20" t="n"/>
      <c r="C985" s="20" t="n"/>
      <c r="D985" s="20">
        <f>IFERROR(INDEX(XPMenu!$A$2:$A$1000, MATCH(C985, XPMenu!$B$2:$B$1000, 0)), "")</f>
        <v/>
      </c>
      <c r="E985" s="20" t="n"/>
      <c r="F985" s="20" t="n"/>
      <c r="G985" s="20" t="n"/>
      <c r="H985" s="20" t="n"/>
      <c r="I985" s="20">
        <f>IFERROR(VLOOKUP(D985,XPMenu!$A:$F,2,FALSE),"")</f>
        <v/>
      </c>
      <c r="J985" s="20">
        <f>IFERROR(VLOOKUP(D985,XPMenu!$A:$F,3,FALSE),"")</f>
        <v/>
      </c>
      <c r="K985" s="20">
        <f>IFERROR(VLOOKUP(D985,XPMenu!$A:$F,4,FALSE),"")</f>
        <v/>
      </c>
      <c r="L985" s="20" t="n"/>
      <c r="M985" s="20">
        <f>IF(A985="","",IF(F985&lt;&gt;"Yes",0,IF(L985&lt;&gt;"",L985,E985*K985)))</f>
        <v/>
      </c>
      <c r="N985" s="20">
        <f>IF($A985="","",$A985-WEEKDAY($A985,2)+1)</f>
        <v/>
      </c>
      <c r="O985" s="20">
        <f>IF($A985="","",TEXT($A985,"yyyy-mm"))</f>
        <v/>
      </c>
      <c r="P985" s="21">
        <f>IF($A985="","",TEXT(YEAR($A985),"0000")&amp;"-Q"&amp;ROUNDUP(MONTH($A985)/3,0))</f>
        <v/>
      </c>
    </row>
    <row r="986">
      <c r="A986" s="22" t="n"/>
      <c r="B986" s="20" t="n"/>
      <c r="C986" s="20" t="n"/>
      <c r="D986" s="20">
        <f>IFERROR(INDEX(XPMenu!$A$2:$A$1000, MATCH(C986, XPMenu!$B$2:$B$1000, 0)), "")</f>
        <v/>
      </c>
      <c r="E986" s="20" t="n"/>
      <c r="F986" s="20" t="n"/>
      <c r="G986" s="20" t="n"/>
      <c r="H986" s="20" t="n"/>
      <c r="I986" s="20">
        <f>IFERROR(VLOOKUP(D986,XPMenu!$A:$F,2,FALSE),"")</f>
        <v/>
      </c>
      <c r="J986" s="20">
        <f>IFERROR(VLOOKUP(D986,XPMenu!$A:$F,3,FALSE),"")</f>
        <v/>
      </c>
      <c r="K986" s="20">
        <f>IFERROR(VLOOKUP(D986,XPMenu!$A:$F,4,FALSE),"")</f>
        <v/>
      </c>
      <c r="L986" s="20" t="n"/>
      <c r="M986" s="20">
        <f>IF(A986="","",IF(F986&lt;&gt;"Yes",0,IF(L986&lt;&gt;"",L986,E986*K986)))</f>
        <v/>
      </c>
      <c r="N986" s="20">
        <f>IF($A986="","",$A986-WEEKDAY($A986,2)+1)</f>
        <v/>
      </c>
      <c r="O986" s="20">
        <f>IF($A986="","",TEXT($A986,"yyyy-mm"))</f>
        <v/>
      </c>
      <c r="P986" s="21">
        <f>IF($A986="","",TEXT(YEAR($A986),"0000")&amp;"-Q"&amp;ROUNDUP(MONTH($A986)/3,0))</f>
        <v/>
      </c>
    </row>
    <row r="987">
      <c r="A987" s="22" t="n"/>
      <c r="B987" s="20" t="n"/>
      <c r="C987" s="20" t="n"/>
      <c r="D987" s="20">
        <f>IFERROR(INDEX(XPMenu!$A$2:$A$1000, MATCH(C987, XPMenu!$B$2:$B$1000, 0)), "")</f>
        <v/>
      </c>
      <c r="E987" s="20" t="n"/>
      <c r="F987" s="20" t="n"/>
      <c r="G987" s="20" t="n"/>
      <c r="H987" s="20" t="n"/>
      <c r="I987" s="20">
        <f>IFERROR(VLOOKUP(D987,XPMenu!$A:$F,2,FALSE),"")</f>
        <v/>
      </c>
      <c r="J987" s="20">
        <f>IFERROR(VLOOKUP(D987,XPMenu!$A:$F,3,FALSE),"")</f>
        <v/>
      </c>
      <c r="K987" s="20">
        <f>IFERROR(VLOOKUP(D987,XPMenu!$A:$F,4,FALSE),"")</f>
        <v/>
      </c>
      <c r="L987" s="20" t="n"/>
      <c r="M987" s="20">
        <f>IF(A987="","",IF(F987&lt;&gt;"Yes",0,IF(L987&lt;&gt;"",L987,E987*K987)))</f>
        <v/>
      </c>
      <c r="N987" s="20">
        <f>IF($A987="","",$A987-WEEKDAY($A987,2)+1)</f>
        <v/>
      </c>
      <c r="O987" s="20">
        <f>IF($A987="","",TEXT($A987,"yyyy-mm"))</f>
        <v/>
      </c>
      <c r="P987" s="21">
        <f>IF($A987="","",TEXT(YEAR($A987),"0000")&amp;"-Q"&amp;ROUNDUP(MONTH($A987)/3,0))</f>
        <v/>
      </c>
    </row>
    <row r="988">
      <c r="A988" s="22" t="n"/>
      <c r="B988" s="20" t="n"/>
      <c r="C988" s="20" t="n"/>
      <c r="D988" s="20">
        <f>IFERROR(INDEX(XPMenu!$A$2:$A$1000, MATCH(C988, XPMenu!$B$2:$B$1000, 0)), "")</f>
        <v/>
      </c>
      <c r="E988" s="20" t="n"/>
      <c r="F988" s="20" t="n"/>
      <c r="G988" s="20" t="n"/>
      <c r="H988" s="20" t="n"/>
      <c r="I988" s="20">
        <f>IFERROR(VLOOKUP(D988,XPMenu!$A:$F,2,FALSE),"")</f>
        <v/>
      </c>
      <c r="J988" s="20">
        <f>IFERROR(VLOOKUP(D988,XPMenu!$A:$F,3,FALSE),"")</f>
        <v/>
      </c>
      <c r="K988" s="20">
        <f>IFERROR(VLOOKUP(D988,XPMenu!$A:$F,4,FALSE),"")</f>
        <v/>
      </c>
      <c r="L988" s="20" t="n"/>
      <c r="M988" s="20">
        <f>IF(A988="","",IF(F988&lt;&gt;"Yes",0,IF(L988&lt;&gt;"",L988,E988*K988)))</f>
        <v/>
      </c>
      <c r="N988" s="20">
        <f>IF($A988="","",$A988-WEEKDAY($A988,2)+1)</f>
        <v/>
      </c>
      <c r="O988" s="20">
        <f>IF($A988="","",TEXT($A988,"yyyy-mm"))</f>
        <v/>
      </c>
      <c r="P988" s="21">
        <f>IF($A988="","",TEXT(YEAR($A988),"0000")&amp;"-Q"&amp;ROUNDUP(MONTH($A988)/3,0))</f>
        <v/>
      </c>
    </row>
    <row r="989">
      <c r="A989" s="22" t="n"/>
      <c r="B989" s="20" t="n"/>
      <c r="C989" s="20" t="n"/>
      <c r="D989" s="20">
        <f>IFERROR(INDEX(XPMenu!$A$2:$A$1000, MATCH(C989, XPMenu!$B$2:$B$1000, 0)), "")</f>
        <v/>
      </c>
      <c r="E989" s="20" t="n"/>
      <c r="F989" s="20" t="n"/>
      <c r="G989" s="20" t="n"/>
      <c r="H989" s="20" t="n"/>
      <c r="I989" s="20">
        <f>IFERROR(VLOOKUP(D989,XPMenu!$A:$F,2,FALSE),"")</f>
        <v/>
      </c>
      <c r="J989" s="20">
        <f>IFERROR(VLOOKUP(D989,XPMenu!$A:$F,3,FALSE),"")</f>
        <v/>
      </c>
      <c r="K989" s="20">
        <f>IFERROR(VLOOKUP(D989,XPMenu!$A:$F,4,FALSE),"")</f>
        <v/>
      </c>
      <c r="L989" s="20" t="n"/>
      <c r="M989" s="20">
        <f>IF(A989="","",IF(F989&lt;&gt;"Yes",0,IF(L989&lt;&gt;"",L989,E989*K989)))</f>
        <v/>
      </c>
      <c r="N989" s="20">
        <f>IF($A989="","",$A989-WEEKDAY($A989,2)+1)</f>
        <v/>
      </c>
      <c r="O989" s="20">
        <f>IF($A989="","",TEXT($A989,"yyyy-mm"))</f>
        <v/>
      </c>
      <c r="P989" s="21">
        <f>IF($A989="","",TEXT(YEAR($A989),"0000")&amp;"-Q"&amp;ROUNDUP(MONTH($A989)/3,0))</f>
        <v/>
      </c>
    </row>
    <row r="990">
      <c r="A990" s="22" t="n"/>
      <c r="B990" s="20" t="n"/>
      <c r="C990" s="20" t="n"/>
      <c r="D990" s="20">
        <f>IFERROR(INDEX(XPMenu!$A$2:$A$1000, MATCH(C990, XPMenu!$B$2:$B$1000, 0)), "")</f>
        <v/>
      </c>
      <c r="E990" s="20" t="n"/>
      <c r="F990" s="20" t="n"/>
      <c r="G990" s="20" t="n"/>
      <c r="H990" s="20" t="n"/>
      <c r="I990" s="20">
        <f>IFERROR(VLOOKUP(D990,XPMenu!$A:$F,2,FALSE),"")</f>
        <v/>
      </c>
      <c r="J990" s="20">
        <f>IFERROR(VLOOKUP(D990,XPMenu!$A:$F,3,FALSE),"")</f>
        <v/>
      </c>
      <c r="K990" s="20">
        <f>IFERROR(VLOOKUP(D990,XPMenu!$A:$F,4,FALSE),"")</f>
        <v/>
      </c>
      <c r="L990" s="20" t="n"/>
      <c r="M990" s="20">
        <f>IF(A990="","",IF(F990&lt;&gt;"Yes",0,IF(L990&lt;&gt;"",L990,E990*K990)))</f>
        <v/>
      </c>
      <c r="N990" s="20">
        <f>IF($A990="","",$A990-WEEKDAY($A990,2)+1)</f>
        <v/>
      </c>
      <c r="O990" s="20">
        <f>IF($A990="","",TEXT($A990,"yyyy-mm"))</f>
        <v/>
      </c>
      <c r="P990" s="21">
        <f>IF($A990="","",TEXT(YEAR($A990),"0000")&amp;"-Q"&amp;ROUNDUP(MONTH($A990)/3,0))</f>
        <v/>
      </c>
    </row>
    <row r="991">
      <c r="A991" s="22" t="n"/>
      <c r="B991" s="20" t="n"/>
      <c r="C991" s="20" t="n"/>
      <c r="D991" s="20">
        <f>IFERROR(INDEX(XPMenu!$A$2:$A$1000, MATCH(C991, XPMenu!$B$2:$B$1000, 0)), "")</f>
        <v/>
      </c>
      <c r="E991" s="20" t="n"/>
      <c r="F991" s="20" t="n"/>
      <c r="G991" s="20" t="n"/>
      <c r="H991" s="20" t="n"/>
      <c r="I991" s="20">
        <f>IFERROR(VLOOKUP(D991,XPMenu!$A:$F,2,FALSE),"")</f>
        <v/>
      </c>
      <c r="J991" s="20">
        <f>IFERROR(VLOOKUP(D991,XPMenu!$A:$F,3,FALSE),"")</f>
        <v/>
      </c>
      <c r="K991" s="20">
        <f>IFERROR(VLOOKUP(D991,XPMenu!$A:$F,4,FALSE),"")</f>
        <v/>
      </c>
      <c r="L991" s="20" t="n"/>
      <c r="M991" s="20">
        <f>IF(A991="","",IF(F991&lt;&gt;"Yes",0,IF(L991&lt;&gt;"",L991,E991*K991)))</f>
        <v/>
      </c>
      <c r="N991" s="20">
        <f>IF($A991="","",$A991-WEEKDAY($A991,2)+1)</f>
        <v/>
      </c>
      <c r="O991" s="20">
        <f>IF($A991="","",TEXT($A991,"yyyy-mm"))</f>
        <v/>
      </c>
      <c r="P991" s="21">
        <f>IF($A991="","",TEXT(YEAR($A991),"0000")&amp;"-Q"&amp;ROUNDUP(MONTH($A991)/3,0))</f>
        <v/>
      </c>
    </row>
    <row r="992">
      <c r="A992" s="22" t="n"/>
      <c r="B992" s="20" t="n"/>
      <c r="C992" s="20" t="n"/>
      <c r="D992" s="20">
        <f>IFERROR(INDEX(XPMenu!$A$2:$A$1000, MATCH(C992, XPMenu!$B$2:$B$1000, 0)), "")</f>
        <v/>
      </c>
      <c r="E992" s="20" t="n"/>
      <c r="F992" s="20" t="n"/>
      <c r="G992" s="20" t="n"/>
      <c r="H992" s="20" t="n"/>
      <c r="I992" s="20">
        <f>IFERROR(VLOOKUP(D992,XPMenu!$A:$F,2,FALSE),"")</f>
        <v/>
      </c>
      <c r="J992" s="20">
        <f>IFERROR(VLOOKUP(D992,XPMenu!$A:$F,3,FALSE),"")</f>
        <v/>
      </c>
      <c r="K992" s="20">
        <f>IFERROR(VLOOKUP(D992,XPMenu!$A:$F,4,FALSE),"")</f>
        <v/>
      </c>
      <c r="L992" s="20" t="n"/>
      <c r="M992" s="20">
        <f>IF(A992="","",IF(F992&lt;&gt;"Yes",0,IF(L992&lt;&gt;"",L992,E992*K992)))</f>
        <v/>
      </c>
      <c r="N992" s="20">
        <f>IF($A992="","",$A992-WEEKDAY($A992,2)+1)</f>
        <v/>
      </c>
      <c r="O992" s="20">
        <f>IF($A992="","",TEXT($A992,"yyyy-mm"))</f>
        <v/>
      </c>
      <c r="P992" s="21">
        <f>IF($A992="","",TEXT(YEAR($A992),"0000")&amp;"-Q"&amp;ROUNDUP(MONTH($A992)/3,0))</f>
        <v/>
      </c>
    </row>
    <row r="993">
      <c r="A993" s="22" t="n"/>
      <c r="B993" s="20" t="n"/>
      <c r="C993" s="20" t="n"/>
      <c r="D993" s="20">
        <f>IFERROR(INDEX(XPMenu!$A$2:$A$1000, MATCH(C993, XPMenu!$B$2:$B$1000, 0)), "")</f>
        <v/>
      </c>
      <c r="E993" s="20" t="n"/>
      <c r="F993" s="20" t="n"/>
      <c r="G993" s="20" t="n"/>
      <c r="H993" s="20" t="n"/>
      <c r="I993" s="20">
        <f>IFERROR(VLOOKUP(D993,XPMenu!$A:$F,2,FALSE),"")</f>
        <v/>
      </c>
      <c r="J993" s="20">
        <f>IFERROR(VLOOKUP(D993,XPMenu!$A:$F,3,FALSE),"")</f>
        <v/>
      </c>
      <c r="K993" s="20">
        <f>IFERROR(VLOOKUP(D993,XPMenu!$A:$F,4,FALSE),"")</f>
        <v/>
      </c>
      <c r="L993" s="20" t="n"/>
      <c r="M993" s="20">
        <f>IF(A993="","",IF(F993&lt;&gt;"Yes",0,IF(L993&lt;&gt;"",L993,E993*K993)))</f>
        <v/>
      </c>
      <c r="N993" s="20">
        <f>IF($A993="","",$A993-WEEKDAY($A993,2)+1)</f>
        <v/>
      </c>
      <c r="O993" s="20">
        <f>IF($A993="","",TEXT($A993,"yyyy-mm"))</f>
        <v/>
      </c>
      <c r="P993" s="21">
        <f>IF($A993="","",TEXT(YEAR($A993),"0000")&amp;"-Q"&amp;ROUNDUP(MONTH($A993)/3,0))</f>
        <v/>
      </c>
    </row>
    <row r="994">
      <c r="A994" s="22" t="n"/>
      <c r="B994" s="20" t="n"/>
      <c r="C994" s="20" t="n"/>
      <c r="D994" s="20">
        <f>IFERROR(INDEX(XPMenu!$A$2:$A$1000, MATCH(C994, XPMenu!$B$2:$B$1000, 0)), "")</f>
        <v/>
      </c>
      <c r="E994" s="20" t="n"/>
      <c r="F994" s="20" t="n"/>
      <c r="G994" s="20" t="n"/>
      <c r="H994" s="20" t="n"/>
      <c r="I994" s="20">
        <f>IFERROR(VLOOKUP(D994,XPMenu!$A:$F,2,FALSE),"")</f>
        <v/>
      </c>
      <c r="J994" s="20">
        <f>IFERROR(VLOOKUP(D994,XPMenu!$A:$F,3,FALSE),"")</f>
        <v/>
      </c>
      <c r="K994" s="20">
        <f>IFERROR(VLOOKUP(D994,XPMenu!$A:$F,4,FALSE),"")</f>
        <v/>
      </c>
      <c r="L994" s="20" t="n"/>
      <c r="M994" s="20">
        <f>IF(A994="","",IF(F994&lt;&gt;"Yes",0,IF(L994&lt;&gt;"",L994,E994*K994)))</f>
        <v/>
      </c>
      <c r="N994" s="20">
        <f>IF($A994="","",$A994-WEEKDAY($A994,2)+1)</f>
        <v/>
      </c>
      <c r="O994" s="20">
        <f>IF($A994="","",TEXT($A994,"yyyy-mm"))</f>
        <v/>
      </c>
      <c r="P994" s="21">
        <f>IF($A994="","",TEXT(YEAR($A994),"0000")&amp;"-Q"&amp;ROUNDUP(MONTH($A994)/3,0))</f>
        <v/>
      </c>
    </row>
    <row r="995">
      <c r="A995" s="22" t="n"/>
      <c r="B995" s="20" t="n"/>
      <c r="C995" s="20" t="n"/>
      <c r="D995" s="20">
        <f>IFERROR(INDEX(XPMenu!$A$2:$A$1000, MATCH(C995, XPMenu!$B$2:$B$1000, 0)), "")</f>
        <v/>
      </c>
      <c r="E995" s="20" t="n"/>
      <c r="F995" s="20" t="n"/>
      <c r="G995" s="20" t="n"/>
      <c r="H995" s="20" t="n"/>
      <c r="I995" s="20">
        <f>IFERROR(VLOOKUP(D995,XPMenu!$A:$F,2,FALSE),"")</f>
        <v/>
      </c>
      <c r="J995" s="20">
        <f>IFERROR(VLOOKUP(D995,XPMenu!$A:$F,3,FALSE),"")</f>
        <v/>
      </c>
      <c r="K995" s="20">
        <f>IFERROR(VLOOKUP(D995,XPMenu!$A:$F,4,FALSE),"")</f>
        <v/>
      </c>
      <c r="L995" s="20" t="n"/>
      <c r="M995" s="20">
        <f>IF(A995="","",IF(F995&lt;&gt;"Yes",0,IF(L995&lt;&gt;"",L995,E995*K995)))</f>
        <v/>
      </c>
      <c r="N995" s="20">
        <f>IF($A995="","",$A995-WEEKDAY($A995,2)+1)</f>
        <v/>
      </c>
      <c r="O995" s="20">
        <f>IF($A995="","",TEXT($A995,"yyyy-mm"))</f>
        <v/>
      </c>
      <c r="P995" s="21">
        <f>IF($A995="","",TEXT(YEAR($A995),"0000")&amp;"-Q"&amp;ROUNDUP(MONTH($A995)/3,0))</f>
        <v/>
      </c>
    </row>
    <row r="996">
      <c r="A996" s="22" t="n"/>
      <c r="B996" s="20" t="n"/>
      <c r="C996" s="20" t="n"/>
      <c r="D996" s="20">
        <f>IFERROR(INDEX(XPMenu!$A$2:$A$1000, MATCH(C996, XPMenu!$B$2:$B$1000, 0)), "")</f>
        <v/>
      </c>
      <c r="E996" s="20" t="n"/>
      <c r="F996" s="20" t="n"/>
      <c r="G996" s="20" t="n"/>
      <c r="H996" s="20" t="n"/>
      <c r="I996" s="20">
        <f>IFERROR(VLOOKUP(D996,XPMenu!$A:$F,2,FALSE),"")</f>
        <v/>
      </c>
      <c r="J996" s="20">
        <f>IFERROR(VLOOKUP(D996,XPMenu!$A:$F,3,FALSE),"")</f>
        <v/>
      </c>
      <c r="K996" s="20">
        <f>IFERROR(VLOOKUP(D996,XPMenu!$A:$F,4,FALSE),"")</f>
        <v/>
      </c>
      <c r="L996" s="20" t="n"/>
      <c r="M996" s="20">
        <f>IF(A996="","",IF(F996&lt;&gt;"Yes",0,IF(L996&lt;&gt;"",L996,E996*K996)))</f>
        <v/>
      </c>
      <c r="N996" s="20">
        <f>IF($A996="","",$A996-WEEKDAY($A996,2)+1)</f>
        <v/>
      </c>
      <c r="O996" s="20">
        <f>IF($A996="","",TEXT($A996,"yyyy-mm"))</f>
        <v/>
      </c>
      <c r="P996" s="21">
        <f>IF($A996="","",TEXT(YEAR($A996),"0000")&amp;"-Q"&amp;ROUNDUP(MONTH($A996)/3,0))</f>
        <v/>
      </c>
    </row>
    <row r="997">
      <c r="A997" s="22" t="n"/>
      <c r="B997" s="20" t="n"/>
      <c r="C997" s="20" t="n"/>
      <c r="D997" s="20">
        <f>IFERROR(INDEX(XPMenu!$A$2:$A$1000, MATCH(C997, XPMenu!$B$2:$B$1000, 0)), "")</f>
        <v/>
      </c>
      <c r="E997" s="20" t="n"/>
      <c r="F997" s="20" t="n"/>
      <c r="G997" s="20" t="n"/>
      <c r="H997" s="20" t="n"/>
      <c r="I997" s="20">
        <f>IFERROR(VLOOKUP(D997,XPMenu!$A:$F,2,FALSE),"")</f>
        <v/>
      </c>
      <c r="J997" s="20">
        <f>IFERROR(VLOOKUP(D997,XPMenu!$A:$F,3,FALSE),"")</f>
        <v/>
      </c>
      <c r="K997" s="20">
        <f>IFERROR(VLOOKUP(D997,XPMenu!$A:$F,4,FALSE),"")</f>
        <v/>
      </c>
      <c r="L997" s="20" t="n"/>
      <c r="M997" s="20">
        <f>IF(A997="","",IF(F997&lt;&gt;"Yes",0,IF(L997&lt;&gt;"",L997,E997*K997)))</f>
        <v/>
      </c>
      <c r="N997" s="20">
        <f>IF($A997="","",$A997-WEEKDAY($A997,2)+1)</f>
        <v/>
      </c>
      <c r="O997" s="20">
        <f>IF($A997="","",TEXT($A997,"yyyy-mm"))</f>
        <v/>
      </c>
      <c r="P997" s="21">
        <f>IF($A997="","",TEXT(YEAR($A997),"0000")&amp;"-Q"&amp;ROUNDUP(MONTH($A997)/3,0))</f>
        <v/>
      </c>
    </row>
    <row r="998">
      <c r="A998" s="22" t="n"/>
      <c r="B998" s="20" t="n"/>
      <c r="C998" s="20" t="n"/>
      <c r="D998" s="20">
        <f>IFERROR(INDEX(XPMenu!$A$2:$A$1000, MATCH(C998, XPMenu!$B$2:$B$1000, 0)), "")</f>
        <v/>
      </c>
      <c r="E998" s="20" t="n"/>
      <c r="F998" s="20" t="n"/>
      <c r="G998" s="20" t="n"/>
      <c r="H998" s="20" t="n"/>
      <c r="I998" s="20">
        <f>IFERROR(VLOOKUP(D998,XPMenu!$A:$F,2,FALSE),"")</f>
        <v/>
      </c>
      <c r="J998" s="20">
        <f>IFERROR(VLOOKUP(D998,XPMenu!$A:$F,3,FALSE),"")</f>
        <v/>
      </c>
      <c r="K998" s="20">
        <f>IFERROR(VLOOKUP(D998,XPMenu!$A:$F,4,FALSE),"")</f>
        <v/>
      </c>
      <c r="L998" s="20" t="n"/>
      <c r="M998" s="20">
        <f>IF(A998="","",IF(F998&lt;&gt;"Yes",0,IF(L998&lt;&gt;"",L998,E998*K998)))</f>
        <v/>
      </c>
      <c r="N998" s="20">
        <f>IF($A998="","",$A998-WEEKDAY($A998,2)+1)</f>
        <v/>
      </c>
      <c r="O998" s="20">
        <f>IF($A998="","",TEXT($A998,"yyyy-mm"))</f>
        <v/>
      </c>
      <c r="P998" s="21">
        <f>IF($A998="","",TEXT(YEAR($A998),"0000")&amp;"-Q"&amp;ROUNDUP(MONTH($A998)/3,0))</f>
        <v/>
      </c>
    </row>
    <row r="999">
      <c r="A999" s="22" t="n"/>
      <c r="B999" s="20" t="n"/>
      <c r="C999" s="20" t="n"/>
      <c r="D999" s="20">
        <f>IFERROR(INDEX(XPMenu!$A$2:$A$1000, MATCH(C999, XPMenu!$B$2:$B$1000, 0)), "")</f>
        <v/>
      </c>
      <c r="E999" s="20" t="n"/>
      <c r="F999" s="20" t="n"/>
      <c r="G999" s="20" t="n"/>
      <c r="H999" s="20" t="n"/>
      <c r="I999" s="20">
        <f>IFERROR(VLOOKUP(D999,XPMenu!$A:$F,2,FALSE),"")</f>
        <v/>
      </c>
      <c r="J999" s="20">
        <f>IFERROR(VLOOKUP(D999,XPMenu!$A:$F,3,FALSE),"")</f>
        <v/>
      </c>
      <c r="K999" s="20">
        <f>IFERROR(VLOOKUP(D999,XPMenu!$A:$F,4,FALSE),"")</f>
        <v/>
      </c>
      <c r="L999" s="20" t="n"/>
      <c r="M999" s="20">
        <f>IF(A999="","",IF(F999&lt;&gt;"Yes",0,IF(L999&lt;&gt;"",L999,E999*K999)))</f>
        <v/>
      </c>
      <c r="N999" s="20">
        <f>IF($A999="","",$A999-WEEKDAY($A999,2)+1)</f>
        <v/>
      </c>
      <c r="O999" s="20">
        <f>IF($A999="","",TEXT($A999,"yyyy-mm"))</f>
        <v/>
      </c>
      <c r="P999" s="21">
        <f>IF($A999="","",TEXT(YEAR($A999),"0000")&amp;"-Q"&amp;ROUNDUP(MONTH($A999)/3,0))</f>
        <v/>
      </c>
    </row>
    <row r="1000">
      <c r="A1000" s="22" t="n"/>
      <c r="B1000" s="20" t="n"/>
      <c r="C1000" s="20" t="n"/>
      <c r="D1000" s="20">
        <f>IFERROR(INDEX(XPMenu!$A$2:$A$1000, MATCH(C1000, XPMenu!$B$2:$B$1000, 0)), "")</f>
        <v/>
      </c>
      <c r="E1000" s="20" t="n"/>
      <c r="F1000" s="20" t="n"/>
      <c r="G1000" s="20" t="n"/>
      <c r="H1000" s="20" t="n"/>
      <c r="I1000" s="20">
        <f>IFERROR(VLOOKUP(D1000,XPMenu!$A:$F,2,FALSE),"")</f>
        <v/>
      </c>
      <c r="J1000" s="20">
        <f>IFERROR(VLOOKUP(D1000,XPMenu!$A:$F,3,FALSE),"")</f>
        <v/>
      </c>
      <c r="K1000" s="20">
        <f>IFERROR(VLOOKUP(D1000,XPMenu!$A:$F,4,FALSE),"")</f>
        <v/>
      </c>
      <c r="L1000" s="20" t="n"/>
      <c r="M1000" s="20">
        <f>IF(A1000="","",IF(F1000&lt;&gt;"Yes",0,IF(L1000&lt;&gt;"",L1000,E1000*K1000)))</f>
        <v/>
      </c>
      <c r="N1000" s="20">
        <f>IF($A1000="","",$A1000-WEEKDAY($A1000,2)+1)</f>
        <v/>
      </c>
      <c r="O1000" s="20">
        <f>IF($A1000="","",TEXT($A1000,"yyyy-mm"))</f>
        <v/>
      </c>
      <c r="P1000" s="21">
        <f>IF($A1000="","",TEXT(YEAR($A1000),"0000")&amp;"-Q"&amp;ROUNDUP(MONTH($A1000)/3,0))</f>
        <v/>
      </c>
    </row>
  </sheetData>
  <dataValidations count="3">
    <dataValidation sqref="B2:B1000" showDropDown="0" showInputMessage="0" showErrorMessage="0" allowBlank="1" type="list">
      <formula1>CoachRoster!$A$2:$A$1000</formula1>
    </dataValidation>
    <dataValidation sqref="C2:C1000" showDropDown="0" showInputMessage="0" showErrorMessage="0" allowBlank="1" type="list">
      <formula1>XPMenu!$B$2:$B$1000</formula1>
    </dataValidation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12" customWidth="1" style="38" min="2" max="2"/>
    <col width="15" customWidth="1" style="38" min="3" max="3"/>
    <col width="39" customWidth="1" style="38" min="4" max="4"/>
    <col width="31" customWidth="1" style="38" min="5" max="5"/>
  </cols>
  <sheetData>
    <row r="1">
      <c r="A1" s="39" t="inlineStr">
        <is>
          <t>WeekKey</t>
        </is>
      </c>
      <c r="B1" s="39" t="inlineStr">
        <is>
          <t>CoachID</t>
        </is>
      </c>
      <c r="C1" s="39" t="inlineStr">
        <is>
          <t>CoachingXPRaw</t>
        </is>
      </c>
      <c r="D1" s="39" t="inlineStr">
        <is>
          <t>CoachingXPCounted</t>
        </is>
      </c>
      <c r="E1" s="39" t="inlineStr">
        <is>
          <t>OverCap</t>
        </is>
      </c>
    </row>
    <row r="2">
      <c r="A2">
        <f>IFERROR(QUERY(XPLog!A2:P1000,"select Col14,Col2,sum(Col13) where Col10='Coaching' and Col13 is not null group by Col14,Col2 label sum(Col13) ''",0),"")</f>
        <v/>
      </c>
      <c r="D2" s="23">
        <f>IF(C2="","",MIN(C2,Settings!$B$2))</f>
        <v/>
      </c>
      <c r="E2" s="23">
        <f>IF(C2="","",MAX(0,C2-D2))</f>
        <v/>
      </c>
    </row>
    <row r="3">
      <c r="D3">
        <f>IF(C3="","",MIN(C3,Settings!$B$2))</f>
        <v/>
      </c>
      <c r="E3">
        <f>IF(C3="","",MAX(0,C3-D3))</f>
        <v/>
      </c>
    </row>
    <row r="4">
      <c r="D4" s="23">
        <f>IF(C4="","",MIN(C4,Settings!$B$2))</f>
        <v/>
      </c>
      <c r="E4" s="23">
        <f>IF(C4="","",MAX(0,C4-D4))</f>
        <v/>
      </c>
    </row>
    <row r="5">
      <c r="D5" s="23">
        <f>IF(C5="","",MIN(C5,Settings!$B$2))</f>
        <v/>
      </c>
      <c r="E5" s="23">
        <f>IF(C5="","",MAX(0,C5-D5))</f>
        <v/>
      </c>
    </row>
    <row r="6">
      <c r="D6" s="23">
        <f>IF(C6="","",MIN(C6,Settings!$B$2))</f>
        <v/>
      </c>
      <c r="E6" s="23">
        <f>IF(C6="","",MAX(0,C6-D6))</f>
        <v/>
      </c>
    </row>
    <row r="7">
      <c r="D7" s="23">
        <f>IF(C7="","",MIN(C7,Settings!$B$2))</f>
        <v/>
      </c>
      <c r="E7" s="23">
        <f>IF(C7="","",MAX(0,C7-D7))</f>
        <v/>
      </c>
    </row>
    <row r="8">
      <c r="D8" s="23">
        <f>IF(C8="","",MIN(C8,Settings!$B$2))</f>
        <v/>
      </c>
      <c r="E8" s="23">
        <f>IF(C8="","",MAX(0,C8-D8))</f>
        <v/>
      </c>
    </row>
    <row r="9">
      <c r="D9" s="23">
        <f>IF(C9="","",MIN(C9,Settings!$B$2))</f>
        <v/>
      </c>
      <c r="E9" s="23">
        <f>IF(C9="","",MAX(0,C9-D9))</f>
        <v/>
      </c>
    </row>
    <row r="10">
      <c r="D10" s="23">
        <f>IF(C10="","",MIN(C10,Settings!$B$2))</f>
        <v/>
      </c>
      <c r="E10" s="23">
        <f>IF(C10="","",MAX(0,C10-D10))</f>
        <v/>
      </c>
    </row>
    <row r="11">
      <c r="D11" s="23">
        <f>IF(C11="","",MIN(C11,Settings!$B$2))</f>
        <v/>
      </c>
      <c r="E11" s="23">
        <f>IF(C11="","",MAX(0,C11-D11))</f>
        <v/>
      </c>
    </row>
    <row r="12">
      <c r="D12" s="23">
        <f>IF(C12="","",MIN(C12,Settings!$B$2))</f>
        <v/>
      </c>
      <c r="E12" s="23">
        <f>IF(C12="","",MAX(0,C12-D12))</f>
        <v/>
      </c>
    </row>
    <row r="13">
      <c r="D13" s="23">
        <f>IF(C13="","",MIN(C13,Settings!$B$2))</f>
        <v/>
      </c>
      <c r="E13" s="23">
        <f>IF(C13="","",MAX(0,C13-D13))</f>
        <v/>
      </c>
    </row>
    <row r="14">
      <c r="D14" s="23">
        <f>IF(C14="","",MIN(C14,Settings!$B$2))</f>
        <v/>
      </c>
      <c r="E14" s="23">
        <f>IF(C14="","",MAX(0,C14-D14))</f>
        <v/>
      </c>
    </row>
    <row r="15">
      <c r="D15" s="23">
        <f>IF(C15="","",MIN(C15,Settings!$B$2))</f>
        <v/>
      </c>
      <c r="E15" s="23">
        <f>IF(C15="","",MAX(0,C15-D15))</f>
        <v/>
      </c>
    </row>
    <row r="16">
      <c r="D16" s="23">
        <f>IF(C16="","",MIN(C16,Settings!$B$2))</f>
        <v/>
      </c>
      <c r="E16" s="23">
        <f>IF(C16="","",MAX(0,C16-D16))</f>
        <v/>
      </c>
    </row>
    <row r="17">
      <c r="D17" s="23">
        <f>IF(C17="","",MIN(C17,Settings!$B$2))</f>
        <v/>
      </c>
      <c r="E17" s="23">
        <f>IF(C17="","",MAX(0,C17-D17))</f>
        <v/>
      </c>
    </row>
    <row r="18">
      <c r="D18" s="23">
        <f>IF(C18="","",MIN(C18,Settings!$B$2))</f>
        <v/>
      </c>
      <c r="E18" s="23">
        <f>IF(C18="","",MAX(0,C18-D18))</f>
        <v/>
      </c>
    </row>
    <row r="19">
      <c r="D19" s="23">
        <f>IF(C19="","",MIN(C19,Settings!$B$2))</f>
        <v/>
      </c>
      <c r="E19" s="23">
        <f>IF(C19="","",MAX(0,C19-D19))</f>
        <v/>
      </c>
    </row>
    <row r="20">
      <c r="D20" s="23">
        <f>IF(C20="","",MIN(C20,Settings!$B$2))</f>
        <v/>
      </c>
      <c r="E20" s="23">
        <f>IF(C20="","",MAX(0,C20-D20))</f>
        <v/>
      </c>
    </row>
    <row r="21">
      <c r="D21">
        <f>IF(C21="","",MIN(C21,Settings!$B$2))</f>
        <v/>
      </c>
      <c r="E21">
        <f>IF(C21="","",MAX(0,C21-D21))</f>
        <v/>
      </c>
    </row>
    <row r="22">
      <c r="D22">
        <f>IF(C22="","",MIN(C22,Settings!$B$2))</f>
        <v/>
      </c>
      <c r="E22">
        <f>IF(C22="","",MAX(0,C22-D22))</f>
        <v/>
      </c>
    </row>
    <row r="23">
      <c r="D23">
        <f>IF(C23="","",MIN(C23,Settings!$B$2))</f>
        <v/>
      </c>
      <c r="E23">
        <f>IF(C23="","",MAX(0,C23-D23))</f>
        <v/>
      </c>
    </row>
    <row r="24">
      <c r="D24">
        <f>IF(C24="","",MIN(C24,Settings!$B$2))</f>
        <v/>
      </c>
      <c r="E24">
        <f>IF(C24="","",MAX(0,C24-D24))</f>
        <v/>
      </c>
    </row>
    <row r="25">
      <c r="D25">
        <f>IF(C25="","",MIN(C25,Settings!$B$2))</f>
        <v/>
      </c>
      <c r="E25">
        <f>IF(C25="","",MAX(0,C25-D25))</f>
        <v/>
      </c>
    </row>
    <row r="26">
      <c r="D26">
        <f>IF(C26="","",MIN(C26,Settings!$B$2))</f>
        <v/>
      </c>
      <c r="E26">
        <f>IF(C26="","",MAX(0,C26-D26))</f>
        <v/>
      </c>
    </row>
    <row r="27">
      <c r="D27">
        <f>IF(C27="","",MIN(C27,Settings!$B$2))</f>
        <v/>
      </c>
      <c r="E27">
        <f>IF(C27="","",MAX(0,C27-D27))</f>
        <v/>
      </c>
    </row>
    <row r="28">
      <c r="D28">
        <f>IF(C28="","",MIN(C28,Settings!$B$2))</f>
        <v/>
      </c>
      <c r="E28">
        <f>IF(C28="","",MAX(0,C28-D28))</f>
        <v/>
      </c>
    </row>
    <row r="29">
      <c r="D29">
        <f>IF(C29="","",MIN(C29,Settings!$B$2))</f>
        <v/>
      </c>
      <c r="E29">
        <f>IF(C29="","",MAX(0,C29-D29))</f>
        <v/>
      </c>
    </row>
    <row r="30">
      <c r="D30">
        <f>IF(C30="","",MIN(C30,Settings!$B$2))</f>
        <v/>
      </c>
      <c r="E30">
        <f>IF(C30="","",MAX(0,C30-D30))</f>
        <v/>
      </c>
    </row>
    <row r="31">
      <c r="D31">
        <f>IF(C31="","",MIN(C31,Settings!$B$2))</f>
        <v/>
      </c>
      <c r="E31">
        <f>IF(C31="","",MAX(0,C31-D31))</f>
        <v/>
      </c>
    </row>
    <row r="32">
      <c r="D32">
        <f>IF(C32="","",MIN(C32,Settings!$B$2))</f>
        <v/>
      </c>
      <c r="E32">
        <f>IF(C32="","",MAX(0,C32-D32))</f>
        <v/>
      </c>
    </row>
    <row r="33">
      <c r="D33">
        <f>IF(C33="","",MIN(C33,Settings!$B$2))</f>
        <v/>
      </c>
      <c r="E33">
        <f>IF(C33="","",MAX(0,C33-D33))</f>
        <v/>
      </c>
    </row>
    <row r="34">
      <c r="D34">
        <f>IF(C34="","",MIN(C34,Settings!$B$2))</f>
        <v/>
      </c>
      <c r="E34">
        <f>IF(C34="","",MAX(0,C34-D34))</f>
        <v/>
      </c>
    </row>
    <row r="35">
      <c r="D35">
        <f>IF(C35="","",MIN(C35,Settings!$B$2))</f>
        <v/>
      </c>
      <c r="E35">
        <f>IF(C35="","",MAX(0,C35-D35))</f>
        <v/>
      </c>
    </row>
    <row r="36">
      <c r="D36">
        <f>IF(C36="","",MIN(C36,Settings!$B$2))</f>
        <v/>
      </c>
      <c r="E36">
        <f>IF(C36="","",MAX(0,C36-D36))</f>
        <v/>
      </c>
    </row>
    <row r="37">
      <c r="D37">
        <f>IF(C37="","",MIN(C37,Settings!$B$2))</f>
        <v/>
      </c>
      <c r="E37">
        <f>IF(C37="","",MAX(0,C37-D37))</f>
        <v/>
      </c>
    </row>
    <row r="38">
      <c r="D38">
        <f>IF(C38="","",MIN(C38,Settings!$B$2))</f>
        <v/>
      </c>
      <c r="E38">
        <f>IF(C38="","",MAX(0,C38-D38))</f>
        <v/>
      </c>
    </row>
    <row r="39">
      <c r="D39">
        <f>IF(C39="","",MIN(C39,Settings!$B$2))</f>
        <v/>
      </c>
      <c r="E39">
        <f>IF(C39="","",MAX(0,C39-D39))</f>
        <v/>
      </c>
    </row>
    <row r="40">
      <c r="D40">
        <f>IF(C40="","",MIN(C40,Settings!$B$2))</f>
        <v/>
      </c>
      <c r="E40">
        <f>IF(C40="","",MAX(0,C40-D40))</f>
        <v/>
      </c>
    </row>
    <row r="41">
      <c r="D41">
        <f>IF(C41="","",MIN(C41,Settings!$B$2))</f>
        <v/>
      </c>
      <c r="E41">
        <f>IF(C41="","",MAX(0,C41-D41))</f>
        <v/>
      </c>
    </row>
    <row r="42">
      <c r="D42">
        <f>IF(C42="","",MIN(C42,Settings!$B$2))</f>
        <v/>
      </c>
      <c r="E42">
        <f>IF(C42="","",MAX(0,C42-D42))</f>
        <v/>
      </c>
    </row>
    <row r="43">
      <c r="D43">
        <f>IF(C43="","",MIN(C43,Settings!$B$2))</f>
        <v/>
      </c>
      <c r="E43">
        <f>IF(C43="","",MAX(0,C43-D43))</f>
        <v/>
      </c>
    </row>
    <row r="44">
      <c r="D44">
        <f>IF(C44="","",MIN(C44,Settings!$B$2))</f>
        <v/>
      </c>
      <c r="E44">
        <f>IF(C44="","",MAX(0,C44-D44))</f>
        <v/>
      </c>
    </row>
    <row r="45">
      <c r="D45">
        <f>IF(C45="","",MIN(C45,Settings!$B$2))</f>
        <v/>
      </c>
      <c r="E45">
        <f>IF(C45="","",MAX(0,C45-D45))</f>
        <v/>
      </c>
    </row>
    <row r="46">
      <c r="D46">
        <f>IF(C46="","",MIN(C46,Settings!$B$2))</f>
        <v/>
      </c>
      <c r="E46">
        <f>IF(C46="","",MAX(0,C46-D46))</f>
        <v/>
      </c>
    </row>
    <row r="47">
      <c r="D47">
        <f>IF(C47="","",MIN(C47,Settings!$B$2))</f>
        <v/>
      </c>
      <c r="E47">
        <f>IF(C47="","",MAX(0,C47-D47))</f>
        <v/>
      </c>
    </row>
    <row r="48">
      <c r="D48">
        <f>IF(C48="","",MIN(C48,Settings!$B$2))</f>
        <v/>
      </c>
      <c r="E48">
        <f>IF(C48="","",MAX(0,C48-D48))</f>
        <v/>
      </c>
    </row>
    <row r="49">
      <c r="D49">
        <f>IF(C49="","",MIN(C49,Settings!$B$2))</f>
        <v/>
      </c>
      <c r="E49">
        <f>IF(C49="","",MAX(0,C49-D49))</f>
        <v/>
      </c>
    </row>
    <row r="50">
      <c r="D50">
        <f>IF(C50="","",MIN(C50,Settings!$B$2))</f>
        <v/>
      </c>
      <c r="E50">
        <f>IF(C50="","",MAX(0,C50-D50))</f>
        <v/>
      </c>
    </row>
    <row r="51">
      <c r="D51">
        <f>IF(C51="","",MIN(C51,Settings!$B$2))</f>
        <v/>
      </c>
      <c r="E51">
        <f>IF(C51="","",MAX(0,C51-D51))</f>
        <v/>
      </c>
    </row>
    <row r="52">
      <c r="D52">
        <f>IF(C52="","",MIN(C52,Settings!$B$2))</f>
        <v/>
      </c>
      <c r="E52">
        <f>IF(C52="","",MAX(0,C52-D52))</f>
        <v/>
      </c>
    </row>
    <row r="53">
      <c r="D53">
        <f>IF(C53="","",MIN(C53,Settings!$B$2))</f>
        <v/>
      </c>
      <c r="E53">
        <f>IF(C53="","",MAX(0,C53-D53))</f>
        <v/>
      </c>
    </row>
    <row r="54">
      <c r="D54">
        <f>IF(C54="","",MIN(C54,Settings!$B$2))</f>
        <v/>
      </c>
      <c r="E54">
        <f>IF(C54="","",MAX(0,C54-D54))</f>
        <v/>
      </c>
    </row>
    <row r="55">
      <c r="D55">
        <f>IF(C55="","",MIN(C55,Settings!$B$2))</f>
        <v/>
      </c>
      <c r="E55">
        <f>IF(C55="","",MAX(0,C55-D55))</f>
        <v/>
      </c>
    </row>
    <row r="56">
      <c r="D56">
        <f>IF(C56="","",MIN(C56,Settings!$B$2))</f>
        <v/>
      </c>
      <c r="E56">
        <f>IF(C56="","",MAX(0,C56-D56))</f>
        <v/>
      </c>
    </row>
    <row r="57">
      <c r="D57">
        <f>IF(C57="","",MIN(C57,Settings!$B$2))</f>
        <v/>
      </c>
      <c r="E57">
        <f>IF(C57="","",MAX(0,C57-D57))</f>
        <v/>
      </c>
    </row>
    <row r="58">
      <c r="D58">
        <f>IF(C58="","",MIN(C58,Settings!$B$2))</f>
        <v/>
      </c>
      <c r="E58">
        <f>IF(C58="","",MAX(0,C58-D58))</f>
        <v/>
      </c>
    </row>
    <row r="59">
      <c r="D59">
        <f>IF(C59="","",MIN(C59,Settings!$B$2))</f>
        <v/>
      </c>
      <c r="E59">
        <f>IF(C59="","",MAX(0,C59-D59))</f>
        <v/>
      </c>
    </row>
    <row r="60">
      <c r="D60">
        <f>IF(C60="","",MIN(C60,Settings!$B$2))</f>
        <v/>
      </c>
      <c r="E60">
        <f>IF(C60="","",MAX(0,C60-D60))</f>
        <v/>
      </c>
    </row>
    <row r="61">
      <c r="D61">
        <f>IF(C61="","",MIN(C61,Settings!$B$2))</f>
        <v/>
      </c>
      <c r="E61">
        <f>IF(C61="","",MAX(0,C61-D61))</f>
        <v/>
      </c>
    </row>
    <row r="62">
      <c r="D62">
        <f>IF(C62="","",MIN(C62,Settings!$B$2))</f>
        <v/>
      </c>
      <c r="E62">
        <f>IF(C62="","",MAX(0,C62-D62))</f>
        <v/>
      </c>
    </row>
    <row r="63">
      <c r="D63">
        <f>IF(C63="","",MIN(C63,Settings!$B$2))</f>
        <v/>
      </c>
      <c r="E63">
        <f>IF(C63="","",MAX(0,C63-D63))</f>
        <v/>
      </c>
    </row>
    <row r="64">
      <c r="D64">
        <f>IF(C64="","",MIN(C64,Settings!$B$2))</f>
        <v/>
      </c>
      <c r="E64">
        <f>IF(C64="","",MAX(0,C64-D64))</f>
        <v/>
      </c>
    </row>
    <row r="65">
      <c r="D65">
        <f>IF(C65="","",MIN(C65,Settings!$B$2))</f>
        <v/>
      </c>
      <c r="E65">
        <f>IF(C65="","",MAX(0,C65-D65))</f>
        <v/>
      </c>
    </row>
    <row r="66">
      <c r="D66">
        <f>IF(C66="","",MIN(C66,Settings!$B$2))</f>
        <v/>
      </c>
      <c r="E66">
        <f>IF(C66="","",MAX(0,C66-D66))</f>
        <v/>
      </c>
    </row>
    <row r="67">
      <c r="D67">
        <f>IF(C67="","",MIN(C67,Settings!$B$2))</f>
        <v/>
      </c>
      <c r="E67">
        <f>IF(C67="","",MAX(0,C67-D67))</f>
        <v/>
      </c>
    </row>
    <row r="68">
      <c r="D68">
        <f>IF(C68="","",MIN(C68,Settings!$B$2))</f>
        <v/>
      </c>
      <c r="E68">
        <f>IF(C68="","",MAX(0,C68-D68))</f>
        <v/>
      </c>
    </row>
    <row r="69">
      <c r="D69">
        <f>IF(C69="","",MIN(C69,Settings!$B$2))</f>
        <v/>
      </c>
      <c r="E69">
        <f>IF(C69="","",MAX(0,C69-D69))</f>
        <v/>
      </c>
    </row>
    <row r="70">
      <c r="D70">
        <f>IF(C70="","",MIN(C70,Settings!$B$2))</f>
        <v/>
      </c>
      <c r="E70">
        <f>IF(C70="","",MAX(0,C70-D70))</f>
        <v/>
      </c>
    </row>
    <row r="71">
      <c r="D71">
        <f>IF(C71="","",MIN(C71,Settings!$B$2))</f>
        <v/>
      </c>
      <c r="E71">
        <f>IF(C71="","",MAX(0,C71-D71))</f>
        <v/>
      </c>
    </row>
    <row r="72">
      <c r="D72">
        <f>IF(C72="","",MIN(C72,Settings!$B$2))</f>
        <v/>
      </c>
      <c r="E72">
        <f>IF(C72="","",MAX(0,C72-D72))</f>
        <v/>
      </c>
    </row>
    <row r="73">
      <c r="D73">
        <f>IF(C73="","",MIN(C73,Settings!$B$2))</f>
        <v/>
      </c>
      <c r="E73">
        <f>IF(C73="","",MAX(0,C73-D73))</f>
        <v/>
      </c>
    </row>
    <row r="74">
      <c r="D74">
        <f>IF(C74="","",MIN(C74,Settings!$B$2))</f>
        <v/>
      </c>
      <c r="E74">
        <f>IF(C74="","",MAX(0,C74-D74))</f>
        <v/>
      </c>
    </row>
    <row r="75">
      <c r="D75">
        <f>IF(C75="","",MIN(C75,Settings!$B$2))</f>
        <v/>
      </c>
      <c r="E75">
        <f>IF(C75="","",MAX(0,C75-D75))</f>
        <v/>
      </c>
    </row>
    <row r="76">
      <c r="D76">
        <f>IF(C76="","",MIN(C76,Settings!$B$2))</f>
        <v/>
      </c>
      <c r="E76">
        <f>IF(C76="","",MAX(0,C76-D76))</f>
        <v/>
      </c>
    </row>
    <row r="77">
      <c r="D77">
        <f>IF(C77="","",MIN(C77,Settings!$B$2))</f>
        <v/>
      </c>
      <c r="E77">
        <f>IF(C77="","",MAX(0,C77-D77))</f>
        <v/>
      </c>
    </row>
    <row r="78">
      <c r="D78">
        <f>IF(C78="","",MIN(C78,Settings!$B$2))</f>
        <v/>
      </c>
      <c r="E78">
        <f>IF(C78="","",MAX(0,C78-D78))</f>
        <v/>
      </c>
    </row>
    <row r="79">
      <c r="D79">
        <f>IF(C79="","",MIN(C79,Settings!$B$2))</f>
        <v/>
      </c>
      <c r="E79">
        <f>IF(C79="","",MAX(0,C79-D79))</f>
        <v/>
      </c>
    </row>
    <row r="80">
      <c r="D80">
        <f>IF(C80="","",MIN(C80,Settings!$B$2))</f>
        <v/>
      </c>
      <c r="E80">
        <f>IF(C80="","",MAX(0,C80-D80))</f>
        <v/>
      </c>
    </row>
    <row r="81">
      <c r="D81">
        <f>IF(C81="","",MIN(C81,Settings!$B$2))</f>
        <v/>
      </c>
      <c r="E81">
        <f>IF(C81="","",MAX(0,C81-D81))</f>
        <v/>
      </c>
    </row>
    <row r="82">
      <c r="D82">
        <f>IF(C82="","",MIN(C82,Settings!$B$2))</f>
        <v/>
      </c>
      <c r="E82">
        <f>IF(C82="","",MAX(0,C82-D82))</f>
        <v/>
      </c>
    </row>
    <row r="83">
      <c r="D83">
        <f>IF(C83="","",MIN(C83,Settings!$B$2))</f>
        <v/>
      </c>
      <c r="E83">
        <f>IF(C83="","",MAX(0,C83-D83))</f>
        <v/>
      </c>
    </row>
    <row r="84">
      <c r="D84">
        <f>IF(C84="","",MIN(C84,Settings!$B$2))</f>
        <v/>
      </c>
      <c r="E84">
        <f>IF(C84="","",MAX(0,C84-D84))</f>
        <v/>
      </c>
    </row>
    <row r="85">
      <c r="D85">
        <f>IF(C85="","",MIN(C85,Settings!$B$2))</f>
        <v/>
      </c>
      <c r="E85">
        <f>IF(C85="","",MAX(0,C85-D85))</f>
        <v/>
      </c>
    </row>
    <row r="86">
      <c r="D86">
        <f>IF(C86="","",MIN(C86,Settings!$B$2))</f>
        <v/>
      </c>
      <c r="E86">
        <f>IF(C86="","",MAX(0,C86-D86))</f>
        <v/>
      </c>
    </row>
    <row r="87">
      <c r="D87">
        <f>IF(C87="","",MIN(C87,Settings!$B$2))</f>
        <v/>
      </c>
      <c r="E87">
        <f>IF(C87="","",MAX(0,C87-D87))</f>
        <v/>
      </c>
    </row>
    <row r="88">
      <c r="D88">
        <f>IF(C88="","",MIN(C88,Settings!$B$2))</f>
        <v/>
      </c>
      <c r="E88">
        <f>IF(C88="","",MAX(0,C88-D88))</f>
        <v/>
      </c>
    </row>
    <row r="89">
      <c r="D89">
        <f>IF(C89="","",MIN(C89,Settings!$B$2))</f>
        <v/>
      </c>
      <c r="E89">
        <f>IF(C89="","",MAX(0,C89-D89))</f>
        <v/>
      </c>
    </row>
    <row r="90">
      <c r="D90">
        <f>IF(C90="","",MIN(C90,Settings!$B$2))</f>
        <v/>
      </c>
      <c r="E90">
        <f>IF(C90="","",MAX(0,C90-D90))</f>
        <v/>
      </c>
    </row>
    <row r="91">
      <c r="D91">
        <f>IF(C91="","",MIN(C91,Settings!$B$2))</f>
        <v/>
      </c>
      <c r="E91">
        <f>IF(C91="","",MAX(0,C91-D91))</f>
        <v/>
      </c>
    </row>
    <row r="92">
      <c r="D92">
        <f>IF(C92="","",MIN(C92,Settings!$B$2))</f>
        <v/>
      </c>
      <c r="E92">
        <f>IF(C92="","",MAX(0,C92-D92))</f>
        <v/>
      </c>
    </row>
    <row r="93">
      <c r="D93">
        <f>IF(C93="","",MIN(C93,Settings!$B$2))</f>
        <v/>
      </c>
      <c r="E93">
        <f>IF(C93="","",MAX(0,C93-D93))</f>
        <v/>
      </c>
    </row>
    <row r="94">
      <c r="D94">
        <f>IF(C94="","",MIN(C94,Settings!$B$2))</f>
        <v/>
      </c>
      <c r="E94">
        <f>IF(C94="","",MAX(0,C94-D94))</f>
        <v/>
      </c>
    </row>
    <row r="95">
      <c r="D95">
        <f>IF(C95="","",MIN(C95,Settings!$B$2))</f>
        <v/>
      </c>
      <c r="E95">
        <f>IF(C95="","",MAX(0,C95-D95))</f>
        <v/>
      </c>
    </row>
    <row r="96">
      <c r="D96">
        <f>IF(C96="","",MIN(C96,Settings!$B$2))</f>
        <v/>
      </c>
      <c r="E96">
        <f>IF(C96="","",MAX(0,C96-D96))</f>
        <v/>
      </c>
    </row>
    <row r="97">
      <c r="D97">
        <f>IF(C97="","",MIN(C97,Settings!$B$2))</f>
        <v/>
      </c>
      <c r="E97">
        <f>IF(C97="","",MAX(0,C97-D97))</f>
        <v/>
      </c>
    </row>
    <row r="98">
      <c r="D98">
        <f>IF(C98="","",MIN(C98,Settings!$B$2))</f>
        <v/>
      </c>
      <c r="E98">
        <f>IF(C98="","",MAX(0,C98-D98))</f>
        <v/>
      </c>
    </row>
    <row r="99">
      <c r="D99">
        <f>IF(C99="","",MIN(C99,Settings!$B$2))</f>
        <v/>
      </c>
      <c r="E99">
        <f>IF(C99="","",MAX(0,C99-D99))</f>
        <v/>
      </c>
    </row>
    <row r="100">
      <c r="D100">
        <f>IF(C100="","",MIN(C100,Settings!$B$2))</f>
        <v/>
      </c>
      <c r="E100">
        <f>IF(C100="","",MAX(0,C100-D100))</f>
        <v/>
      </c>
    </row>
    <row r="101">
      <c r="D101">
        <f>IF(C101="","",MIN(C101,Settings!$B$2))</f>
        <v/>
      </c>
      <c r="E101">
        <f>IF(C101="","",MAX(0,C101-D101))</f>
        <v/>
      </c>
    </row>
    <row r="102">
      <c r="D102">
        <f>IF(C102="","",MIN(C102,Settings!$B$2))</f>
        <v/>
      </c>
      <c r="E102">
        <f>IF(C102="","",MAX(0,C102-D102))</f>
        <v/>
      </c>
    </row>
    <row r="103">
      <c r="D103">
        <f>IF(C103="","",MIN(C103,Settings!$B$2))</f>
        <v/>
      </c>
      <c r="E103">
        <f>IF(C103="","",MAX(0,C103-D103))</f>
        <v/>
      </c>
    </row>
    <row r="104">
      <c r="D104">
        <f>IF(C104="","",MIN(C104,Settings!$B$2))</f>
        <v/>
      </c>
      <c r="E104">
        <f>IF(C104="","",MAX(0,C104-D104))</f>
        <v/>
      </c>
    </row>
    <row r="105">
      <c r="D105">
        <f>IF(C105="","",MIN(C105,Settings!$B$2))</f>
        <v/>
      </c>
      <c r="E105">
        <f>IF(C105="","",MAX(0,C105-D105))</f>
        <v/>
      </c>
    </row>
    <row r="106">
      <c r="D106">
        <f>IF(C106="","",MIN(C106,Settings!$B$2))</f>
        <v/>
      </c>
      <c r="E106">
        <f>IF(C106="","",MAX(0,C106-D106))</f>
        <v/>
      </c>
    </row>
    <row r="107">
      <c r="D107">
        <f>IF(C107="","",MIN(C107,Settings!$B$2))</f>
        <v/>
      </c>
      <c r="E107">
        <f>IF(C107="","",MAX(0,C107-D107))</f>
        <v/>
      </c>
    </row>
    <row r="108">
      <c r="D108">
        <f>IF(C108="","",MIN(C108,Settings!$B$2))</f>
        <v/>
      </c>
      <c r="E108">
        <f>IF(C108="","",MAX(0,C108-D108))</f>
        <v/>
      </c>
    </row>
    <row r="109">
      <c r="D109">
        <f>IF(C109="","",MIN(C109,Settings!$B$2))</f>
        <v/>
      </c>
      <c r="E109">
        <f>IF(C109="","",MAX(0,C109-D109))</f>
        <v/>
      </c>
    </row>
    <row r="110">
      <c r="D110">
        <f>IF(C110="","",MIN(C110,Settings!$B$2))</f>
        <v/>
      </c>
      <c r="E110">
        <f>IF(C110="","",MAX(0,C110-D110))</f>
        <v/>
      </c>
    </row>
    <row r="111">
      <c r="D111">
        <f>IF(C111="","",MIN(C111,Settings!$B$2))</f>
        <v/>
      </c>
      <c r="E111">
        <f>IF(C111="","",MAX(0,C111-D111))</f>
        <v/>
      </c>
    </row>
    <row r="112">
      <c r="D112">
        <f>IF(C112="","",MIN(C112,Settings!$B$2))</f>
        <v/>
      </c>
      <c r="E112">
        <f>IF(C112="","",MAX(0,C112-D112))</f>
        <v/>
      </c>
    </row>
    <row r="113">
      <c r="D113">
        <f>IF(C113="","",MIN(C113,Settings!$B$2))</f>
        <v/>
      </c>
      <c r="E113">
        <f>IF(C113="","",MAX(0,C113-D113))</f>
        <v/>
      </c>
    </row>
    <row r="114">
      <c r="D114">
        <f>IF(C114="","",MIN(C114,Settings!$B$2))</f>
        <v/>
      </c>
      <c r="E114">
        <f>IF(C114="","",MAX(0,C114-D114))</f>
        <v/>
      </c>
    </row>
    <row r="115">
      <c r="D115">
        <f>IF(C115="","",MIN(C115,Settings!$B$2))</f>
        <v/>
      </c>
      <c r="E115">
        <f>IF(C115="","",MAX(0,C115-D115))</f>
        <v/>
      </c>
    </row>
    <row r="116">
      <c r="D116">
        <f>IF(C116="","",MIN(C116,Settings!$B$2))</f>
        <v/>
      </c>
      <c r="E116">
        <f>IF(C116="","",MAX(0,C116-D116))</f>
        <v/>
      </c>
    </row>
    <row r="117">
      <c r="D117">
        <f>IF(C117="","",MIN(C117,Settings!$B$2))</f>
        <v/>
      </c>
      <c r="E117">
        <f>IF(C117="","",MAX(0,C117-D117))</f>
        <v/>
      </c>
    </row>
    <row r="118">
      <c r="D118">
        <f>IF(C118="","",MIN(C118,Settings!$B$2))</f>
        <v/>
      </c>
      <c r="E118">
        <f>IF(C118="","",MAX(0,C118-D118))</f>
        <v/>
      </c>
    </row>
    <row r="119">
      <c r="D119">
        <f>IF(C119="","",MIN(C119,Settings!$B$2))</f>
        <v/>
      </c>
      <c r="E119">
        <f>IF(C119="","",MAX(0,C119-D119))</f>
        <v/>
      </c>
    </row>
    <row r="120">
      <c r="D120">
        <f>IF(C120="","",MIN(C120,Settings!$B$2))</f>
        <v/>
      </c>
      <c r="E120">
        <f>IF(C120="","",MAX(0,C120-D120))</f>
        <v/>
      </c>
    </row>
    <row r="121">
      <c r="D121">
        <f>IF(C121="","",MIN(C121,Settings!$B$2))</f>
        <v/>
      </c>
      <c r="E121">
        <f>IF(C121="","",MAX(0,C121-D121))</f>
        <v/>
      </c>
    </row>
    <row r="122">
      <c r="D122">
        <f>IF(C122="","",MIN(C122,Settings!$B$2))</f>
        <v/>
      </c>
      <c r="E122">
        <f>IF(C122="","",MAX(0,C122-D122))</f>
        <v/>
      </c>
    </row>
    <row r="123">
      <c r="D123">
        <f>IF(C123="","",MIN(C123,Settings!$B$2))</f>
        <v/>
      </c>
      <c r="E123">
        <f>IF(C123="","",MAX(0,C123-D123))</f>
        <v/>
      </c>
    </row>
    <row r="124">
      <c r="D124">
        <f>IF(C124="","",MIN(C124,Settings!$B$2))</f>
        <v/>
      </c>
      <c r="E124">
        <f>IF(C124="","",MAX(0,C124-D124))</f>
        <v/>
      </c>
    </row>
    <row r="125">
      <c r="D125">
        <f>IF(C125="","",MIN(C125,Settings!$B$2))</f>
        <v/>
      </c>
      <c r="E125">
        <f>IF(C125="","",MAX(0,C125-D125))</f>
        <v/>
      </c>
    </row>
    <row r="126">
      <c r="D126">
        <f>IF(C126="","",MIN(C126,Settings!$B$2))</f>
        <v/>
      </c>
      <c r="E126">
        <f>IF(C126="","",MAX(0,C126-D126))</f>
        <v/>
      </c>
    </row>
    <row r="127">
      <c r="D127">
        <f>IF(C127="","",MIN(C127,Settings!$B$2))</f>
        <v/>
      </c>
      <c r="E127">
        <f>IF(C127="","",MAX(0,C127-D127))</f>
        <v/>
      </c>
    </row>
    <row r="128">
      <c r="D128">
        <f>IF(C128="","",MIN(C128,Settings!$B$2))</f>
        <v/>
      </c>
      <c r="E128">
        <f>IF(C128="","",MAX(0,C128-D128))</f>
        <v/>
      </c>
    </row>
    <row r="129">
      <c r="D129">
        <f>IF(C129="","",MIN(C129,Settings!$B$2))</f>
        <v/>
      </c>
      <c r="E129">
        <f>IF(C129="","",MAX(0,C129-D129))</f>
        <v/>
      </c>
    </row>
    <row r="130">
      <c r="D130">
        <f>IF(C130="","",MIN(C130,Settings!$B$2))</f>
        <v/>
      </c>
      <c r="E130">
        <f>IF(C130="","",MAX(0,C130-D130))</f>
        <v/>
      </c>
    </row>
    <row r="131">
      <c r="D131">
        <f>IF(C131="","",MIN(C131,Settings!$B$2))</f>
        <v/>
      </c>
      <c r="E131">
        <f>IF(C131="","",MAX(0,C131-D131))</f>
        <v/>
      </c>
    </row>
    <row r="132">
      <c r="D132">
        <f>IF(C132="","",MIN(C132,Settings!$B$2))</f>
        <v/>
      </c>
      <c r="E132">
        <f>IF(C132="","",MAX(0,C132-D132))</f>
        <v/>
      </c>
    </row>
    <row r="133">
      <c r="D133">
        <f>IF(C133="","",MIN(C133,Settings!$B$2))</f>
        <v/>
      </c>
      <c r="E133">
        <f>IF(C133="","",MAX(0,C133-D133))</f>
        <v/>
      </c>
    </row>
    <row r="134">
      <c r="D134">
        <f>IF(C134="","",MIN(C134,Settings!$B$2))</f>
        <v/>
      </c>
      <c r="E134">
        <f>IF(C134="","",MAX(0,C134-D134))</f>
        <v/>
      </c>
    </row>
    <row r="135">
      <c r="D135">
        <f>IF(C135="","",MIN(C135,Settings!$B$2))</f>
        <v/>
      </c>
      <c r="E135">
        <f>IF(C135="","",MAX(0,C135-D135))</f>
        <v/>
      </c>
    </row>
    <row r="136">
      <c r="D136">
        <f>IF(C136="","",MIN(C136,Settings!$B$2))</f>
        <v/>
      </c>
      <c r="E136">
        <f>IF(C136="","",MAX(0,C136-D136))</f>
        <v/>
      </c>
    </row>
    <row r="137">
      <c r="D137">
        <f>IF(C137="","",MIN(C137,Settings!$B$2))</f>
        <v/>
      </c>
      <c r="E137">
        <f>IF(C137="","",MAX(0,C137-D137))</f>
        <v/>
      </c>
    </row>
    <row r="138">
      <c r="D138">
        <f>IF(C138="","",MIN(C138,Settings!$B$2))</f>
        <v/>
      </c>
      <c r="E138">
        <f>IF(C138="","",MAX(0,C138-D138))</f>
        <v/>
      </c>
    </row>
    <row r="139">
      <c r="D139">
        <f>IF(C139="","",MIN(C139,Settings!$B$2))</f>
        <v/>
      </c>
      <c r="E139">
        <f>IF(C139="","",MAX(0,C139-D139))</f>
        <v/>
      </c>
    </row>
    <row r="140">
      <c r="D140">
        <f>IF(C140="","",MIN(C140,Settings!$B$2))</f>
        <v/>
      </c>
      <c r="E140">
        <f>IF(C140="","",MAX(0,C140-D140))</f>
        <v/>
      </c>
    </row>
    <row r="141">
      <c r="D141">
        <f>IF(C141="","",MIN(C141,Settings!$B$2))</f>
        <v/>
      </c>
      <c r="E141">
        <f>IF(C141="","",MAX(0,C141-D141))</f>
        <v/>
      </c>
    </row>
    <row r="142">
      <c r="D142">
        <f>IF(C142="","",MIN(C142,Settings!$B$2))</f>
        <v/>
      </c>
      <c r="E142">
        <f>IF(C142="","",MAX(0,C142-D142))</f>
        <v/>
      </c>
    </row>
    <row r="143">
      <c r="D143">
        <f>IF(C143="","",MIN(C143,Settings!$B$2))</f>
        <v/>
      </c>
      <c r="E143">
        <f>IF(C143="","",MAX(0,C143-D143))</f>
        <v/>
      </c>
    </row>
    <row r="144">
      <c r="D144">
        <f>IF(C144="","",MIN(C144,Settings!$B$2))</f>
        <v/>
      </c>
      <c r="E144">
        <f>IF(C144="","",MAX(0,C144-D144))</f>
        <v/>
      </c>
    </row>
    <row r="145">
      <c r="D145">
        <f>IF(C145="","",MIN(C145,Settings!$B$2))</f>
        <v/>
      </c>
      <c r="E145">
        <f>IF(C145="","",MAX(0,C145-D145))</f>
        <v/>
      </c>
    </row>
    <row r="146">
      <c r="D146">
        <f>IF(C146="","",MIN(C146,Settings!$B$2))</f>
        <v/>
      </c>
      <c r="E146">
        <f>IF(C146="","",MAX(0,C146-D146))</f>
        <v/>
      </c>
    </row>
    <row r="147">
      <c r="D147">
        <f>IF(C147="","",MIN(C147,Settings!$B$2))</f>
        <v/>
      </c>
      <c r="E147">
        <f>IF(C147="","",MAX(0,C147-D147))</f>
        <v/>
      </c>
    </row>
    <row r="148">
      <c r="D148">
        <f>IF(C148="","",MIN(C148,Settings!$B$2))</f>
        <v/>
      </c>
      <c r="E148">
        <f>IF(C148="","",MAX(0,C148-D148))</f>
        <v/>
      </c>
    </row>
    <row r="149">
      <c r="D149">
        <f>IF(C149="","",MIN(C149,Settings!$B$2))</f>
        <v/>
      </c>
      <c r="E149">
        <f>IF(C149="","",MAX(0,C149-D149))</f>
        <v/>
      </c>
    </row>
    <row r="150">
      <c r="D150">
        <f>IF(C150="","",MIN(C150,Settings!$B$2))</f>
        <v/>
      </c>
      <c r="E150">
        <f>IF(C150="","",MAX(0,C150-D150))</f>
        <v/>
      </c>
    </row>
    <row r="151">
      <c r="D151">
        <f>IF(C151="","",MIN(C151,Settings!$B$2))</f>
        <v/>
      </c>
      <c r="E151">
        <f>IF(C151="","",MAX(0,C151-D151))</f>
        <v/>
      </c>
    </row>
    <row r="152">
      <c r="D152">
        <f>IF(C152="","",MIN(C152,Settings!$B$2))</f>
        <v/>
      </c>
      <c r="E152">
        <f>IF(C152="","",MAX(0,C152-D152))</f>
        <v/>
      </c>
    </row>
    <row r="153">
      <c r="D153">
        <f>IF(C153="","",MIN(C153,Settings!$B$2))</f>
        <v/>
      </c>
      <c r="E153">
        <f>IF(C153="","",MAX(0,C153-D153))</f>
        <v/>
      </c>
    </row>
    <row r="154">
      <c r="D154">
        <f>IF(C154="","",MIN(C154,Settings!$B$2))</f>
        <v/>
      </c>
      <c r="E154">
        <f>IF(C154="","",MAX(0,C154-D154))</f>
        <v/>
      </c>
    </row>
    <row r="155">
      <c r="D155">
        <f>IF(C155="","",MIN(C155,Settings!$B$2))</f>
        <v/>
      </c>
      <c r="E155">
        <f>IF(C155="","",MAX(0,C155-D155))</f>
        <v/>
      </c>
    </row>
    <row r="156">
      <c r="D156">
        <f>IF(C156="","",MIN(C156,Settings!$B$2))</f>
        <v/>
      </c>
      <c r="E156">
        <f>IF(C156="","",MAX(0,C156-D156))</f>
        <v/>
      </c>
    </row>
    <row r="157">
      <c r="D157">
        <f>IF(C157="","",MIN(C157,Settings!$B$2))</f>
        <v/>
      </c>
      <c r="E157">
        <f>IF(C157="","",MAX(0,C157-D157))</f>
        <v/>
      </c>
    </row>
    <row r="158">
      <c r="D158">
        <f>IF(C158="","",MIN(C158,Settings!$B$2))</f>
        <v/>
      </c>
      <c r="E158">
        <f>IF(C158="","",MAX(0,C158-D158))</f>
        <v/>
      </c>
    </row>
    <row r="159">
      <c r="D159">
        <f>IF(C159="","",MIN(C159,Settings!$B$2))</f>
        <v/>
      </c>
      <c r="E159">
        <f>IF(C159="","",MAX(0,C159-D159))</f>
        <v/>
      </c>
    </row>
    <row r="160">
      <c r="D160">
        <f>IF(C160="","",MIN(C160,Settings!$B$2))</f>
        <v/>
      </c>
      <c r="E160">
        <f>IF(C160="","",MAX(0,C160-D160))</f>
        <v/>
      </c>
    </row>
    <row r="161">
      <c r="D161">
        <f>IF(C161="","",MIN(C161,Settings!$B$2))</f>
        <v/>
      </c>
      <c r="E161">
        <f>IF(C161="","",MAX(0,C161-D161))</f>
        <v/>
      </c>
    </row>
    <row r="162">
      <c r="D162">
        <f>IF(C162="","",MIN(C162,Settings!$B$2))</f>
        <v/>
      </c>
      <c r="E162">
        <f>IF(C162="","",MAX(0,C162-D162))</f>
        <v/>
      </c>
    </row>
    <row r="163">
      <c r="D163">
        <f>IF(C163="","",MIN(C163,Settings!$B$2))</f>
        <v/>
      </c>
      <c r="E163">
        <f>IF(C163="","",MAX(0,C163-D163))</f>
        <v/>
      </c>
    </row>
    <row r="164">
      <c r="D164">
        <f>IF(C164="","",MIN(C164,Settings!$B$2))</f>
        <v/>
      </c>
      <c r="E164">
        <f>IF(C164="","",MAX(0,C164-D164))</f>
        <v/>
      </c>
    </row>
    <row r="165">
      <c r="D165">
        <f>IF(C165="","",MIN(C165,Settings!$B$2))</f>
        <v/>
      </c>
      <c r="E165">
        <f>IF(C165="","",MAX(0,C165-D165))</f>
        <v/>
      </c>
    </row>
    <row r="166">
      <c r="D166">
        <f>IF(C166="","",MIN(C166,Settings!$B$2))</f>
        <v/>
      </c>
      <c r="E166">
        <f>IF(C166="","",MAX(0,C166-D166))</f>
        <v/>
      </c>
    </row>
    <row r="167">
      <c r="D167">
        <f>IF(C167="","",MIN(C167,Settings!$B$2))</f>
        <v/>
      </c>
      <c r="E167">
        <f>IF(C167="","",MAX(0,C167-D167))</f>
        <v/>
      </c>
    </row>
    <row r="168">
      <c r="D168">
        <f>IF(C168="","",MIN(C168,Settings!$B$2))</f>
        <v/>
      </c>
      <c r="E168">
        <f>IF(C168="","",MAX(0,C168-D168))</f>
        <v/>
      </c>
    </row>
    <row r="169">
      <c r="D169">
        <f>IF(C169="","",MIN(C169,Settings!$B$2))</f>
        <v/>
      </c>
      <c r="E169">
        <f>IF(C169="","",MAX(0,C169-D169))</f>
        <v/>
      </c>
    </row>
    <row r="170">
      <c r="D170">
        <f>IF(C170="","",MIN(C170,Settings!$B$2))</f>
        <v/>
      </c>
      <c r="E170">
        <f>IF(C170="","",MAX(0,C170-D170))</f>
        <v/>
      </c>
    </row>
    <row r="171">
      <c r="D171">
        <f>IF(C171="","",MIN(C171,Settings!$B$2))</f>
        <v/>
      </c>
      <c r="E171">
        <f>IF(C171="","",MAX(0,C171-D171))</f>
        <v/>
      </c>
    </row>
    <row r="172">
      <c r="D172">
        <f>IF(C172="","",MIN(C172,Settings!$B$2))</f>
        <v/>
      </c>
      <c r="E172">
        <f>IF(C172="","",MAX(0,C172-D172))</f>
        <v/>
      </c>
    </row>
    <row r="173">
      <c r="D173">
        <f>IF(C173="","",MIN(C173,Settings!$B$2))</f>
        <v/>
      </c>
      <c r="E173">
        <f>IF(C173="","",MAX(0,C173-D173))</f>
        <v/>
      </c>
    </row>
    <row r="174">
      <c r="D174">
        <f>IF(C174="","",MIN(C174,Settings!$B$2))</f>
        <v/>
      </c>
      <c r="E174">
        <f>IF(C174="","",MAX(0,C174-D174))</f>
        <v/>
      </c>
    </row>
    <row r="175">
      <c r="D175">
        <f>IF(C175="","",MIN(C175,Settings!$B$2))</f>
        <v/>
      </c>
      <c r="E175">
        <f>IF(C175="","",MAX(0,C175-D175))</f>
        <v/>
      </c>
    </row>
    <row r="176">
      <c r="D176">
        <f>IF(C176="","",MIN(C176,Settings!$B$2))</f>
        <v/>
      </c>
      <c r="E176">
        <f>IF(C176="","",MAX(0,C176-D176))</f>
        <v/>
      </c>
    </row>
    <row r="177">
      <c r="D177">
        <f>IF(C177="","",MIN(C177,Settings!$B$2))</f>
        <v/>
      </c>
      <c r="E177">
        <f>IF(C177="","",MAX(0,C177-D177))</f>
        <v/>
      </c>
    </row>
    <row r="178">
      <c r="D178">
        <f>IF(C178="","",MIN(C178,Settings!$B$2))</f>
        <v/>
      </c>
      <c r="E178">
        <f>IF(C178="","",MAX(0,C178-D178))</f>
        <v/>
      </c>
    </row>
    <row r="179">
      <c r="D179">
        <f>IF(C179="","",MIN(C179,Settings!$B$2))</f>
        <v/>
      </c>
      <c r="E179">
        <f>IF(C179="","",MAX(0,C179-D179))</f>
        <v/>
      </c>
    </row>
    <row r="180">
      <c r="D180">
        <f>IF(C180="","",MIN(C180,Settings!$B$2))</f>
        <v/>
      </c>
      <c r="E180">
        <f>IF(C180="","",MAX(0,C180-D180))</f>
        <v/>
      </c>
    </row>
    <row r="181">
      <c r="D181">
        <f>IF(C181="","",MIN(C181,Settings!$B$2))</f>
        <v/>
      </c>
      <c r="E181">
        <f>IF(C181="","",MAX(0,C181-D181))</f>
        <v/>
      </c>
    </row>
    <row r="182">
      <c r="D182">
        <f>IF(C182="","",MIN(C182,Settings!$B$2))</f>
        <v/>
      </c>
      <c r="E182">
        <f>IF(C182="","",MAX(0,C182-D182))</f>
        <v/>
      </c>
    </row>
    <row r="183">
      <c r="D183">
        <f>IF(C183="","",MIN(C183,Settings!$B$2))</f>
        <v/>
      </c>
      <c r="E183">
        <f>IF(C183="","",MAX(0,C183-D183))</f>
        <v/>
      </c>
    </row>
    <row r="184">
      <c r="D184">
        <f>IF(C184="","",MIN(C184,Settings!$B$2))</f>
        <v/>
      </c>
      <c r="E184">
        <f>IF(C184="","",MAX(0,C184-D184))</f>
        <v/>
      </c>
    </row>
    <row r="185">
      <c r="D185">
        <f>IF(C185="","",MIN(C185,Settings!$B$2))</f>
        <v/>
      </c>
      <c r="E185">
        <f>IF(C185="","",MAX(0,C185-D185))</f>
        <v/>
      </c>
    </row>
    <row r="186">
      <c r="D186">
        <f>IF(C186="","",MIN(C186,Settings!$B$2))</f>
        <v/>
      </c>
      <c r="E186">
        <f>IF(C186="","",MAX(0,C186-D186))</f>
        <v/>
      </c>
    </row>
    <row r="187">
      <c r="D187">
        <f>IF(C187="","",MIN(C187,Settings!$B$2))</f>
        <v/>
      </c>
      <c r="E187">
        <f>IF(C187="","",MAX(0,C187-D187))</f>
        <v/>
      </c>
    </row>
    <row r="188">
      <c r="D188">
        <f>IF(C188="","",MIN(C188,Settings!$B$2))</f>
        <v/>
      </c>
      <c r="E188">
        <f>IF(C188="","",MAX(0,C188-D188))</f>
        <v/>
      </c>
    </row>
    <row r="189">
      <c r="D189">
        <f>IF(C189="","",MIN(C189,Settings!$B$2))</f>
        <v/>
      </c>
      <c r="E189">
        <f>IF(C189="","",MAX(0,C189-D189))</f>
        <v/>
      </c>
    </row>
    <row r="190">
      <c r="D190">
        <f>IF(C190="","",MIN(C190,Settings!$B$2))</f>
        <v/>
      </c>
      <c r="E190">
        <f>IF(C190="","",MAX(0,C190-D190))</f>
        <v/>
      </c>
    </row>
    <row r="191">
      <c r="D191">
        <f>IF(C191="","",MIN(C191,Settings!$B$2))</f>
        <v/>
      </c>
      <c r="E191">
        <f>IF(C191="","",MAX(0,C191-D191))</f>
        <v/>
      </c>
    </row>
    <row r="192">
      <c r="D192">
        <f>IF(C192="","",MIN(C192,Settings!$B$2))</f>
        <v/>
      </c>
      <c r="E192">
        <f>IF(C192="","",MAX(0,C192-D192))</f>
        <v/>
      </c>
    </row>
    <row r="193">
      <c r="D193">
        <f>IF(C193="","",MIN(C193,Settings!$B$2))</f>
        <v/>
      </c>
      <c r="E193">
        <f>IF(C193="","",MAX(0,C193-D193))</f>
        <v/>
      </c>
    </row>
    <row r="194">
      <c r="D194">
        <f>IF(C194="","",MIN(C194,Settings!$B$2))</f>
        <v/>
      </c>
      <c r="E194">
        <f>IF(C194="","",MAX(0,C194-D194))</f>
        <v/>
      </c>
    </row>
    <row r="195">
      <c r="D195">
        <f>IF(C195="","",MIN(C195,Settings!$B$2))</f>
        <v/>
      </c>
      <c r="E195">
        <f>IF(C195="","",MAX(0,C195-D195))</f>
        <v/>
      </c>
    </row>
    <row r="196">
      <c r="D196">
        <f>IF(C196="","",MIN(C196,Settings!$B$2))</f>
        <v/>
      </c>
      <c r="E196">
        <f>IF(C196="","",MAX(0,C196-D196))</f>
        <v/>
      </c>
    </row>
    <row r="197">
      <c r="D197">
        <f>IF(C197="","",MIN(C197,Settings!$B$2))</f>
        <v/>
      </c>
      <c r="E197">
        <f>IF(C197="","",MAX(0,C197-D197))</f>
        <v/>
      </c>
    </row>
    <row r="198">
      <c r="D198">
        <f>IF(C198="","",MIN(C198,Settings!$B$2))</f>
        <v/>
      </c>
      <c r="E198">
        <f>IF(C198="","",MAX(0,C198-D198))</f>
        <v/>
      </c>
    </row>
    <row r="199">
      <c r="D199">
        <f>IF(C199="","",MIN(C199,Settings!$B$2))</f>
        <v/>
      </c>
      <c r="E199">
        <f>IF(C199="","",MAX(0,C199-D199))</f>
        <v/>
      </c>
    </row>
    <row r="200">
      <c r="D200">
        <f>IF(C200="","",MIN(C200,Settings!$B$2))</f>
        <v/>
      </c>
      <c r="E200">
        <f>IF(C200="","",MAX(0,C200-D200))</f>
        <v/>
      </c>
    </row>
    <row r="201">
      <c r="D201">
        <f>IF(C201="","",MIN(C201,Settings!$B$2))</f>
        <v/>
      </c>
      <c r="E201">
        <f>IF(C201="","",MAX(0,C201-D201))</f>
        <v/>
      </c>
    </row>
    <row r="202">
      <c r="D202">
        <f>IF(C202="","",MIN(C202,Settings!$B$2))</f>
        <v/>
      </c>
      <c r="E202">
        <f>IF(C202="","",MAX(0,C202-D202))</f>
        <v/>
      </c>
    </row>
    <row r="203">
      <c r="D203">
        <f>IF(C203="","",MIN(C203,Settings!$B$2))</f>
        <v/>
      </c>
      <c r="E203">
        <f>IF(C203="","",MAX(0,C203-D203))</f>
        <v/>
      </c>
    </row>
    <row r="204">
      <c r="D204">
        <f>IF(C204="","",MIN(C204,Settings!$B$2))</f>
        <v/>
      </c>
      <c r="E204">
        <f>IF(C204="","",MAX(0,C204-D204))</f>
        <v/>
      </c>
    </row>
    <row r="205">
      <c r="D205">
        <f>IF(C205="","",MIN(C205,Settings!$B$2))</f>
        <v/>
      </c>
      <c r="E205">
        <f>IF(C205="","",MAX(0,C205-D205))</f>
        <v/>
      </c>
    </row>
    <row r="206">
      <c r="D206">
        <f>IF(C206="","",MIN(C206,Settings!$B$2))</f>
        <v/>
      </c>
      <c r="E206">
        <f>IF(C206="","",MAX(0,C206-D206))</f>
        <v/>
      </c>
    </row>
    <row r="207">
      <c r="D207">
        <f>IF(C207="","",MIN(C207,Settings!$B$2))</f>
        <v/>
      </c>
      <c r="E207">
        <f>IF(C207="","",MAX(0,C207-D207))</f>
        <v/>
      </c>
    </row>
    <row r="208">
      <c r="D208">
        <f>IF(C208="","",MIN(C208,Settings!$B$2))</f>
        <v/>
      </c>
      <c r="E208">
        <f>IF(C208="","",MAX(0,C208-D208))</f>
        <v/>
      </c>
    </row>
    <row r="209">
      <c r="D209">
        <f>IF(C209="","",MIN(C209,Settings!$B$2))</f>
        <v/>
      </c>
      <c r="E209">
        <f>IF(C209="","",MAX(0,C209-D209))</f>
        <v/>
      </c>
    </row>
    <row r="210">
      <c r="D210">
        <f>IF(C210="","",MIN(C210,Settings!$B$2))</f>
        <v/>
      </c>
      <c r="E210">
        <f>IF(C210="","",MAX(0,C210-D210))</f>
        <v/>
      </c>
    </row>
    <row r="211">
      <c r="D211">
        <f>IF(C211="","",MIN(C211,Settings!$B$2))</f>
        <v/>
      </c>
      <c r="E211">
        <f>IF(C211="","",MAX(0,C211-D211))</f>
        <v/>
      </c>
    </row>
    <row r="212">
      <c r="D212">
        <f>IF(C212="","",MIN(C212,Settings!$B$2))</f>
        <v/>
      </c>
      <c r="E212">
        <f>IF(C212="","",MAX(0,C212-D212))</f>
        <v/>
      </c>
    </row>
    <row r="213">
      <c r="D213">
        <f>IF(C213="","",MIN(C213,Settings!$B$2))</f>
        <v/>
      </c>
      <c r="E213">
        <f>IF(C213="","",MAX(0,C213-D213))</f>
        <v/>
      </c>
    </row>
    <row r="214">
      <c r="D214">
        <f>IF(C214="","",MIN(C214,Settings!$B$2))</f>
        <v/>
      </c>
      <c r="E214">
        <f>IF(C214="","",MAX(0,C214-D214))</f>
        <v/>
      </c>
    </row>
    <row r="215">
      <c r="D215">
        <f>IF(C215="","",MIN(C215,Settings!$B$2))</f>
        <v/>
      </c>
      <c r="E215">
        <f>IF(C215="","",MAX(0,C215-D215))</f>
        <v/>
      </c>
    </row>
    <row r="216">
      <c r="D216">
        <f>IF(C216="","",MIN(C216,Settings!$B$2))</f>
        <v/>
      </c>
      <c r="E216">
        <f>IF(C216="","",MAX(0,C216-D216))</f>
        <v/>
      </c>
    </row>
    <row r="217">
      <c r="D217">
        <f>IF(C217="","",MIN(C217,Settings!$B$2))</f>
        <v/>
      </c>
      <c r="E217">
        <f>IF(C217="","",MAX(0,C217-D217))</f>
        <v/>
      </c>
    </row>
    <row r="218">
      <c r="D218">
        <f>IF(C218="","",MIN(C218,Settings!$B$2))</f>
        <v/>
      </c>
      <c r="E218">
        <f>IF(C218="","",MAX(0,C218-D218))</f>
        <v/>
      </c>
    </row>
    <row r="219">
      <c r="D219">
        <f>IF(C219="","",MIN(C219,Settings!$B$2))</f>
        <v/>
      </c>
      <c r="E219">
        <f>IF(C219="","",MAX(0,C219-D219))</f>
        <v/>
      </c>
    </row>
    <row r="220">
      <c r="D220">
        <f>IF(C220="","",MIN(C220,Settings!$B$2))</f>
        <v/>
      </c>
      <c r="E220">
        <f>IF(C220="","",MAX(0,C220-D220))</f>
        <v/>
      </c>
    </row>
    <row r="221">
      <c r="D221">
        <f>IF(C221="","",MIN(C221,Settings!$B$2))</f>
        <v/>
      </c>
      <c r="E221">
        <f>IF(C221="","",MAX(0,C221-D221))</f>
        <v/>
      </c>
    </row>
    <row r="222">
      <c r="D222">
        <f>IF(C222="","",MIN(C222,Settings!$B$2))</f>
        <v/>
      </c>
      <c r="E222">
        <f>IF(C222="","",MAX(0,C222-D222))</f>
        <v/>
      </c>
    </row>
    <row r="223">
      <c r="D223">
        <f>IF(C223="","",MIN(C223,Settings!$B$2))</f>
        <v/>
      </c>
      <c r="E223">
        <f>IF(C223="","",MAX(0,C223-D223))</f>
        <v/>
      </c>
    </row>
    <row r="224">
      <c r="D224">
        <f>IF(C224="","",MIN(C224,Settings!$B$2))</f>
        <v/>
      </c>
      <c r="E224">
        <f>IF(C224="","",MAX(0,C224-D224))</f>
        <v/>
      </c>
    </row>
    <row r="225">
      <c r="D225">
        <f>IF(C225="","",MIN(C225,Settings!$B$2))</f>
        <v/>
      </c>
      <c r="E225">
        <f>IF(C225="","",MAX(0,C225-D225))</f>
        <v/>
      </c>
    </row>
    <row r="226">
      <c r="D226">
        <f>IF(C226="","",MIN(C226,Settings!$B$2))</f>
        <v/>
      </c>
      <c r="E226">
        <f>IF(C226="","",MAX(0,C226-D226))</f>
        <v/>
      </c>
    </row>
    <row r="227">
      <c r="D227">
        <f>IF(C227="","",MIN(C227,Settings!$B$2))</f>
        <v/>
      </c>
      <c r="E227">
        <f>IF(C227="","",MAX(0,C227-D227))</f>
        <v/>
      </c>
    </row>
    <row r="228">
      <c r="D228">
        <f>IF(C228="","",MIN(C228,Settings!$B$2))</f>
        <v/>
      </c>
      <c r="E228">
        <f>IF(C228="","",MAX(0,C228-D228))</f>
        <v/>
      </c>
    </row>
    <row r="229">
      <c r="D229">
        <f>IF(C229="","",MIN(C229,Settings!$B$2))</f>
        <v/>
      </c>
      <c r="E229">
        <f>IF(C229="","",MAX(0,C229-D229))</f>
        <v/>
      </c>
    </row>
    <row r="230">
      <c r="D230">
        <f>IF(C230="","",MIN(C230,Settings!$B$2))</f>
        <v/>
      </c>
      <c r="E230">
        <f>IF(C230="","",MAX(0,C230-D230))</f>
        <v/>
      </c>
    </row>
    <row r="231">
      <c r="D231">
        <f>IF(C231="","",MIN(C231,Settings!$B$2))</f>
        <v/>
      </c>
      <c r="E231">
        <f>IF(C231="","",MAX(0,C231-D231))</f>
        <v/>
      </c>
    </row>
    <row r="232">
      <c r="D232">
        <f>IF(C232="","",MIN(C232,Settings!$B$2))</f>
        <v/>
      </c>
      <c r="E232">
        <f>IF(C232="","",MAX(0,C232-D232))</f>
        <v/>
      </c>
    </row>
    <row r="233">
      <c r="D233">
        <f>IF(C233="","",MIN(C233,Settings!$B$2))</f>
        <v/>
      </c>
      <c r="E233">
        <f>IF(C233="","",MAX(0,C233-D233))</f>
        <v/>
      </c>
    </row>
    <row r="234">
      <c r="D234">
        <f>IF(C234="","",MIN(C234,Settings!$B$2))</f>
        <v/>
      </c>
      <c r="E234">
        <f>IF(C234="","",MAX(0,C234-D234))</f>
        <v/>
      </c>
    </row>
    <row r="235">
      <c r="D235">
        <f>IF(C235="","",MIN(C235,Settings!$B$2))</f>
        <v/>
      </c>
      <c r="E235">
        <f>IF(C235="","",MAX(0,C235-D235))</f>
        <v/>
      </c>
    </row>
    <row r="236">
      <c r="D236">
        <f>IF(C236="","",MIN(C236,Settings!$B$2))</f>
        <v/>
      </c>
      <c r="E236">
        <f>IF(C236="","",MAX(0,C236-D236))</f>
        <v/>
      </c>
    </row>
    <row r="237">
      <c r="D237">
        <f>IF(C237="","",MIN(C237,Settings!$B$2))</f>
        <v/>
      </c>
      <c r="E237">
        <f>IF(C237="","",MAX(0,C237-D237))</f>
        <v/>
      </c>
    </row>
    <row r="238">
      <c r="D238">
        <f>IF(C238="","",MIN(C238,Settings!$B$2))</f>
        <v/>
      </c>
      <c r="E238">
        <f>IF(C238="","",MAX(0,C238-D238))</f>
        <v/>
      </c>
    </row>
    <row r="239">
      <c r="D239">
        <f>IF(C239="","",MIN(C239,Settings!$B$2))</f>
        <v/>
      </c>
      <c r="E239">
        <f>IF(C239="","",MAX(0,C239-D239))</f>
        <v/>
      </c>
    </row>
    <row r="240">
      <c r="D240">
        <f>IF(C240="","",MIN(C240,Settings!$B$2))</f>
        <v/>
      </c>
      <c r="E240">
        <f>IF(C240="","",MAX(0,C240-D240))</f>
        <v/>
      </c>
    </row>
    <row r="241">
      <c r="D241">
        <f>IF(C241="","",MIN(C241,Settings!$B$2))</f>
        <v/>
      </c>
      <c r="E241">
        <f>IF(C241="","",MAX(0,C241-D241))</f>
        <v/>
      </c>
    </row>
    <row r="242">
      <c r="D242">
        <f>IF(C242="","",MIN(C242,Settings!$B$2))</f>
        <v/>
      </c>
      <c r="E242">
        <f>IF(C242="","",MAX(0,C242-D242))</f>
        <v/>
      </c>
    </row>
    <row r="243">
      <c r="D243">
        <f>IF(C243="","",MIN(C243,Settings!$B$2))</f>
        <v/>
      </c>
      <c r="E243">
        <f>IF(C243="","",MAX(0,C243-D243))</f>
        <v/>
      </c>
    </row>
    <row r="244">
      <c r="D244">
        <f>IF(C244="","",MIN(C244,Settings!$B$2))</f>
        <v/>
      </c>
      <c r="E244">
        <f>IF(C244="","",MAX(0,C244-D244))</f>
        <v/>
      </c>
    </row>
    <row r="245">
      <c r="D245">
        <f>IF(C245="","",MIN(C245,Settings!$B$2))</f>
        <v/>
      </c>
      <c r="E245">
        <f>IF(C245="","",MAX(0,C245-D245))</f>
        <v/>
      </c>
    </row>
    <row r="246">
      <c r="D246">
        <f>IF(C246="","",MIN(C246,Settings!$B$2))</f>
        <v/>
      </c>
      <c r="E246">
        <f>IF(C246="","",MAX(0,C246-D246))</f>
        <v/>
      </c>
    </row>
    <row r="247">
      <c r="D247">
        <f>IF(C247="","",MIN(C247,Settings!$B$2))</f>
        <v/>
      </c>
      <c r="E247">
        <f>IF(C247="","",MAX(0,C247-D247))</f>
        <v/>
      </c>
    </row>
    <row r="248">
      <c r="D248">
        <f>IF(C248="","",MIN(C248,Settings!$B$2))</f>
        <v/>
      </c>
      <c r="E248">
        <f>IF(C248="","",MAX(0,C248-D248))</f>
        <v/>
      </c>
    </row>
    <row r="249">
      <c r="D249">
        <f>IF(C249="","",MIN(C249,Settings!$B$2))</f>
        <v/>
      </c>
      <c r="E249">
        <f>IF(C249="","",MAX(0,C249-D249))</f>
        <v/>
      </c>
    </row>
    <row r="250">
      <c r="D250">
        <f>IF(C250="","",MIN(C250,Settings!$B$2))</f>
        <v/>
      </c>
      <c r="E250">
        <f>IF(C250="","",MAX(0,C250-D250))</f>
        <v/>
      </c>
    </row>
    <row r="251">
      <c r="D251">
        <f>IF(C251="","",MIN(C251,Settings!$B$2))</f>
        <v/>
      </c>
      <c r="E251">
        <f>IF(C251="","",MAX(0,C251-D251))</f>
        <v/>
      </c>
    </row>
    <row r="252">
      <c r="D252">
        <f>IF(C252="","",MIN(C252,Settings!$B$2))</f>
        <v/>
      </c>
      <c r="E252">
        <f>IF(C252="","",MAX(0,C252-D252))</f>
        <v/>
      </c>
    </row>
    <row r="253">
      <c r="D253">
        <f>IF(C253="","",MIN(C253,Settings!$B$2))</f>
        <v/>
      </c>
      <c r="E253">
        <f>IF(C253="","",MAX(0,C253-D253))</f>
        <v/>
      </c>
    </row>
    <row r="254">
      <c r="D254">
        <f>IF(C254="","",MIN(C254,Settings!$B$2))</f>
        <v/>
      </c>
      <c r="E254">
        <f>IF(C254="","",MAX(0,C254-D254))</f>
        <v/>
      </c>
    </row>
    <row r="255">
      <c r="D255">
        <f>IF(C255="","",MIN(C255,Settings!$B$2))</f>
        <v/>
      </c>
      <c r="E255">
        <f>IF(C255="","",MAX(0,C255-D255))</f>
        <v/>
      </c>
    </row>
    <row r="256">
      <c r="D256">
        <f>IF(C256="","",MIN(C256,Settings!$B$2))</f>
        <v/>
      </c>
      <c r="E256">
        <f>IF(C256="","",MAX(0,C256-D256))</f>
        <v/>
      </c>
    </row>
    <row r="257">
      <c r="D257">
        <f>IF(C257="","",MIN(C257,Settings!$B$2))</f>
        <v/>
      </c>
      <c r="E257">
        <f>IF(C257="","",MAX(0,C257-D257))</f>
        <v/>
      </c>
    </row>
    <row r="258">
      <c r="D258">
        <f>IF(C258="","",MIN(C258,Settings!$B$2))</f>
        <v/>
      </c>
      <c r="E258">
        <f>IF(C258="","",MAX(0,C258-D258))</f>
        <v/>
      </c>
    </row>
    <row r="259">
      <c r="D259">
        <f>IF(C259="","",MIN(C259,Settings!$B$2))</f>
        <v/>
      </c>
      <c r="E259">
        <f>IF(C259="","",MAX(0,C259-D259))</f>
        <v/>
      </c>
    </row>
    <row r="260">
      <c r="D260">
        <f>IF(C260="","",MIN(C260,Settings!$B$2))</f>
        <v/>
      </c>
      <c r="E260">
        <f>IF(C260="","",MAX(0,C260-D260))</f>
        <v/>
      </c>
    </row>
    <row r="261">
      <c r="D261">
        <f>IF(C261="","",MIN(C261,Settings!$B$2))</f>
        <v/>
      </c>
      <c r="E261">
        <f>IF(C261="","",MAX(0,C261-D261))</f>
        <v/>
      </c>
    </row>
    <row r="262">
      <c r="D262">
        <f>IF(C262="","",MIN(C262,Settings!$B$2))</f>
        <v/>
      </c>
      <c r="E262">
        <f>IF(C262="","",MAX(0,C262-D262))</f>
        <v/>
      </c>
    </row>
    <row r="263">
      <c r="D263">
        <f>IF(C263="","",MIN(C263,Settings!$B$2))</f>
        <v/>
      </c>
      <c r="E263">
        <f>IF(C263="","",MAX(0,C263-D263))</f>
        <v/>
      </c>
    </row>
    <row r="264">
      <c r="D264">
        <f>IF(C264="","",MIN(C264,Settings!$B$2))</f>
        <v/>
      </c>
      <c r="E264">
        <f>IF(C264="","",MAX(0,C264-D264))</f>
        <v/>
      </c>
    </row>
    <row r="265">
      <c r="D265">
        <f>IF(C265="","",MIN(C265,Settings!$B$2))</f>
        <v/>
      </c>
      <c r="E265">
        <f>IF(C265="","",MAX(0,C265-D265))</f>
        <v/>
      </c>
    </row>
    <row r="266">
      <c r="D266">
        <f>IF(C266="","",MIN(C266,Settings!$B$2))</f>
        <v/>
      </c>
      <c r="E266">
        <f>IF(C266="","",MAX(0,C266-D266))</f>
        <v/>
      </c>
    </row>
    <row r="267">
      <c r="D267">
        <f>IF(C267="","",MIN(C267,Settings!$B$2))</f>
        <v/>
      </c>
      <c r="E267">
        <f>IF(C267="","",MAX(0,C267-D267))</f>
        <v/>
      </c>
    </row>
    <row r="268">
      <c r="D268">
        <f>IF(C268="","",MIN(C268,Settings!$B$2))</f>
        <v/>
      </c>
      <c r="E268">
        <f>IF(C268="","",MAX(0,C268-D268))</f>
        <v/>
      </c>
    </row>
    <row r="269">
      <c r="D269">
        <f>IF(C269="","",MIN(C269,Settings!$B$2))</f>
        <v/>
      </c>
      <c r="E269">
        <f>IF(C269="","",MAX(0,C269-D269))</f>
        <v/>
      </c>
    </row>
    <row r="270">
      <c r="D270">
        <f>IF(C270="","",MIN(C270,Settings!$B$2))</f>
        <v/>
      </c>
      <c r="E270">
        <f>IF(C270="","",MAX(0,C270-D270))</f>
        <v/>
      </c>
    </row>
    <row r="271">
      <c r="D271">
        <f>IF(C271="","",MIN(C271,Settings!$B$2))</f>
        <v/>
      </c>
      <c r="E271">
        <f>IF(C271="","",MAX(0,C271-D271))</f>
        <v/>
      </c>
    </row>
    <row r="272">
      <c r="D272">
        <f>IF(C272="","",MIN(C272,Settings!$B$2))</f>
        <v/>
      </c>
      <c r="E272">
        <f>IF(C272="","",MAX(0,C272-D272))</f>
        <v/>
      </c>
    </row>
    <row r="273">
      <c r="D273">
        <f>IF(C273="","",MIN(C273,Settings!$B$2))</f>
        <v/>
      </c>
      <c r="E273">
        <f>IF(C273="","",MAX(0,C273-D273))</f>
        <v/>
      </c>
    </row>
    <row r="274">
      <c r="D274">
        <f>IF(C274="","",MIN(C274,Settings!$B$2))</f>
        <v/>
      </c>
      <c r="E274">
        <f>IF(C274="","",MAX(0,C274-D274))</f>
        <v/>
      </c>
    </row>
    <row r="275">
      <c r="D275">
        <f>IF(C275="","",MIN(C275,Settings!$B$2))</f>
        <v/>
      </c>
      <c r="E275">
        <f>IF(C275="","",MAX(0,C275-D275))</f>
        <v/>
      </c>
    </row>
    <row r="276">
      <c r="D276">
        <f>IF(C276="","",MIN(C276,Settings!$B$2))</f>
        <v/>
      </c>
      <c r="E276">
        <f>IF(C276="","",MAX(0,C276-D276))</f>
        <v/>
      </c>
    </row>
    <row r="277">
      <c r="D277">
        <f>IF(C277="","",MIN(C277,Settings!$B$2))</f>
        <v/>
      </c>
      <c r="E277">
        <f>IF(C277="","",MAX(0,C277-D277))</f>
        <v/>
      </c>
    </row>
    <row r="278">
      <c r="D278">
        <f>IF(C278="","",MIN(C278,Settings!$B$2))</f>
        <v/>
      </c>
      <c r="E278">
        <f>IF(C278="","",MAX(0,C278-D278))</f>
        <v/>
      </c>
    </row>
    <row r="279">
      <c r="D279">
        <f>IF(C279="","",MIN(C279,Settings!$B$2))</f>
        <v/>
      </c>
      <c r="E279">
        <f>IF(C279="","",MAX(0,C279-D279))</f>
        <v/>
      </c>
    </row>
    <row r="280">
      <c r="D280">
        <f>IF(C280="","",MIN(C280,Settings!$B$2))</f>
        <v/>
      </c>
      <c r="E280">
        <f>IF(C280="","",MAX(0,C280-D280))</f>
        <v/>
      </c>
    </row>
    <row r="281">
      <c r="D281">
        <f>IF(C281="","",MIN(C281,Settings!$B$2))</f>
        <v/>
      </c>
      <c r="E281">
        <f>IF(C281="","",MAX(0,C281-D281))</f>
        <v/>
      </c>
    </row>
    <row r="282">
      <c r="D282">
        <f>IF(C282="","",MIN(C282,Settings!$B$2))</f>
        <v/>
      </c>
      <c r="E282">
        <f>IF(C282="","",MAX(0,C282-D282))</f>
        <v/>
      </c>
    </row>
    <row r="283">
      <c r="D283">
        <f>IF(C283="","",MIN(C283,Settings!$B$2))</f>
        <v/>
      </c>
      <c r="E283">
        <f>IF(C283="","",MAX(0,C283-D283))</f>
        <v/>
      </c>
    </row>
    <row r="284">
      <c r="D284">
        <f>IF(C284="","",MIN(C284,Settings!$B$2))</f>
        <v/>
      </c>
      <c r="E284">
        <f>IF(C284="","",MAX(0,C284-D284))</f>
        <v/>
      </c>
    </row>
    <row r="285">
      <c r="D285">
        <f>IF(C285="","",MIN(C285,Settings!$B$2))</f>
        <v/>
      </c>
      <c r="E285">
        <f>IF(C285="","",MAX(0,C285-D285))</f>
        <v/>
      </c>
    </row>
    <row r="286">
      <c r="D286">
        <f>IF(C286="","",MIN(C286,Settings!$B$2))</f>
        <v/>
      </c>
      <c r="E286">
        <f>IF(C286="","",MAX(0,C286-D286))</f>
        <v/>
      </c>
    </row>
    <row r="287">
      <c r="D287">
        <f>IF(C287="","",MIN(C287,Settings!$B$2))</f>
        <v/>
      </c>
      <c r="E287">
        <f>IF(C287="","",MAX(0,C287-D287))</f>
        <v/>
      </c>
    </row>
    <row r="288">
      <c r="D288">
        <f>IF(C288="","",MIN(C288,Settings!$B$2))</f>
        <v/>
      </c>
      <c r="E288">
        <f>IF(C288="","",MAX(0,C288-D288))</f>
        <v/>
      </c>
    </row>
    <row r="289">
      <c r="D289">
        <f>IF(C289="","",MIN(C289,Settings!$B$2))</f>
        <v/>
      </c>
      <c r="E289">
        <f>IF(C289="","",MAX(0,C289-D289))</f>
        <v/>
      </c>
    </row>
    <row r="290">
      <c r="D290">
        <f>IF(C290="","",MIN(C290,Settings!$B$2))</f>
        <v/>
      </c>
      <c r="E290">
        <f>IF(C290="","",MAX(0,C290-D290))</f>
        <v/>
      </c>
    </row>
    <row r="291">
      <c r="D291">
        <f>IF(C291="","",MIN(C291,Settings!$B$2))</f>
        <v/>
      </c>
      <c r="E291">
        <f>IF(C291="","",MAX(0,C291-D291))</f>
        <v/>
      </c>
    </row>
    <row r="292">
      <c r="D292">
        <f>IF(C292="","",MIN(C292,Settings!$B$2))</f>
        <v/>
      </c>
      <c r="E292">
        <f>IF(C292="","",MAX(0,C292-D292))</f>
        <v/>
      </c>
    </row>
    <row r="293">
      <c r="D293">
        <f>IF(C293="","",MIN(C293,Settings!$B$2))</f>
        <v/>
      </c>
      <c r="E293">
        <f>IF(C293="","",MAX(0,C293-D293))</f>
        <v/>
      </c>
    </row>
    <row r="294">
      <c r="D294">
        <f>IF(C294="","",MIN(C294,Settings!$B$2))</f>
        <v/>
      </c>
      <c r="E294">
        <f>IF(C294="","",MAX(0,C294-D294))</f>
        <v/>
      </c>
    </row>
    <row r="295">
      <c r="D295">
        <f>IF(C295="","",MIN(C295,Settings!$B$2))</f>
        <v/>
      </c>
      <c r="E295">
        <f>IF(C295="","",MAX(0,C295-D295))</f>
        <v/>
      </c>
    </row>
    <row r="296">
      <c r="D296">
        <f>IF(C296="","",MIN(C296,Settings!$B$2))</f>
        <v/>
      </c>
      <c r="E296">
        <f>IF(C296="","",MAX(0,C296-D296))</f>
        <v/>
      </c>
    </row>
    <row r="297">
      <c r="D297">
        <f>IF(C297="","",MIN(C297,Settings!$B$2))</f>
        <v/>
      </c>
      <c r="E297">
        <f>IF(C297="","",MAX(0,C297-D297))</f>
        <v/>
      </c>
    </row>
    <row r="298">
      <c r="D298">
        <f>IF(C298="","",MIN(C298,Settings!$B$2))</f>
        <v/>
      </c>
      <c r="E298">
        <f>IF(C298="","",MAX(0,C298-D298))</f>
        <v/>
      </c>
    </row>
    <row r="299">
      <c r="D299">
        <f>IF(C299="","",MIN(C299,Settings!$B$2))</f>
        <v/>
      </c>
      <c r="E299">
        <f>IF(C299="","",MAX(0,C299-D299))</f>
        <v/>
      </c>
    </row>
    <row r="300">
      <c r="D300">
        <f>IF(C300="","",MIN(C300,Settings!$B$2))</f>
        <v/>
      </c>
      <c r="E300">
        <f>IF(C300="","",MAX(0,C300-D300))</f>
        <v/>
      </c>
    </row>
    <row r="301">
      <c r="D301">
        <f>IF(C301="","",MIN(C301,Settings!$B$2))</f>
        <v/>
      </c>
      <c r="E301">
        <f>IF(C301="","",MAX(0,C301-D301))</f>
        <v/>
      </c>
    </row>
    <row r="302">
      <c r="D302">
        <f>IF(C302="","",MIN(C302,Settings!$B$2))</f>
        <v/>
      </c>
      <c r="E302">
        <f>IF(C302="","",MAX(0,C302-D302))</f>
        <v/>
      </c>
    </row>
    <row r="303">
      <c r="D303">
        <f>IF(C303="","",MIN(C303,Settings!$B$2))</f>
        <v/>
      </c>
      <c r="E303">
        <f>IF(C303="","",MAX(0,C303-D303))</f>
        <v/>
      </c>
    </row>
    <row r="304">
      <c r="D304">
        <f>IF(C304="","",MIN(C304,Settings!$B$2))</f>
        <v/>
      </c>
      <c r="E304">
        <f>IF(C304="","",MAX(0,C304-D304))</f>
        <v/>
      </c>
    </row>
    <row r="305">
      <c r="D305">
        <f>IF(C305="","",MIN(C305,Settings!$B$2))</f>
        <v/>
      </c>
      <c r="E305">
        <f>IF(C305="","",MAX(0,C305-D305))</f>
        <v/>
      </c>
    </row>
    <row r="306">
      <c r="D306">
        <f>IF(C306="","",MIN(C306,Settings!$B$2))</f>
        <v/>
      </c>
      <c r="E306">
        <f>IF(C306="","",MAX(0,C306-D306))</f>
        <v/>
      </c>
    </row>
    <row r="307">
      <c r="D307">
        <f>IF(C307="","",MIN(C307,Settings!$B$2))</f>
        <v/>
      </c>
      <c r="E307">
        <f>IF(C307="","",MAX(0,C307-D307))</f>
        <v/>
      </c>
    </row>
    <row r="308">
      <c r="D308">
        <f>IF(C308="","",MIN(C308,Settings!$B$2))</f>
        <v/>
      </c>
      <c r="E308">
        <f>IF(C308="","",MAX(0,C308-D308))</f>
        <v/>
      </c>
    </row>
    <row r="309">
      <c r="D309">
        <f>IF(C309="","",MIN(C309,Settings!$B$2))</f>
        <v/>
      </c>
      <c r="E309">
        <f>IF(C309="","",MAX(0,C309-D309))</f>
        <v/>
      </c>
    </row>
    <row r="310">
      <c r="D310">
        <f>IF(C310="","",MIN(C310,Settings!$B$2))</f>
        <v/>
      </c>
      <c r="E310">
        <f>IF(C310="","",MAX(0,C310-D310))</f>
        <v/>
      </c>
    </row>
    <row r="311">
      <c r="D311">
        <f>IF(C311="","",MIN(C311,Settings!$B$2))</f>
        <v/>
      </c>
      <c r="E311">
        <f>IF(C311="","",MAX(0,C311-D311))</f>
        <v/>
      </c>
    </row>
    <row r="312">
      <c r="D312">
        <f>IF(C312="","",MIN(C312,Settings!$B$2))</f>
        <v/>
      </c>
      <c r="E312">
        <f>IF(C312="","",MAX(0,C312-D312))</f>
        <v/>
      </c>
    </row>
    <row r="313">
      <c r="D313">
        <f>IF(C313="","",MIN(C313,Settings!$B$2))</f>
        <v/>
      </c>
      <c r="E313">
        <f>IF(C313="","",MAX(0,C313-D313))</f>
        <v/>
      </c>
    </row>
    <row r="314">
      <c r="D314">
        <f>IF(C314="","",MIN(C314,Settings!$B$2))</f>
        <v/>
      </c>
      <c r="E314">
        <f>IF(C314="","",MAX(0,C314-D314))</f>
        <v/>
      </c>
    </row>
    <row r="315">
      <c r="D315">
        <f>IF(C315="","",MIN(C315,Settings!$B$2))</f>
        <v/>
      </c>
      <c r="E315">
        <f>IF(C315="","",MAX(0,C315-D315))</f>
        <v/>
      </c>
    </row>
    <row r="316">
      <c r="D316">
        <f>IF(C316="","",MIN(C316,Settings!$B$2))</f>
        <v/>
      </c>
      <c r="E316">
        <f>IF(C316="","",MAX(0,C316-D316))</f>
        <v/>
      </c>
    </row>
    <row r="317">
      <c r="D317">
        <f>IF(C317="","",MIN(C317,Settings!$B$2))</f>
        <v/>
      </c>
      <c r="E317">
        <f>IF(C317="","",MAX(0,C317-D317))</f>
        <v/>
      </c>
    </row>
    <row r="318">
      <c r="D318">
        <f>IF(C318="","",MIN(C318,Settings!$B$2))</f>
        <v/>
      </c>
      <c r="E318">
        <f>IF(C318="","",MAX(0,C318-D318))</f>
        <v/>
      </c>
    </row>
    <row r="319">
      <c r="D319">
        <f>IF(C319="","",MIN(C319,Settings!$B$2))</f>
        <v/>
      </c>
      <c r="E319">
        <f>IF(C319="","",MAX(0,C319-D319))</f>
        <v/>
      </c>
    </row>
    <row r="320">
      <c r="D320">
        <f>IF(C320="","",MIN(C320,Settings!$B$2))</f>
        <v/>
      </c>
      <c r="E320">
        <f>IF(C320="","",MAX(0,C320-D320))</f>
        <v/>
      </c>
    </row>
    <row r="321">
      <c r="D321">
        <f>IF(C321="","",MIN(C321,Settings!$B$2))</f>
        <v/>
      </c>
      <c r="E321">
        <f>IF(C321="","",MAX(0,C321-D321))</f>
        <v/>
      </c>
    </row>
    <row r="322">
      <c r="D322">
        <f>IF(C322="","",MIN(C322,Settings!$B$2))</f>
        <v/>
      </c>
      <c r="E322">
        <f>IF(C322="","",MAX(0,C322-D322))</f>
        <v/>
      </c>
    </row>
    <row r="323">
      <c r="D323">
        <f>IF(C323="","",MIN(C323,Settings!$B$2))</f>
        <v/>
      </c>
      <c r="E323">
        <f>IF(C323="","",MAX(0,C323-D323))</f>
        <v/>
      </c>
    </row>
    <row r="324">
      <c r="D324">
        <f>IF(C324="","",MIN(C324,Settings!$B$2))</f>
        <v/>
      </c>
      <c r="E324">
        <f>IF(C324="","",MAX(0,C324-D324))</f>
        <v/>
      </c>
    </row>
    <row r="325">
      <c r="D325">
        <f>IF(C325="","",MIN(C325,Settings!$B$2))</f>
        <v/>
      </c>
      <c r="E325">
        <f>IF(C325="","",MAX(0,C325-D325))</f>
        <v/>
      </c>
    </row>
    <row r="326">
      <c r="D326">
        <f>IF(C326="","",MIN(C326,Settings!$B$2))</f>
        <v/>
      </c>
      <c r="E326">
        <f>IF(C326="","",MAX(0,C326-D326))</f>
        <v/>
      </c>
    </row>
    <row r="327">
      <c r="D327">
        <f>IF(C327="","",MIN(C327,Settings!$B$2))</f>
        <v/>
      </c>
      <c r="E327">
        <f>IF(C327="","",MAX(0,C327-D327))</f>
        <v/>
      </c>
    </row>
    <row r="328">
      <c r="D328">
        <f>IF(C328="","",MIN(C328,Settings!$B$2))</f>
        <v/>
      </c>
      <c r="E328">
        <f>IF(C328="","",MAX(0,C328-D328))</f>
        <v/>
      </c>
    </row>
    <row r="329">
      <c r="D329">
        <f>IF(C329="","",MIN(C329,Settings!$B$2))</f>
        <v/>
      </c>
      <c r="E329">
        <f>IF(C329="","",MAX(0,C329-D329))</f>
        <v/>
      </c>
    </row>
    <row r="330">
      <c r="D330">
        <f>IF(C330="","",MIN(C330,Settings!$B$2))</f>
        <v/>
      </c>
      <c r="E330">
        <f>IF(C330="","",MAX(0,C330-D330))</f>
        <v/>
      </c>
    </row>
    <row r="331">
      <c r="D331">
        <f>IF(C331="","",MIN(C331,Settings!$B$2))</f>
        <v/>
      </c>
      <c r="E331">
        <f>IF(C331="","",MAX(0,C331-D331))</f>
        <v/>
      </c>
    </row>
    <row r="332">
      <c r="D332">
        <f>IF(C332="","",MIN(C332,Settings!$B$2))</f>
        <v/>
      </c>
      <c r="E332">
        <f>IF(C332="","",MAX(0,C332-D332))</f>
        <v/>
      </c>
    </row>
    <row r="333">
      <c r="D333">
        <f>IF(C333="","",MIN(C333,Settings!$B$2))</f>
        <v/>
      </c>
      <c r="E333">
        <f>IF(C333="","",MAX(0,C333-D333))</f>
        <v/>
      </c>
    </row>
    <row r="334">
      <c r="D334">
        <f>IF(C334="","",MIN(C334,Settings!$B$2))</f>
        <v/>
      </c>
      <c r="E334">
        <f>IF(C334="","",MAX(0,C334-D334))</f>
        <v/>
      </c>
    </row>
    <row r="335">
      <c r="D335">
        <f>IF(C335="","",MIN(C335,Settings!$B$2))</f>
        <v/>
      </c>
      <c r="E335">
        <f>IF(C335="","",MAX(0,C335-D335))</f>
        <v/>
      </c>
    </row>
    <row r="336">
      <c r="D336">
        <f>IF(C336="","",MIN(C336,Settings!$B$2))</f>
        <v/>
      </c>
      <c r="E336">
        <f>IF(C336="","",MAX(0,C336-D336))</f>
        <v/>
      </c>
    </row>
    <row r="337">
      <c r="D337">
        <f>IF(C337="","",MIN(C337,Settings!$B$2))</f>
        <v/>
      </c>
      <c r="E337">
        <f>IF(C337="","",MAX(0,C337-D337))</f>
        <v/>
      </c>
    </row>
    <row r="338">
      <c r="D338">
        <f>IF(C338="","",MIN(C338,Settings!$B$2))</f>
        <v/>
      </c>
      <c r="E338">
        <f>IF(C338="","",MAX(0,C338-D338))</f>
        <v/>
      </c>
    </row>
    <row r="339">
      <c r="D339">
        <f>IF(C339="","",MIN(C339,Settings!$B$2))</f>
        <v/>
      </c>
      <c r="E339">
        <f>IF(C339="","",MAX(0,C339-D339))</f>
        <v/>
      </c>
    </row>
    <row r="340">
      <c r="D340">
        <f>IF(C340="","",MIN(C340,Settings!$B$2))</f>
        <v/>
      </c>
      <c r="E340">
        <f>IF(C340="","",MAX(0,C340-D340))</f>
        <v/>
      </c>
    </row>
    <row r="341">
      <c r="D341">
        <f>IF(C341="","",MIN(C341,Settings!$B$2))</f>
        <v/>
      </c>
      <c r="E341">
        <f>IF(C341="","",MAX(0,C341-D341))</f>
        <v/>
      </c>
    </row>
    <row r="342">
      <c r="D342">
        <f>IF(C342="","",MIN(C342,Settings!$B$2))</f>
        <v/>
      </c>
      <c r="E342">
        <f>IF(C342="","",MAX(0,C342-D342))</f>
        <v/>
      </c>
    </row>
    <row r="343">
      <c r="D343">
        <f>IF(C343="","",MIN(C343,Settings!$B$2))</f>
        <v/>
      </c>
      <c r="E343">
        <f>IF(C343="","",MAX(0,C343-D343))</f>
        <v/>
      </c>
    </row>
    <row r="344">
      <c r="D344">
        <f>IF(C344="","",MIN(C344,Settings!$B$2))</f>
        <v/>
      </c>
      <c r="E344">
        <f>IF(C344="","",MAX(0,C344-D344))</f>
        <v/>
      </c>
    </row>
    <row r="345">
      <c r="D345">
        <f>IF(C345="","",MIN(C345,Settings!$B$2))</f>
        <v/>
      </c>
      <c r="E345">
        <f>IF(C345="","",MAX(0,C345-D345))</f>
        <v/>
      </c>
    </row>
    <row r="346">
      <c r="D346">
        <f>IF(C346="","",MIN(C346,Settings!$B$2))</f>
        <v/>
      </c>
      <c r="E346">
        <f>IF(C346="","",MAX(0,C346-D346))</f>
        <v/>
      </c>
    </row>
    <row r="347">
      <c r="D347">
        <f>IF(C347="","",MIN(C347,Settings!$B$2))</f>
        <v/>
      </c>
      <c r="E347">
        <f>IF(C347="","",MAX(0,C347-D347))</f>
        <v/>
      </c>
    </row>
    <row r="348">
      <c r="D348">
        <f>IF(C348="","",MIN(C348,Settings!$B$2))</f>
        <v/>
      </c>
      <c r="E348">
        <f>IF(C348="","",MAX(0,C348-D348))</f>
        <v/>
      </c>
    </row>
    <row r="349">
      <c r="D349">
        <f>IF(C349="","",MIN(C349,Settings!$B$2))</f>
        <v/>
      </c>
      <c r="E349">
        <f>IF(C349="","",MAX(0,C349-D349))</f>
        <v/>
      </c>
    </row>
    <row r="350">
      <c r="D350">
        <f>IF(C350="","",MIN(C350,Settings!$B$2))</f>
        <v/>
      </c>
      <c r="E350">
        <f>IF(C350="","",MAX(0,C350-D350))</f>
        <v/>
      </c>
    </row>
    <row r="351">
      <c r="D351">
        <f>IF(C351="","",MIN(C351,Settings!$B$2))</f>
        <v/>
      </c>
      <c r="E351">
        <f>IF(C351="","",MAX(0,C351-D351))</f>
        <v/>
      </c>
    </row>
    <row r="352">
      <c r="D352">
        <f>IF(C352="","",MIN(C352,Settings!$B$2))</f>
        <v/>
      </c>
      <c r="E352">
        <f>IF(C352="","",MAX(0,C352-D352))</f>
        <v/>
      </c>
    </row>
    <row r="353">
      <c r="D353">
        <f>IF(C353="","",MIN(C353,Settings!$B$2))</f>
        <v/>
      </c>
      <c r="E353">
        <f>IF(C353="","",MAX(0,C353-D353))</f>
        <v/>
      </c>
    </row>
    <row r="354">
      <c r="D354">
        <f>IF(C354="","",MIN(C354,Settings!$B$2))</f>
        <v/>
      </c>
      <c r="E354">
        <f>IF(C354="","",MAX(0,C354-D354))</f>
        <v/>
      </c>
    </row>
    <row r="355">
      <c r="D355">
        <f>IF(C355="","",MIN(C355,Settings!$B$2))</f>
        <v/>
      </c>
      <c r="E355">
        <f>IF(C355="","",MAX(0,C355-D355))</f>
        <v/>
      </c>
    </row>
    <row r="356">
      <c r="D356">
        <f>IF(C356="","",MIN(C356,Settings!$B$2))</f>
        <v/>
      </c>
      <c r="E356">
        <f>IF(C356="","",MAX(0,C356-D356))</f>
        <v/>
      </c>
    </row>
    <row r="357">
      <c r="D357">
        <f>IF(C357="","",MIN(C357,Settings!$B$2))</f>
        <v/>
      </c>
      <c r="E357">
        <f>IF(C357="","",MAX(0,C357-D357))</f>
        <v/>
      </c>
    </row>
    <row r="358">
      <c r="D358">
        <f>IF(C358="","",MIN(C358,Settings!$B$2))</f>
        <v/>
      </c>
      <c r="E358">
        <f>IF(C358="","",MAX(0,C358-D358))</f>
        <v/>
      </c>
    </row>
    <row r="359">
      <c r="D359">
        <f>IF(C359="","",MIN(C359,Settings!$B$2))</f>
        <v/>
      </c>
      <c r="E359">
        <f>IF(C359="","",MAX(0,C359-D359))</f>
        <v/>
      </c>
    </row>
    <row r="360">
      <c r="D360">
        <f>IF(C360="","",MIN(C360,Settings!$B$2))</f>
        <v/>
      </c>
      <c r="E360">
        <f>IF(C360="","",MAX(0,C360-D360))</f>
        <v/>
      </c>
    </row>
    <row r="361">
      <c r="D361">
        <f>IF(C361="","",MIN(C361,Settings!$B$2))</f>
        <v/>
      </c>
      <c r="E361">
        <f>IF(C361="","",MAX(0,C361-D361))</f>
        <v/>
      </c>
    </row>
    <row r="362">
      <c r="D362">
        <f>IF(C362="","",MIN(C362,Settings!$B$2))</f>
        <v/>
      </c>
      <c r="E362">
        <f>IF(C362="","",MAX(0,C362-D362))</f>
        <v/>
      </c>
    </row>
    <row r="363">
      <c r="D363">
        <f>IF(C363="","",MIN(C363,Settings!$B$2))</f>
        <v/>
      </c>
      <c r="E363">
        <f>IF(C363="","",MAX(0,C363-D363))</f>
        <v/>
      </c>
    </row>
    <row r="364">
      <c r="D364">
        <f>IF(C364="","",MIN(C364,Settings!$B$2))</f>
        <v/>
      </c>
      <c r="E364">
        <f>IF(C364="","",MAX(0,C364-D364))</f>
        <v/>
      </c>
    </row>
    <row r="365">
      <c r="D365">
        <f>IF(C365="","",MIN(C365,Settings!$B$2))</f>
        <v/>
      </c>
      <c r="E365">
        <f>IF(C365="","",MAX(0,C365-D365))</f>
        <v/>
      </c>
    </row>
    <row r="366">
      <c r="D366">
        <f>IF(C366="","",MIN(C366,Settings!$B$2))</f>
        <v/>
      </c>
      <c r="E366">
        <f>IF(C366="","",MAX(0,C366-D366))</f>
        <v/>
      </c>
    </row>
    <row r="367">
      <c r="D367">
        <f>IF(C367="","",MIN(C367,Settings!$B$2))</f>
        <v/>
      </c>
      <c r="E367">
        <f>IF(C367="","",MAX(0,C367-D367))</f>
        <v/>
      </c>
    </row>
    <row r="368">
      <c r="D368">
        <f>IF(C368="","",MIN(C368,Settings!$B$2))</f>
        <v/>
      </c>
      <c r="E368">
        <f>IF(C368="","",MAX(0,C368-D368))</f>
        <v/>
      </c>
    </row>
    <row r="369">
      <c r="D369">
        <f>IF(C369="","",MIN(C369,Settings!$B$2))</f>
        <v/>
      </c>
      <c r="E369">
        <f>IF(C369="","",MAX(0,C369-D369))</f>
        <v/>
      </c>
    </row>
    <row r="370">
      <c r="D370">
        <f>IF(C370="","",MIN(C370,Settings!$B$2))</f>
        <v/>
      </c>
      <c r="E370">
        <f>IF(C370="","",MAX(0,C370-D370))</f>
        <v/>
      </c>
    </row>
    <row r="371">
      <c r="D371">
        <f>IF(C371="","",MIN(C371,Settings!$B$2))</f>
        <v/>
      </c>
      <c r="E371">
        <f>IF(C371="","",MAX(0,C371-D371))</f>
        <v/>
      </c>
    </row>
    <row r="372">
      <c r="D372">
        <f>IF(C372="","",MIN(C372,Settings!$B$2))</f>
        <v/>
      </c>
      <c r="E372">
        <f>IF(C372="","",MAX(0,C372-D372))</f>
        <v/>
      </c>
    </row>
    <row r="373">
      <c r="D373">
        <f>IF(C373="","",MIN(C373,Settings!$B$2))</f>
        <v/>
      </c>
      <c r="E373">
        <f>IF(C373="","",MAX(0,C373-D373))</f>
        <v/>
      </c>
    </row>
    <row r="374">
      <c r="D374">
        <f>IF(C374="","",MIN(C374,Settings!$B$2))</f>
        <v/>
      </c>
      <c r="E374">
        <f>IF(C374="","",MAX(0,C374-D374))</f>
        <v/>
      </c>
    </row>
    <row r="375">
      <c r="D375">
        <f>IF(C375="","",MIN(C375,Settings!$B$2))</f>
        <v/>
      </c>
      <c r="E375">
        <f>IF(C375="","",MAX(0,C375-D375))</f>
        <v/>
      </c>
    </row>
    <row r="376">
      <c r="D376">
        <f>IF(C376="","",MIN(C376,Settings!$B$2))</f>
        <v/>
      </c>
      <c r="E376">
        <f>IF(C376="","",MAX(0,C376-D376))</f>
        <v/>
      </c>
    </row>
    <row r="377">
      <c r="D377">
        <f>IF(C377="","",MIN(C377,Settings!$B$2))</f>
        <v/>
      </c>
      <c r="E377">
        <f>IF(C377="","",MAX(0,C377-D377))</f>
        <v/>
      </c>
    </row>
    <row r="378">
      <c r="D378">
        <f>IF(C378="","",MIN(C378,Settings!$B$2))</f>
        <v/>
      </c>
      <c r="E378">
        <f>IF(C378="","",MAX(0,C378-D378))</f>
        <v/>
      </c>
    </row>
    <row r="379">
      <c r="D379">
        <f>IF(C379="","",MIN(C379,Settings!$B$2))</f>
        <v/>
      </c>
      <c r="E379">
        <f>IF(C379="","",MAX(0,C379-D379))</f>
        <v/>
      </c>
    </row>
    <row r="380">
      <c r="D380">
        <f>IF(C380="","",MIN(C380,Settings!$B$2))</f>
        <v/>
      </c>
      <c r="E380">
        <f>IF(C380="","",MAX(0,C380-D380))</f>
        <v/>
      </c>
    </row>
    <row r="381">
      <c r="D381">
        <f>IF(C381="","",MIN(C381,Settings!$B$2))</f>
        <v/>
      </c>
      <c r="E381">
        <f>IF(C381="","",MAX(0,C381-D381))</f>
        <v/>
      </c>
    </row>
    <row r="382">
      <c r="D382">
        <f>IF(C382="","",MIN(C382,Settings!$B$2))</f>
        <v/>
      </c>
      <c r="E382">
        <f>IF(C382="","",MAX(0,C382-D382))</f>
        <v/>
      </c>
    </row>
    <row r="383">
      <c r="D383">
        <f>IF(C383="","",MIN(C383,Settings!$B$2))</f>
        <v/>
      </c>
      <c r="E383">
        <f>IF(C383="","",MAX(0,C383-D383))</f>
        <v/>
      </c>
    </row>
    <row r="384">
      <c r="D384">
        <f>IF(C384="","",MIN(C384,Settings!$B$2))</f>
        <v/>
      </c>
      <c r="E384">
        <f>IF(C384="","",MAX(0,C384-D384))</f>
        <v/>
      </c>
    </row>
    <row r="385">
      <c r="D385">
        <f>IF(C385="","",MIN(C385,Settings!$B$2))</f>
        <v/>
      </c>
      <c r="E385">
        <f>IF(C385="","",MAX(0,C385-D385))</f>
        <v/>
      </c>
    </row>
    <row r="386">
      <c r="D386">
        <f>IF(C386="","",MIN(C386,Settings!$B$2))</f>
        <v/>
      </c>
      <c r="E386">
        <f>IF(C386="","",MAX(0,C386-D386))</f>
        <v/>
      </c>
    </row>
    <row r="387">
      <c r="D387">
        <f>IF(C387="","",MIN(C387,Settings!$B$2))</f>
        <v/>
      </c>
      <c r="E387">
        <f>IF(C387="","",MAX(0,C387-D387))</f>
        <v/>
      </c>
    </row>
    <row r="388">
      <c r="D388">
        <f>IF(C388="","",MIN(C388,Settings!$B$2))</f>
        <v/>
      </c>
      <c r="E388">
        <f>IF(C388="","",MAX(0,C388-D388))</f>
        <v/>
      </c>
    </row>
    <row r="389">
      <c r="D389">
        <f>IF(C389="","",MIN(C389,Settings!$B$2))</f>
        <v/>
      </c>
      <c r="E389">
        <f>IF(C389="","",MAX(0,C389-D389))</f>
        <v/>
      </c>
    </row>
    <row r="390">
      <c r="D390">
        <f>IF(C390="","",MIN(C390,Settings!$B$2))</f>
        <v/>
      </c>
      <c r="E390">
        <f>IF(C390="","",MAX(0,C390-D390))</f>
        <v/>
      </c>
    </row>
    <row r="391">
      <c r="D391">
        <f>IF(C391="","",MIN(C391,Settings!$B$2))</f>
        <v/>
      </c>
      <c r="E391">
        <f>IF(C391="","",MAX(0,C391-D391))</f>
        <v/>
      </c>
    </row>
    <row r="392">
      <c r="D392">
        <f>IF(C392="","",MIN(C392,Settings!$B$2))</f>
        <v/>
      </c>
      <c r="E392">
        <f>IF(C392="","",MAX(0,C392-D392))</f>
        <v/>
      </c>
    </row>
    <row r="393">
      <c r="D393">
        <f>IF(C393="","",MIN(C393,Settings!$B$2))</f>
        <v/>
      </c>
      <c r="E393">
        <f>IF(C393="","",MAX(0,C393-D393))</f>
        <v/>
      </c>
    </row>
    <row r="394">
      <c r="D394">
        <f>IF(C394="","",MIN(C394,Settings!$B$2))</f>
        <v/>
      </c>
      <c r="E394">
        <f>IF(C394="","",MAX(0,C394-D394))</f>
        <v/>
      </c>
    </row>
    <row r="395">
      <c r="D395">
        <f>IF(C395="","",MIN(C395,Settings!$B$2))</f>
        <v/>
      </c>
      <c r="E395">
        <f>IF(C395="","",MAX(0,C395-D395))</f>
        <v/>
      </c>
    </row>
    <row r="396">
      <c r="D396">
        <f>IF(C396="","",MIN(C396,Settings!$B$2))</f>
        <v/>
      </c>
      <c r="E396">
        <f>IF(C396="","",MAX(0,C396-D396))</f>
        <v/>
      </c>
    </row>
    <row r="397">
      <c r="D397">
        <f>IF(C397="","",MIN(C397,Settings!$B$2))</f>
        <v/>
      </c>
      <c r="E397">
        <f>IF(C397="","",MAX(0,C397-D397))</f>
        <v/>
      </c>
    </row>
    <row r="398">
      <c r="D398">
        <f>IF(C398="","",MIN(C398,Settings!$B$2))</f>
        <v/>
      </c>
      <c r="E398">
        <f>IF(C398="","",MAX(0,C398-D398))</f>
        <v/>
      </c>
    </row>
    <row r="399">
      <c r="D399">
        <f>IF(C399="","",MIN(C399,Settings!$B$2))</f>
        <v/>
      </c>
      <c r="E399">
        <f>IF(C399="","",MAX(0,C399-D399))</f>
        <v/>
      </c>
    </row>
    <row r="400">
      <c r="D400">
        <f>IF(C400="","",MIN(C400,Settings!$B$2))</f>
        <v/>
      </c>
      <c r="E400">
        <f>IF(C400="","",MAX(0,C400-D400))</f>
        <v/>
      </c>
    </row>
    <row r="401">
      <c r="D401">
        <f>IF(C401="","",MIN(C401,Settings!$B$2))</f>
        <v/>
      </c>
      <c r="E401">
        <f>IF(C401="","",MAX(0,C401-D401))</f>
        <v/>
      </c>
    </row>
    <row r="402">
      <c r="D402">
        <f>IF(C402="","",MIN(C402,Settings!$B$2))</f>
        <v/>
      </c>
      <c r="E402">
        <f>IF(C402="","",MAX(0,C402-D402))</f>
        <v/>
      </c>
    </row>
    <row r="403">
      <c r="D403">
        <f>IF(C403="","",MIN(C403,Settings!$B$2))</f>
        <v/>
      </c>
      <c r="E403">
        <f>IF(C403="","",MAX(0,C403-D403))</f>
        <v/>
      </c>
    </row>
    <row r="404">
      <c r="D404">
        <f>IF(C404="","",MIN(C404,Settings!$B$2))</f>
        <v/>
      </c>
      <c r="E404">
        <f>IF(C404="","",MAX(0,C404-D404))</f>
        <v/>
      </c>
    </row>
    <row r="405">
      <c r="D405">
        <f>IF(C405="","",MIN(C405,Settings!$B$2))</f>
        <v/>
      </c>
      <c r="E405">
        <f>IF(C405="","",MAX(0,C405-D405))</f>
        <v/>
      </c>
    </row>
    <row r="406">
      <c r="D406">
        <f>IF(C406="","",MIN(C406,Settings!$B$2))</f>
        <v/>
      </c>
      <c r="E406">
        <f>IF(C406="","",MAX(0,C406-D406))</f>
        <v/>
      </c>
    </row>
    <row r="407">
      <c r="D407">
        <f>IF(C407="","",MIN(C407,Settings!$B$2))</f>
        <v/>
      </c>
      <c r="E407">
        <f>IF(C407="","",MAX(0,C407-D407))</f>
        <v/>
      </c>
    </row>
    <row r="408">
      <c r="D408">
        <f>IF(C408="","",MIN(C408,Settings!$B$2))</f>
        <v/>
      </c>
      <c r="E408">
        <f>IF(C408="","",MAX(0,C408-D408))</f>
        <v/>
      </c>
    </row>
    <row r="409">
      <c r="D409">
        <f>IF(C409="","",MIN(C409,Settings!$B$2))</f>
        <v/>
      </c>
      <c r="E409">
        <f>IF(C409="","",MAX(0,C409-D409))</f>
        <v/>
      </c>
    </row>
    <row r="410">
      <c r="D410">
        <f>IF(C410="","",MIN(C410,Settings!$B$2))</f>
        <v/>
      </c>
      <c r="E410">
        <f>IF(C410="","",MAX(0,C410-D410))</f>
        <v/>
      </c>
    </row>
    <row r="411">
      <c r="D411">
        <f>IF(C411="","",MIN(C411,Settings!$B$2))</f>
        <v/>
      </c>
      <c r="E411">
        <f>IF(C411="","",MAX(0,C411-D411))</f>
        <v/>
      </c>
    </row>
    <row r="412">
      <c r="D412">
        <f>IF(C412="","",MIN(C412,Settings!$B$2))</f>
        <v/>
      </c>
      <c r="E412">
        <f>IF(C412="","",MAX(0,C412-D412))</f>
        <v/>
      </c>
    </row>
    <row r="413">
      <c r="D413">
        <f>IF(C413="","",MIN(C413,Settings!$B$2))</f>
        <v/>
      </c>
      <c r="E413">
        <f>IF(C413="","",MAX(0,C413-D413))</f>
        <v/>
      </c>
    </row>
    <row r="414">
      <c r="D414">
        <f>IF(C414="","",MIN(C414,Settings!$B$2))</f>
        <v/>
      </c>
      <c r="E414">
        <f>IF(C414="","",MAX(0,C414-D414))</f>
        <v/>
      </c>
    </row>
    <row r="415">
      <c r="D415">
        <f>IF(C415="","",MIN(C415,Settings!$B$2))</f>
        <v/>
      </c>
      <c r="E415">
        <f>IF(C415="","",MAX(0,C415-D415))</f>
        <v/>
      </c>
    </row>
    <row r="416">
      <c r="D416">
        <f>IF(C416="","",MIN(C416,Settings!$B$2))</f>
        <v/>
      </c>
      <c r="E416">
        <f>IF(C416="","",MAX(0,C416-D416))</f>
        <v/>
      </c>
    </row>
    <row r="417">
      <c r="D417">
        <f>IF(C417="","",MIN(C417,Settings!$B$2))</f>
        <v/>
      </c>
      <c r="E417">
        <f>IF(C417="","",MAX(0,C417-D417))</f>
        <v/>
      </c>
    </row>
    <row r="418">
      <c r="D418">
        <f>IF(C418="","",MIN(C418,Settings!$B$2))</f>
        <v/>
      </c>
      <c r="E418">
        <f>IF(C418="","",MAX(0,C418-D418))</f>
        <v/>
      </c>
    </row>
    <row r="419">
      <c r="D419">
        <f>IF(C419="","",MIN(C419,Settings!$B$2))</f>
        <v/>
      </c>
      <c r="E419">
        <f>IF(C419="","",MAX(0,C419-D419))</f>
        <v/>
      </c>
    </row>
    <row r="420">
      <c r="D420">
        <f>IF(C420="","",MIN(C420,Settings!$B$2))</f>
        <v/>
      </c>
      <c r="E420">
        <f>IF(C420="","",MAX(0,C420-D420))</f>
        <v/>
      </c>
    </row>
    <row r="421">
      <c r="D421">
        <f>IF(C421="","",MIN(C421,Settings!$B$2))</f>
        <v/>
      </c>
      <c r="E421">
        <f>IF(C421="","",MAX(0,C421-D421))</f>
        <v/>
      </c>
    </row>
    <row r="422">
      <c r="D422">
        <f>IF(C422="","",MIN(C422,Settings!$B$2))</f>
        <v/>
      </c>
      <c r="E422">
        <f>IF(C422="","",MAX(0,C422-D422))</f>
        <v/>
      </c>
    </row>
    <row r="423">
      <c r="D423">
        <f>IF(C423="","",MIN(C423,Settings!$B$2))</f>
        <v/>
      </c>
      <c r="E423">
        <f>IF(C423="","",MAX(0,C423-D423))</f>
        <v/>
      </c>
    </row>
    <row r="424">
      <c r="D424">
        <f>IF(C424="","",MIN(C424,Settings!$B$2))</f>
        <v/>
      </c>
      <c r="E424">
        <f>IF(C424="","",MAX(0,C424-D424))</f>
        <v/>
      </c>
    </row>
    <row r="425">
      <c r="D425">
        <f>IF(C425="","",MIN(C425,Settings!$B$2))</f>
        <v/>
      </c>
      <c r="E425">
        <f>IF(C425="","",MAX(0,C425-D425))</f>
        <v/>
      </c>
    </row>
    <row r="426">
      <c r="D426">
        <f>IF(C426="","",MIN(C426,Settings!$B$2))</f>
        <v/>
      </c>
      <c r="E426">
        <f>IF(C426="","",MAX(0,C426-D426))</f>
        <v/>
      </c>
    </row>
    <row r="427">
      <c r="D427">
        <f>IF(C427="","",MIN(C427,Settings!$B$2))</f>
        <v/>
      </c>
      <c r="E427">
        <f>IF(C427="","",MAX(0,C427-D427))</f>
        <v/>
      </c>
    </row>
    <row r="428">
      <c r="D428">
        <f>IF(C428="","",MIN(C428,Settings!$B$2))</f>
        <v/>
      </c>
      <c r="E428">
        <f>IF(C428="","",MAX(0,C428-D428))</f>
        <v/>
      </c>
    </row>
    <row r="429">
      <c r="D429">
        <f>IF(C429="","",MIN(C429,Settings!$B$2))</f>
        <v/>
      </c>
      <c r="E429">
        <f>IF(C429="","",MAX(0,C429-D429))</f>
        <v/>
      </c>
    </row>
    <row r="430">
      <c r="D430">
        <f>IF(C430="","",MIN(C430,Settings!$B$2))</f>
        <v/>
      </c>
      <c r="E430">
        <f>IF(C430="","",MAX(0,C430-D430))</f>
        <v/>
      </c>
    </row>
    <row r="431">
      <c r="D431">
        <f>IF(C431="","",MIN(C431,Settings!$B$2))</f>
        <v/>
      </c>
      <c r="E431">
        <f>IF(C431="","",MAX(0,C431-D431))</f>
        <v/>
      </c>
    </row>
    <row r="432">
      <c r="D432">
        <f>IF(C432="","",MIN(C432,Settings!$B$2))</f>
        <v/>
      </c>
      <c r="E432">
        <f>IF(C432="","",MAX(0,C432-D432))</f>
        <v/>
      </c>
    </row>
    <row r="433">
      <c r="D433">
        <f>IF(C433="","",MIN(C433,Settings!$B$2))</f>
        <v/>
      </c>
      <c r="E433">
        <f>IF(C433="","",MAX(0,C433-D433))</f>
        <v/>
      </c>
    </row>
    <row r="434">
      <c r="D434">
        <f>IF(C434="","",MIN(C434,Settings!$B$2))</f>
        <v/>
      </c>
      <c r="E434">
        <f>IF(C434="","",MAX(0,C434-D434))</f>
        <v/>
      </c>
    </row>
    <row r="435">
      <c r="D435">
        <f>IF(C435="","",MIN(C435,Settings!$B$2))</f>
        <v/>
      </c>
      <c r="E435">
        <f>IF(C435="","",MAX(0,C435-D435))</f>
        <v/>
      </c>
    </row>
    <row r="436">
      <c r="D436">
        <f>IF(C436="","",MIN(C436,Settings!$B$2))</f>
        <v/>
      </c>
      <c r="E436">
        <f>IF(C436="","",MAX(0,C436-D436))</f>
        <v/>
      </c>
    </row>
    <row r="437">
      <c r="D437">
        <f>IF(C437="","",MIN(C437,Settings!$B$2))</f>
        <v/>
      </c>
      <c r="E437">
        <f>IF(C437="","",MAX(0,C437-D437))</f>
        <v/>
      </c>
    </row>
    <row r="438">
      <c r="D438">
        <f>IF(C438="","",MIN(C438,Settings!$B$2))</f>
        <v/>
      </c>
      <c r="E438">
        <f>IF(C438="","",MAX(0,C438-D438))</f>
        <v/>
      </c>
    </row>
    <row r="439">
      <c r="D439">
        <f>IF(C439="","",MIN(C439,Settings!$B$2))</f>
        <v/>
      </c>
      <c r="E439">
        <f>IF(C439="","",MAX(0,C439-D439))</f>
        <v/>
      </c>
    </row>
    <row r="440">
      <c r="D440">
        <f>IF(C440="","",MIN(C440,Settings!$B$2))</f>
        <v/>
      </c>
      <c r="E440">
        <f>IF(C440="","",MAX(0,C440-D440))</f>
        <v/>
      </c>
    </row>
    <row r="441">
      <c r="D441">
        <f>IF(C441="","",MIN(C441,Settings!$B$2))</f>
        <v/>
      </c>
      <c r="E441">
        <f>IF(C441="","",MAX(0,C441-D441))</f>
        <v/>
      </c>
    </row>
    <row r="442">
      <c r="D442">
        <f>IF(C442="","",MIN(C442,Settings!$B$2))</f>
        <v/>
      </c>
      <c r="E442">
        <f>IF(C442="","",MAX(0,C442-D442))</f>
        <v/>
      </c>
    </row>
    <row r="443">
      <c r="D443">
        <f>IF(C443="","",MIN(C443,Settings!$B$2))</f>
        <v/>
      </c>
      <c r="E443">
        <f>IF(C443="","",MAX(0,C443-D443))</f>
        <v/>
      </c>
    </row>
    <row r="444">
      <c r="D444">
        <f>IF(C444="","",MIN(C444,Settings!$B$2))</f>
        <v/>
      </c>
      <c r="E444">
        <f>IF(C444="","",MAX(0,C444-D444))</f>
        <v/>
      </c>
    </row>
    <row r="445">
      <c r="D445">
        <f>IF(C445="","",MIN(C445,Settings!$B$2))</f>
        <v/>
      </c>
      <c r="E445">
        <f>IF(C445="","",MAX(0,C445-D445))</f>
        <v/>
      </c>
    </row>
    <row r="446">
      <c r="D446">
        <f>IF(C446="","",MIN(C446,Settings!$B$2))</f>
        <v/>
      </c>
      <c r="E446">
        <f>IF(C446="","",MAX(0,C446-D446))</f>
        <v/>
      </c>
    </row>
    <row r="447">
      <c r="D447">
        <f>IF(C447="","",MIN(C447,Settings!$B$2))</f>
        <v/>
      </c>
      <c r="E447">
        <f>IF(C447="","",MAX(0,C447-D447))</f>
        <v/>
      </c>
    </row>
    <row r="448">
      <c r="D448">
        <f>IF(C448="","",MIN(C448,Settings!$B$2))</f>
        <v/>
      </c>
      <c r="E448">
        <f>IF(C448="","",MAX(0,C448-D448))</f>
        <v/>
      </c>
    </row>
    <row r="449">
      <c r="D449">
        <f>IF(C449="","",MIN(C449,Settings!$B$2))</f>
        <v/>
      </c>
      <c r="E449">
        <f>IF(C449="","",MAX(0,C449-D449))</f>
        <v/>
      </c>
    </row>
    <row r="450">
      <c r="D450">
        <f>IF(C450="","",MIN(C450,Settings!$B$2))</f>
        <v/>
      </c>
      <c r="E450">
        <f>IF(C450="","",MAX(0,C450-D450))</f>
        <v/>
      </c>
    </row>
    <row r="451">
      <c r="D451">
        <f>IF(C451="","",MIN(C451,Settings!$B$2))</f>
        <v/>
      </c>
      <c r="E451">
        <f>IF(C451="","",MAX(0,C451-D451))</f>
        <v/>
      </c>
    </row>
    <row r="452">
      <c r="D452">
        <f>IF(C452="","",MIN(C452,Settings!$B$2))</f>
        <v/>
      </c>
      <c r="E452">
        <f>IF(C452="","",MAX(0,C452-D452))</f>
        <v/>
      </c>
    </row>
    <row r="453">
      <c r="D453">
        <f>IF(C453="","",MIN(C453,Settings!$B$2))</f>
        <v/>
      </c>
      <c r="E453">
        <f>IF(C453="","",MAX(0,C453-D453))</f>
        <v/>
      </c>
    </row>
    <row r="454">
      <c r="D454">
        <f>IF(C454="","",MIN(C454,Settings!$B$2))</f>
        <v/>
      </c>
      <c r="E454">
        <f>IF(C454="","",MAX(0,C454-D454))</f>
        <v/>
      </c>
    </row>
    <row r="455">
      <c r="D455">
        <f>IF(C455="","",MIN(C455,Settings!$B$2))</f>
        <v/>
      </c>
      <c r="E455">
        <f>IF(C455="","",MAX(0,C455-D455))</f>
        <v/>
      </c>
    </row>
    <row r="456">
      <c r="D456">
        <f>IF(C456="","",MIN(C456,Settings!$B$2))</f>
        <v/>
      </c>
      <c r="E456">
        <f>IF(C456="","",MAX(0,C456-D456))</f>
        <v/>
      </c>
    </row>
    <row r="457">
      <c r="D457">
        <f>IF(C457="","",MIN(C457,Settings!$B$2))</f>
        <v/>
      </c>
      <c r="E457">
        <f>IF(C457="","",MAX(0,C457-D457))</f>
        <v/>
      </c>
    </row>
    <row r="458">
      <c r="D458">
        <f>IF(C458="","",MIN(C458,Settings!$B$2))</f>
        <v/>
      </c>
      <c r="E458">
        <f>IF(C458="","",MAX(0,C458-D458))</f>
        <v/>
      </c>
    </row>
    <row r="459">
      <c r="D459">
        <f>IF(C459="","",MIN(C459,Settings!$B$2))</f>
        <v/>
      </c>
      <c r="E459">
        <f>IF(C459="","",MAX(0,C459-D459))</f>
        <v/>
      </c>
    </row>
    <row r="460">
      <c r="D460">
        <f>IF(C460="","",MIN(C460,Settings!$B$2))</f>
        <v/>
      </c>
      <c r="E460">
        <f>IF(C460="","",MAX(0,C460-D460))</f>
        <v/>
      </c>
    </row>
    <row r="461">
      <c r="D461">
        <f>IF(C461="","",MIN(C461,Settings!$B$2))</f>
        <v/>
      </c>
      <c r="E461">
        <f>IF(C461="","",MAX(0,C461-D461))</f>
        <v/>
      </c>
    </row>
    <row r="462">
      <c r="D462">
        <f>IF(C462="","",MIN(C462,Settings!$B$2))</f>
        <v/>
      </c>
      <c r="E462">
        <f>IF(C462="","",MAX(0,C462-D462))</f>
        <v/>
      </c>
    </row>
    <row r="463">
      <c r="D463">
        <f>IF(C463="","",MIN(C463,Settings!$B$2))</f>
        <v/>
      </c>
      <c r="E463">
        <f>IF(C463="","",MAX(0,C463-D463))</f>
        <v/>
      </c>
    </row>
    <row r="464">
      <c r="D464">
        <f>IF(C464="","",MIN(C464,Settings!$B$2))</f>
        <v/>
      </c>
      <c r="E464">
        <f>IF(C464="","",MAX(0,C464-D464))</f>
        <v/>
      </c>
    </row>
    <row r="465">
      <c r="D465">
        <f>IF(C465="","",MIN(C465,Settings!$B$2))</f>
        <v/>
      </c>
      <c r="E465">
        <f>IF(C465="","",MAX(0,C465-D465))</f>
        <v/>
      </c>
    </row>
    <row r="466">
      <c r="D466">
        <f>IF(C466="","",MIN(C466,Settings!$B$2))</f>
        <v/>
      </c>
      <c r="E466">
        <f>IF(C466="","",MAX(0,C466-D466))</f>
        <v/>
      </c>
    </row>
    <row r="467">
      <c r="D467">
        <f>IF(C467="","",MIN(C467,Settings!$B$2))</f>
        <v/>
      </c>
      <c r="E467">
        <f>IF(C467="","",MAX(0,C467-D467))</f>
        <v/>
      </c>
    </row>
    <row r="468">
      <c r="D468">
        <f>IF(C468="","",MIN(C468,Settings!$B$2))</f>
        <v/>
      </c>
      <c r="E468">
        <f>IF(C468="","",MAX(0,C468-D468))</f>
        <v/>
      </c>
    </row>
    <row r="469">
      <c r="D469">
        <f>IF(C469="","",MIN(C469,Settings!$B$2))</f>
        <v/>
      </c>
      <c r="E469">
        <f>IF(C469="","",MAX(0,C469-D469))</f>
        <v/>
      </c>
    </row>
    <row r="470">
      <c r="D470">
        <f>IF(C470="","",MIN(C470,Settings!$B$2))</f>
        <v/>
      </c>
      <c r="E470">
        <f>IF(C470="","",MAX(0,C470-D470))</f>
        <v/>
      </c>
    </row>
    <row r="471">
      <c r="D471">
        <f>IF(C471="","",MIN(C471,Settings!$B$2))</f>
        <v/>
      </c>
      <c r="E471">
        <f>IF(C471="","",MAX(0,C471-D471))</f>
        <v/>
      </c>
    </row>
    <row r="472">
      <c r="D472">
        <f>IF(C472="","",MIN(C472,Settings!$B$2))</f>
        <v/>
      </c>
      <c r="E472">
        <f>IF(C472="","",MAX(0,C472-D472))</f>
        <v/>
      </c>
    </row>
    <row r="473">
      <c r="D473">
        <f>IF(C473="","",MIN(C473,Settings!$B$2))</f>
        <v/>
      </c>
      <c r="E473">
        <f>IF(C473="","",MAX(0,C473-D473))</f>
        <v/>
      </c>
    </row>
    <row r="474">
      <c r="D474">
        <f>IF(C474="","",MIN(C474,Settings!$B$2))</f>
        <v/>
      </c>
      <c r="E474">
        <f>IF(C474="","",MAX(0,C474-D474))</f>
        <v/>
      </c>
    </row>
    <row r="475">
      <c r="D475">
        <f>IF(C475="","",MIN(C475,Settings!$B$2))</f>
        <v/>
      </c>
      <c r="E475">
        <f>IF(C475="","",MAX(0,C475-D475))</f>
        <v/>
      </c>
    </row>
    <row r="476">
      <c r="D476">
        <f>IF(C476="","",MIN(C476,Settings!$B$2))</f>
        <v/>
      </c>
      <c r="E476">
        <f>IF(C476="","",MAX(0,C476-D476))</f>
        <v/>
      </c>
    </row>
    <row r="477">
      <c r="D477">
        <f>IF(C477="","",MIN(C477,Settings!$B$2))</f>
        <v/>
      </c>
      <c r="E477">
        <f>IF(C477="","",MAX(0,C477-D477))</f>
        <v/>
      </c>
    </row>
    <row r="478">
      <c r="D478">
        <f>IF(C478="","",MIN(C478,Settings!$B$2))</f>
        <v/>
      </c>
      <c r="E478">
        <f>IF(C478="","",MAX(0,C478-D478))</f>
        <v/>
      </c>
    </row>
    <row r="479">
      <c r="D479">
        <f>IF(C479="","",MIN(C479,Settings!$B$2))</f>
        <v/>
      </c>
      <c r="E479">
        <f>IF(C479="","",MAX(0,C479-D479))</f>
        <v/>
      </c>
    </row>
    <row r="480">
      <c r="D480">
        <f>IF(C480="","",MIN(C480,Settings!$B$2))</f>
        <v/>
      </c>
      <c r="E480">
        <f>IF(C480="","",MAX(0,C480-D480))</f>
        <v/>
      </c>
    </row>
    <row r="481">
      <c r="D481">
        <f>IF(C481="","",MIN(C481,Settings!$B$2))</f>
        <v/>
      </c>
      <c r="E481">
        <f>IF(C481="","",MAX(0,C481-D481))</f>
        <v/>
      </c>
    </row>
    <row r="482">
      <c r="D482">
        <f>IF(C482="","",MIN(C482,Settings!$B$2))</f>
        <v/>
      </c>
      <c r="E482">
        <f>IF(C482="","",MAX(0,C482-D482))</f>
        <v/>
      </c>
    </row>
    <row r="483">
      <c r="D483">
        <f>IF(C483="","",MIN(C483,Settings!$B$2))</f>
        <v/>
      </c>
      <c r="E483">
        <f>IF(C483="","",MAX(0,C483-D483))</f>
        <v/>
      </c>
    </row>
    <row r="484">
      <c r="D484">
        <f>IF(C484="","",MIN(C484,Settings!$B$2))</f>
        <v/>
      </c>
      <c r="E484">
        <f>IF(C484="","",MAX(0,C484-D484))</f>
        <v/>
      </c>
    </row>
    <row r="485">
      <c r="D485">
        <f>IF(C485="","",MIN(C485,Settings!$B$2))</f>
        <v/>
      </c>
      <c r="E485">
        <f>IF(C485="","",MAX(0,C485-D485))</f>
        <v/>
      </c>
    </row>
    <row r="486">
      <c r="D486">
        <f>IF(C486="","",MIN(C486,Settings!$B$2))</f>
        <v/>
      </c>
      <c r="E486">
        <f>IF(C486="","",MAX(0,C486-D486))</f>
        <v/>
      </c>
    </row>
    <row r="487">
      <c r="D487">
        <f>IF(C487="","",MIN(C487,Settings!$B$2))</f>
        <v/>
      </c>
      <c r="E487">
        <f>IF(C487="","",MAX(0,C487-D487))</f>
        <v/>
      </c>
    </row>
    <row r="488">
      <c r="D488">
        <f>IF(C488="","",MIN(C488,Settings!$B$2))</f>
        <v/>
      </c>
      <c r="E488">
        <f>IF(C488="","",MAX(0,C488-D488))</f>
        <v/>
      </c>
    </row>
    <row r="489">
      <c r="D489">
        <f>IF(C489="","",MIN(C489,Settings!$B$2))</f>
        <v/>
      </c>
      <c r="E489">
        <f>IF(C489="","",MAX(0,C489-D489))</f>
        <v/>
      </c>
    </row>
    <row r="490">
      <c r="D490">
        <f>IF(C490="","",MIN(C490,Settings!$B$2))</f>
        <v/>
      </c>
      <c r="E490">
        <f>IF(C490="","",MAX(0,C490-D490))</f>
        <v/>
      </c>
    </row>
    <row r="491">
      <c r="D491">
        <f>IF(C491="","",MIN(C491,Settings!$B$2))</f>
        <v/>
      </c>
      <c r="E491">
        <f>IF(C491="","",MAX(0,C491-D491))</f>
        <v/>
      </c>
    </row>
    <row r="492">
      <c r="D492">
        <f>IF(C492="","",MIN(C492,Settings!$B$2))</f>
        <v/>
      </c>
      <c r="E492">
        <f>IF(C492="","",MAX(0,C492-D492))</f>
        <v/>
      </c>
    </row>
    <row r="493">
      <c r="D493">
        <f>IF(C493="","",MIN(C493,Settings!$B$2))</f>
        <v/>
      </c>
      <c r="E493">
        <f>IF(C493="","",MAX(0,C493-D493))</f>
        <v/>
      </c>
    </row>
    <row r="494">
      <c r="D494">
        <f>IF(C494="","",MIN(C494,Settings!$B$2))</f>
        <v/>
      </c>
      <c r="E494">
        <f>IF(C494="","",MAX(0,C494-D494))</f>
        <v/>
      </c>
    </row>
    <row r="495">
      <c r="D495">
        <f>IF(C495="","",MIN(C495,Settings!$B$2))</f>
        <v/>
      </c>
      <c r="E495">
        <f>IF(C495="","",MAX(0,C495-D495))</f>
        <v/>
      </c>
    </row>
    <row r="496">
      <c r="D496">
        <f>IF(C496="","",MIN(C496,Settings!$B$2))</f>
        <v/>
      </c>
      <c r="E496">
        <f>IF(C496="","",MAX(0,C496-D496))</f>
        <v/>
      </c>
    </row>
    <row r="497">
      <c r="D497">
        <f>IF(C497="","",MIN(C497,Settings!$B$2))</f>
        <v/>
      </c>
      <c r="E497">
        <f>IF(C497="","",MAX(0,C497-D497))</f>
        <v/>
      </c>
    </row>
    <row r="498">
      <c r="D498">
        <f>IF(C498="","",MIN(C498,Settings!$B$2))</f>
        <v/>
      </c>
      <c r="E498">
        <f>IF(C498="","",MAX(0,C498-D498))</f>
        <v/>
      </c>
    </row>
    <row r="499">
      <c r="D499">
        <f>IF(C499="","",MIN(C499,Settings!$B$2))</f>
        <v/>
      </c>
      <c r="E499">
        <f>IF(C499="","",MAX(0,C499-D499))</f>
        <v/>
      </c>
    </row>
    <row r="500">
      <c r="D500">
        <f>IF(C500="","",MIN(C500,Settings!$B$2))</f>
        <v/>
      </c>
      <c r="E500">
        <f>IF(C500="","",MAX(0,C500-D500))</f>
        <v/>
      </c>
    </row>
    <row r="501">
      <c r="D501">
        <f>IF(C501="","",MIN(C501,Settings!$B$2))</f>
        <v/>
      </c>
      <c r="E501">
        <f>IF(C501="","",MAX(0,C501-D501))</f>
        <v/>
      </c>
    </row>
    <row r="502">
      <c r="D502">
        <f>IF(C502="","",MIN(C502,Settings!$B$2))</f>
        <v/>
      </c>
      <c r="E502">
        <f>IF(C502="","",MAX(0,C502-D502))</f>
        <v/>
      </c>
    </row>
    <row r="503">
      <c r="D503">
        <f>IF(C503="","",MIN(C503,Settings!$B$2))</f>
        <v/>
      </c>
      <c r="E503">
        <f>IF(C503="","",MAX(0,C503-D503))</f>
        <v/>
      </c>
    </row>
    <row r="504">
      <c r="D504">
        <f>IF(C504="","",MIN(C504,Settings!$B$2))</f>
        <v/>
      </c>
      <c r="E504">
        <f>IF(C504="","",MAX(0,C504-D504))</f>
        <v/>
      </c>
    </row>
    <row r="505">
      <c r="D505">
        <f>IF(C505="","",MIN(C505,Settings!$B$2))</f>
        <v/>
      </c>
      <c r="E505">
        <f>IF(C505="","",MAX(0,C505-D505))</f>
        <v/>
      </c>
    </row>
    <row r="506">
      <c r="D506">
        <f>IF(C506="","",MIN(C506,Settings!$B$2))</f>
        <v/>
      </c>
      <c r="E506">
        <f>IF(C506="","",MAX(0,C506-D506))</f>
        <v/>
      </c>
    </row>
    <row r="507">
      <c r="D507">
        <f>IF(C507="","",MIN(C507,Settings!$B$2))</f>
        <v/>
      </c>
      <c r="E507">
        <f>IF(C507="","",MAX(0,C507-D507))</f>
        <v/>
      </c>
    </row>
    <row r="508">
      <c r="D508">
        <f>IF(C508="","",MIN(C508,Settings!$B$2))</f>
        <v/>
      </c>
      <c r="E508">
        <f>IF(C508="","",MAX(0,C508-D508))</f>
        <v/>
      </c>
    </row>
    <row r="509">
      <c r="D509">
        <f>IF(C509="","",MIN(C509,Settings!$B$2))</f>
        <v/>
      </c>
      <c r="E509">
        <f>IF(C509="","",MAX(0,C509-D509))</f>
        <v/>
      </c>
    </row>
    <row r="510">
      <c r="D510">
        <f>IF(C510="","",MIN(C510,Settings!$B$2))</f>
        <v/>
      </c>
      <c r="E510">
        <f>IF(C510="","",MAX(0,C510-D510))</f>
        <v/>
      </c>
    </row>
    <row r="511">
      <c r="D511">
        <f>IF(C511="","",MIN(C511,Settings!$B$2))</f>
        <v/>
      </c>
      <c r="E511">
        <f>IF(C511="","",MAX(0,C511-D511))</f>
        <v/>
      </c>
    </row>
    <row r="512">
      <c r="D512">
        <f>IF(C512="","",MIN(C512,Settings!$B$2))</f>
        <v/>
      </c>
      <c r="E512">
        <f>IF(C512="","",MAX(0,C512-D512))</f>
        <v/>
      </c>
    </row>
    <row r="513">
      <c r="D513">
        <f>IF(C513="","",MIN(C513,Settings!$B$2))</f>
        <v/>
      </c>
      <c r="E513">
        <f>IF(C513="","",MAX(0,C513-D513))</f>
        <v/>
      </c>
    </row>
    <row r="514">
      <c r="D514">
        <f>IF(C514="","",MIN(C514,Settings!$B$2))</f>
        <v/>
      </c>
      <c r="E514">
        <f>IF(C514="","",MAX(0,C514-D514))</f>
        <v/>
      </c>
    </row>
    <row r="515">
      <c r="D515">
        <f>IF(C515="","",MIN(C515,Settings!$B$2))</f>
        <v/>
      </c>
      <c r="E515">
        <f>IF(C515="","",MAX(0,C515-D515))</f>
        <v/>
      </c>
    </row>
    <row r="516">
      <c r="D516">
        <f>IF(C516="","",MIN(C516,Settings!$B$2))</f>
        <v/>
      </c>
      <c r="E516">
        <f>IF(C516="","",MAX(0,C516-D516))</f>
        <v/>
      </c>
    </row>
    <row r="517">
      <c r="D517">
        <f>IF(C517="","",MIN(C517,Settings!$B$2))</f>
        <v/>
      </c>
      <c r="E517">
        <f>IF(C517="","",MAX(0,C517-D517))</f>
        <v/>
      </c>
    </row>
    <row r="518">
      <c r="D518">
        <f>IF(C518="","",MIN(C518,Settings!$B$2))</f>
        <v/>
      </c>
      <c r="E518">
        <f>IF(C518="","",MAX(0,C518-D518))</f>
        <v/>
      </c>
    </row>
    <row r="519">
      <c r="D519">
        <f>IF(C519="","",MIN(C519,Settings!$B$2))</f>
        <v/>
      </c>
      <c r="E519">
        <f>IF(C519="","",MAX(0,C519-D519))</f>
        <v/>
      </c>
    </row>
    <row r="520">
      <c r="D520">
        <f>IF(C520="","",MIN(C520,Settings!$B$2))</f>
        <v/>
      </c>
      <c r="E520">
        <f>IF(C520="","",MAX(0,C520-D520))</f>
        <v/>
      </c>
    </row>
    <row r="521">
      <c r="D521">
        <f>IF(C521="","",MIN(C521,Settings!$B$2))</f>
        <v/>
      </c>
      <c r="E521">
        <f>IF(C521="","",MAX(0,C521-D521))</f>
        <v/>
      </c>
    </row>
    <row r="522">
      <c r="D522">
        <f>IF(C522="","",MIN(C522,Settings!$B$2))</f>
        <v/>
      </c>
      <c r="E522">
        <f>IF(C522="","",MAX(0,C522-D522))</f>
        <v/>
      </c>
    </row>
    <row r="523">
      <c r="D523">
        <f>IF(C523="","",MIN(C523,Settings!$B$2))</f>
        <v/>
      </c>
      <c r="E523">
        <f>IF(C523="","",MAX(0,C523-D523))</f>
        <v/>
      </c>
    </row>
    <row r="524">
      <c r="D524">
        <f>IF(C524="","",MIN(C524,Settings!$B$2))</f>
        <v/>
      </c>
      <c r="E524">
        <f>IF(C524="","",MAX(0,C524-D524))</f>
        <v/>
      </c>
    </row>
    <row r="525">
      <c r="D525">
        <f>IF(C525="","",MIN(C525,Settings!$B$2))</f>
        <v/>
      </c>
      <c r="E525">
        <f>IF(C525="","",MAX(0,C525-D525))</f>
        <v/>
      </c>
    </row>
    <row r="526">
      <c r="D526">
        <f>IF(C526="","",MIN(C526,Settings!$B$2))</f>
        <v/>
      </c>
      <c r="E526">
        <f>IF(C526="","",MAX(0,C526-D526))</f>
        <v/>
      </c>
    </row>
    <row r="527">
      <c r="D527">
        <f>IF(C527="","",MIN(C527,Settings!$B$2))</f>
        <v/>
      </c>
      <c r="E527">
        <f>IF(C527="","",MAX(0,C527-D527))</f>
        <v/>
      </c>
    </row>
    <row r="528">
      <c r="D528">
        <f>IF(C528="","",MIN(C528,Settings!$B$2))</f>
        <v/>
      </c>
      <c r="E528">
        <f>IF(C528="","",MAX(0,C528-D528))</f>
        <v/>
      </c>
    </row>
    <row r="529">
      <c r="D529">
        <f>IF(C529="","",MIN(C529,Settings!$B$2))</f>
        <v/>
      </c>
      <c r="E529">
        <f>IF(C529="","",MAX(0,C529-D529))</f>
        <v/>
      </c>
    </row>
    <row r="530">
      <c r="D530">
        <f>IF(C530="","",MIN(C530,Settings!$B$2))</f>
        <v/>
      </c>
      <c r="E530">
        <f>IF(C530="","",MAX(0,C530-D530))</f>
        <v/>
      </c>
    </row>
    <row r="531">
      <c r="D531">
        <f>IF(C531="","",MIN(C531,Settings!$B$2))</f>
        <v/>
      </c>
      <c r="E531">
        <f>IF(C531="","",MAX(0,C531-D531))</f>
        <v/>
      </c>
    </row>
    <row r="532">
      <c r="D532">
        <f>IF(C532="","",MIN(C532,Settings!$B$2))</f>
        <v/>
      </c>
      <c r="E532">
        <f>IF(C532="","",MAX(0,C532-D532))</f>
        <v/>
      </c>
    </row>
    <row r="533">
      <c r="D533">
        <f>IF(C533="","",MIN(C533,Settings!$B$2))</f>
        <v/>
      </c>
      <c r="E533">
        <f>IF(C533="","",MAX(0,C533-D533))</f>
        <v/>
      </c>
    </row>
    <row r="534">
      <c r="D534">
        <f>IF(C534="","",MIN(C534,Settings!$B$2))</f>
        <v/>
      </c>
      <c r="E534">
        <f>IF(C534="","",MAX(0,C534-D534))</f>
        <v/>
      </c>
    </row>
    <row r="535">
      <c r="D535">
        <f>IF(C535="","",MIN(C535,Settings!$B$2))</f>
        <v/>
      </c>
      <c r="E535">
        <f>IF(C535="","",MAX(0,C535-D535))</f>
        <v/>
      </c>
    </row>
    <row r="536">
      <c r="D536">
        <f>IF(C536="","",MIN(C536,Settings!$B$2))</f>
        <v/>
      </c>
      <c r="E536">
        <f>IF(C536="","",MAX(0,C536-D536))</f>
        <v/>
      </c>
    </row>
    <row r="537">
      <c r="D537">
        <f>IF(C537="","",MIN(C537,Settings!$B$2))</f>
        <v/>
      </c>
      <c r="E537">
        <f>IF(C537="","",MAX(0,C537-D537))</f>
        <v/>
      </c>
    </row>
    <row r="538">
      <c r="D538">
        <f>IF(C538="","",MIN(C538,Settings!$B$2))</f>
        <v/>
      </c>
      <c r="E538">
        <f>IF(C538="","",MAX(0,C538-D538))</f>
        <v/>
      </c>
    </row>
    <row r="539">
      <c r="D539">
        <f>IF(C539="","",MIN(C539,Settings!$B$2))</f>
        <v/>
      </c>
      <c r="E539">
        <f>IF(C539="","",MAX(0,C539-D539))</f>
        <v/>
      </c>
    </row>
    <row r="540">
      <c r="D540">
        <f>IF(C540="","",MIN(C540,Settings!$B$2))</f>
        <v/>
      </c>
      <c r="E540">
        <f>IF(C540="","",MAX(0,C540-D540))</f>
        <v/>
      </c>
    </row>
    <row r="541">
      <c r="D541">
        <f>IF(C541="","",MIN(C541,Settings!$B$2))</f>
        <v/>
      </c>
      <c r="E541">
        <f>IF(C541="","",MAX(0,C541-D541))</f>
        <v/>
      </c>
    </row>
    <row r="542">
      <c r="D542">
        <f>IF(C542="","",MIN(C542,Settings!$B$2))</f>
        <v/>
      </c>
      <c r="E542">
        <f>IF(C542="","",MAX(0,C542-D542))</f>
        <v/>
      </c>
    </row>
    <row r="543">
      <c r="D543">
        <f>IF(C543="","",MIN(C543,Settings!$B$2))</f>
        <v/>
      </c>
      <c r="E543">
        <f>IF(C543="","",MAX(0,C543-D543))</f>
        <v/>
      </c>
    </row>
    <row r="544">
      <c r="D544">
        <f>IF(C544="","",MIN(C544,Settings!$B$2))</f>
        <v/>
      </c>
      <c r="E544">
        <f>IF(C544="","",MAX(0,C544-D544))</f>
        <v/>
      </c>
    </row>
    <row r="545">
      <c r="D545">
        <f>IF(C545="","",MIN(C545,Settings!$B$2))</f>
        <v/>
      </c>
      <c r="E545">
        <f>IF(C545="","",MAX(0,C545-D545))</f>
        <v/>
      </c>
    </row>
    <row r="546">
      <c r="D546">
        <f>IF(C546="","",MIN(C546,Settings!$B$2))</f>
        <v/>
      </c>
      <c r="E546">
        <f>IF(C546="","",MAX(0,C546-D546))</f>
        <v/>
      </c>
    </row>
    <row r="547">
      <c r="D547">
        <f>IF(C547="","",MIN(C547,Settings!$B$2))</f>
        <v/>
      </c>
      <c r="E547">
        <f>IF(C547="","",MAX(0,C547-D547))</f>
        <v/>
      </c>
    </row>
    <row r="548">
      <c r="D548">
        <f>IF(C548="","",MIN(C548,Settings!$B$2))</f>
        <v/>
      </c>
      <c r="E548">
        <f>IF(C548="","",MAX(0,C548-D548))</f>
        <v/>
      </c>
    </row>
    <row r="549">
      <c r="D549">
        <f>IF(C549="","",MIN(C549,Settings!$B$2))</f>
        <v/>
      </c>
      <c r="E549">
        <f>IF(C549="","",MAX(0,C549-D549))</f>
        <v/>
      </c>
    </row>
    <row r="550">
      <c r="D550">
        <f>IF(C550="","",MIN(C550,Settings!$B$2))</f>
        <v/>
      </c>
      <c r="E550">
        <f>IF(C550="","",MAX(0,C550-D550))</f>
        <v/>
      </c>
    </row>
    <row r="551">
      <c r="D551">
        <f>IF(C551="","",MIN(C551,Settings!$B$2))</f>
        <v/>
      </c>
      <c r="E551">
        <f>IF(C551="","",MAX(0,C551-D551))</f>
        <v/>
      </c>
    </row>
    <row r="552">
      <c r="D552">
        <f>IF(C552="","",MIN(C552,Settings!$B$2))</f>
        <v/>
      </c>
      <c r="E552">
        <f>IF(C552="","",MAX(0,C552-D552))</f>
        <v/>
      </c>
    </row>
    <row r="553">
      <c r="D553">
        <f>IF(C553="","",MIN(C553,Settings!$B$2))</f>
        <v/>
      </c>
      <c r="E553">
        <f>IF(C553="","",MAX(0,C553-D553))</f>
        <v/>
      </c>
    </row>
    <row r="554">
      <c r="D554">
        <f>IF(C554="","",MIN(C554,Settings!$B$2))</f>
        <v/>
      </c>
      <c r="E554">
        <f>IF(C554="","",MAX(0,C554-D554))</f>
        <v/>
      </c>
    </row>
    <row r="555">
      <c r="D555">
        <f>IF(C555="","",MIN(C555,Settings!$B$2))</f>
        <v/>
      </c>
      <c r="E555">
        <f>IF(C555="","",MAX(0,C555-D555))</f>
        <v/>
      </c>
    </row>
    <row r="556">
      <c r="D556">
        <f>IF(C556="","",MIN(C556,Settings!$B$2))</f>
        <v/>
      </c>
      <c r="E556">
        <f>IF(C556="","",MAX(0,C556-D556))</f>
        <v/>
      </c>
    </row>
    <row r="557">
      <c r="D557">
        <f>IF(C557="","",MIN(C557,Settings!$B$2))</f>
        <v/>
      </c>
      <c r="E557">
        <f>IF(C557="","",MAX(0,C557-D557))</f>
        <v/>
      </c>
    </row>
    <row r="558">
      <c r="D558">
        <f>IF(C558="","",MIN(C558,Settings!$B$2))</f>
        <v/>
      </c>
      <c r="E558">
        <f>IF(C558="","",MAX(0,C558-D558))</f>
        <v/>
      </c>
    </row>
    <row r="559">
      <c r="D559">
        <f>IF(C559="","",MIN(C559,Settings!$B$2))</f>
        <v/>
      </c>
      <c r="E559">
        <f>IF(C559="","",MAX(0,C559-D559))</f>
        <v/>
      </c>
    </row>
    <row r="560">
      <c r="D560">
        <f>IF(C560="","",MIN(C560,Settings!$B$2))</f>
        <v/>
      </c>
      <c r="E560">
        <f>IF(C560="","",MAX(0,C560-D560))</f>
        <v/>
      </c>
    </row>
    <row r="561">
      <c r="D561">
        <f>IF(C561="","",MIN(C561,Settings!$B$2))</f>
        <v/>
      </c>
      <c r="E561">
        <f>IF(C561="","",MAX(0,C561-D561))</f>
        <v/>
      </c>
    </row>
    <row r="562">
      <c r="D562">
        <f>IF(C562="","",MIN(C562,Settings!$B$2))</f>
        <v/>
      </c>
      <c r="E562">
        <f>IF(C562="","",MAX(0,C562-D562))</f>
        <v/>
      </c>
    </row>
    <row r="563">
      <c r="D563">
        <f>IF(C563="","",MIN(C563,Settings!$B$2))</f>
        <v/>
      </c>
      <c r="E563">
        <f>IF(C563="","",MAX(0,C563-D563))</f>
        <v/>
      </c>
    </row>
    <row r="564">
      <c r="D564">
        <f>IF(C564="","",MIN(C564,Settings!$B$2))</f>
        <v/>
      </c>
      <c r="E564">
        <f>IF(C564="","",MAX(0,C564-D564))</f>
        <v/>
      </c>
    </row>
    <row r="565">
      <c r="D565">
        <f>IF(C565="","",MIN(C565,Settings!$B$2))</f>
        <v/>
      </c>
      <c r="E565">
        <f>IF(C565="","",MAX(0,C565-D565))</f>
        <v/>
      </c>
    </row>
    <row r="566">
      <c r="D566">
        <f>IF(C566="","",MIN(C566,Settings!$B$2))</f>
        <v/>
      </c>
      <c r="E566">
        <f>IF(C566="","",MAX(0,C566-D566))</f>
        <v/>
      </c>
    </row>
    <row r="567">
      <c r="D567">
        <f>IF(C567="","",MIN(C567,Settings!$B$2))</f>
        <v/>
      </c>
      <c r="E567">
        <f>IF(C567="","",MAX(0,C567-D567))</f>
        <v/>
      </c>
    </row>
    <row r="568">
      <c r="D568">
        <f>IF(C568="","",MIN(C568,Settings!$B$2))</f>
        <v/>
      </c>
      <c r="E568">
        <f>IF(C568="","",MAX(0,C568-D568))</f>
        <v/>
      </c>
    </row>
    <row r="569">
      <c r="D569">
        <f>IF(C569="","",MIN(C569,Settings!$B$2))</f>
        <v/>
      </c>
      <c r="E569">
        <f>IF(C569="","",MAX(0,C569-D569))</f>
        <v/>
      </c>
    </row>
    <row r="570">
      <c r="D570">
        <f>IF(C570="","",MIN(C570,Settings!$B$2))</f>
        <v/>
      </c>
      <c r="E570">
        <f>IF(C570="","",MAX(0,C570-D570))</f>
        <v/>
      </c>
    </row>
    <row r="571">
      <c r="D571">
        <f>IF(C571="","",MIN(C571,Settings!$B$2))</f>
        <v/>
      </c>
      <c r="E571">
        <f>IF(C571="","",MAX(0,C571-D571))</f>
        <v/>
      </c>
    </row>
    <row r="572">
      <c r="D572">
        <f>IF(C572="","",MIN(C572,Settings!$B$2))</f>
        <v/>
      </c>
      <c r="E572">
        <f>IF(C572="","",MAX(0,C572-D572))</f>
        <v/>
      </c>
    </row>
    <row r="573">
      <c r="D573">
        <f>IF(C573="","",MIN(C573,Settings!$B$2))</f>
        <v/>
      </c>
      <c r="E573">
        <f>IF(C573="","",MAX(0,C573-D573))</f>
        <v/>
      </c>
    </row>
    <row r="574">
      <c r="D574">
        <f>IF(C574="","",MIN(C574,Settings!$B$2))</f>
        <v/>
      </c>
      <c r="E574">
        <f>IF(C574="","",MAX(0,C574-D574))</f>
        <v/>
      </c>
    </row>
    <row r="575">
      <c r="D575">
        <f>IF(C575="","",MIN(C575,Settings!$B$2))</f>
        <v/>
      </c>
      <c r="E575">
        <f>IF(C575="","",MAX(0,C575-D575))</f>
        <v/>
      </c>
    </row>
    <row r="576">
      <c r="D576">
        <f>IF(C576="","",MIN(C576,Settings!$B$2))</f>
        <v/>
      </c>
      <c r="E576">
        <f>IF(C576="","",MAX(0,C576-D576))</f>
        <v/>
      </c>
    </row>
    <row r="577">
      <c r="D577">
        <f>IF(C577="","",MIN(C577,Settings!$B$2))</f>
        <v/>
      </c>
      <c r="E577">
        <f>IF(C577="","",MAX(0,C577-D577))</f>
        <v/>
      </c>
    </row>
    <row r="578">
      <c r="D578">
        <f>IF(C578="","",MIN(C578,Settings!$B$2))</f>
        <v/>
      </c>
      <c r="E578">
        <f>IF(C578="","",MAX(0,C578-D578))</f>
        <v/>
      </c>
    </row>
    <row r="579">
      <c r="D579">
        <f>IF(C579="","",MIN(C579,Settings!$B$2))</f>
        <v/>
      </c>
      <c r="E579">
        <f>IF(C579="","",MAX(0,C579-D579))</f>
        <v/>
      </c>
    </row>
    <row r="580">
      <c r="D580">
        <f>IF(C580="","",MIN(C580,Settings!$B$2))</f>
        <v/>
      </c>
      <c r="E580">
        <f>IF(C580="","",MAX(0,C580-D580))</f>
        <v/>
      </c>
    </row>
    <row r="581">
      <c r="D581">
        <f>IF(C581="","",MIN(C581,Settings!$B$2))</f>
        <v/>
      </c>
      <c r="E581">
        <f>IF(C581="","",MAX(0,C581-D581))</f>
        <v/>
      </c>
    </row>
    <row r="582">
      <c r="D582">
        <f>IF(C582="","",MIN(C582,Settings!$B$2))</f>
        <v/>
      </c>
      <c r="E582">
        <f>IF(C582="","",MAX(0,C582-D582))</f>
        <v/>
      </c>
    </row>
    <row r="583">
      <c r="D583">
        <f>IF(C583="","",MIN(C583,Settings!$B$2))</f>
        <v/>
      </c>
      <c r="E583">
        <f>IF(C583="","",MAX(0,C583-D583))</f>
        <v/>
      </c>
    </row>
    <row r="584">
      <c r="D584">
        <f>IF(C584="","",MIN(C584,Settings!$B$2))</f>
        <v/>
      </c>
      <c r="E584">
        <f>IF(C584="","",MAX(0,C584-D584))</f>
        <v/>
      </c>
    </row>
    <row r="585">
      <c r="D585">
        <f>IF(C585="","",MIN(C585,Settings!$B$2))</f>
        <v/>
      </c>
      <c r="E585">
        <f>IF(C585="","",MAX(0,C585-D585))</f>
        <v/>
      </c>
    </row>
    <row r="586">
      <c r="D586">
        <f>IF(C586="","",MIN(C586,Settings!$B$2))</f>
        <v/>
      </c>
      <c r="E586">
        <f>IF(C586="","",MAX(0,C586-D586))</f>
        <v/>
      </c>
    </row>
    <row r="587">
      <c r="D587">
        <f>IF(C587="","",MIN(C587,Settings!$B$2))</f>
        <v/>
      </c>
      <c r="E587">
        <f>IF(C587="","",MAX(0,C587-D587))</f>
        <v/>
      </c>
    </row>
    <row r="588">
      <c r="D588">
        <f>IF(C588="","",MIN(C588,Settings!$B$2))</f>
        <v/>
      </c>
      <c r="E588">
        <f>IF(C588="","",MAX(0,C588-D588))</f>
        <v/>
      </c>
    </row>
    <row r="589">
      <c r="D589">
        <f>IF(C589="","",MIN(C589,Settings!$B$2))</f>
        <v/>
      </c>
      <c r="E589">
        <f>IF(C589="","",MAX(0,C589-D589))</f>
        <v/>
      </c>
    </row>
    <row r="590">
      <c r="D590">
        <f>IF(C590="","",MIN(C590,Settings!$B$2))</f>
        <v/>
      </c>
      <c r="E590">
        <f>IF(C590="","",MAX(0,C590-D590))</f>
        <v/>
      </c>
    </row>
    <row r="591">
      <c r="D591">
        <f>IF(C591="","",MIN(C591,Settings!$B$2))</f>
        <v/>
      </c>
      <c r="E591">
        <f>IF(C591="","",MAX(0,C591-D591))</f>
        <v/>
      </c>
    </row>
    <row r="592">
      <c r="D592">
        <f>IF(C592="","",MIN(C592,Settings!$B$2))</f>
        <v/>
      </c>
      <c r="E592">
        <f>IF(C592="","",MAX(0,C592-D592))</f>
        <v/>
      </c>
    </row>
    <row r="593">
      <c r="D593">
        <f>IF(C593="","",MIN(C593,Settings!$B$2))</f>
        <v/>
      </c>
      <c r="E593">
        <f>IF(C593="","",MAX(0,C593-D593))</f>
        <v/>
      </c>
    </row>
    <row r="594">
      <c r="D594">
        <f>IF(C594="","",MIN(C594,Settings!$B$2))</f>
        <v/>
      </c>
      <c r="E594">
        <f>IF(C594="","",MAX(0,C594-D594))</f>
        <v/>
      </c>
    </row>
    <row r="595">
      <c r="D595">
        <f>IF(C595="","",MIN(C595,Settings!$B$2))</f>
        <v/>
      </c>
      <c r="E595">
        <f>IF(C595="","",MAX(0,C595-D595))</f>
        <v/>
      </c>
    </row>
    <row r="596">
      <c r="D596">
        <f>IF(C596="","",MIN(C596,Settings!$B$2))</f>
        <v/>
      </c>
      <c r="E596">
        <f>IF(C596="","",MAX(0,C596-D596))</f>
        <v/>
      </c>
    </row>
    <row r="597">
      <c r="D597">
        <f>IF(C597="","",MIN(C597,Settings!$B$2))</f>
        <v/>
      </c>
      <c r="E597">
        <f>IF(C597="","",MAX(0,C597-D597))</f>
        <v/>
      </c>
    </row>
    <row r="598">
      <c r="D598">
        <f>IF(C598="","",MIN(C598,Settings!$B$2))</f>
        <v/>
      </c>
      <c r="E598">
        <f>IF(C598="","",MAX(0,C598-D598))</f>
        <v/>
      </c>
    </row>
    <row r="599">
      <c r="D599">
        <f>IF(C599="","",MIN(C599,Settings!$B$2))</f>
        <v/>
      </c>
      <c r="E599">
        <f>IF(C599="","",MAX(0,C599-D599))</f>
        <v/>
      </c>
    </row>
    <row r="600">
      <c r="D600">
        <f>IF(C600="","",MIN(C600,Settings!$B$2))</f>
        <v/>
      </c>
      <c r="E600">
        <f>IF(C600="","",MAX(0,C600-D600))</f>
        <v/>
      </c>
    </row>
    <row r="601">
      <c r="D601">
        <f>IF(C601="","",MIN(C601,Settings!$B$2))</f>
        <v/>
      </c>
      <c r="E601">
        <f>IF(C601="","",MAX(0,C601-D601))</f>
        <v/>
      </c>
    </row>
    <row r="602">
      <c r="D602">
        <f>IF(C602="","",MIN(C602,Settings!$B$2))</f>
        <v/>
      </c>
      <c r="E602">
        <f>IF(C602="","",MAX(0,C602-D602))</f>
        <v/>
      </c>
    </row>
    <row r="603">
      <c r="D603">
        <f>IF(C603="","",MIN(C603,Settings!$B$2))</f>
        <v/>
      </c>
      <c r="E603">
        <f>IF(C603="","",MAX(0,C603-D603))</f>
        <v/>
      </c>
    </row>
    <row r="604">
      <c r="D604">
        <f>IF(C604="","",MIN(C604,Settings!$B$2))</f>
        <v/>
      </c>
      <c r="E604">
        <f>IF(C604="","",MAX(0,C604-D604))</f>
        <v/>
      </c>
    </row>
    <row r="605">
      <c r="D605">
        <f>IF(C605="","",MIN(C605,Settings!$B$2))</f>
        <v/>
      </c>
      <c r="E605">
        <f>IF(C605="","",MAX(0,C605-D605))</f>
        <v/>
      </c>
    </row>
    <row r="606">
      <c r="D606">
        <f>IF(C606="","",MIN(C606,Settings!$B$2))</f>
        <v/>
      </c>
      <c r="E606">
        <f>IF(C606="","",MAX(0,C606-D606))</f>
        <v/>
      </c>
    </row>
    <row r="607">
      <c r="D607">
        <f>IF(C607="","",MIN(C607,Settings!$B$2))</f>
        <v/>
      </c>
      <c r="E607">
        <f>IF(C607="","",MAX(0,C607-D607))</f>
        <v/>
      </c>
    </row>
    <row r="608">
      <c r="D608">
        <f>IF(C608="","",MIN(C608,Settings!$B$2))</f>
        <v/>
      </c>
      <c r="E608">
        <f>IF(C608="","",MAX(0,C608-D608))</f>
        <v/>
      </c>
    </row>
    <row r="609">
      <c r="D609">
        <f>IF(C609="","",MIN(C609,Settings!$B$2))</f>
        <v/>
      </c>
      <c r="E609">
        <f>IF(C609="","",MAX(0,C609-D609))</f>
        <v/>
      </c>
    </row>
    <row r="610">
      <c r="D610">
        <f>IF(C610="","",MIN(C610,Settings!$B$2))</f>
        <v/>
      </c>
      <c r="E610">
        <f>IF(C610="","",MAX(0,C610-D610))</f>
        <v/>
      </c>
    </row>
    <row r="611">
      <c r="D611">
        <f>IF(C611="","",MIN(C611,Settings!$B$2))</f>
        <v/>
      </c>
      <c r="E611">
        <f>IF(C611="","",MAX(0,C611-D611))</f>
        <v/>
      </c>
    </row>
    <row r="612">
      <c r="D612">
        <f>IF(C612="","",MIN(C612,Settings!$B$2))</f>
        <v/>
      </c>
      <c r="E612">
        <f>IF(C612="","",MAX(0,C612-D612))</f>
        <v/>
      </c>
    </row>
    <row r="613">
      <c r="D613">
        <f>IF(C613="","",MIN(C613,Settings!$B$2))</f>
        <v/>
      </c>
      <c r="E613">
        <f>IF(C613="","",MAX(0,C613-D613))</f>
        <v/>
      </c>
    </row>
    <row r="614">
      <c r="D614">
        <f>IF(C614="","",MIN(C614,Settings!$B$2))</f>
        <v/>
      </c>
      <c r="E614">
        <f>IF(C614="","",MAX(0,C614-D614))</f>
        <v/>
      </c>
    </row>
    <row r="615">
      <c r="D615">
        <f>IF(C615="","",MIN(C615,Settings!$B$2))</f>
        <v/>
      </c>
      <c r="E615">
        <f>IF(C615="","",MAX(0,C615-D615))</f>
        <v/>
      </c>
    </row>
    <row r="616">
      <c r="D616">
        <f>IF(C616="","",MIN(C616,Settings!$B$2))</f>
        <v/>
      </c>
      <c r="E616">
        <f>IF(C616="","",MAX(0,C616-D616))</f>
        <v/>
      </c>
    </row>
    <row r="617">
      <c r="D617">
        <f>IF(C617="","",MIN(C617,Settings!$B$2))</f>
        <v/>
      </c>
      <c r="E617">
        <f>IF(C617="","",MAX(0,C617-D617))</f>
        <v/>
      </c>
    </row>
    <row r="618">
      <c r="D618">
        <f>IF(C618="","",MIN(C618,Settings!$B$2))</f>
        <v/>
      </c>
      <c r="E618">
        <f>IF(C618="","",MAX(0,C618-D618))</f>
        <v/>
      </c>
    </row>
    <row r="619">
      <c r="D619">
        <f>IF(C619="","",MIN(C619,Settings!$B$2))</f>
        <v/>
      </c>
      <c r="E619">
        <f>IF(C619="","",MAX(0,C619-D619))</f>
        <v/>
      </c>
    </row>
    <row r="620">
      <c r="D620">
        <f>IF(C620="","",MIN(C620,Settings!$B$2))</f>
        <v/>
      </c>
      <c r="E620">
        <f>IF(C620="","",MAX(0,C620-D620))</f>
        <v/>
      </c>
    </row>
    <row r="621">
      <c r="D621">
        <f>IF(C621="","",MIN(C621,Settings!$B$2))</f>
        <v/>
      </c>
      <c r="E621">
        <f>IF(C621="","",MAX(0,C621-D621))</f>
        <v/>
      </c>
    </row>
    <row r="622">
      <c r="D622">
        <f>IF(C622="","",MIN(C622,Settings!$B$2))</f>
        <v/>
      </c>
      <c r="E622">
        <f>IF(C622="","",MAX(0,C622-D622))</f>
        <v/>
      </c>
    </row>
    <row r="623">
      <c r="D623">
        <f>IF(C623="","",MIN(C623,Settings!$B$2))</f>
        <v/>
      </c>
      <c r="E623">
        <f>IF(C623="","",MAX(0,C623-D623))</f>
        <v/>
      </c>
    </row>
    <row r="624">
      <c r="D624">
        <f>IF(C624="","",MIN(C624,Settings!$B$2))</f>
        <v/>
      </c>
      <c r="E624">
        <f>IF(C624="","",MAX(0,C624-D624))</f>
        <v/>
      </c>
    </row>
    <row r="625">
      <c r="D625">
        <f>IF(C625="","",MIN(C625,Settings!$B$2))</f>
        <v/>
      </c>
      <c r="E625">
        <f>IF(C625="","",MAX(0,C625-D625))</f>
        <v/>
      </c>
    </row>
    <row r="626">
      <c r="D626">
        <f>IF(C626="","",MIN(C626,Settings!$B$2))</f>
        <v/>
      </c>
      <c r="E626">
        <f>IF(C626="","",MAX(0,C626-D626))</f>
        <v/>
      </c>
    </row>
    <row r="627">
      <c r="D627">
        <f>IF(C627="","",MIN(C627,Settings!$B$2))</f>
        <v/>
      </c>
      <c r="E627">
        <f>IF(C627="","",MAX(0,C627-D627))</f>
        <v/>
      </c>
    </row>
    <row r="628">
      <c r="D628">
        <f>IF(C628="","",MIN(C628,Settings!$B$2))</f>
        <v/>
      </c>
      <c r="E628">
        <f>IF(C628="","",MAX(0,C628-D628))</f>
        <v/>
      </c>
    </row>
    <row r="629">
      <c r="D629">
        <f>IF(C629="","",MIN(C629,Settings!$B$2))</f>
        <v/>
      </c>
      <c r="E629">
        <f>IF(C629="","",MAX(0,C629-D629))</f>
        <v/>
      </c>
    </row>
    <row r="630">
      <c r="D630">
        <f>IF(C630="","",MIN(C630,Settings!$B$2))</f>
        <v/>
      </c>
      <c r="E630">
        <f>IF(C630="","",MAX(0,C630-D630))</f>
        <v/>
      </c>
    </row>
    <row r="631">
      <c r="D631">
        <f>IF(C631="","",MIN(C631,Settings!$B$2))</f>
        <v/>
      </c>
      <c r="E631">
        <f>IF(C631="","",MAX(0,C631-D631))</f>
        <v/>
      </c>
    </row>
    <row r="632">
      <c r="D632">
        <f>IF(C632="","",MIN(C632,Settings!$B$2))</f>
        <v/>
      </c>
      <c r="E632">
        <f>IF(C632="","",MAX(0,C632-D632))</f>
        <v/>
      </c>
    </row>
    <row r="633">
      <c r="D633">
        <f>IF(C633="","",MIN(C633,Settings!$B$2))</f>
        <v/>
      </c>
      <c r="E633">
        <f>IF(C633="","",MAX(0,C633-D633))</f>
        <v/>
      </c>
    </row>
    <row r="634">
      <c r="D634">
        <f>IF(C634="","",MIN(C634,Settings!$B$2))</f>
        <v/>
      </c>
      <c r="E634">
        <f>IF(C634="","",MAX(0,C634-D634))</f>
        <v/>
      </c>
    </row>
    <row r="635">
      <c r="D635">
        <f>IF(C635="","",MIN(C635,Settings!$B$2))</f>
        <v/>
      </c>
      <c r="E635">
        <f>IF(C635="","",MAX(0,C635-D635))</f>
        <v/>
      </c>
    </row>
    <row r="636">
      <c r="D636">
        <f>IF(C636="","",MIN(C636,Settings!$B$2))</f>
        <v/>
      </c>
      <c r="E636">
        <f>IF(C636="","",MAX(0,C636-D636))</f>
        <v/>
      </c>
    </row>
    <row r="637">
      <c r="D637">
        <f>IF(C637="","",MIN(C637,Settings!$B$2))</f>
        <v/>
      </c>
      <c r="E637">
        <f>IF(C637="","",MAX(0,C637-D637))</f>
        <v/>
      </c>
    </row>
    <row r="638">
      <c r="D638">
        <f>IF(C638="","",MIN(C638,Settings!$B$2))</f>
        <v/>
      </c>
      <c r="E638">
        <f>IF(C638="","",MAX(0,C638-D638))</f>
        <v/>
      </c>
    </row>
    <row r="639">
      <c r="D639">
        <f>IF(C639="","",MIN(C639,Settings!$B$2))</f>
        <v/>
      </c>
      <c r="E639">
        <f>IF(C639="","",MAX(0,C639-D639))</f>
        <v/>
      </c>
    </row>
    <row r="640">
      <c r="D640">
        <f>IF(C640="","",MIN(C640,Settings!$B$2))</f>
        <v/>
      </c>
      <c r="E640">
        <f>IF(C640="","",MAX(0,C640-D640))</f>
        <v/>
      </c>
    </row>
    <row r="641">
      <c r="D641">
        <f>IF(C641="","",MIN(C641,Settings!$B$2))</f>
        <v/>
      </c>
      <c r="E641">
        <f>IF(C641="","",MAX(0,C641-D641))</f>
        <v/>
      </c>
    </row>
    <row r="642">
      <c r="D642">
        <f>IF(C642="","",MIN(C642,Settings!$B$2))</f>
        <v/>
      </c>
      <c r="E642">
        <f>IF(C642="","",MAX(0,C642-D642))</f>
        <v/>
      </c>
    </row>
    <row r="643">
      <c r="D643">
        <f>IF(C643="","",MIN(C643,Settings!$B$2))</f>
        <v/>
      </c>
      <c r="E643">
        <f>IF(C643="","",MAX(0,C643-D643))</f>
        <v/>
      </c>
    </row>
    <row r="644">
      <c r="D644">
        <f>IF(C644="","",MIN(C644,Settings!$B$2))</f>
        <v/>
      </c>
      <c r="E644">
        <f>IF(C644="","",MAX(0,C644-D644))</f>
        <v/>
      </c>
    </row>
    <row r="645">
      <c r="D645">
        <f>IF(C645="","",MIN(C645,Settings!$B$2))</f>
        <v/>
      </c>
      <c r="E645">
        <f>IF(C645="","",MAX(0,C645-D645))</f>
        <v/>
      </c>
    </row>
    <row r="646">
      <c r="D646">
        <f>IF(C646="","",MIN(C646,Settings!$B$2))</f>
        <v/>
      </c>
      <c r="E646">
        <f>IF(C646="","",MAX(0,C646-D646))</f>
        <v/>
      </c>
    </row>
    <row r="647">
      <c r="D647">
        <f>IF(C647="","",MIN(C647,Settings!$B$2))</f>
        <v/>
      </c>
      <c r="E647">
        <f>IF(C647="","",MAX(0,C647-D647))</f>
        <v/>
      </c>
    </row>
    <row r="648">
      <c r="D648">
        <f>IF(C648="","",MIN(C648,Settings!$B$2))</f>
        <v/>
      </c>
      <c r="E648">
        <f>IF(C648="","",MAX(0,C648-D648))</f>
        <v/>
      </c>
    </row>
    <row r="649">
      <c r="D649">
        <f>IF(C649="","",MIN(C649,Settings!$B$2))</f>
        <v/>
      </c>
      <c r="E649">
        <f>IF(C649="","",MAX(0,C649-D649))</f>
        <v/>
      </c>
    </row>
    <row r="650">
      <c r="D650">
        <f>IF(C650="","",MIN(C650,Settings!$B$2))</f>
        <v/>
      </c>
      <c r="E650">
        <f>IF(C650="","",MAX(0,C650-D650))</f>
        <v/>
      </c>
    </row>
    <row r="651">
      <c r="D651">
        <f>IF(C651="","",MIN(C651,Settings!$B$2))</f>
        <v/>
      </c>
      <c r="E651">
        <f>IF(C651="","",MAX(0,C651-D651))</f>
        <v/>
      </c>
    </row>
    <row r="652">
      <c r="D652">
        <f>IF(C652="","",MIN(C652,Settings!$B$2))</f>
        <v/>
      </c>
      <c r="E652">
        <f>IF(C652="","",MAX(0,C652-D652))</f>
        <v/>
      </c>
    </row>
    <row r="653">
      <c r="D653">
        <f>IF(C653="","",MIN(C653,Settings!$B$2))</f>
        <v/>
      </c>
      <c r="E653">
        <f>IF(C653="","",MAX(0,C653-D653))</f>
        <v/>
      </c>
    </row>
    <row r="654">
      <c r="D654">
        <f>IF(C654="","",MIN(C654,Settings!$B$2))</f>
        <v/>
      </c>
      <c r="E654">
        <f>IF(C654="","",MAX(0,C654-D654))</f>
        <v/>
      </c>
    </row>
    <row r="655">
      <c r="D655">
        <f>IF(C655="","",MIN(C655,Settings!$B$2))</f>
        <v/>
      </c>
      <c r="E655">
        <f>IF(C655="","",MAX(0,C655-D655))</f>
        <v/>
      </c>
    </row>
    <row r="656">
      <c r="D656">
        <f>IF(C656="","",MIN(C656,Settings!$B$2))</f>
        <v/>
      </c>
      <c r="E656">
        <f>IF(C656="","",MAX(0,C656-D656))</f>
        <v/>
      </c>
    </row>
    <row r="657">
      <c r="D657">
        <f>IF(C657="","",MIN(C657,Settings!$B$2))</f>
        <v/>
      </c>
      <c r="E657">
        <f>IF(C657="","",MAX(0,C657-D657))</f>
        <v/>
      </c>
    </row>
    <row r="658">
      <c r="D658">
        <f>IF(C658="","",MIN(C658,Settings!$B$2))</f>
        <v/>
      </c>
      <c r="E658">
        <f>IF(C658="","",MAX(0,C658-D658))</f>
        <v/>
      </c>
    </row>
    <row r="659">
      <c r="D659">
        <f>IF(C659="","",MIN(C659,Settings!$B$2))</f>
        <v/>
      </c>
      <c r="E659">
        <f>IF(C659="","",MAX(0,C659-D659))</f>
        <v/>
      </c>
    </row>
    <row r="660">
      <c r="D660">
        <f>IF(C660="","",MIN(C660,Settings!$B$2))</f>
        <v/>
      </c>
      <c r="E660">
        <f>IF(C660="","",MAX(0,C660-D660))</f>
        <v/>
      </c>
    </row>
    <row r="661">
      <c r="D661">
        <f>IF(C661="","",MIN(C661,Settings!$B$2))</f>
        <v/>
      </c>
      <c r="E661">
        <f>IF(C661="","",MAX(0,C661-D661))</f>
        <v/>
      </c>
    </row>
    <row r="662">
      <c r="D662">
        <f>IF(C662="","",MIN(C662,Settings!$B$2))</f>
        <v/>
      </c>
      <c r="E662">
        <f>IF(C662="","",MAX(0,C662-D662))</f>
        <v/>
      </c>
    </row>
    <row r="663">
      <c r="D663">
        <f>IF(C663="","",MIN(C663,Settings!$B$2))</f>
        <v/>
      </c>
      <c r="E663">
        <f>IF(C663="","",MAX(0,C663-D663))</f>
        <v/>
      </c>
    </row>
    <row r="664">
      <c r="D664">
        <f>IF(C664="","",MIN(C664,Settings!$B$2))</f>
        <v/>
      </c>
      <c r="E664">
        <f>IF(C664="","",MAX(0,C664-D664))</f>
        <v/>
      </c>
    </row>
    <row r="665">
      <c r="D665">
        <f>IF(C665="","",MIN(C665,Settings!$B$2))</f>
        <v/>
      </c>
      <c r="E665">
        <f>IF(C665="","",MAX(0,C665-D665))</f>
        <v/>
      </c>
    </row>
    <row r="666">
      <c r="D666">
        <f>IF(C666="","",MIN(C666,Settings!$B$2))</f>
        <v/>
      </c>
      <c r="E666">
        <f>IF(C666="","",MAX(0,C666-D666))</f>
        <v/>
      </c>
    </row>
    <row r="667">
      <c r="D667">
        <f>IF(C667="","",MIN(C667,Settings!$B$2))</f>
        <v/>
      </c>
      <c r="E667">
        <f>IF(C667="","",MAX(0,C667-D667))</f>
        <v/>
      </c>
    </row>
    <row r="668">
      <c r="D668">
        <f>IF(C668="","",MIN(C668,Settings!$B$2))</f>
        <v/>
      </c>
      <c r="E668">
        <f>IF(C668="","",MAX(0,C668-D668))</f>
        <v/>
      </c>
    </row>
    <row r="669">
      <c r="D669">
        <f>IF(C669="","",MIN(C669,Settings!$B$2))</f>
        <v/>
      </c>
      <c r="E669">
        <f>IF(C669="","",MAX(0,C669-D669))</f>
        <v/>
      </c>
    </row>
    <row r="670">
      <c r="D670">
        <f>IF(C670="","",MIN(C670,Settings!$B$2))</f>
        <v/>
      </c>
      <c r="E670">
        <f>IF(C670="","",MAX(0,C670-D670))</f>
        <v/>
      </c>
    </row>
    <row r="671">
      <c r="D671">
        <f>IF(C671="","",MIN(C671,Settings!$B$2))</f>
        <v/>
      </c>
      <c r="E671">
        <f>IF(C671="","",MAX(0,C671-D671))</f>
        <v/>
      </c>
    </row>
    <row r="672">
      <c r="D672">
        <f>IF(C672="","",MIN(C672,Settings!$B$2))</f>
        <v/>
      </c>
      <c r="E672">
        <f>IF(C672="","",MAX(0,C672-D672))</f>
        <v/>
      </c>
    </row>
    <row r="673">
      <c r="D673">
        <f>IF(C673="","",MIN(C673,Settings!$B$2))</f>
        <v/>
      </c>
      <c r="E673">
        <f>IF(C673="","",MAX(0,C673-D673))</f>
        <v/>
      </c>
    </row>
    <row r="674">
      <c r="D674">
        <f>IF(C674="","",MIN(C674,Settings!$B$2))</f>
        <v/>
      </c>
      <c r="E674">
        <f>IF(C674="","",MAX(0,C674-D674))</f>
        <v/>
      </c>
    </row>
    <row r="675">
      <c r="D675">
        <f>IF(C675="","",MIN(C675,Settings!$B$2))</f>
        <v/>
      </c>
      <c r="E675">
        <f>IF(C675="","",MAX(0,C675-D675))</f>
        <v/>
      </c>
    </row>
    <row r="676">
      <c r="D676">
        <f>IF(C676="","",MIN(C676,Settings!$B$2))</f>
        <v/>
      </c>
      <c r="E676">
        <f>IF(C676="","",MAX(0,C676-D676))</f>
        <v/>
      </c>
    </row>
    <row r="677">
      <c r="D677">
        <f>IF(C677="","",MIN(C677,Settings!$B$2))</f>
        <v/>
      </c>
      <c r="E677">
        <f>IF(C677="","",MAX(0,C677-D677))</f>
        <v/>
      </c>
    </row>
    <row r="678">
      <c r="D678">
        <f>IF(C678="","",MIN(C678,Settings!$B$2))</f>
        <v/>
      </c>
      <c r="E678">
        <f>IF(C678="","",MAX(0,C678-D678))</f>
        <v/>
      </c>
    </row>
    <row r="679">
      <c r="D679">
        <f>IF(C679="","",MIN(C679,Settings!$B$2))</f>
        <v/>
      </c>
      <c r="E679">
        <f>IF(C679="","",MAX(0,C679-D679))</f>
        <v/>
      </c>
    </row>
    <row r="680">
      <c r="D680">
        <f>IF(C680="","",MIN(C680,Settings!$B$2))</f>
        <v/>
      </c>
      <c r="E680">
        <f>IF(C680="","",MAX(0,C680-D680))</f>
        <v/>
      </c>
    </row>
    <row r="681">
      <c r="D681">
        <f>IF(C681="","",MIN(C681,Settings!$B$2))</f>
        <v/>
      </c>
      <c r="E681">
        <f>IF(C681="","",MAX(0,C681-D681))</f>
        <v/>
      </c>
    </row>
    <row r="682">
      <c r="D682">
        <f>IF(C682="","",MIN(C682,Settings!$B$2))</f>
        <v/>
      </c>
      <c r="E682">
        <f>IF(C682="","",MAX(0,C682-D682))</f>
        <v/>
      </c>
    </row>
    <row r="683">
      <c r="D683">
        <f>IF(C683="","",MIN(C683,Settings!$B$2))</f>
        <v/>
      </c>
      <c r="E683">
        <f>IF(C683="","",MAX(0,C683-D683))</f>
        <v/>
      </c>
    </row>
    <row r="684">
      <c r="D684">
        <f>IF(C684="","",MIN(C684,Settings!$B$2))</f>
        <v/>
      </c>
      <c r="E684">
        <f>IF(C684="","",MAX(0,C684-D684))</f>
        <v/>
      </c>
    </row>
    <row r="685">
      <c r="D685">
        <f>IF(C685="","",MIN(C685,Settings!$B$2))</f>
        <v/>
      </c>
      <c r="E685">
        <f>IF(C685="","",MAX(0,C685-D685))</f>
        <v/>
      </c>
    </row>
    <row r="686">
      <c r="D686">
        <f>IF(C686="","",MIN(C686,Settings!$B$2))</f>
        <v/>
      </c>
      <c r="E686">
        <f>IF(C686="","",MAX(0,C686-D686))</f>
        <v/>
      </c>
    </row>
    <row r="687">
      <c r="D687">
        <f>IF(C687="","",MIN(C687,Settings!$B$2))</f>
        <v/>
      </c>
      <c r="E687">
        <f>IF(C687="","",MAX(0,C687-D687))</f>
        <v/>
      </c>
    </row>
    <row r="688">
      <c r="D688">
        <f>IF(C688="","",MIN(C688,Settings!$B$2))</f>
        <v/>
      </c>
      <c r="E688">
        <f>IF(C688="","",MAX(0,C688-D688))</f>
        <v/>
      </c>
    </row>
    <row r="689">
      <c r="D689">
        <f>IF(C689="","",MIN(C689,Settings!$B$2))</f>
        <v/>
      </c>
      <c r="E689">
        <f>IF(C689="","",MAX(0,C689-D689))</f>
        <v/>
      </c>
    </row>
    <row r="690">
      <c r="D690">
        <f>IF(C690="","",MIN(C690,Settings!$B$2))</f>
        <v/>
      </c>
      <c r="E690">
        <f>IF(C690="","",MAX(0,C690-D690))</f>
        <v/>
      </c>
    </row>
    <row r="691">
      <c r="D691">
        <f>IF(C691="","",MIN(C691,Settings!$B$2))</f>
        <v/>
      </c>
      <c r="E691">
        <f>IF(C691="","",MAX(0,C691-D691))</f>
        <v/>
      </c>
    </row>
    <row r="692">
      <c r="D692">
        <f>IF(C692="","",MIN(C692,Settings!$B$2))</f>
        <v/>
      </c>
      <c r="E692">
        <f>IF(C692="","",MAX(0,C692-D692))</f>
        <v/>
      </c>
    </row>
    <row r="693">
      <c r="D693">
        <f>IF(C693="","",MIN(C693,Settings!$B$2))</f>
        <v/>
      </c>
      <c r="E693">
        <f>IF(C693="","",MAX(0,C693-D693))</f>
        <v/>
      </c>
    </row>
    <row r="694">
      <c r="D694">
        <f>IF(C694="","",MIN(C694,Settings!$B$2))</f>
        <v/>
      </c>
      <c r="E694">
        <f>IF(C694="","",MAX(0,C694-D694))</f>
        <v/>
      </c>
    </row>
    <row r="695">
      <c r="D695">
        <f>IF(C695="","",MIN(C695,Settings!$B$2))</f>
        <v/>
      </c>
      <c r="E695">
        <f>IF(C695="","",MAX(0,C695-D695))</f>
        <v/>
      </c>
    </row>
    <row r="696">
      <c r="D696">
        <f>IF(C696="","",MIN(C696,Settings!$B$2))</f>
        <v/>
      </c>
      <c r="E696">
        <f>IF(C696="","",MAX(0,C696-D696))</f>
        <v/>
      </c>
    </row>
    <row r="697">
      <c r="D697">
        <f>IF(C697="","",MIN(C697,Settings!$B$2))</f>
        <v/>
      </c>
      <c r="E697">
        <f>IF(C697="","",MAX(0,C697-D697))</f>
        <v/>
      </c>
    </row>
    <row r="698">
      <c r="D698">
        <f>IF(C698="","",MIN(C698,Settings!$B$2))</f>
        <v/>
      </c>
      <c r="E698">
        <f>IF(C698="","",MAX(0,C698-D698))</f>
        <v/>
      </c>
    </row>
    <row r="699">
      <c r="D699">
        <f>IF(C699="","",MIN(C699,Settings!$B$2))</f>
        <v/>
      </c>
      <c r="E699">
        <f>IF(C699="","",MAX(0,C699-D699))</f>
        <v/>
      </c>
    </row>
    <row r="700">
      <c r="D700">
        <f>IF(C700="","",MIN(C700,Settings!$B$2))</f>
        <v/>
      </c>
      <c r="E700">
        <f>IF(C700="","",MAX(0,C700-D700))</f>
        <v/>
      </c>
    </row>
    <row r="701">
      <c r="D701">
        <f>IF(C701="","",MIN(C701,Settings!$B$2))</f>
        <v/>
      </c>
      <c r="E701">
        <f>IF(C701="","",MAX(0,C701-D701))</f>
        <v/>
      </c>
    </row>
    <row r="702">
      <c r="D702">
        <f>IF(C702="","",MIN(C702,Settings!$B$2))</f>
        <v/>
      </c>
      <c r="E702">
        <f>IF(C702="","",MAX(0,C702-D702))</f>
        <v/>
      </c>
    </row>
    <row r="703">
      <c r="D703">
        <f>IF(C703="","",MIN(C703,Settings!$B$2))</f>
        <v/>
      </c>
      <c r="E703">
        <f>IF(C703="","",MAX(0,C703-D703))</f>
        <v/>
      </c>
    </row>
    <row r="704">
      <c r="D704">
        <f>IF(C704="","",MIN(C704,Settings!$B$2))</f>
        <v/>
      </c>
      <c r="E704">
        <f>IF(C704="","",MAX(0,C704-D704))</f>
        <v/>
      </c>
    </row>
    <row r="705">
      <c r="D705">
        <f>IF(C705="","",MIN(C705,Settings!$B$2))</f>
        <v/>
      </c>
      <c r="E705">
        <f>IF(C705="","",MAX(0,C705-D705))</f>
        <v/>
      </c>
    </row>
    <row r="706">
      <c r="D706">
        <f>IF(C706="","",MIN(C706,Settings!$B$2))</f>
        <v/>
      </c>
      <c r="E706">
        <f>IF(C706="","",MAX(0,C706-D706))</f>
        <v/>
      </c>
    </row>
    <row r="707">
      <c r="D707">
        <f>IF(C707="","",MIN(C707,Settings!$B$2))</f>
        <v/>
      </c>
      <c r="E707">
        <f>IF(C707="","",MAX(0,C707-D707))</f>
        <v/>
      </c>
    </row>
    <row r="708">
      <c r="D708">
        <f>IF(C708="","",MIN(C708,Settings!$B$2))</f>
        <v/>
      </c>
      <c r="E708">
        <f>IF(C708="","",MAX(0,C708-D708))</f>
        <v/>
      </c>
    </row>
    <row r="709">
      <c r="D709">
        <f>IF(C709="","",MIN(C709,Settings!$B$2))</f>
        <v/>
      </c>
      <c r="E709">
        <f>IF(C709="","",MAX(0,C709-D709))</f>
        <v/>
      </c>
    </row>
    <row r="710">
      <c r="D710">
        <f>IF(C710="","",MIN(C710,Settings!$B$2))</f>
        <v/>
      </c>
      <c r="E710">
        <f>IF(C710="","",MAX(0,C710-D710))</f>
        <v/>
      </c>
    </row>
    <row r="711">
      <c r="D711">
        <f>IF(C711="","",MIN(C711,Settings!$B$2))</f>
        <v/>
      </c>
      <c r="E711">
        <f>IF(C711="","",MAX(0,C711-D711))</f>
        <v/>
      </c>
    </row>
    <row r="712">
      <c r="D712">
        <f>IF(C712="","",MIN(C712,Settings!$B$2))</f>
        <v/>
      </c>
      <c r="E712">
        <f>IF(C712="","",MAX(0,C712-D712))</f>
        <v/>
      </c>
    </row>
    <row r="713">
      <c r="D713">
        <f>IF(C713="","",MIN(C713,Settings!$B$2))</f>
        <v/>
      </c>
      <c r="E713">
        <f>IF(C713="","",MAX(0,C713-D713))</f>
        <v/>
      </c>
    </row>
    <row r="714">
      <c r="D714">
        <f>IF(C714="","",MIN(C714,Settings!$B$2))</f>
        <v/>
      </c>
      <c r="E714">
        <f>IF(C714="","",MAX(0,C714-D714))</f>
        <v/>
      </c>
    </row>
    <row r="715">
      <c r="D715">
        <f>IF(C715="","",MIN(C715,Settings!$B$2))</f>
        <v/>
      </c>
      <c r="E715">
        <f>IF(C715="","",MAX(0,C715-D715))</f>
        <v/>
      </c>
    </row>
    <row r="716">
      <c r="D716">
        <f>IF(C716="","",MIN(C716,Settings!$B$2))</f>
        <v/>
      </c>
      <c r="E716">
        <f>IF(C716="","",MAX(0,C716-D716))</f>
        <v/>
      </c>
    </row>
    <row r="717">
      <c r="D717">
        <f>IF(C717="","",MIN(C717,Settings!$B$2))</f>
        <v/>
      </c>
      <c r="E717">
        <f>IF(C717="","",MAX(0,C717-D717))</f>
        <v/>
      </c>
    </row>
    <row r="718">
      <c r="D718">
        <f>IF(C718="","",MIN(C718,Settings!$B$2))</f>
        <v/>
      </c>
      <c r="E718">
        <f>IF(C718="","",MAX(0,C718-D718))</f>
        <v/>
      </c>
    </row>
    <row r="719">
      <c r="D719">
        <f>IF(C719="","",MIN(C719,Settings!$B$2))</f>
        <v/>
      </c>
      <c r="E719">
        <f>IF(C719="","",MAX(0,C719-D719))</f>
        <v/>
      </c>
    </row>
    <row r="720">
      <c r="D720">
        <f>IF(C720="","",MIN(C720,Settings!$B$2))</f>
        <v/>
      </c>
      <c r="E720">
        <f>IF(C720="","",MAX(0,C720-D720))</f>
        <v/>
      </c>
    </row>
    <row r="721">
      <c r="D721">
        <f>IF(C721="","",MIN(C721,Settings!$B$2))</f>
        <v/>
      </c>
      <c r="E721">
        <f>IF(C721="","",MAX(0,C721-D721))</f>
        <v/>
      </c>
    </row>
    <row r="722">
      <c r="D722">
        <f>IF(C722="","",MIN(C722,Settings!$B$2))</f>
        <v/>
      </c>
      <c r="E722">
        <f>IF(C722="","",MAX(0,C722-D722))</f>
        <v/>
      </c>
    </row>
    <row r="723">
      <c r="D723">
        <f>IF(C723="","",MIN(C723,Settings!$B$2))</f>
        <v/>
      </c>
      <c r="E723">
        <f>IF(C723="","",MAX(0,C723-D723))</f>
        <v/>
      </c>
    </row>
    <row r="724">
      <c r="D724">
        <f>IF(C724="","",MIN(C724,Settings!$B$2))</f>
        <v/>
      </c>
      <c r="E724">
        <f>IF(C724="","",MAX(0,C724-D724))</f>
        <v/>
      </c>
    </row>
    <row r="725">
      <c r="D725">
        <f>IF(C725="","",MIN(C725,Settings!$B$2))</f>
        <v/>
      </c>
      <c r="E725">
        <f>IF(C725="","",MAX(0,C725-D725))</f>
        <v/>
      </c>
    </row>
    <row r="726">
      <c r="D726">
        <f>IF(C726="","",MIN(C726,Settings!$B$2))</f>
        <v/>
      </c>
      <c r="E726">
        <f>IF(C726="","",MAX(0,C726-D726))</f>
        <v/>
      </c>
    </row>
    <row r="727">
      <c r="D727">
        <f>IF(C727="","",MIN(C727,Settings!$B$2))</f>
        <v/>
      </c>
      <c r="E727">
        <f>IF(C727="","",MAX(0,C727-D727))</f>
        <v/>
      </c>
    </row>
    <row r="728">
      <c r="D728">
        <f>IF(C728="","",MIN(C728,Settings!$B$2))</f>
        <v/>
      </c>
      <c r="E728">
        <f>IF(C728="","",MAX(0,C728-D728))</f>
        <v/>
      </c>
    </row>
    <row r="729">
      <c r="D729">
        <f>IF(C729="","",MIN(C729,Settings!$B$2))</f>
        <v/>
      </c>
      <c r="E729">
        <f>IF(C729="","",MAX(0,C729-D729))</f>
        <v/>
      </c>
    </row>
    <row r="730">
      <c r="D730">
        <f>IF(C730="","",MIN(C730,Settings!$B$2))</f>
        <v/>
      </c>
      <c r="E730">
        <f>IF(C730="","",MAX(0,C730-D730))</f>
        <v/>
      </c>
    </row>
    <row r="731">
      <c r="D731">
        <f>IF(C731="","",MIN(C731,Settings!$B$2))</f>
        <v/>
      </c>
      <c r="E731">
        <f>IF(C731="","",MAX(0,C731-D731))</f>
        <v/>
      </c>
    </row>
    <row r="732">
      <c r="D732">
        <f>IF(C732="","",MIN(C732,Settings!$B$2))</f>
        <v/>
      </c>
      <c r="E732">
        <f>IF(C732="","",MAX(0,C732-D732))</f>
        <v/>
      </c>
    </row>
    <row r="733">
      <c r="D733">
        <f>IF(C733="","",MIN(C733,Settings!$B$2))</f>
        <v/>
      </c>
      <c r="E733">
        <f>IF(C733="","",MAX(0,C733-D733))</f>
        <v/>
      </c>
    </row>
    <row r="734">
      <c r="D734">
        <f>IF(C734="","",MIN(C734,Settings!$B$2))</f>
        <v/>
      </c>
      <c r="E734">
        <f>IF(C734="","",MAX(0,C734-D734))</f>
        <v/>
      </c>
    </row>
    <row r="735">
      <c r="D735">
        <f>IF(C735="","",MIN(C735,Settings!$B$2))</f>
        <v/>
      </c>
      <c r="E735">
        <f>IF(C735="","",MAX(0,C735-D735))</f>
        <v/>
      </c>
    </row>
    <row r="736">
      <c r="D736">
        <f>IF(C736="","",MIN(C736,Settings!$B$2))</f>
        <v/>
      </c>
      <c r="E736">
        <f>IF(C736="","",MAX(0,C736-D736))</f>
        <v/>
      </c>
    </row>
    <row r="737">
      <c r="D737">
        <f>IF(C737="","",MIN(C737,Settings!$B$2))</f>
        <v/>
      </c>
      <c r="E737">
        <f>IF(C737="","",MAX(0,C737-D737))</f>
        <v/>
      </c>
    </row>
    <row r="738">
      <c r="D738">
        <f>IF(C738="","",MIN(C738,Settings!$B$2))</f>
        <v/>
      </c>
      <c r="E738">
        <f>IF(C738="","",MAX(0,C738-D738))</f>
        <v/>
      </c>
    </row>
    <row r="739">
      <c r="D739">
        <f>IF(C739="","",MIN(C739,Settings!$B$2))</f>
        <v/>
      </c>
      <c r="E739">
        <f>IF(C739="","",MAX(0,C739-D739))</f>
        <v/>
      </c>
    </row>
    <row r="740">
      <c r="D740">
        <f>IF(C740="","",MIN(C740,Settings!$B$2))</f>
        <v/>
      </c>
      <c r="E740">
        <f>IF(C740="","",MAX(0,C740-D740))</f>
        <v/>
      </c>
    </row>
    <row r="741">
      <c r="D741">
        <f>IF(C741="","",MIN(C741,Settings!$B$2))</f>
        <v/>
      </c>
      <c r="E741">
        <f>IF(C741="","",MAX(0,C741-D741))</f>
        <v/>
      </c>
    </row>
    <row r="742">
      <c r="D742">
        <f>IF(C742="","",MIN(C742,Settings!$B$2))</f>
        <v/>
      </c>
      <c r="E742">
        <f>IF(C742="","",MAX(0,C742-D742))</f>
        <v/>
      </c>
    </row>
    <row r="743">
      <c r="D743">
        <f>IF(C743="","",MIN(C743,Settings!$B$2))</f>
        <v/>
      </c>
      <c r="E743">
        <f>IF(C743="","",MAX(0,C743-D743))</f>
        <v/>
      </c>
    </row>
    <row r="744">
      <c r="D744">
        <f>IF(C744="","",MIN(C744,Settings!$B$2))</f>
        <v/>
      </c>
      <c r="E744">
        <f>IF(C744="","",MAX(0,C744-D744))</f>
        <v/>
      </c>
    </row>
    <row r="745">
      <c r="D745">
        <f>IF(C745="","",MIN(C745,Settings!$B$2))</f>
        <v/>
      </c>
      <c r="E745">
        <f>IF(C745="","",MAX(0,C745-D745))</f>
        <v/>
      </c>
    </row>
    <row r="746">
      <c r="D746">
        <f>IF(C746="","",MIN(C746,Settings!$B$2))</f>
        <v/>
      </c>
      <c r="E746">
        <f>IF(C746="","",MAX(0,C746-D746))</f>
        <v/>
      </c>
    </row>
    <row r="747">
      <c r="D747">
        <f>IF(C747="","",MIN(C747,Settings!$B$2))</f>
        <v/>
      </c>
      <c r="E747">
        <f>IF(C747="","",MAX(0,C747-D747))</f>
        <v/>
      </c>
    </row>
    <row r="748">
      <c r="D748">
        <f>IF(C748="","",MIN(C748,Settings!$B$2))</f>
        <v/>
      </c>
      <c r="E748">
        <f>IF(C748="","",MAX(0,C748-D748))</f>
        <v/>
      </c>
    </row>
    <row r="749">
      <c r="D749">
        <f>IF(C749="","",MIN(C749,Settings!$B$2))</f>
        <v/>
      </c>
      <c r="E749">
        <f>IF(C749="","",MAX(0,C749-D749))</f>
        <v/>
      </c>
    </row>
    <row r="750">
      <c r="D750">
        <f>IF(C750="","",MIN(C750,Settings!$B$2))</f>
        <v/>
      </c>
      <c r="E750">
        <f>IF(C750="","",MAX(0,C750-D750))</f>
        <v/>
      </c>
    </row>
    <row r="751">
      <c r="D751">
        <f>IF(C751="","",MIN(C751,Settings!$B$2))</f>
        <v/>
      </c>
      <c r="E751">
        <f>IF(C751="","",MAX(0,C751-D751))</f>
        <v/>
      </c>
    </row>
    <row r="752">
      <c r="D752">
        <f>IF(C752="","",MIN(C752,Settings!$B$2))</f>
        <v/>
      </c>
      <c r="E752">
        <f>IF(C752="","",MAX(0,C752-D752))</f>
        <v/>
      </c>
    </row>
    <row r="753">
      <c r="D753">
        <f>IF(C753="","",MIN(C753,Settings!$B$2))</f>
        <v/>
      </c>
      <c r="E753">
        <f>IF(C753="","",MAX(0,C753-D753))</f>
        <v/>
      </c>
    </row>
    <row r="754">
      <c r="D754">
        <f>IF(C754="","",MIN(C754,Settings!$B$2))</f>
        <v/>
      </c>
      <c r="E754">
        <f>IF(C754="","",MAX(0,C754-D754))</f>
        <v/>
      </c>
    </row>
    <row r="755">
      <c r="D755">
        <f>IF(C755="","",MIN(C755,Settings!$B$2))</f>
        <v/>
      </c>
      <c r="E755">
        <f>IF(C755="","",MAX(0,C755-D755))</f>
        <v/>
      </c>
    </row>
    <row r="756">
      <c r="D756">
        <f>IF(C756="","",MIN(C756,Settings!$B$2))</f>
        <v/>
      </c>
      <c r="E756">
        <f>IF(C756="","",MAX(0,C756-D756))</f>
        <v/>
      </c>
    </row>
    <row r="757">
      <c r="D757">
        <f>IF(C757="","",MIN(C757,Settings!$B$2))</f>
        <v/>
      </c>
      <c r="E757">
        <f>IF(C757="","",MAX(0,C757-D757))</f>
        <v/>
      </c>
    </row>
    <row r="758">
      <c r="D758">
        <f>IF(C758="","",MIN(C758,Settings!$B$2))</f>
        <v/>
      </c>
      <c r="E758">
        <f>IF(C758="","",MAX(0,C758-D758))</f>
        <v/>
      </c>
    </row>
    <row r="759">
      <c r="D759">
        <f>IF(C759="","",MIN(C759,Settings!$B$2))</f>
        <v/>
      </c>
      <c r="E759">
        <f>IF(C759="","",MAX(0,C759-D759))</f>
        <v/>
      </c>
    </row>
    <row r="760">
      <c r="D760">
        <f>IF(C760="","",MIN(C760,Settings!$B$2))</f>
        <v/>
      </c>
      <c r="E760">
        <f>IF(C760="","",MAX(0,C760-D760))</f>
        <v/>
      </c>
    </row>
    <row r="761">
      <c r="D761">
        <f>IF(C761="","",MIN(C761,Settings!$B$2))</f>
        <v/>
      </c>
      <c r="E761">
        <f>IF(C761="","",MAX(0,C761-D761))</f>
        <v/>
      </c>
    </row>
    <row r="762">
      <c r="D762">
        <f>IF(C762="","",MIN(C762,Settings!$B$2))</f>
        <v/>
      </c>
      <c r="E762">
        <f>IF(C762="","",MAX(0,C762-D762))</f>
        <v/>
      </c>
    </row>
    <row r="763">
      <c r="D763">
        <f>IF(C763="","",MIN(C763,Settings!$B$2))</f>
        <v/>
      </c>
      <c r="E763">
        <f>IF(C763="","",MAX(0,C763-D763))</f>
        <v/>
      </c>
    </row>
    <row r="764">
      <c r="D764">
        <f>IF(C764="","",MIN(C764,Settings!$B$2))</f>
        <v/>
      </c>
      <c r="E764">
        <f>IF(C764="","",MAX(0,C764-D764))</f>
        <v/>
      </c>
    </row>
    <row r="765">
      <c r="D765">
        <f>IF(C765="","",MIN(C765,Settings!$B$2))</f>
        <v/>
      </c>
      <c r="E765">
        <f>IF(C765="","",MAX(0,C765-D765))</f>
        <v/>
      </c>
    </row>
    <row r="766">
      <c r="D766">
        <f>IF(C766="","",MIN(C766,Settings!$B$2))</f>
        <v/>
      </c>
      <c r="E766">
        <f>IF(C766="","",MAX(0,C766-D766))</f>
        <v/>
      </c>
    </row>
    <row r="767">
      <c r="D767">
        <f>IF(C767="","",MIN(C767,Settings!$B$2))</f>
        <v/>
      </c>
      <c r="E767">
        <f>IF(C767="","",MAX(0,C767-D767))</f>
        <v/>
      </c>
    </row>
    <row r="768">
      <c r="D768">
        <f>IF(C768="","",MIN(C768,Settings!$B$2))</f>
        <v/>
      </c>
      <c r="E768">
        <f>IF(C768="","",MAX(0,C768-D768))</f>
        <v/>
      </c>
    </row>
    <row r="769">
      <c r="D769">
        <f>IF(C769="","",MIN(C769,Settings!$B$2))</f>
        <v/>
      </c>
      <c r="E769">
        <f>IF(C769="","",MAX(0,C769-D769))</f>
        <v/>
      </c>
    </row>
    <row r="770">
      <c r="D770">
        <f>IF(C770="","",MIN(C770,Settings!$B$2))</f>
        <v/>
      </c>
      <c r="E770">
        <f>IF(C770="","",MAX(0,C770-D770))</f>
        <v/>
      </c>
    </row>
    <row r="771">
      <c r="D771">
        <f>IF(C771="","",MIN(C771,Settings!$B$2))</f>
        <v/>
      </c>
      <c r="E771">
        <f>IF(C771="","",MAX(0,C771-D771))</f>
        <v/>
      </c>
    </row>
    <row r="772">
      <c r="D772">
        <f>IF(C772="","",MIN(C772,Settings!$B$2))</f>
        <v/>
      </c>
      <c r="E772">
        <f>IF(C772="","",MAX(0,C772-D772))</f>
        <v/>
      </c>
    </row>
    <row r="773">
      <c r="D773">
        <f>IF(C773="","",MIN(C773,Settings!$B$2))</f>
        <v/>
      </c>
      <c r="E773">
        <f>IF(C773="","",MAX(0,C773-D773))</f>
        <v/>
      </c>
    </row>
    <row r="774">
      <c r="D774">
        <f>IF(C774="","",MIN(C774,Settings!$B$2))</f>
        <v/>
      </c>
      <c r="E774">
        <f>IF(C774="","",MAX(0,C774-D774))</f>
        <v/>
      </c>
    </row>
    <row r="775">
      <c r="D775">
        <f>IF(C775="","",MIN(C775,Settings!$B$2))</f>
        <v/>
      </c>
      <c r="E775">
        <f>IF(C775="","",MAX(0,C775-D775))</f>
        <v/>
      </c>
    </row>
    <row r="776">
      <c r="D776">
        <f>IF(C776="","",MIN(C776,Settings!$B$2))</f>
        <v/>
      </c>
      <c r="E776">
        <f>IF(C776="","",MAX(0,C776-D776))</f>
        <v/>
      </c>
    </row>
    <row r="777">
      <c r="D777">
        <f>IF(C777="","",MIN(C777,Settings!$B$2))</f>
        <v/>
      </c>
      <c r="E777">
        <f>IF(C777="","",MAX(0,C777-D777))</f>
        <v/>
      </c>
    </row>
    <row r="778">
      <c r="D778">
        <f>IF(C778="","",MIN(C778,Settings!$B$2))</f>
        <v/>
      </c>
      <c r="E778">
        <f>IF(C778="","",MAX(0,C778-D778))</f>
        <v/>
      </c>
    </row>
    <row r="779">
      <c r="D779">
        <f>IF(C779="","",MIN(C779,Settings!$B$2))</f>
        <v/>
      </c>
      <c r="E779">
        <f>IF(C779="","",MAX(0,C779-D779))</f>
        <v/>
      </c>
    </row>
    <row r="780">
      <c r="D780">
        <f>IF(C780="","",MIN(C780,Settings!$B$2))</f>
        <v/>
      </c>
      <c r="E780">
        <f>IF(C780="","",MAX(0,C780-D780))</f>
        <v/>
      </c>
    </row>
    <row r="781">
      <c r="D781">
        <f>IF(C781="","",MIN(C781,Settings!$B$2))</f>
        <v/>
      </c>
      <c r="E781">
        <f>IF(C781="","",MAX(0,C781-D781))</f>
        <v/>
      </c>
    </row>
    <row r="782">
      <c r="D782">
        <f>IF(C782="","",MIN(C782,Settings!$B$2))</f>
        <v/>
      </c>
      <c r="E782">
        <f>IF(C782="","",MAX(0,C782-D782))</f>
        <v/>
      </c>
    </row>
    <row r="783">
      <c r="D783">
        <f>IF(C783="","",MIN(C783,Settings!$B$2))</f>
        <v/>
      </c>
      <c r="E783">
        <f>IF(C783="","",MAX(0,C783-D783))</f>
        <v/>
      </c>
    </row>
    <row r="784">
      <c r="D784">
        <f>IF(C784="","",MIN(C784,Settings!$B$2))</f>
        <v/>
      </c>
      <c r="E784">
        <f>IF(C784="","",MAX(0,C784-D784))</f>
        <v/>
      </c>
    </row>
    <row r="785">
      <c r="D785">
        <f>IF(C785="","",MIN(C785,Settings!$B$2))</f>
        <v/>
      </c>
      <c r="E785">
        <f>IF(C785="","",MAX(0,C785-D785))</f>
        <v/>
      </c>
    </row>
    <row r="786">
      <c r="D786">
        <f>IF(C786="","",MIN(C786,Settings!$B$2))</f>
        <v/>
      </c>
      <c r="E786">
        <f>IF(C786="","",MAX(0,C786-D786))</f>
        <v/>
      </c>
    </row>
    <row r="787">
      <c r="D787">
        <f>IF(C787="","",MIN(C787,Settings!$B$2))</f>
        <v/>
      </c>
      <c r="E787">
        <f>IF(C787="","",MAX(0,C787-D787))</f>
        <v/>
      </c>
    </row>
    <row r="788">
      <c r="D788">
        <f>IF(C788="","",MIN(C788,Settings!$B$2))</f>
        <v/>
      </c>
      <c r="E788">
        <f>IF(C788="","",MAX(0,C788-D788))</f>
        <v/>
      </c>
    </row>
    <row r="789">
      <c r="D789">
        <f>IF(C789="","",MIN(C789,Settings!$B$2))</f>
        <v/>
      </c>
      <c r="E789">
        <f>IF(C789="","",MAX(0,C789-D789))</f>
        <v/>
      </c>
    </row>
    <row r="790">
      <c r="D790">
        <f>IF(C790="","",MIN(C790,Settings!$B$2))</f>
        <v/>
      </c>
      <c r="E790">
        <f>IF(C790="","",MAX(0,C790-D790))</f>
        <v/>
      </c>
    </row>
    <row r="791">
      <c r="D791">
        <f>IF(C791="","",MIN(C791,Settings!$B$2))</f>
        <v/>
      </c>
      <c r="E791">
        <f>IF(C791="","",MAX(0,C791-D791))</f>
        <v/>
      </c>
    </row>
    <row r="792">
      <c r="D792">
        <f>IF(C792="","",MIN(C792,Settings!$B$2))</f>
        <v/>
      </c>
      <c r="E792">
        <f>IF(C792="","",MAX(0,C792-D792))</f>
        <v/>
      </c>
    </row>
    <row r="793">
      <c r="D793">
        <f>IF(C793="","",MIN(C793,Settings!$B$2))</f>
        <v/>
      </c>
      <c r="E793">
        <f>IF(C793="","",MAX(0,C793-D793))</f>
        <v/>
      </c>
    </row>
    <row r="794">
      <c r="D794">
        <f>IF(C794="","",MIN(C794,Settings!$B$2))</f>
        <v/>
      </c>
      <c r="E794">
        <f>IF(C794="","",MAX(0,C794-D794))</f>
        <v/>
      </c>
    </row>
    <row r="795">
      <c r="D795">
        <f>IF(C795="","",MIN(C795,Settings!$B$2))</f>
        <v/>
      </c>
      <c r="E795">
        <f>IF(C795="","",MAX(0,C795-D795))</f>
        <v/>
      </c>
    </row>
    <row r="796">
      <c r="D796">
        <f>IF(C796="","",MIN(C796,Settings!$B$2))</f>
        <v/>
      </c>
      <c r="E796">
        <f>IF(C796="","",MAX(0,C796-D796))</f>
        <v/>
      </c>
    </row>
    <row r="797">
      <c r="D797">
        <f>IF(C797="","",MIN(C797,Settings!$B$2))</f>
        <v/>
      </c>
      <c r="E797">
        <f>IF(C797="","",MAX(0,C797-D797))</f>
        <v/>
      </c>
    </row>
    <row r="798">
      <c r="D798">
        <f>IF(C798="","",MIN(C798,Settings!$B$2))</f>
        <v/>
      </c>
      <c r="E798">
        <f>IF(C798="","",MAX(0,C798-D798))</f>
        <v/>
      </c>
    </row>
    <row r="799">
      <c r="D799">
        <f>IF(C799="","",MIN(C799,Settings!$B$2))</f>
        <v/>
      </c>
      <c r="E799">
        <f>IF(C799="","",MAX(0,C799-D799))</f>
        <v/>
      </c>
    </row>
    <row r="800">
      <c r="D800">
        <f>IF(C800="","",MIN(C800,Settings!$B$2))</f>
        <v/>
      </c>
      <c r="E800">
        <f>IF(C800="","",MAX(0,C800-D800))</f>
        <v/>
      </c>
    </row>
    <row r="801">
      <c r="D801">
        <f>IF(C801="","",MIN(C801,Settings!$B$2))</f>
        <v/>
      </c>
      <c r="E801">
        <f>IF(C801="","",MAX(0,C801-D801))</f>
        <v/>
      </c>
    </row>
    <row r="802">
      <c r="D802">
        <f>IF(C802="","",MIN(C802,Settings!$B$2))</f>
        <v/>
      </c>
      <c r="E802">
        <f>IF(C802="","",MAX(0,C802-D802))</f>
        <v/>
      </c>
    </row>
    <row r="803">
      <c r="D803">
        <f>IF(C803="","",MIN(C803,Settings!$B$2))</f>
        <v/>
      </c>
      <c r="E803">
        <f>IF(C803="","",MAX(0,C803-D803))</f>
        <v/>
      </c>
    </row>
    <row r="804">
      <c r="D804">
        <f>IF(C804="","",MIN(C804,Settings!$B$2))</f>
        <v/>
      </c>
      <c r="E804">
        <f>IF(C804="","",MAX(0,C804-D804))</f>
        <v/>
      </c>
    </row>
    <row r="805">
      <c r="D805">
        <f>IF(C805="","",MIN(C805,Settings!$B$2))</f>
        <v/>
      </c>
      <c r="E805">
        <f>IF(C805="","",MAX(0,C805-D805))</f>
        <v/>
      </c>
    </row>
    <row r="806">
      <c r="D806">
        <f>IF(C806="","",MIN(C806,Settings!$B$2))</f>
        <v/>
      </c>
      <c r="E806">
        <f>IF(C806="","",MAX(0,C806-D806))</f>
        <v/>
      </c>
    </row>
    <row r="807">
      <c r="D807">
        <f>IF(C807="","",MIN(C807,Settings!$B$2))</f>
        <v/>
      </c>
      <c r="E807">
        <f>IF(C807="","",MAX(0,C807-D807))</f>
        <v/>
      </c>
    </row>
    <row r="808">
      <c r="D808">
        <f>IF(C808="","",MIN(C808,Settings!$B$2))</f>
        <v/>
      </c>
      <c r="E808">
        <f>IF(C808="","",MAX(0,C808-D808))</f>
        <v/>
      </c>
    </row>
    <row r="809">
      <c r="D809">
        <f>IF(C809="","",MIN(C809,Settings!$B$2))</f>
        <v/>
      </c>
      <c r="E809">
        <f>IF(C809="","",MAX(0,C809-D809))</f>
        <v/>
      </c>
    </row>
    <row r="810">
      <c r="D810">
        <f>IF(C810="","",MIN(C810,Settings!$B$2))</f>
        <v/>
      </c>
      <c r="E810">
        <f>IF(C810="","",MAX(0,C810-D810))</f>
        <v/>
      </c>
    </row>
    <row r="811">
      <c r="D811">
        <f>IF(C811="","",MIN(C811,Settings!$B$2))</f>
        <v/>
      </c>
      <c r="E811">
        <f>IF(C811="","",MAX(0,C811-D811))</f>
        <v/>
      </c>
    </row>
    <row r="812">
      <c r="D812">
        <f>IF(C812="","",MIN(C812,Settings!$B$2))</f>
        <v/>
      </c>
      <c r="E812">
        <f>IF(C812="","",MAX(0,C812-D812))</f>
        <v/>
      </c>
    </row>
    <row r="813">
      <c r="D813">
        <f>IF(C813="","",MIN(C813,Settings!$B$2))</f>
        <v/>
      </c>
      <c r="E813">
        <f>IF(C813="","",MAX(0,C813-D813))</f>
        <v/>
      </c>
    </row>
    <row r="814">
      <c r="D814">
        <f>IF(C814="","",MIN(C814,Settings!$B$2))</f>
        <v/>
      </c>
      <c r="E814">
        <f>IF(C814="","",MAX(0,C814-D814))</f>
        <v/>
      </c>
    </row>
    <row r="815">
      <c r="D815">
        <f>IF(C815="","",MIN(C815,Settings!$B$2))</f>
        <v/>
      </c>
      <c r="E815">
        <f>IF(C815="","",MAX(0,C815-D815))</f>
        <v/>
      </c>
    </row>
    <row r="816">
      <c r="D816">
        <f>IF(C816="","",MIN(C816,Settings!$B$2))</f>
        <v/>
      </c>
      <c r="E816">
        <f>IF(C816="","",MAX(0,C816-D816))</f>
        <v/>
      </c>
    </row>
    <row r="817">
      <c r="D817">
        <f>IF(C817="","",MIN(C817,Settings!$B$2))</f>
        <v/>
      </c>
      <c r="E817">
        <f>IF(C817="","",MAX(0,C817-D817))</f>
        <v/>
      </c>
    </row>
    <row r="818">
      <c r="D818">
        <f>IF(C818="","",MIN(C818,Settings!$B$2))</f>
        <v/>
      </c>
      <c r="E818">
        <f>IF(C818="","",MAX(0,C818-D818))</f>
        <v/>
      </c>
    </row>
    <row r="819">
      <c r="D819">
        <f>IF(C819="","",MIN(C819,Settings!$B$2))</f>
        <v/>
      </c>
      <c r="E819">
        <f>IF(C819="","",MAX(0,C819-D819))</f>
        <v/>
      </c>
    </row>
    <row r="820">
      <c r="D820">
        <f>IF(C820="","",MIN(C820,Settings!$B$2))</f>
        <v/>
      </c>
      <c r="E820">
        <f>IF(C820="","",MAX(0,C820-D820))</f>
        <v/>
      </c>
    </row>
    <row r="821">
      <c r="D821">
        <f>IF(C821="","",MIN(C821,Settings!$B$2))</f>
        <v/>
      </c>
      <c r="E821">
        <f>IF(C821="","",MAX(0,C821-D821))</f>
        <v/>
      </c>
    </row>
    <row r="822">
      <c r="D822">
        <f>IF(C822="","",MIN(C822,Settings!$B$2))</f>
        <v/>
      </c>
      <c r="E822">
        <f>IF(C822="","",MAX(0,C822-D822))</f>
        <v/>
      </c>
    </row>
    <row r="823">
      <c r="D823">
        <f>IF(C823="","",MIN(C823,Settings!$B$2))</f>
        <v/>
      </c>
      <c r="E823">
        <f>IF(C823="","",MAX(0,C823-D823))</f>
        <v/>
      </c>
    </row>
    <row r="824">
      <c r="D824">
        <f>IF(C824="","",MIN(C824,Settings!$B$2))</f>
        <v/>
      </c>
      <c r="E824">
        <f>IF(C824="","",MAX(0,C824-D824))</f>
        <v/>
      </c>
    </row>
    <row r="825">
      <c r="D825">
        <f>IF(C825="","",MIN(C825,Settings!$B$2))</f>
        <v/>
      </c>
      <c r="E825">
        <f>IF(C825="","",MAX(0,C825-D825))</f>
        <v/>
      </c>
    </row>
    <row r="826">
      <c r="D826">
        <f>IF(C826="","",MIN(C826,Settings!$B$2))</f>
        <v/>
      </c>
      <c r="E826">
        <f>IF(C826="","",MAX(0,C826-D826))</f>
        <v/>
      </c>
    </row>
    <row r="827">
      <c r="D827">
        <f>IF(C827="","",MIN(C827,Settings!$B$2))</f>
        <v/>
      </c>
      <c r="E827">
        <f>IF(C827="","",MAX(0,C827-D827))</f>
        <v/>
      </c>
    </row>
    <row r="828">
      <c r="D828">
        <f>IF(C828="","",MIN(C828,Settings!$B$2))</f>
        <v/>
      </c>
      <c r="E828">
        <f>IF(C828="","",MAX(0,C828-D828))</f>
        <v/>
      </c>
    </row>
    <row r="829">
      <c r="D829">
        <f>IF(C829="","",MIN(C829,Settings!$B$2))</f>
        <v/>
      </c>
      <c r="E829">
        <f>IF(C829="","",MAX(0,C829-D829))</f>
        <v/>
      </c>
    </row>
    <row r="830">
      <c r="D830">
        <f>IF(C830="","",MIN(C830,Settings!$B$2))</f>
        <v/>
      </c>
      <c r="E830">
        <f>IF(C830="","",MAX(0,C830-D830))</f>
        <v/>
      </c>
    </row>
    <row r="831">
      <c r="D831">
        <f>IF(C831="","",MIN(C831,Settings!$B$2))</f>
        <v/>
      </c>
      <c r="E831">
        <f>IF(C831="","",MAX(0,C831-D831))</f>
        <v/>
      </c>
    </row>
    <row r="832">
      <c r="D832">
        <f>IF(C832="","",MIN(C832,Settings!$B$2))</f>
        <v/>
      </c>
      <c r="E832">
        <f>IF(C832="","",MAX(0,C832-D832))</f>
        <v/>
      </c>
    </row>
    <row r="833">
      <c r="D833">
        <f>IF(C833="","",MIN(C833,Settings!$B$2))</f>
        <v/>
      </c>
      <c r="E833">
        <f>IF(C833="","",MAX(0,C833-D833))</f>
        <v/>
      </c>
    </row>
    <row r="834">
      <c r="D834">
        <f>IF(C834="","",MIN(C834,Settings!$B$2))</f>
        <v/>
      </c>
      <c r="E834">
        <f>IF(C834="","",MAX(0,C834-D834))</f>
        <v/>
      </c>
    </row>
    <row r="835">
      <c r="D835">
        <f>IF(C835="","",MIN(C835,Settings!$B$2))</f>
        <v/>
      </c>
      <c r="E835">
        <f>IF(C835="","",MAX(0,C835-D835))</f>
        <v/>
      </c>
    </row>
    <row r="836">
      <c r="D836">
        <f>IF(C836="","",MIN(C836,Settings!$B$2))</f>
        <v/>
      </c>
      <c r="E836">
        <f>IF(C836="","",MAX(0,C836-D836))</f>
        <v/>
      </c>
    </row>
    <row r="837">
      <c r="D837">
        <f>IF(C837="","",MIN(C837,Settings!$B$2))</f>
        <v/>
      </c>
      <c r="E837">
        <f>IF(C837="","",MAX(0,C837-D837))</f>
        <v/>
      </c>
    </row>
    <row r="838">
      <c r="D838">
        <f>IF(C838="","",MIN(C838,Settings!$B$2))</f>
        <v/>
      </c>
      <c r="E838">
        <f>IF(C838="","",MAX(0,C838-D838))</f>
        <v/>
      </c>
    </row>
    <row r="839">
      <c r="D839">
        <f>IF(C839="","",MIN(C839,Settings!$B$2))</f>
        <v/>
      </c>
      <c r="E839">
        <f>IF(C839="","",MAX(0,C839-D839))</f>
        <v/>
      </c>
    </row>
    <row r="840">
      <c r="D840">
        <f>IF(C840="","",MIN(C840,Settings!$B$2))</f>
        <v/>
      </c>
      <c r="E840">
        <f>IF(C840="","",MAX(0,C840-D840))</f>
        <v/>
      </c>
    </row>
    <row r="841">
      <c r="D841">
        <f>IF(C841="","",MIN(C841,Settings!$B$2))</f>
        <v/>
      </c>
      <c r="E841">
        <f>IF(C841="","",MAX(0,C841-D841))</f>
        <v/>
      </c>
    </row>
    <row r="842">
      <c r="D842">
        <f>IF(C842="","",MIN(C842,Settings!$B$2))</f>
        <v/>
      </c>
      <c r="E842">
        <f>IF(C842="","",MAX(0,C842-D842))</f>
        <v/>
      </c>
    </row>
    <row r="843">
      <c r="D843">
        <f>IF(C843="","",MIN(C843,Settings!$B$2))</f>
        <v/>
      </c>
      <c r="E843">
        <f>IF(C843="","",MAX(0,C843-D843))</f>
        <v/>
      </c>
    </row>
    <row r="844">
      <c r="D844">
        <f>IF(C844="","",MIN(C844,Settings!$B$2))</f>
        <v/>
      </c>
      <c r="E844">
        <f>IF(C844="","",MAX(0,C844-D844))</f>
        <v/>
      </c>
    </row>
    <row r="845">
      <c r="D845">
        <f>IF(C845="","",MIN(C845,Settings!$B$2))</f>
        <v/>
      </c>
      <c r="E845">
        <f>IF(C845="","",MAX(0,C845-D845))</f>
        <v/>
      </c>
    </row>
    <row r="846">
      <c r="D846">
        <f>IF(C846="","",MIN(C846,Settings!$B$2))</f>
        <v/>
      </c>
      <c r="E846">
        <f>IF(C846="","",MAX(0,C846-D846))</f>
        <v/>
      </c>
    </row>
    <row r="847">
      <c r="D847">
        <f>IF(C847="","",MIN(C847,Settings!$B$2))</f>
        <v/>
      </c>
      <c r="E847">
        <f>IF(C847="","",MAX(0,C847-D847))</f>
        <v/>
      </c>
    </row>
    <row r="848">
      <c r="D848">
        <f>IF(C848="","",MIN(C848,Settings!$B$2))</f>
        <v/>
      </c>
      <c r="E848">
        <f>IF(C848="","",MAX(0,C848-D848))</f>
        <v/>
      </c>
    </row>
    <row r="849">
      <c r="D849">
        <f>IF(C849="","",MIN(C849,Settings!$B$2))</f>
        <v/>
      </c>
      <c r="E849">
        <f>IF(C849="","",MAX(0,C849-D849))</f>
        <v/>
      </c>
    </row>
    <row r="850">
      <c r="D850">
        <f>IF(C850="","",MIN(C850,Settings!$B$2))</f>
        <v/>
      </c>
      <c r="E850">
        <f>IF(C850="","",MAX(0,C850-D850))</f>
        <v/>
      </c>
    </row>
    <row r="851">
      <c r="D851">
        <f>IF(C851="","",MIN(C851,Settings!$B$2))</f>
        <v/>
      </c>
      <c r="E851">
        <f>IF(C851="","",MAX(0,C851-D851))</f>
        <v/>
      </c>
    </row>
    <row r="852">
      <c r="D852">
        <f>IF(C852="","",MIN(C852,Settings!$B$2))</f>
        <v/>
      </c>
      <c r="E852">
        <f>IF(C852="","",MAX(0,C852-D852))</f>
        <v/>
      </c>
    </row>
    <row r="853">
      <c r="D853">
        <f>IF(C853="","",MIN(C853,Settings!$B$2))</f>
        <v/>
      </c>
      <c r="E853">
        <f>IF(C853="","",MAX(0,C853-D853))</f>
        <v/>
      </c>
    </row>
    <row r="854">
      <c r="D854">
        <f>IF(C854="","",MIN(C854,Settings!$B$2))</f>
        <v/>
      </c>
      <c r="E854">
        <f>IF(C854="","",MAX(0,C854-D854))</f>
        <v/>
      </c>
    </row>
    <row r="855">
      <c r="D855">
        <f>IF(C855="","",MIN(C855,Settings!$B$2))</f>
        <v/>
      </c>
      <c r="E855">
        <f>IF(C855="","",MAX(0,C855-D855))</f>
        <v/>
      </c>
    </row>
    <row r="856">
      <c r="D856">
        <f>IF(C856="","",MIN(C856,Settings!$B$2))</f>
        <v/>
      </c>
      <c r="E856">
        <f>IF(C856="","",MAX(0,C856-D856))</f>
        <v/>
      </c>
    </row>
    <row r="857">
      <c r="D857">
        <f>IF(C857="","",MIN(C857,Settings!$B$2))</f>
        <v/>
      </c>
      <c r="E857">
        <f>IF(C857="","",MAX(0,C857-D857))</f>
        <v/>
      </c>
    </row>
    <row r="858">
      <c r="D858">
        <f>IF(C858="","",MIN(C858,Settings!$B$2))</f>
        <v/>
      </c>
      <c r="E858">
        <f>IF(C858="","",MAX(0,C858-D858))</f>
        <v/>
      </c>
    </row>
    <row r="859">
      <c r="D859">
        <f>IF(C859="","",MIN(C859,Settings!$B$2))</f>
        <v/>
      </c>
      <c r="E859">
        <f>IF(C859="","",MAX(0,C859-D859))</f>
        <v/>
      </c>
    </row>
    <row r="860">
      <c r="D860">
        <f>IF(C860="","",MIN(C860,Settings!$B$2))</f>
        <v/>
      </c>
      <c r="E860">
        <f>IF(C860="","",MAX(0,C860-D860))</f>
        <v/>
      </c>
    </row>
    <row r="861">
      <c r="D861">
        <f>IF(C861="","",MIN(C861,Settings!$B$2))</f>
        <v/>
      </c>
      <c r="E861">
        <f>IF(C861="","",MAX(0,C861-D861))</f>
        <v/>
      </c>
    </row>
    <row r="862">
      <c r="D862">
        <f>IF(C862="","",MIN(C862,Settings!$B$2))</f>
        <v/>
      </c>
      <c r="E862">
        <f>IF(C862="","",MAX(0,C862-D862))</f>
        <v/>
      </c>
    </row>
    <row r="863">
      <c r="D863">
        <f>IF(C863="","",MIN(C863,Settings!$B$2))</f>
        <v/>
      </c>
      <c r="E863">
        <f>IF(C863="","",MAX(0,C863-D863))</f>
        <v/>
      </c>
    </row>
    <row r="864">
      <c r="D864">
        <f>IF(C864="","",MIN(C864,Settings!$B$2))</f>
        <v/>
      </c>
      <c r="E864">
        <f>IF(C864="","",MAX(0,C864-D864))</f>
        <v/>
      </c>
    </row>
    <row r="865">
      <c r="D865">
        <f>IF(C865="","",MIN(C865,Settings!$B$2))</f>
        <v/>
      </c>
      <c r="E865">
        <f>IF(C865="","",MAX(0,C865-D865))</f>
        <v/>
      </c>
    </row>
    <row r="866">
      <c r="D866">
        <f>IF(C866="","",MIN(C866,Settings!$B$2))</f>
        <v/>
      </c>
      <c r="E866">
        <f>IF(C866="","",MAX(0,C866-D866))</f>
        <v/>
      </c>
    </row>
    <row r="867">
      <c r="D867">
        <f>IF(C867="","",MIN(C867,Settings!$B$2))</f>
        <v/>
      </c>
      <c r="E867">
        <f>IF(C867="","",MAX(0,C867-D867))</f>
        <v/>
      </c>
    </row>
    <row r="868">
      <c r="D868">
        <f>IF(C868="","",MIN(C868,Settings!$B$2))</f>
        <v/>
      </c>
      <c r="E868">
        <f>IF(C868="","",MAX(0,C868-D868))</f>
        <v/>
      </c>
    </row>
    <row r="869">
      <c r="D869">
        <f>IF(C869="","",MIN(C869,Settings!$B$2))</f>
        <v/>
      </c>
      <c r="E869">
        <f>IF(C869="","",MAX(0,C869-D869))</f>
        <v/>
      </c>
    </row>
    <row r="870">
      <c r="D870">
        <f>IF(C870="","",MIN(C870,Settings!$B$2))</f>
        <v/>
      </c>
      <c r="E870">
        <f>IF(C870="","",MAX(0,C870-D870))</f>
        <v/>
      </c>
    </row>
    <row r="871">
      <c r="D871">
        <f>IF(C871="","",MIN(C871,Settings!$B$2))</f>
        <v/>
      </c>
      <c r="E871">
        <f>IF(C871="","",MAX(0,C871-D871))</f>
        <v/>
      </c>
    </row>
    <row r="872">
      <c r="D872">
        <f>IF(C872="","",MIN(C872,Settings!$B$2))</f>
        <v/>
      </c>
      <c r="E872">
        <f>IF(C872="","",MAX(0,C872-D872))</f>
        <v/>
      </c>
    </row>
    <row r="873">
      <c r="D873">
        <f>IF(C873="","",MIN(C873,Settings!$B$2))</f>
        <v/>
      </c>
      <c r="E873">
        <f>IF(C873="","",MAX(0,C873-D873))</f>
        <v/>
      </c>
    </row>
    <row r="874">
      <c r="D874">
        <f>IF(C874="","",MIN(C874,Settings!$B$2))</f>
        <v/>
      </c>
      <c r="E874">
        <f>IF(C874="","",MAX(0,C874-D874))</f>
        <v/>
      </c>
    </row>
    <row r="875">
      <c r="D875">
        <f>IF(C875="","",MIN(C875,Settings!$B$2))</f>
        <v/>
      </c>
      <c r="E875">
        <f>IF(C875="","",MAX(0,C875-D875))</f>
        <v/>
      </c>
    </row>
    <row r="876">
      <c r="D876">
        <f>IF(C876="","",MIN(C876,Settings!$B$2))</f>
        <v/>
      </c>
      <c r="E876">
        <f>IF(C876="","",MAX(0,C876-D876))</f>
        <v/>
      </c>
    </row>
    <row r="877">
      <c r="D877">
        <f>IF(C877="","",MIN(C877,Settings!$B$2))</f>
        <v/>
      </c>
      <c r="E877">
        <f>IF(C877="","",MAX(0,C877-D877))</f>
        <v/>
      </c>
    </row>
    <row r="878">
      <c r="D878">
        <f>IF(C878="","",MIN(C878,Settings!$B$2))</f>
        <v/>
      </c>
      <c r="E878">
        <f>IF(C878="","",MAX(0,C878-D878))</f>
        <v/>
      </c>
    </row>
    <row r="879">
      <c r="D879">
        <f>IF(C879="","",MIN(C879,Settings!$B$2))</f>
        <v/>
      </c>
      <c r="E879">
        <f>IF(C879="","",MAX(0,C879-D879))</f>
        <v/>
      </c>
    </row>
    <row r="880">
      <c r="D880">
        <f>IF(C880="","",MIN(C880,Settings!$B$2))</f>
        <v/>
      </c>
      <c r="E880">
        <f>IF(C880="","",MAX(0,C880-D880))</f>
        <v/>
      </c>
    </row>
    <row r="881">
      <c r="D881">
        <f>IF(C881="","",MIN(C881,Settings!$B$2))</f>
        <v/>
      </c>
      <c r="E881">
        <f>IF(C881="","",MAX(0,C881-D881))</f>
        <v/>
      </c>
    </row>
    <row r="882">
      <c r="D882">
        <f>IF(C882="","",MIN(C882,Settings!$B$2))</f>
        <v/>
      </c>
      <c r="E882">
        <f>IF(C882="","",MAX(0,C882-D882))</f>
        <v/>
      </c>
    </row>
    <row r="883">
      <c r="D883">
        <f>IF(C883="","",MIN(C883,Settings!$B$2))</f>
        <v/>
      </c>
      <c r="E883">
        <f>IF(C883="","",MAX(0,C883-D883))</f>
        <v/>
      </c>
    </row>
    <row r="884">
      <c r="D884">
        <f>IF(C884="","",MIN(C884,Settings!$B$2))</f>
        <v/>
      </c>
      <c r="E884">
        <f>IF(C884="","",MAX(0,C884-D884))</f>
        <v/>
      </c>
    </row>
    <row r="885">
      <c r="D885">
        <f>IF(C885="","",MIN(C885,Settings!$B$2))</f>
        <v/>
      </c>
      <c r="E885">
        <f>IF(C885="","",MAX(0,C885-D885))</f>
        <v/>
      </c>
    </row>
    <row r="886">
      <c r="D886">
        <f>IF(C886="","",MIN(C886,Settings!$B$2))</f>
        <v/>
      </c>
      <c r="E886">
        <f>IF(C886="","",MAX(0,C886-D886))</f>
        <v/>
      </c>
    </row>
    <row r="887">
      <c r="D887">
        <f>IF(C887="","",MIN(C887,Settings!$B$2))</f>
        <v/>
      </c>
      <c r="E887">
        <f>IF(C887="","",MAX(0,C887-D887))</f>
        <v/>
      </c>
    </row>
    <row r="888">
      <c r="D888">
        <f>IF(C888="","",MIN(C888,Settings!$B$2))</f>
        <v/>
      </c>
      <c r="E888">
        <f>IF(C888="","",MAX(0,C888-D888))</f>
        <v/>
      </c>
    </row>
    <row r="889">
      <c r="D889">
        <f>IF(C889="","",MIN(C889,Settings!$B$2))</f>
        <v/>
      </c>
      <c r="E889">
        <f>IF(C889="","",MAX(0,C889-D889))</f>
        <v/>
      </c>
    </row>
    <row r="890">
      <c r="D890">
        <f>IF(C890="","",MIN(C890,Settings!$B$2))</f>
        <v/>
      </c>
      <c r="E890">
        <f>IF(C890="","",MAX(0,C890-D890))</f>
        <v/>
      </c>
    </row>
    <row r="891">
      <c r="D891">
        <f>IF(C891="","",MIN(C891,Settings!$B$2))</f>
        <v/>
      </c>
      <c r="E891">
        <f>IF(C891="","",MAX(0,C891-D891))</f>
        <v/>
      </c>
    </row>
    <row r="892">
      <c r="D892">
        <f>IF(C892="","",MIN(C892,Settings!$B$2))</f>
        <v/>
      </c>
      <c r="E892">
        <f>IF(C892="","",MAX(0,C892-D892))</f>
        <v/>
      </c>
    </row>
    <row r="893">
      <c r="D893">
        <f>IF(C893="","",MIN(C893,Settings!$B$2))</f>
        <v/>
      </c>
      <c r="E893">
        <f>IF(C893="","",MAX(0,C893-D893))</f>
        <v/>
      </c>
    </row>
    <row r="894">
      <c r="D894">
        <f>IF(C894="","",MIN(C894,Settings!$B$2))</f>
        <v/>
      </c>
      <c r="E894">
        <f>IF(C894="","",MAX(0,C894-D894))</f>
        <v/>
      </c>
    </row>
    <row r="895">
      <c r="D895">
        <f>IF(C895="","",MIN(C895,Settings!$B$2))</f>
        <v/>
      </c>
      <c r="E895">
        <f>IF(C895="","",MAX(0,C895-D895))</f>
        <v/>
      </c>
    </row>
    <row r="896">
      <c r="D896">
        <f>IF(C896="","",MIN(C896,Settings!$B$2))</f>
        <v/>
      </c>
      <c r="E896">
        <f>IF(C896="","",MAX(0,C896-D896))</f>
        <v/>
      </c>
    </row>
    <row r="897">
      <c r="D897">
        <f>IF(C897="","",MIN(C897,Settings!$B$2))</f>
        <v/>
      </c>
      <c r="E897">
        <f>IF(C897="","",MAX(0,C897-D897))</f>
        <v/>
      </c>
    </row>
    <row r="898">
      <c r="D898">
        <f>IF(C898="","",MIN(C898,Settings!$B$2))</f>
        <v/>
      </c>
      <c r="E898">
        <f>IF(C898="","",MAX(0,C898-D898))</f>
        <v/>
      </c>
    </row>
    <row r="899">
      <c r="D899">
        <f>IF(C899="","",MIN(C899,Settings!$B$2))</f>
        <v/>
      </c>
      <c r="E899">
        <f>IF(C899="","",MAX(0,C899-D899))</f>
        <v/>
      </c>
    </row>
    <row r="900">
      <c r="D900">
        <f>IF(C900="","",MIN(C900,Settings!$B$2))</f>
        <v/>
      </c>
      <c r="E900">
        <f>IF(C900="","",MAX(0,C900-D900))</f>
        <v/>
      </c>
    </row>
    <row r="901">
      <c r="D901">
        <f>IF(C901="","",MIN(C901,Settings!$B$2))</f>
        <v/>
      </c>
      <c r="E901">
        <f>IF(C901="","",MAX(0,C901-D901))</f>
        <v/>
      </c>
    </row>
    <row r="902">
      <c r="D902">
        <f>IF(C902="","",MIN(C902,Settings!$B$2))</f>
        <v/>
      </c>
      <c r="E902">
        <f>IF(C902="","",MAX(0,C902-D902))</f>
        <v/>
      </c>
    </row>
    <row r="903">
      <c r="D903">
        <f>IF(C903="","",MIN(C903,Settings!$B$2))</f>
        <v/>
      </c>
      <c r="E903">
        <f>IF(C903="","",MAX(0,C903-D903))</f>
        <v/>
      </c>
    </row>
    <row r="904">
      <c r="D904">
        <f>IF(C904="","",MIN(C904,Settings!$B$2))</f>
        <v/>
      </c>
      <c r="E904">
        <f>IF(C904="","",MAX(0,C904-D904))</f>
        <v/>
      </c>
    </row>
    <row r="905">
      <c r="D905">
        <f>IF(C905="","",MIN(C905,Settings!$B$2))</f>
        <v/>
      </c>
      <c r="E905">
        <f>IF(C905="","",MAX(0,C905-D905))</f>
        <v/>
      </c>
    </row>
    <row r="906">
      <c r="D906">
        <f>IF(C906="","",MIN(C906,Settings!$B$2))</f>
        <v/>
      </c>
      <c r="E906">
        <f>IF(C906="","",MAX(0,C906-D906))</f>
        <v/>
      </c>
    </row>
    <row r="907">
      <c r="D907">
        <f>IF(C907="","",MIN(C907,Settings!$B$2))</f>
        <v/>
      </c>
      <c r="E907">
        <f>IF(C907="","",MAX(0,C907-D907))</f>
        <v/>
      </c>
    </row>
    <row r="908">
      <c r="D908">
        <f>IF(C908="","",MIN(C908,Settings!$B$2))</f>
        <v/>
      </c>
      <c r="E908">
        <f>IF(C908="","",MAX(0,C908-D908))</f>
        <v/>
      </c>
    </row>
    <row r="909">
      <c r="D909">
        <f>IF(C909="","",MIN(C909,Settings!$B$2))</f>
        <v/>
      </c>
      <c r="E909">
        <f>IF(C909="","",MAX(0,C909-D909))</f>
        <v/>
      </c>
    </row>
    <row r="910">
      <c r="D910">
        <f>IF(C910="","",MIN(C910,Settings!$B$2))</f>
        <v/>
      </c>
      <c r="E910">
        <f>IF(C910="","",MAX(0,C910-D910))</f>
        <v/>
      </c>
    </row>
    <row r="911">
      <c r="D911">
        <f>IF(C911="","",MIN(C911,Settings!$B$2))</f>
        <v/>
      </c>
      <c r="E911">
        <f>IF(C911="","",MAX(0,C911-D911))</f>
        <v/>
      </c>
    </row>
    <row r="912">
      <c r="D912">
        <f>IF(C912="","",MIN(C912,Settings!$B$2))</f>
        <v/>
      </c>
      <c r="E912">
        <f>IF(C912="","",MAX(0,C912-D912))</f>
        <v/>
      </c>
    </row>
    <row r="913">
      <c r="D913">
        <f>IF(C913="","",MIN(C913,Settings!$B$2))</f>
        <v/>
      </c>
      <c r="E913">
        <f>IF(C913="","",MAX(0,C913-D913))</f>
        <v/>
      </c>
    </row>
    <row r="914">
      <c r="D914">
        <f>IF(C914="","",MIN(C914,Settings!$B$2))</f>
        <v/>
      </c>
      <c r="E914">
        <f>IF(C914="","",MAX(0,C914-D914))</f>
        <v/>
      </c>
    </row>
    <row r="915">
      <c r="D915">
        <f>IF(C915="","",MIN(C915,Settings!$B$2))</f>
        <v/>
      </c>
      <c r="E915">
        <f>IF(C915="","",MAX(0,C915-D915))</f>
        <v/>
      </c>
    </row>
    <row r="916">
      <c r="D916">
        <f>IF(C916="","",MIN(C916,Settings!$B$2))</f>
        <v/>
      </c>
      <c r="E916">
        <f>IF(C916="","",MAX(0,C916-D916))</f>
        <v/>
      </c>
    </row>
    <row r="917">
      <c r="D917">
        <f>IF(C917="","",MIN(C917,Settings!$B$2))</f>
        <v/>
      </c>
      <c r="E917">
        <f>IF(C917="","",MAX(0,C917-D917))</f>
        <v/>
      </c>
    </row>
    <row r="918">
      <c r="D918">
        <f>IF(C918="","",MIN(C918,Settings!$B$2))</f>
        <v/>
      </c>
      <c r="E918">
        <f>IF(C918="","",MAX(0,C918-D918))</f>
        <v/>
      </c>
    </row>
    <row r="919">
      <c r="D919">
        <f>IF(C919="","",MIN(C919,Settings!$B$2))</f>
        <v/>
      </c>
      <c r="E919">
        <f>IF(C919="","",MAX(0,C919-D919))</f>
        <v/>
      </c>
    </row>
    <row r="920">
      <c r="D920">
        <f>IF(C920="","",MIN(C920,Settings!$B$2))</f>
        <v/>
      </c>
      <c r="E920">
        <f>IF(C920="","",MAX(0,C920-D920))</f>
        <v/>
      </c>
    </row>
    <row r="921">
      <c r="D921">
        <f>IF(C921="","",MIN(C921,Settings!$B$2))</f>
        <v/>
      </c>
      <c r="E921">
        <f>IF(C921="","",MAX(0,C921-D921))</f>
        <v/>
      </c>
    </row>
    <row r="922">
      <c r="D922">
        <f>IF(C922="","",MIN(C922,Settings!$B$2))</f>
        <v/>
      </c>
      <c r="E922">
        <f>IF(C922="","",MAX(0,C922-D922))</f>
        <v/>
      </c>
    </row>
    <row r="923">
      <c r="D923">
        <f>IF(C923="","",MIN(C923,Settings!$B$2))</f>
        <v/>
      </c>
      <c r="E923">
        <f>IF(C923="","",MAX(0,C923-D923))</f>
        <v/>
      </c>
    </row>
    <row r="924">
      <c r="D924">
        <f>IF(C924="","",MIN(C924,Settings!$B$2))</f>
        <v/>
      </c>
      <c r="E924">
        <f>IF(C924="","",MAX(0,C924-D924))</f>
        <v/>
      </c>
    </row>
    <row r="925">
      <c r="D925">
        <f>IF(C925="","",MIN(C925,Settings!$B$2))</f>
        <v/>
      </c>
      <c r="E925">
        <f>IF(C925="","",MAX(0,C925-D925))</f>
        <v/>
      </c>
    </row>
    <row r="926">
      <c r="D926">
        <f>IF(C926="","",MIN(C926,Settings!$B$2))</f>
        <v/>
      </c>
      <c r="E926">
        <f>IF(C926="","",MAX(0,C926-D926))</f>
        <v/>
      </c>
    </row>
    <row r="927">
      <c r="D927">
        <f>IF(C927="","",MIN(C927,Settings!$B$2))</f>
        <v/>
      </c>
      <c r="E927">
        <f>IF(C927="","",MAX(0,C927-D927))</f>
        <v/>
      </c>
    </row>
    <row r="928">
      <c r="D928">
        <f>IF(C928="","",MIN(C928,Settings!$B$2))</f>
        <v/>
      </c>
      <c r="E928">
        <f>IF(C928="","",MAX(0,C928-D928))</f>
        <v/>
      </c>
    </row>
    <row r="929">
      <c r="D929">
        <f>IF(C929="","",MIN(C929,Settings!$B$2))</f>
        <v/>
      </c>
      <c r="E929">
        <f>IF(C929="","",MAX(0,C929-D929))</f>
        <v/>
      </c>
    </row>
    <row r="930">
      <c r="D930">
        <f>IF(C930="","",MIN(C930,Settings!$B$2))</f>
        <v/>
      </c>
      <c r="E930">
        <f>IF(C930="","",MAX(0,C930-D930))</f>
        <v/>
      </c>
    </row>
    <row r="931">
      <c r="D931">
        <f>IF(C931="","",MIN(C931,Settings!$B$2))</f>
        <v/>
      </c>
      <c r="E931">
        <f>IF(C931="","",MAX(0,C931-D931))</f>
        <v/>
      </c>
    </row>
    <row r="932">
      <c r="D932">
        <f>IF(C932="","",MIN(C932,Settings!$B$2))</f>
        <v/>
      </c>
      <c r="E932">
        <f>IF(C932="","",MAX(0,C932-D932))</f>
        <v/>
      </c>
    </row>
    <row r="933">
      <c r="D933">
        <f>IF(C933="","",MIN(C933,Settings!$B$2))</f>
        <v/>
      </c>
      <c r="E933">
        <f>IF(C933="","",MAX(0,C933-D933))</f>
        <v/>
      </c>
    </row>
    <row r="934">
      <c r="D934">
        <f>IF(C934="","",MIN(C934,Settings!$B$2))</f>
        <v/>
      </c>
      <c r="E934">
        <f>IF(C934="","",MAX(0,C934-D934))</f>
        <v/>
      </c>
    </row>
    <row r="935">
      <c r="D935">
        <f>IF(C935="","",MIN(C935,Settings!$B$2))</f>
        <v/>
      </c>
      <c r="E935">
        <f>IF(C935="","",MAX(0,C935-D935))</f>
        <v/>
      </c>
    </row>
    <row r="936">
      <c r="D936">
        <f>IF(C936="","",MIN(C936,Settings!$B$2))</f>
        <v/>
      </c>
      <c r="E936">
        <f>IF(C936="","",MAX(0,C936-D936))</f>
        <v/>
      </c>
    </row>
    <row r="937">
      <c r="D937">
        <f>IF(C937="","",MIN(C937,Settings!$B$2))</f>
        <v/>
      </c>
      <c r="E937">
        <f>IF(C937="","",MAX(0,C937-D937))</f>
        <v/>
      </c>
    </row>
    <row r="938">
      <c r="D938">
        <f>IF(C938="","",MIN(C938,Settings!$B$2))</f>
        <v/>
      </c>
      <c r="E938">
        <f>IF(C938="","",MAX(0,C938-D938))</f>
        <v/>
      </c>
    </row>
    <row r="939">
      <c r="D939">
        <f>IF(C939="","",MIN(C939,Settings!$B$2))</f>
        <v/>
      </c>
      <c r="E939">
        <f>IF(C939="","",MAX(0,C939-D939))</f>
        <v/>
      </c>
    </row>
    <row r="940">
      <c r="D940">
        <f>IF(C940="","",MIN(C940,Settings!$B$2))</f>
        <v/>
      </c>
      <c r="E940">
        <f>IF(C940="","",MAX(0,C940-D940))</f>
        <v/>
      </c>
    </row>
    <row r="941">
      <c r="D941">
        <f>IF(C941="","",MIN(C941,Settings!$B$2))</f>
        <v/>
      </c>
      <c r="E941">
        <f>IF(C941="","",MAX(0,C941-D941))</f>
        <v/>
      </c>
    </row>
    <row r="942">
      <c r="D942">
        <f>IF(C942="","",MIN(C942,Settings!$B$2))</f>
        <v/>
      </c>
      <c r="E942">
        <f>IF(C942="","",MAX(0,C942-D942))</f>
        <v/>
      </c>
    </row>
    <row r="943">
      <c r="D943">
        <f>IF(C943="","",MIN(C943,Settings!$B$2))</f>
        <v/>
      </c>
      <c r="E943">
        <f>IF(C943="","",MAX(0,C943-D943))</f>
        <v/>
      </c>
    </row>
    <row r="944">
      <c r="D944">
        <f>IF(C944="","",MIN(C944,Settings!$B$2))</f>
        <v/>
      </c>
      <c r="E944">
        <f>IF(C944="","",MAX(0,C944-D944))</f>
        <v/>
      </c>
    </row>
    <row r="945">
      <c r="D945">
        <f>IF(C945="","",MIN(C945,Settings!$B$2))</f>
        <v/>
      </c>
      <c r="E945">
        <f>IF(C945="","",MAX(0,C945-D945))</f>
        <v/>
      </c>
    </row>
    <row r="946">
      <c r="D946">
        <f>IF(C946="","",MIN(C946,Settings!$B$2))</f>
        <v/>
      </c>
      <c r="E946">
        <f>IF(C946="","",MAX(0,C946-D946))</f>
        <v/>
      </c>
    </row>
    <row r="947">
      <c r="D947">
        <f>IF(C947="","",MIN(C947,Settings!$B$2))</f>
        <v/>
      </c>
      <c r="E947">
        <f>IF(C947="","",MAX(0,C947-D947))</f>
        <v/>
      </c>
    </row>
    <row r="948">
      <c r="D948">
        <f>IF(C948="","",MIN(C948,Settings!$B$2))</f>
        <v/>
      </c>
      <c r="E948">
        <f>IF(C948="","",MAX(0,C948-D948))</f>
        <v/>
      </c>
    </row>
    <row r="949">
      <c r="D949">
        <f>IF(C949="","",MIN(C949,Settings!$B$2))</f>
        <v/>
      </c>
      <c r="E949">
        <f>IF(C949="","",MAX(0,C949-D949))</f>
        <v/>
      </c>
    </row>
    <row r="950">
      <c r="D950">
        <f>IF(C950="","",MIN(C950,Settings!$B$2))</f>
        <v/>
      </c>
      <c r="E950">
        <f>IF(C950="","",MAX(0,C950-D950))</f>
        <v/>
      </c>
    </row>
    <row r="951">
      <c r="D951">
        <f>IF(C951="","",MIN(C951,Settings!$B$2))</f>
        <v/>
      </c>
      <c r="E951">
        <f>IF(C951="","",MAX(0,C951-D951))</f>
        <v/>
      </c>
    </row>
    <row r="952">
      <c r="D952">
        <f>IF(C952="","",MIN(C952,Settings!$B$2))</f>
        <v/>
      </c>
      <c r="E952">
        <f>IF(C952="","",MAX(0,C952-D952))</f>
        <v/>
      </c>
    </row>
    <row r="953">
      <c r="D953">
        <f>IF(C953="","",MIN(C953,Settings!$B$2))</f>
        <v/>
      </c>
      <c r="E953">
        <f>IF(C953="","",MAX(0,C953-D953))</f>
        <v/>
      </c>
    </row>
    <row r="954">
      <c r="D954">
        <f>IF(C954="","",MIN(C954,Settings!$B$2))</f>
        <v/>
      </c>
      <c r="E954">
        <f>IF(C954="","",MAX(0,C954-D954))</f>
        <v/>
      </c>
    </row>
    <row r="955">
      <c r="D955">
        <f>IF(C955="","",MIN(C955,Settings!$B$2))</f>
        <v/>
      </c>
      <c r="E955">
        <f>IF(C955="","",MAX(0,C955-D955))</f>
        <v/>
      </c>
    </row>
    <row r="956">
      <c r="D956">
        <f>IF(C956="","",MIN(C956,Settings!$B$2))</f>
        <v/>
      </c>
      <c r="E956">
        <f>IF(C956="","",MAX(0,C956-D956))</f>
        <v/>
      </c>
    </row>
    <row r="957">
      <c r="D957">
        <f>IF(C957="","",MIN(C957,Settings!$B$2))</f>
        <v/>
      </c>
      <c r="E957">
        <f>IF(C957="","",MAX(0,C957-D957))</f>
        <v/>
      </c>
    </row>
    <row r="958">
      <c r="D958">
        <f>IF(C958="","",MIN(C958,Settings!$B$2))</f>
        <v/>
      </c>
      <c r="E958">
        <f>IF(C958="","",MAX(0,C958-D958))</f>
        <v/>
      </c>
    </row>
    <row r="959">
      <c r="D959">
        <f>IF(C959="","",MIN(C959,Settings!$B$2))</f>
        <v/>
      </c>
      <c r="E959">
        <f>IF(C959="","",MAX(0,C959-D959))</f>
        <v/>
      </c>
    </row>
    <row r="960">
      <c r="D960">
        <f>IF(C960="","",MIN(C960,Settings!$B$2))</f>
        <v/>
      </c>
      <c r="E960">
        <f>IF(C960="","",MAX(0,C960-D960))</f>
        <v/>
      </c>
    </row>
    <row r="961">
      <c r="D961">
        <f>IF(C961="","",MIN(C961,Settings!$B$2))</f>
        <v/>
      </c>
      <c r="E961">
        <f>IF(C961="","",MAX(0,C961-D961))</f>
        <v/>
      </c>
    </row>
    <row r="962">
      <c r="D962">
        <f>IF(C962="","",MIN(C962,Settings!$B$2))</f>
        <v/>
      </c>
      <c r="E962">
        <f>IF(C962="","",MAX(0,C962-D962))</f>
        <v/>
      </c>
    </row>
    <row r="963">
      <c r="D963">
        <f>IF(C963="","",MIN(C963,Settings!$B$2))</f>
        <v/>
      </c>
      <c r="E963">
        <f>IF(C963="","",MAX(0,C963-D963))</f>
        <v/>
      </c>
    </row>
    <row r="964">
      <c r="D964">
        <f>IF(C964="","",MIN(C964,Settings!$B$2))</f>
        <v/>
      </c>
      <c r="E964">
        <f>IF(C964="","",MAX(0,C964-D964))</f>
        <v/>
      </c>
    </row>
    <row r="965">
      <c r="D965">
        <f>IF(C965="","",MIN(C965,Settings!$B$2))</f>
        <v/>
      </c>
      <c r="E965">
        <f>IF(C965="","",MAX(0,C965-D965))</f>
        <v/>
      </c>
    </row>
    <row r="966">
      <c r="D966">
        <f>IF(C966="","",MIN(C966,Settings!$B$2))</f>
        <v/>
      </c>
      <c r="E966">
        <f>IF(C966="","",MAX(0,C966-D966))</f>
        <v/>
      </c>
    </row>
    <row r="967">
      <c r="D967">
        <f>IF(C967="","",MIN(C967,Settings!$B$2))</f>
        <v/>
      </c>
      <c r="E967">
        <f>IF(C967="","",MAX(0,C967-D967))</f>
        <v/>
      </c>
    </row>
    <row r="968">
      <c r="D968">
        <f>IF(C968="","",MIN(C968,Settings!$B$2))</f>
        <v/>
      </c>
      <c r="E968">
        <f>IF(C968="","",MAX(0,C968-D968))</f>
        <v/>
      </c>
    </row>
    <row r="969">
      <c r="D969">
        <f>IF(C969="","",MIN(C969,Settings!$B$2))</f>
        <v/>
      </c>
      <c r="E969">
        <f>IF(C969="","",MAX(0,C969-D969))</f>
        <v/>
      </c>
    </row>
    <row r="970">
      <c r="D970">
        <f>IF(C970="","",MIN(C970,Settings!$B$2))</f>
        <v/>
      </c>
      <c r="E970">
        <f>IF(C970="","",MAX(0,C970-D970))</f>
        <v/>
      </c>
    </row>
    <row r="971">
      <c r="D971">
        <f>IF(C971="","",MIN(C971,Settings!$B$2))</f>
        <v/>
      </c>
      <c r="E971">
        <f>IF(C971="","",MAX(0,C971-D971))</f>
        <v/>
      </c>
    </row>
    <row r="972">
      <c r="D972">
        <f>IF(C972="","",MIN(C972,Settings!$B$2))</f>
        <v/>
      </c>
      <c r="E972">
        <f>IF(C972="","",MAX(0,C972-D972))</f>
        <v/>
      </c>
    </row>
    <row r="973">
      <c r="D973">
        <f>IF(C973="","",MIN(C973,Settings!$B$2))</f>
        <v/>
      </c>
      <c r="E973">
        <f>IF(C973="","",MAX(0,C973-D973))</f>
        <v/>
      </c>
    </row>
    <row r="974">
      <c r="D974">
        <f>IF(C974="","",MIN(C974,Settings!$B$2))</f>
        <v/>
      </c>
      <c r="E974">
        <f>IF(C974="","",MAX(0,C974-D974))</f>
        <v/>
      </c>
    </row>
    <row r="975">
      <c r="D975">
        <f>IF(C975="","",MIN(C975,Settings!$B$2))</f>
        <v/>
      </c>
      <c r="E975">
        <f>IF(C975="","",MAX(0,C975-D975))</f>
        <v/>
      </c>
    </row>
    <row r="976">
      <c r="D976">
        <f>IF(C976="","",MIN(C976,Settings!$B$2))</f>
        <v/>
      </c>
      <c r="E976">
        <f>IF(C976="","",MAX(0,C976-D976))</f>
        <v/>
      </c>
    </row>
    <row r="977">
      <c r="D977">
        <f>IF(C977="","",MIN(C977,Settings!$B$2))</f>
        <v/>
      </c>
      <c r="E977">
        <f>IF(C977="","",MAX(0,C977-D977))</f>
        <v/>
      </c>
    </row>
    <row r="978">
      <c r="D978">
        <f>IF(C978="","",MIN(C978,Settings!$B$2))</f>
        <v/>
      </c>
      <c r="E978">
        <f>IF(C978="","",MAX(0,C978-D978))</f>
        <v/>
      </c>
    </row>
    <row r="979">
      <c r="D979">
        <f>IF(C979="","",MIN(C979,Settings!$B$2))</f>
        <v/>
      </c>
      <c r="E979">
        <f>IF(C979="","",MAX(0,C979-D979))</f>
        <v/>
      </c>
    </row>
    <row r="980">
      <c r="D980">
        <f>IF(C980="","",MIN(C980,Settings!$B$2))</f>
        <v/>
      </c>
      <c r="E980">
        <f>IF(C980="","",MAX(0,C980-D980))</f>
        <v/>
      </c>
    </row>
    <row r="981">
      <c r="D981">
        <f>IF(C981="","",MIN(C981,Settings!$B$2))</f>
        <v/>
      </c>
      <c r="E981">
        <f>IF(C981="","",MAX(0,C981-D981))</f>
        <v/>
      </c>
    </row>
    <row r="982">
      <c r="D982">
        <f>IF(C982="","",MIN(C982,Settings!$B$2))</f>
        <v/>
      </c>
      <c r="E982">
        <f>IF(C982="","",MAX(0,C982-D982))</f>
        <v/>
      </c>
    </row>
    <row r="983">
      <c r="D983">
        <f>IF(C983="","",MIN(C983,Settings!$B$2))</f>
        <v/>
      </c>
      <c r="E983">
        <f>IF(C983="","",MAX(0,C983-D983))</f>
        <v/>
      </c>
    </row>
    <row r="984">
      <c r="D984">
        <f>IF(C984="","",MIN(C984,Settings!$B$2))</f>
        <v/>
      </c>
      <c r="E984">
        <f>IF(C984="","",MAX(0,C984-D984))</f>
        <v/>
      </c>
    </row>
    <row r="985">
      <c r="D985">
        <f>IF(C985="","",MIN(C985,Settings!$B$2))</f>
        <v/>
      </c>
      <c r="E985">
        <f>IF(C985="","",MAX(0,C985-D985))</f>
        <v/>
      </c>
    </row>
    <row r="986">
      <c r="D986">
        <f>IF(C986="","",MIN(C986,Settings!$B$2))</f>
        <v/>
      </c>
      <c r="E986">
        <f>IF(C986="","",MAX(0,C986-D986))</f>
        <v/>
      </c>
    </row>
    <row r="987">
      <c r="D987">
        <f>IF(C987="","",MIN(C987,Settings!$B$2))</f>
        <v/>
      </c>
      <c r="E987">
        <f>IF(C987="","",MAX(0,C987-D987))</f>
        <v/>
      </c>
    </row>
    <row r="988">
      <c r="D988">
        <f>IF(C988="","",MIN(C988,Settings!$B$2))</f>
        <v/>
      </c>
      <c r="E988">
        <f>IF(C988="","",MAX(0,C988-D988))</f>
        <v/>
      </c>
    </row>
    <row r="989">
      <c r="D989">
        <f>IF(C989="","",MIN(C989,Settings!$B$2))</f>
        <v/>
      </c>
      <c r="E989">
        <f>IF(C989="","",MAX(0,C989-D989))</f>
        <v/>
      </c>
    </row>
    <row r="990">
      <c r="D990">
        <f>IF(C990="","",MIN(C990,Settings!$B$2))</f>
        <v/>
      </c>
      <c r="E990">
        <f>IF(C990="","",MAX(0,C990-D990))</f>
        <v/>
      </c>
    </row>
    <row r="991">
      <c r="D991">
        <f>IF(C991="","",MIN(C991,Settings!$B$2))</f>
        <v/>
      </c>
      <c r="E991">
        <f>IF(C991="","",MAX(0,C991-D991))</f>
        <v/>
      </c>
    </row>
    <row r="992">
      <c r="D992">
        <f>IF(C992="","",MIN(C992,Settings!$B$2))</f>
        <v/>
      </c>
      <c r="E992">
        <f>IF(C992="","",MAX(0,C992-D992))</f>
        <v/>
      </c>
    </row>
    <row r="993">
      <c r="D993">
        <f>IF(C993="","",MIN(C993,Settings!$B$2))</f>
        <v/>
      </c>
      <c r="E993">
        <f>IF(C993="","",MAX(0,C993-D993))</f>
        <v/>
      </c>
    </row>
    <row r="994">
      <c r="D994">
        <f>IF(C994="","",MIN(C994,Settings!$B$2))</f>
        <v/>
      </c>
      <c r="E994">
        <f>IF(C994="","",MAX(0,C994-D994))</f>
        <v/>
      </c>
    </row>
    <row r="995">
      <c r="D995">
        <f>IF(C995="","",MIN(C995,Settings!$B$2))</f>
        <v/>
      </c>
      <c r="E995">
        <f>IF(C995="","",MAX(0,C995-D995))</f>
        <v/>
      </c>
    </row>
    <row r="996">
      <c r="D996">
        <f>IF(C996="","",MIN(C996,Settings!$B$2))</f>
        <v/>
      </c>
      <c r="E996">
        <f>IF(C996="","",MAX(0,C996-D996))</f>
        <v/>
      </c>
    </row>
    <row r="997">
      <c r="D997">
        <f>IF(C997="","",MIN(C997,Settings!$B$2))</f>
        <v/>
      </c>
      <c r="E997">
        <f>IF(C997="","",MAX(0,C997-D997))</f>
        <v/>
      </c>
    </row>
    <row r="998">
      <c r="D998">
        <f>IF(C998="","",MIN(C998,Settings!$B$2))</f>
        <v/>
      </c>
      <c r="E998">
        <f>IF(C998="","",MAX(0,C998-D998))</f>
        <v/>
      </c>
    </row>
    <row r="999">
      <c r="D999">
        <f>IF(C999="","",MIN(C999,Settings!$B$2))</f>
        <v/>
      </c>
      <c r="E999">
        <f>IF(C999="","",MAX(0,C999-D999))</f>
        <v/>
      </c>
    </row>
    <row r="1000">
      <c r="D1000">
        <f>IF(C1000="","",MIN(C1000,Settings!$B$2))</f>
        <v/>
      </c>
      <c r="E1000">
        <f>IF(C1000="","",MAX(0,C1000-D1000))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12" customWidth="1" style="38" min="2" max="2"/>
    <col width="12" customWidth="1" style="38" min="3" max="3"/>
    <col width="39" customWidth="1" style="38" min="4" max="4"/>
    <col width="31" customWidth="1" style="38" min="5" max="5"/>
  </cols>
  <sheetData>
    <row r="1">
      <c r="A1" s="39" t="inlineStr">
        <is>
          <t>MonthKey</t>
        </is>
      </c>
      <c r="B1" s="39" t="inlineStr">
        <is>
          <t>CoachID</t>
        </is>
      </c>
      <c r="C1" s="39" t="inlineStr">
        <is>
          <t>EduRaw</t>
        </is>
      </c>
      <c r="D1" s="39" t="inlineStr">
        <is>
          <t>EduCounted</t>
        </is>
      </c>
      <c r="E1" s="39" t="inlineStr">
        <is>
          <t>OverCap</t>
        </is>
      </c>
    </row>
    <row r="2">
      <c r="A2">
        <f>IFERROR(QUERY(XPLog!A2:P1000,"select Col15,Col2,sum(Col13) where Col10='Education' and Col13 is not null group by Col15,Col2 label sum(Col13) ''",0),"")</f>
        <v/>
      </c>
      <c r="D2" s="23">
        <f>IF(C2="","",MIN(C2,Settings!$B$3))</f>
        <v/>
      </c>
      <c r="E2" s="23">
        <f>IF(C2="","",MAX(0,C2-D2))</f>
        <v/>
      </c>
    </row>
    <row r="3">
      <c r="D3">
        <f>IF(C3="","",MIN(C3,Settings!$B$3))</f>
        <v/>
      </c>
      <c r="E3">
        <f>IF(C3="","",MAX(0,C3-D3))</f>
        <v/>
      </c>
    </row>
    <row r="4">
      <c r="D4">
        <f>IF(C4="","",MIN(C4,Settings!$B$3))</f>
        <v/>
      </c>
      <c r="E4">
        <f>IF(C4="","",MAX(0,C4-D4))</f>
        <v/>
      </c>
    </row>
    <row r="5">
      <c r="D5">
        <f>IF(C5="","",MIN(C5,Settings!$B$3))</f>
        <v/>
      </c>
      <c r="E5">
        <f>IF(C5="","",MAX(0,C5-D5))</f>
        <v/>
      </c>
    </row>
    <row r="6">
      <c r="D6">
        <f>IF(C6="","",MIN(C6,Settings!$B$3))</f>
        <v/>
      </c>
      <c r="E6">
        <f>IF(C6="","",MAX(0,C6-D6))</f>
        <v/>
      </c>
    </row>
    <row r="7">
      <c r="D7">
        <f>IF(C7="","",MIN(C7,Settings!$B$3))</f>
        <v/>
      </c>
      <c r="E7">
        <f>IF(C7="","",MAX(0,C7-D7))</f>
        <v/>
      </c>
    </row>
    <row r="8">
      <c r="D8">
        <f>IF(C8="","",MIN(C8,Settings!$B$3))</f>
        <v/>
      </c>
      <c r="E8">
        <f>IF(C8="","",MAX(0,C8-D8))</f>
        <v/>
      </c>
    </row>
    <row r="9">
      <c r="D9">
        <f>IF(C9="","",MIN(C9,Settings!$B$3))</f>
        <v/>
      </c>
      <c r="E9">
        <f>IF(C9="","",MAX(0,C9-D9))</f>
        <v/>
      </c>
    </row>
    <row r="10">
      <c r="D10">
        <f>IF(C10="","",MIN(C10,Settings!$B$3))</f>
        <v/>
      </c>
      <c r="E10">
        <f>IF(C10="","",MAX(0,C10-D10))</f>
        <v/>
      </c>
    </row>
    <row r="11">
      <c r="D11">
        <f>IF(C11="","",MIN(C11,Settings!$B$3))</f>
        <v/>
      </c>
      <c r="E11">
        <f>IF(C11="","",MAX(0,C11-D11))</f>
        <v/>
      </c>
    </row>
    <row r="12">
      <c r="D12">
        <f>IF(C12="","",MIN(C12,Settings!$B$3))</f>
        <v/>
      </c>
      <c r="E12">
        <f>IF(C12="","",MAX(0,C12-D12))</f>
        <v/>
      </c>
    </row>
    <row r="13">
      <c r="D13">
        <f>IF(C13="","",MIN(C13,Settings!$B$3))</f>
        <v/>
      </c>
      <c r="E13">
        <f>IF(C13="","",MAX(0,C13-D13))</f>
        <v/>
      </c>
    </row>
    <row r="14">
      <c r="D14">
        <f>IF(C14="","",MIN(C14,Settings!$B$3))</f>
        <v/>
      </c>
      <c r="E14">
        <f>IF(C14="","",MAX(0,C14-D14))</f>
        <v/>
      </c>
    </row>
    <row r="15">
      <c r="D15">
        <f>IF(C15="","",MIN(C15,Settings!$B$3))</f>
        <v/>
      </c>
      <c r="E15">
        <f>IF(C15="","",MAX(0,C15-D15))</f>
        <v/>
      </c>
    </row>
    <row r="16">
      <c r="D16">
        <f>IF(C16="","",MIN(C16,Settings!$B$3))</f>
        <v/>
      </c>
      <c r="E16">
        <f>IF(C16="","",MAX(0,C16-D16))</f>
        <v/>
      </c>
    </row>
    <row r="17">
      <c r="D17">
        <f>IF(C17="","",MIN(C17,Settings!$B$3))</f>
        <v/>
      </c>
      <c r="E17">
        <f>IF(C17="","",MAX(0,C17-D17))</f>
        <v/>
      </c>
    </row>
    <row r="18">
      <c r="D18">
        <f>IF(C18="","",MIN(C18,Settings!$B$3))</f>
        <v/>
      </c>
      <c r="E18">
        <f>IF(C18="","",MAX(0,C18-D18))</f>
        <v/>
      </c>
    </row>
    <row r="19">
      <c r="D19">
        <f>IF(C19="","",MIN(C19,Settings!$B$3))</f>
        <v/>
      </c>
      <c r="E19">
        <f>IF(C19="","",MAX(0,C19-D19))</f>
        <v/>
      </c>
    </row>
    <row r="20">
      <c r="D20">
        <f>IF(C20="","",MIN(C20,Settings!$B$3))</f>
        <v/>
      </c>
      <c r="E20">
        <f>IF(C20="","",MAX(0,C20-D20))</f>
        <v/>
      </c>
    </row>
    <row r="21">
      <c r="D21">
        <f>IF(C21="","",MIN(C21,Settings!$B$3))</f>
        <v/>
      </c>
      <c r="E21">
        <f>IF(C21="","",MAX(0,C21-D21))</f>
        <v/>
      </c>
    </row>
    <row r="22">
      <c r="D22">
        <f>IF(C22="","",MIN(C22,Settings!$B$3))</f>
        <v/>
      </c>
      <c r="E22">
        <f>IF(C22="","",MAX(0,C22-D22))</f>
        <v/>
      </c>
    </row>
    <row r="23">
      <c r="D23">
        <f>IF(C23="","",MIN(C23,Settings!$B$3))</f>
        <v/>
      </c>
      <c r="E23">
        <f>IF(C23="","",MAX(0,C23-D23))</f>
        <v/>
      </c>
    </row>
    <row r="24">
      <c r="D24">
        <f>IF(C24="","",MIN(C24,Settings!$B$3))</f>
        <v/>
      </c>
      <c r="E24">
        <f>IF(C24="","",MAX(0,C24-D24))</f>
        <v/>
      </c>
    </row>
    <row r="25">
      <c r="D25">
        <f>IF(C25="","",MIN(C25,Settings!$B$3))</f>
        <v/>
      </c>
      <c r="E25">
        <f>IF(C25="","",MAX(0,C25-D25))</f>
        <v/>
      </c>
    </row>
    <row r="26">
      <c r="D26">
        <f>IF(C26="","",MIN(C26,Settings!$B$3))</f>
        <v/>
      </c>
      <c r="E26">
        <f>IF(C26="","",MAX(0,C26-D26))</f>
        <v/>
      </c>
    </row>
    <row r="27">
      <c r="D27">
        <f>IF(C27="","",MIN(C27,Settings!$B$3))</f>
        <v/>
      </c>
      <c r="E27">
        <f>IF(C27="","",MAX(0,C27-D27))</f>
        <v/>
      </c>
    </row>
    <row r="28">
      <c r="D28">
        <f>IF(C28="","",MIN(C28,Settings!$B$3))</f>
        <v/>
      </c>
      <c r="E28">
        <f>IF(C28="","",MAX(0,C28-D28))</f>
        <v/>
      </c>
    </row>
    <row r="29">
      <c r="D29">
        <f>IF(C29="","",MIN(C29,Settings!$B$3))</f>
        <v/>
      </c>
      <c r="E29">
        <f>IF(C29="","",MAX(0,C29-D29))</f>
        <v/>
      </c>
    </row>
    <row r="30">
      <c r="D30">
        <f>IF(C30="","",MIN(C30,Settings!$B$3))</f>
        <v/>
      </c>
      <c r="E30">
        <f>IF(C30="","",MAX(0,C30-D30))</f>
        <v/>
      </c>
    </row>
    <row r="31">
      <c r="D31">
        <f>IF(C31="","",MIN(C31,Settings!$B$3))</f>
        <v/>
      </c>
      <c r="E31">
        <f>IF(C31="","",MAX(0,C31-D31))</f>
        <v/>
      </c>
    </row>
    <row r="32">
      <c r="D32">
        <f>IF(C32="","",MIN(C32,Settings!$B$3))</f>
        <v/>
      </c>
      <c r="E32">
        <f>IF(C32="","",MAX(0,C32-D32))</f>
        <v/>
      </c>
    </row>
    <row r="33">
      <c r="D33">
        <f>IF(C33="","",MIN(C33,Settings!$B$3))</f>
        <v/>
      </c>
      <c r="E33">
        <f>IF(C33="","",MAX(0,C33-D33))</f>
        <v/>
      </c>
    </row>
    <row r="34">
      <c r="D34">
        <f>IF(C34="","",MIN(C34,Settings!$B$3))</f>
        <v/>
      </c>
      <c r="E34">
        <f>IF(C34="","",MAX(0,C34-D34))</f>
        <v/>
      </c>
    </row>
    <row r="35">
      <c r="D35">
        <f>IF(C35="","",MIN(C35,Settings!$B$3))</f>
        <v/>
      </c>
      <c r="E35">
        <f>IF(C35="","",MAX(0,C35-D35))</f>
        <v/>
      </c>
    </row>
    <row r="36">
      <c r="D36">
        <f>IF(C36="","",MIN(C36,Settings!$B$3))</f>
        <v/>
      </c>
      <c r="E36">
        <f>IF(C36="","",MAX(0,C36-D36))</f>
        <v/>
      </c>
    </row>
    <row r="37">
      <c r="D37">
        <f>IF(C37="","",MIN(C37,Settings!$B$3))</f>
        <v/>
      </c>
      <c r="E37">
        <f>IF(C37="","",MAX(0,C37-D37))</f>
        <v/>
      </c>
    </row>
    <row r="38">
      <c r="D38">
        <f>IF(C38="","",MIN(C38,Settings!$B$3))</f>
        <v/>
      </c>
      <c r="E38">
        <f>IF(C38="","",MAX(0,C38-D38))</f>
        <v/>
      </c>
    </row>
    <row r="39">
      <c r="D39">
        <f>IF(C39="","",MIN(C39,Settings!$B$3))</f>
        <v/>
      </c>
      <c r="E39">
        <f>IF(C39="","",MAX(0,C39-D39))</f>
        <v/>
      </c>
    </row>
    <row r="40">
      <c r="D40">
        <f>IF(C40="","",MIN(C40,Settings!$B$3))</f>
        <v/>
      </c>
      <c r="E40">
        <f>IF(C40="","",MAX(0,C40-D40))</f>
        <v/>
      </c>
    </row>
    <row r="41">
      <c r="D41">
        <f>IF(C41="","",MIN(C41,Settings!$B$3))</f>
        <v/>
      </c>
      <c r="E41">
        <f>IF(C41="","",MAX(0,C41-D41))</f>
        <v/>
      </c>
    </row>
    <row r="42">
      <c r="D42">
        <f>IF(C42="","",MIN(C42,Settings!$B$3))</f>
        <v/>
      </c>
      <c r="E42">
        <f>IF(C42="","",MAX(0,C42-D42))</f>
        <v/>
      </c>
    </row>
    <row r="43">
      <c r="D43">
        <f>IF(C43="","",MIN(C43,Settings!$B$3))</f>
        <v/>
      </c>
      <c r="E43">
        <f>IF(C43="","",MAX(0,C43-D43))</f>
        <v/>
      </c>
    </row>
    <row r="44">
      <c r="D44">
        <f>IF(C44="","",MIN(C44,Settings!$B$3))</f>
        <v/>
      </c>
      <c r="E44">
        <f>IF(C44="","",MAX(0,C44-D44))</f>
        <v/>
      </c>
    </row>
    <row r="45">
      <c r="D45">
        <f>IF(C45="","",MIN(C45,Settings!$B$3))</f>
        <v/>
      </c>
      <c r="E45">
        <f>IF(C45="","",MAX(0,C45-D45))</f>
        <v/>
      </c>
    </row>
    <row r="46">
      <c r="D46">
        <f>IF(C46="","",MIN(C46,Settings!$B$3))</f>
        <v/>
      </c>
      <c r="E46">
        <f>IF(C46="","",MAX(0,C46-D46))</f>
        <v/>
      </c>
    </row>
    <row r="47">
      <c r="D47">
        <f>IF(C47="","",MIN(C47,Settings!$B$3))</f>
        <v/>
      </c>
      <c r="E47">
        <f>IF(C47="","",MAX(0,C47-D47))</f>
        <v/>
      </c>
    </row>
    <row r="48">
      <c r="D48">
        <f>IF(C48="","",MIN(C48,Settings!$B$3))</f>
        <v/>
      </c>
      <c r="E48">
        <f>IF(C48="","",MAX(0,C48-D48))</f>
        <v/>
      </c>
    </row>
    <row r="49">
      <c r="D49">
        <f>IF(C49="","",MIN(C49,Settings!$B$3))</f>
        <v/>
      </c>
      <c r="E49">
        <f>IF(C49="","",MAX(0,C49-D49))</f>
        <v/>
      </c>
    </row>
    <row r="50">
      <c r="D50">
        <f>IF(C50="","",MIN(C50,Settings!$B$3))</f>
        <v/>
      </c>
      <c r="E50">
        <f>IF(C50="","",MAX(0,C50-D50))</f>
        <v/>
      </c>
    </row>
    <row r="51">
      <c r="D51">
        <f>IF(C51="","",MIN(C51,Settings!$B$3))</f>
        <v/>
      </c>
      <c r="E51">
        <f>IF(C51="","",MAX(0,C51-D51))</f>
        <v/>
      </c>
    </row>
    <row r="52">
      <c r="D52">
        <f>IF(C52="","",MIN(C52,Settings!$B$3))</f>
        <v/>
      </c>
      <c r="E52">
        <f>IF(C52="","",MAX(0,C52-D52))</f>
        <v/>
      </c>
    </row>
    <row r="53">
      <c r="D53">
        <f>IF(C53="","",MIN(C53,Settings!$B$3))</f>
        <v/>
      </c>
      <c r="E53">
        <f>IF(C53="","",MAX(0,C53-D53))</f>
        <v/>
      </c>
    </row>
    <row r="54">
      <c r="D54">
        <f>IF(C54="","",MIN(C54,Settings!$B$3))</f>
        <v/>
      </c>
      <c r="E54">
        <f>IF(C54="","",MAX(0,C54-D54))</f>
        <v/>
      </c>
    </row>
    <row r="55">
      <c r="D55">
        <f>IF(C55="","",MIN(C55,Settings!$B$3))</f>
        <v/>
      </c>
      <c r="E55">
        <f>IF(C55="","",MAX(0,C55-D55))</f>
        <v/>
      </c>
    </row>
    <row r="56">
      <c r="D56">
        <f>IF(C56="","",MIN(C56,Settings!$B$3))</f>
        <v/>
      </c>
      <c r="E56">
        <f>IF(C56="","",MAX(0,C56-D56))</f>
        <v/>
      </c>
    </row>
    <row r="57">
      <c r="D57">
        <f>IF(C57="","",MIN(C57,Settings!$B$3))</f>
        <v/>
      </c>
      <c r="E57">
        <f>IF(C57="","",MAX(0,C57-D57))</f>
        <v/>
      </c>
    </row>
    <row r="58">
      <c r="D58">
        <f>IF(C58="","",MIN(C58,Settings!$B$3))</f>
        <v/>
      </c>
      <c r="E58">
        <f>IF(C58="","",MAX(0,C58-D58))</f>
        <v/>
      </c>
    </row>
    <row r="59">
      <c r="D59">
        <f>IF(C59="","",MIN(C59,Settings!$B$3))</f>
        <v/>
      </c>
      <c r="E59">
        <f>IF(C59="","",MAX(0,C59-D59))</f>
        <v/>
      </c>
    </row>
    <row r="60">
      <c r="D60">
        <f>IF(C60="","",MIN(C60,Settings!$B$3))</f>
        <v/>
      </c>
      <c r="E60">
        <f>IF(C60="","",MAX(0,C60-D60))</f>
        <v/>
      </c>
    </row>
    <row r="61">
      <c r="D61">
        <f>IF(C61="","",MIN(C61,Settings!$B$3))</f>
        <v/>
      </c>
      <c r="E61">
        <f>IF(C61="","",MAX(0,C61-D61))</f>
        <v/>
      </c>
    </row>
    <row r="62">
      <c r="D62">
        <f>IF(C62="","",MIN(C62,Settings!$B$3))</f>
        <v/>
      </c>
      <c r="E62">
        <f>IF(C62="","",MAX(0,C62-D62))</f>
        <v/>
      </c>
    </row>
    <row r="63">
      <c r="D63">
        <f>IF(C63="","",MIN(C63,Settings!$B$3))</f>
        <v/>
      </c>
      <c r="E63">
        <f>IF(C63="","",MAX(0,C63-D63))</f>
        <v/>
      </c>
    </row>
    <row r="64">
      <c r="D64">
        <f>IF(C64="","",MIN(C64,Settings!$B$3))</f>
        <v/>
      </c>
      <c r="E64">
        <f>IF(C64="","",MAX(0,C64-D64))</f>
        <v/>
      </c>
    </row>
    <row r="65">
      <c r="D65">
        <f>IF(C65="","",MIN(C65,Settings!$B$3))</f>
        <v/>
      </c>
      <c r="E65">
        <f>IF(C65="","",MAX(0,C65-D65))</f>
        <v/>
      </c>
    </row>
    <row r="66">
      <c r="D66">
        <f>IF(C66="","",MIN(C66,Settings!$B$3))</f>
        <v/>
      </c>
      <c r="E66">
        <f>IF(C66="","",MAX(0,C66-D66))</f>
        <v/>
      </c>
    </row>
    <row r="67">
      <c r="D67">
        <f>IF(C67="","",MIN(C67,Settings!$B$3))</f>
        <v/>
      </c>
      <c r="E67">
        <f>IF(C67="","",MAX(0,C67-D67))</f>
        <v/>
      </c>
    </row>
    <row r="68">
      <c r="D68">
        <f>IF(C68="","",MIN(C68,Settings!$B$3))</f>
        <v/>
      </c>
      <c r="E68">
        <f>IF(C68="","",MAX(0,C68-D68))</f>
        <v/>
      </c>
    </row>
    <row r="69">
      <c r="D69">
        <f>IF(C69="","",MIN(C69,Settings!$B$3))</f>
        <v/>
      </c>
      <c r="E69">
        <f>IF(C69="","",MAX(0,C69-D69))</f>
        <v/>
      </c>
    </row>
    <row r="70">
      <c r="D70">
        <f>IF(C70="","",MIN(C70,Settings!$B$3))</f>
        <v/>
      </c>
      <c r="E70">
        <f>IF(C70="","",MAX(0,C70-D70))</f>
        <v/>
      </c>
    </row>
    <row r="71">
      <c r="D71">
        <f>IF(C71="","",MIN(C71,Settings!$B$3))</f>
        <v/>
      </c>
      <c r="E71">
        <f>IF(C71="","",MAX(0,C71-D71))</f>
        <v/>
      </c>
    </row>
    <row r="72">
      <c r="D72">
        <f>IF(C72="","",MIN(C72,Settings!$B$3))</f>
        <v/>
      </c>
      <c r="E72">
        <f>IF(C72="","",MAX(0,C72-D72))</f>
        <v/>
      </c>
    </row>
    <row r="73">
      <c r="D73">
        <f>IF(C73="","",MIN(C73,Settings!$B$3))</f>
        <v/>
      </c>
      <c r="E73">
        <f>IF(C73="","",MAX(0,C73-D73))</f>
        <v/>
      </c>
    </row>
    <row r="74">
      <c r="D74">
        <f>IF(C74="","",MIN(C74,Settings!$B$3))</f>
        <v/>
      </c>
      <c r="E74">
        <f>IF(C74="","",MAX(0,C74-D74))</f>
        <v/>
      </c>
    </row>
    <row r="75">
      <c r="D75">
        <f>IF(C75="","",MIN(C75,Settings!$B$3))</f>
        <v/>
      </c>
      <c r="E75">
        <f>IF(C75="","",MAX(0,C75-D75))</f>
        <v/>
      </c>
    </row>
    <row r="76">
      <c r="D76">
        <f>IF(C76="","",MIN(C76,Settings!$B$3))</f>
        <v/>
      </c>
      <c r="E76">
        <f>IF(C76="","",MAX(0,C76-D76))</f>
        <v/>
      </c>
    </row>
    <row r="77">
      <c r="D77">
        <f>IF(C77="","",MIN(C77,Settings!$B$3))</f>
        <v/>
      </c>
      <c r="E77">
        <f>IF(C77="","",MAX(0,C77-D77))</f>
        <v/>
      </c>
    </row>
    <row r="78">
      <c r="D78">
        <f>IF(C78="","",MIN(C78,Settings!$B$3))</f>
        <v/>
      </c>
      <c r="E78">
        <f>IF(C78="","",MAX(0,C78-D78))</f>
        <v/>
      </c>
    </row>
    <row r="79">
      <c r="D79">
        <f>IF(C79="","",MIN(C79,Settings!$B$3))</f>
        <v/>
      </c>
      <c r="E79">
        <f>IF(C79="","",MAX(0,C79-D79))</f>
        <v/>
      </c>
    </row>
    <row r="80">
      <c r="D80">
        <f>IF(C80="","",MIN(C80,Settings!$B$3))</f>
        <v/>
      </c>
      <c r="E80">
        <f>IF(C80="","",MAX(0,C80-D80))</f>
        <v/>
      </c>
    </row>
    <row r="81">
      <c r="D81">
        <f>IF(C81="","",MIN(C81,Settings!$B$3))</f>
        <v/>
      </c>
      <c r="E81">
        <f>IF(C81="","",MAX(0,C81-D81))</f>
        <v/>
      </c>
    </row>
    <row r="82">
      <c r="D82">
        <f>IF(C82="","",MIN(C82,Settings!$B$3))</f>
        <v/>
      </c>
      <c r="E82">
        <f>IF(C82="","",MAX(0,C82-D82))</f>
        <v/>
      </c>
    </row>
    <row r="83">
      <c r="D83">
        <f>IF(C83="","",MIN(C83,Settings!$B$3))</f>
        <v/>
      </c>
      <c r="E83">
        <f>IF(C83="","",MAX(0,C83-D83))</f>
        <v/>
      </c>
    </row>
    <row r="84">
      <c r="D84">
        <f>IF(C84="","",MIN(C84,Settings!$B$3))</f>
        <v/>
      </c>
      <c r="E84">
        <f>IF(C84="","",MAX(0,C84-D84))</f>
        <v/>
      </c>
    </row>
    <row r="85">
      <c r="D85">
        <f>IF(C85="","",MIN(C85,Settings!$B$3))</f>
        <v/>
      </c>
      <c r="E85">
        <f>IF(C85="","",MAX(0,C85-D85))</f>
        <v/>
      </c>
    </row>
    <row r="86">
      <c r="D86">
        <f>IF(C86="","",MIN(C86,Settings!$B$3))</f>
        <v/>
      </c>
      <c r="E86">
        <f>IF(C86="","",MAX(0,C86-D86))</f>
        <v/>
      </c>
    </row>
    <row r="87">
      <c r="D87">
        <f>IF(C87="","",MIN(C87,Settings!$B$3))</f>
        <v/>
      </c>
      <c r="E87">
        <f>IF(C87="","",MAX(0,C87-D87))</f>
        <v/>
      </c>
    </row>
    <row r="88">
      <c r="D88">
        <f>IF(C88="","",MIN(C88,Settings!$B$3))</f>
        <v/>
      </c>
      <c r="E88">
        <f>IF(C88="","",MAX(0,C88-D88))</f>
        <v/>
      </c>
    </row>
    <row r="89">
      <c r="D89">
        <f>IF(C89="","",MIN(C89,Settings!$B$3))</f>
        <v/>
      </c>
      <c r="E89">
        <f>IF(C89="","",MAX(0,C89-D89))</f>
        <v/>
      </c>
    </row>
    <row r="90">
      <c r="D90">
        <f>IF(C90="","",MIN(C90,Settings!$B$3))</f>
        <v/>
      </c>
      <c r="E90">
        <f>IF(C90="","",MAX(0,C90-D90))</f>
        <v/>
      </c>
    </row>
    <row r="91">
      <c r="D91">
        <f>IF(C91="","",MIN(C91,Settings!$B$3))</f>
        <v/>
      </c>
      <c r="E91">
        <f>IF(C91="","",MAX(0,C91-D91))</f>
        <v/>
      </c>
    </row>
    <row r="92">
      <c r="D92">
        <f>IF(C92="","",MIN(C92,Settings!$B$3))</f>
        <v/>
      </c>
      <c r="E92">
        <f>IF(C92="","",MAX(0,C92-D92))</f>
        <v/>
      </c>
    </row>
    <row r="93">
      <c r="D93">
        <f>IF(C93="","",MIN(C93,Settings!$B$3))</f>
        <v/>
      </c>
      <c r="E93">
        <f>IF(C93="","",MAX(0,C93-D93))</f>
        <v/>
      </c>
    </row>
    <row r="94">
      <c r="D94">
        <f>IF(C94="","",MIN(C94,Settings!$B$3))</f>
        <v/>
      </c>
      <c r="E94">
        <f>IF(C94="","",MAX(0,C94-D94))</f>
        <v/>
      </c>
    </row>
    <row r="95">
      <c r="D95">
        <f>IF(C95="","",MIN(C95,Settings!$B$3))</f>
        <v/>
      </c>
      <c r="E95">
        <f>IF(C95="","",MAX(0,C95-D95))</f>
        <v/>
      </c>
    </row>
    <row r="96">
      <c r="D96">
        <f>IF(C96="","",MIN(C96,Settings!$B$3))</f>
        <v/>
      </c>
      <c r="E96">
        <f>IF(C96="","",MAX(0,C96-D96))</f>
        <v/>
      </c>
    </row>
    <row r="97">
      <c r="D97">
        <f>IF(C97="","",MIN(C97,Settings!$B$3))</f>
        <v/>
      </c>
      <c r="E97">
        <f>IF(C97="","",MAX(0,C97-D97))</f>
        <v/>
      </c>
    </row>
    <row r="98">
      <c r="D98">
        <f>IF(C98="","",MIN(C98,Settings!$B$3))</f>
        <v/>
      </c>
      <c r="E98">
        <f>IF(C98="","",MAX(0,C98-D98))</f>
        <v/>
      </c>
    </row>
    <row r="99">
      <c r="D99">
        <f>IF(C99="","",MIN(C99,Settings!$B$3))</f>
        <v/>
      </c>
      <c r="E99">
        <f>IF(C99="","",MAX(0,C99-D99))</f>
        <v/>
      </c>
    </row>
    <row r="100">
      <c r="D100">
        <f>IF(C100="","",MIN(C100,Settings!$B$3))</f>
        <v/>
      </c>
      <c r="E100">
        <f>IF(C100="","",MAX(0,C100-D100))</f>
        <v/>
      </c>
    </row>
    <row r="101">
      <c r="D101">
        <f>IF(C101="","",MIN(C101,Settings!$B$3))</f>
        <v/>
      </c>
      <c r="E101">
        <f>IF(C101="","",MAX(0,C101-D101))</f>
        <v/>
      </c>
    </row>
    <row r="102">
      <c r="D102">
        <f>IF(C102="","",MIN(C102,Settings!$B$3))</f>
        <v/>
      </c>
      <c r="E102">
        <f>IF(C102="","",MAX(0,C102-D102))</f>
        <v/>
      </c>
    </row>
    <row r="103">
      <c r="D103">
        <f>IF(C103="","",MIN(C103,Settings!$B$3))</f>
        <v/>
      </c>
      <c r="E103">
        <f>IF(C103="","",MAX(0,C103-D103))</f>
        <v/>
      </c>
    </row>
    <row r="104">
      <c r="D104">
        <f>IF(C104="","",MIN(C104,Settings!$B$3))</f>
        <v/>
      </c>
      <c r="E104">
        <f>IF(C104="","",MAX(0,C104-D104))</f>
        <v/>
      </c>
    </row>
    <row r="105">
      <c r="D105">
        <f>IF(C105="","",MIN(C105,Settings!$B$3))</f>
        <v/>
      </c>
      <c r="E105">
        <f>IF(C105="","",MAX(0,C105-D105))</f>
        <v/>
      </c>
    </row>
    <row r="106">
      <c r="D106">
        <f>IF(C106="","",MIN(C106,Settings!$B$3))</f>
        <v/>
      </c>
      <c r="E106">
        <f>IF(C106="","",MAX(0,C106-D106))</f>
        <v/>
      </c>
    </row>
    <row r="107">
      <c r="D107">
        <f>IF(C107="","",MIN(C107,Settings!$B$3))</f>
        <v/>
      </c>
      <c r="E107">
        <f>IF(C107="","",MAX(0,C107-D107))</f>
        <v/>
      </c>
    </row>
    <row r="108">
      <c r="D108">
        <f>IF(C108="","",MIN(C108,Settings!$B$3))</f>
        <v/>
      </c>
      <c r="E108">
        <f>IF(C108="","",MAX(0,C108-D108))</f>
        <v/>
      </c>
    </row>
    <row r="109">
      <c r="D109">
        <f>IF(C109="","",MIN(C109,Settings!$B$3))</f>
        <v/>
      </c>
      <c r="E109">
        <f>IF(C109="","",MAX(0,C109-D109))</f>
        <v/>
      </c>
    </row>
    <row r="110">
      <c r="D110">
        <f>IF(C110="","",MIN(C110,Settings!$B$3))</f>
        <v/>
      </c>
      <c r="E110">
        <f>IF(C110="","",MAX(0,C110-D110))</f>
        <v/>
      </c>
    </row>
    <row r="111">
      <c r="D111">
        <f>IF(C111="","",MIN(C111,Settings!$B$3))</f>
        <v/>
      </c>
      <c r="E111">
        <f>IF(C111="","",MAX(0,C111-D111))</f>
        <v/>
      </c>
    </row>
    <row r="112">
      <c r="D112">
        <f>IF(C112="","",MIN(C112,Settings!$B$3))</f>
        <v/>
      </c>
      <c r="E112">
        <f>IF(C112="","",MAX(0,C112-D112))</f>
        <v/>
      </c>
    </row>
    <row r="113">
      <c r="D113">
        <f>IF(C113="","",MIN(C113,Settings!$B$3))</f>
        <v/>
      </c>
      <c r="E113">
        <f>IF(C113="","",MAX(0,C113-D113))</f>
        <v/>
      </c>
    </row>
    <row r="114">
      <c r="D114">
        <f>IF(C114="","",MIN(C114,Settings!$B$3))</f>
        <v/>
      </c>
      <c r="E114">
        <f>IF(C114="","",MAX(0,C114-D114))</f>
        <v/>
      </c>
    </row>
    <row r="115">
      <c r="D115">
        <f>IF(C115="","",MIN(C115,Settings!$B$3))</f>
        <v/>
      </c>
      <c r="E115">
        <f>IF(C115="","",MAX(0,C115-D115))</f>
        <v/>
      </c>
    </row>
    <row r="116">
      <c r="D116">
        <f>IF(C116="","",MIN(C116,Settings!$B$3))</f>
        <v/>
      </c>
      <c r="E116">
        <f>IF(C116="","",MAX(0,C116-D116))</f>
        <v/>
      </c>
    </row>
    <row r="117">
      <c r="D117">
        <f>IF(C117="","",MIN(C117,Settings!$B$3))</f>
        <v/>
      </c>
      <c r="E117">
        <f>IF(C117="","",MAX(0,C117-D117))</f>
        <v/>
      </c>
    </row>
    <row r="118">
      <c r="D118">
        <f>IF(C118="","",MIN(C118,Settings!$B$3))</f>
        <v/>
      </c>
      <c r="E118">
        <f>IF(C118="","",MAX(0,C118-D118))</f>
        <v/>
      </c>
    </row>
    <row r="119">
      <c r="D119">
        <f>IF(C119="","",MIN(C119,Settings!$B$3))</f>
        <v/>
      </c>
      <c r="E119">
        <f>IF(C119="","",MAX(0,C119-D119))</f>
        <v/>
      </c>
    </row>
    <row r="120">
      <c r="D120">
        <f>IF(C120="","",MIN(C120,Settings!$B$3))</f>
        <v/>
      </c>
      <c r="E120">
        <f>IF(C120="","",MAX(0,C120-D120))</f>
        <v/>
      </c>
    </row>
    <row r="121">
      <c r="D121">
        <f>IF(C121="","",MIN(C121,Settings!$B$3))</f>
        <v/>
      </c>
      <c r="E121">
        <f>IF(C121="","",MAX(0,C121-D121))</f>
        <v/>
      </c>
    </row>
    <row r="122">
      <c r="D122">
        <f>IF(C122="","",MIN(C122,Settings!$B$3))</f>
        <v/>
      </c>
      <c r="E122">
        <f>IF(C122="","",MAX(0,C122-D122))</f>
        <v/>
      </c>
    </row>
    <row r="123">
      <c r="D123">
        <f>IF(C123="","",MIN(C123,Settings!$B$3))</f>
        <v/>
      </c>
      <c r="E123">
        <f>IF(C123="","",MAX(0,C123-D123))</f>
        <v/>
      </c>
    </row>
    <row r="124">
      <c r="D124">
        <f>IF(C124="","",MIN(C124,Settings!$B$3))</f>
        <v/>
      </c>
      <c r="E124">
        <f>IF(C124="","",MAX(0,C124-D124))</f>
        <v/>
      </c>
    </row>
    <row r="125">
      <c r="D125">
        <f>IF(C125="","",MIN(C125,Settings!$B$3))</f>
        <v/>
      </c>
      <c r="E125">
        <f>IF(C125="","",MAX(0,C125-D125))</f>
        <v/>
      </c>
    </row>
    <row r="126">
      <c r="D126">
        <f>IF(C126="","",MIN(C126,Settings!$B$3))</f>
        <v/>
      </c>
      <c r="E126">
        <f>IF(C126="","",MAX(0,C126-D126))</f>
        <v/>
      </c>
    </row>
    <row r="127">
      <c r="D127">
        <f>IF(C127="","",MIN(C127,Settings!$B$3))</f>
        <v/>
      </c>
      <c r="E127">
        <f>IF(C127="","",MAX(0,C127-D127))</f>
        <v/>
      </c>
    </row>
    <row r="128">
      <c r="D128">
        <f>IF(C128="","",MIN(C128,Settings!$B$3))</f>
        <v/>
      </c>
      <c r="E128">
        <f>IF(C128="","",MAX(0,C128-D128))</f>
        <v/>
      </c>
    </row>
    <row r="129">
      <c r="D129">
        <f>IF(C129="","",MIN(C129,Settings!$B$3))</f>
        <v/>
      </c>
      <c r="E129">
        <f>IF(C129="","",MAX(0,C129-D129))</f>
        <v/>
      </c>
    </row>
    <row r="130">
      <c r="D130">
        <f>IF(C130="","",MIN(C130,Settings!$B$3))</f>
        <v/>
      </c>
      <c r="E130">
        <f>IF(C130="","",MAX(0,C130-D130))</f>
        <v/>
      </c>
    </row>
    <row r="131">
      <c r="D131">
        <f>IF(C131="","",MIN(C131,Settings!$B$3))</f>
        <v/>
      </c>
      <c r="E131">
        <f>IF(C131="","",MAX(0,C131-D131))</f>
        <v/>
      </c>
    </row>
    <row r="132">
      <c r="D132">
        <f>IF(C132="","",MIN(C132,Settings!$B$3))</f>
        <v/>
      </c>
      <c r="E132">
        <f>IF(C132="","",MAX(0,C132-D132))</f>
        <v/>
      </c>
    </row>
    <row r="133">
      <c r="D133">
        <f>IF(C133="","",MIN(C133,Settings!$B$3))</f>
        <v/>
      </c>
      <c r="E133">
        <f>IF(C133="","",MAX(0,C133-D133))</f>
        <v/>
      </c>
    </row>
    <row r="134">
      <c r="D134">
        <f>IF(C134="","",MIN(C134,Settings!$B$3))</f>
        <v/>
      </c>
      <c r="E134">
        <f>IF(C134="","",MAX(0,C134-D134))</f>
        <v/>
      </c>
    </row>
    <row r="135">
      <c r="D135">
        <f>IF(C135="","",MIN(C135,Settings!$B$3))</f>
        <v/>
      </c>
      <c r="E135">
        <f>IF(C135="","",MAX(0,C135-D135))</f>
        <v/>
      </c>
    </row>
    <row r="136">
      <c r="D136">
        <f>IF(C136="","",MIN(C136,Settings!$B$3))</f>
        <v/>
      </c>
      <c r="E136">
        <f>IF(C136="","",MAX(0,C136-D136))</f>
        <v/>
      </c>
    </row>
    <row r="137">
      <c r="D137">
        <f>IF(C137="","",MIN(C137,Settings!$B$3))</f>
        <v/>
      </c>
      <c r="E137">
        <f>IF(C137="","",MAX(0,C137-D137))</f>
        <v/>
      </c>
    </row>
    <row r="138">
      <c r="D138">
        <f>IF(C138="","",MIN(C138,Settings!$B$3))</f>
        <v/>
      </c>
      <c r="E138">
        <f>IF(C138="","",MAX(0,C138-D138))</f>
        <v/>
      </c>
    </row>
    <row r="139">
      <c r="D139">
        <f>IF(C139="","",MIN(C139,Settings!$B$3))</f>
        <v/>
      </c>
      <c r="E139">
        <f>IF(C139="","",MAX(0,C139-D139))</f>
        <v/>
      </c>
    </row>
    <row r="140">
      <c r="D140">
        <f>IF(C140="","",MIN(C140,Settings!$B$3))</f>
        <v/>
      </c>
      <c r="E140">
        <f>IF(C140="","",MAX(0,C140-D140))</f>
        <v/>
      </c>
    </row>
    <row r="141">
      <c r="D141">
        <f>IF(C141="","",MIN(C141,Settings!$B$3))</f>
        <v/>
      </c>
      <c r="E141">
        <f>IF(C141="","",MAX(0,C141-D141))</f>
        <v/>
      </c>
    </row>
    <row r="142">
      <c r="D142">
        <f>IF(C142="","",MIN(C142,Settings!$B$3))</f>
        <v/>
      </c>
      <c r="E142">
        <f>IF(C142="","",MAX(0,C142-D142))</f>
        <v/>
      </c>
    </row>
    <row r="143">
      <c r="D143">
        <f>IF(C143="","",MIN(C143,Settings!$B$3))</f>
        <v/>
      </c>
      <c r="E143">
        <f>IF(C143="","",MAX(0,C143-D143))</f>
        <v/>
      </c>
    </row>
    <row r="144">
      <c r="D144">
        <f>IF(C144="","",MIN(C144,Settings!$B$3))</f>
        <v/>
      </c>
      <c r="E144">
        <f>IF(C144="","",MAX(0,C144-D144))</f>
        <v/>
      </c>
    </row>
    <row r="145">
      <c r="D145">
        <f>IF(C145="","",MIN(C145,Settings!$B$3))</f>
        <v/>
      </c>
      <c r="E145">
        <f>IF(C145="","",MAX(0,C145-D145))</f>
        <v/>
      </c>
    </row>
    <row r="146">
      <c r="D146">
        <f>IF(C146="","",MIN(C146,Settings!$B$3))</f>
        <v/>
      </c>
      <c r="E146">
        <f>IF(C146="","",MAX(0,C146-D146))</f>
        <v/>
      </c>
    </row>
    <row r="147">
      <c r="D147">
        <f>IF(C147="","",MIN(C147,Settings!$B$3))</f>
        <v/>
      </c>
      <c r="E147">
        <f>IF(C147="","",MAX(0,C147-D147))</f>
        <v/>
      </c>
    </row>
    <row r="148">
      <c r="D148">
        <f>IF(C148="","",MIN(C148,Settings!$B$3))</f>
        <v/>
      </c>
      <c r="E148">
        <f>IF(C148="","",MAX(0,C148-D148))</f>
        <v/>
      </c>
    </row>
    <row r="149">
      <c r="D149">
        <f>IF(C149="","",MIN(C149,Settings!$B$3))</f>
        <v/>
      </c>
      <c r="E149">
        <f>IF(C149="","",MAX(0,C149-D149))</f>
        <v/>
      </c>
    </row>
    <row r="150">
      <c r="D150">
        <f>IF(C150="","",MIN(C150,Settings!$B$3))</f>
        <v/>
      </c>
      <c r="E150">
        <f>IF(C150="","",MAX(0,C150-D150))</f>
        <v/>
      </c>
    </row>
    <row r="151">
      <c r="D151">
        <f>IF(C151="","",MIN(C151,Settings!$B$3))</f>
        <v/>
      </c>
      <c r="E151">
        <f>IF(C151="","",MAX(0,C151-D151))</f>
        <v/>
      </c>
    </row>
    <row r="152">
      <c r="D152">
        <f>IF(C152="","",MIN(C152,Settings!$B$3))</f>
        <v/>
      </c>
      <c r="E152">
        <f>IF(C152="","",MAX(0,C152-D152))</f>
        <v/>
      </c>
    </row>
    <row r="153">
      <c r="D153">
        <f>IF(C153="","",MIN(C153,Settings!$B$3))</f>
        <v/>
      </c>
      <c r="E153">
        <f>IF(C153="","",MAX(0,C153-D153))</f>
        <v/>
      </c>
    </row>
    <row r="154">
      <c r="D154">
        <f>IF(C154="","",MIN(C154,Settings!$B$3))</f>
        <v/>
      </c>
      <c r="E154">
        <f>IF(C154="","",MAX(0,C154-D154))</f>
        <v/>
      </c>
    </row>
    <row r="155">
      <c r="D155">
        <f>IF(C155="","",MIN(C155,Settings!$B$3))</f>
        <v/>
      </c>
      <c r="E155">
        <f>IF(C155="","",MAX(0,C155-D155))</f>
        <v/>
      </c>
    </row>
    <row r="156">
      <c r="D156">
        <f>IF(C156="","",MIN(C156,Settings!$B$3))</f>
        <v/>
      </c>
      <c r="E156">
        <f>IF(C156="","",MAX(0,C156-D156))</f>
        <v/>
      </c>
    </row>
    <row r="157">
      <c r="D157">
        <f>IF(C157="","",MIN(C157,Settings!$B$3))</f>
        <v/>
      </c>
      <c r="E157">
        <f>IF(C157="","",MAX(0,C157-D157))</f>
        <v/>
      </c>
    </row>
    <row r="158">
      <c r="D158">
        <f>IF(C158="","",MIN(C158,Settings!$B$3))</f>
        <v/>
      </c>
      <c r="E158">
        <f>IF(C158="","",MAX(0,C158-D158))</f>
        <v/>
      </c>
    </row>
    <row r="159">
      <c r="D159">
        <f>IF(C159="","",MIN(C159,Settings!$B$3))</f>
        <v/>
      </c>
      <c r="E159">
        <f>IF(C159="","",MAX(0,C159-D159))</f>
        <v/>
      </c>
    </row>
    <row r="160">
      <c r="D160">
        <f>IF(C160="","",MIN(C160,Settings!$B$3))</f>
        <v/>
      </c>
      <c r="E160">
        <f>IF(C160="","",MAX(0,C160-D160))</f>
        <v/>
      </c>
    </row>
    <row r="161">
      <c r="D161">
        <f>IF(C161="","",MIN(C161,Settings!$B$3))</f>
        <v/>
      </c>
      <c r="E161">
        <f>IF(C161="","",MAX(0,C161-D161))</f>
        <v/>
      </c>
    </row>
    <row r="162">
      <c r="D162">
        <f>IF(C162="","",MIN(C162,Settings!$B$3))</f>
        <v/>
      </c>
      <c r="E162">
        <f>IF(C162="","",MAX(0,C162-D162))</f>
        <v/>
      </c>
    </row>
    <row r="163">
      <c r="D163">
        <f>IF(C163="","",MIN(C163,Settings!$B$3))</f>
        <v/>
      </c>
      <c r="E163">
        <f>IF(C163="","",MAX(0,C163-D163))</f>
        <v/>
      </c>
    </row>
    <row r="164">
      <c r="D164">
        <f>IF(C164="","",MIN(C164,Settings!$B$3))</f>
        <v/>
      </c>
      <c r="E164">
        <f>IF(C164="","",MAX(0,C164-D164))</f>
        <v/>
      </c>
    </row>
    <row r="165">
      <c r="D165">
        <f>IF(C165="","",MIN(C165,Settings!$B$3))</f>
        <v/>
      </c>
      <c r="E165">
        <f>IF(C165="","",MAX(0,C165-D165))</f>
        <v/>
      </c>
    </row>
    <row r="166">
      <c r="D166">
        <f>IF(C166="","",MIN(C166,Settings!$B$3))</f>
        <v/>
      </c>
      <c r="E166">
        <f>IF(C166="","",MAX(0,C166-D166))</f>
        <v/>
      </c>
    </row>
    <row r="167">
      <c r="D167">
        <f>IF(C167="","",MIN(C167,Settings!$B$3))</f>
        <v/>
      </c>
      <c r="E167">
        <f>IF(C167="","",MAX(0,C167-D167))</f>
        <v/>
      </c>
    </row>
    <row r="168">
      <c r="D168">
        <f>IF(C168="","",MIN(C168,Settings!$B$3))</f>
        <v/>
      </c>
      <c r="E168">
        <f>IF(C168="","",MAX(0,C168-D168))</f>
        <v/>
      </c>
    </row>
    <row r="169">
      <c r="D169">
        <f>IF(C169="","",MIN(C169,Settings!$B$3))</f>
        <v/>
      </c>
      <c r="E169">
        <f>IF(C169="","",MAX(0,C169-D169))</f>
        <v/>
      </c>
    </row>
    <row r="170">
      <c r="D170">
        <f>IF(C170="","",MIN(C170,Settings!$B$3))</f>
        <v/>
      </c>
      <c r="E170">
        <f>IF(C170="","",MAX(0,C170-D170))</f>
        <v/>
      </c>
    </row>
    <row r="171">
      <c r="D171">
        <f>IF(C171="","",MIN(C171,Settings!$B$3))</f>
        <v/>
      </c>
      <c r="E171">
        <f>IF(C171="","",MAX(0,C171-D171))</f>
        <v/>
      </c>
    </row>
    <row r="172">
      <c r="D172">
        <f>IF(C172="","",MIN(C172,Settings!$B$3))</f>
        <v/>
      </c>
      <c r="E172">
        <f>IF(C172="","",MAX(0,C172-D172))</f>
        <v/>
      </c>
    </row>
    <row r="173">
      <c r="D173">
        <f>IF(C173="","",MIN(C173,Settings!$B$3))</f>
        <v/>
      </c>
      <c r="E173">
        <f>IF(C173="","",MAX(0,C173-D173))</f>
        <v/>
      </c>
    </row>
    <row r="174">
      <c r="D174">
        <f>IF(C174="","",MIN(C174,Settings!$B$3))</f>
        <v/>
      </c>
      <c r="E174">
        <f>IF(C174="","",MAX(0,C174-D174))</f>
        <v/>
      </c>
    </row>
    <row r="175">
      <c r="D175">
        <f>IF(C175="","",MIN(C175,Settings!$B$3))</f>
        <v/>
      </c>
      <c r="E175">
        <f>IF(C175="","",MAX(0,C175-D175))</f>
        <v/>
      </c>
    </row>
    <row r="176">
      <c r="D176">
        <f>IF(C176="","",MIN(C176,Settings!$B$3))</f>
        <v/>
      </c>
      <c r="E176">
        <f>IF(C176="","",MAX(0,C176-D176))</f>
        <v/>
      </c>
    </row>
    <row r="177">
      <c r="D177">
        <f>IF(C177="","",MIN(C177,Settings!$B$3))</f>
        <v/>
      </c>
      <c r="E177">
        <f>IF(C177="","",MAX(0,C177-D177))</f>
        <v/>
      </c>
    </row>
    <row r="178">
      <c r="D178">
        <f>IF(C178="","",MIN(C178,Settings!$B$3))</f>
        <v/>
      </c>
      <c r="E178">
        <f>IF(C178="","",MAX(0,C178-D178))</f>
        <v/>
      </c>
    </row>
    <row r="179">
      <c r="D179">
        <f>IF(C179="","",MIN(C179,Settings!$B$3))</f>
        <v/>
      </c>
      <c r="E179">
        <f>IF(C179="","",MAX(0,C179-D179))</f>
        <v/>
      </c>
    </row>
    <row r="180">
      <c r="D180">
        <f>IF(C180="","",MIN(C180,Settings!$B$3))</f>
        <v/>
      </c>
      <c r="E180">
        <f>IF(C180="","",MAX(0,C180-D180))</f>
        <v/>
      </c>
    </row>
    <row r="181">
      <c r="D181">
        <f>IF(C181="","",MIN(C181,Settings!$B$3))</f>
        <v/>
      </c>
      <c r="E181">
        <f>IF(C181="","",MAX(0,C181-D181))</f>
        <v/>
      </c>
    </row>
    <row r="182">
      <c r="D182">
        <f>IF(C182="","",MIN(C182,Settings!$B$3))</f>
        <v/>
      </c>
      <c r="E182">
        <f>IF(C182="","",MAX(0,C182-D182))</f>
        <v/>
      </c>
    </row>
    <row r="183">
      <c r="D183">
        <f>IF(C183="","",MIN(C183,Settings!$B$3))</f>
        <v/>
      </c>
      <c r="E183">
        <f>IF(C183="","",MAX(0,C183-D183))</f>
        <v/>
      </c>
    </row>
    <row r="184">
      <c r="D184">
        <f>IF(C184="","",MIN(C184,Settings!$B$3))</f>
        <v/>
      </c>
      <c r="E184">
        <f>IF(C184="","",MAX(0,C184-D184))</f>
        <v/>
      </c>
    </row>
    <row r="185">
      <c r="D185">
        <f>IF(C185="","",MIN(C185,Settings!$B$3))</f>
        <v/>
      </c>
      <c r="E185">
        <f>IF(C185="","",MAX(0,C185-D185))</f>
        <v/>
      </c>
    </row>
    <row r="186">
      <c r="D186">
        <f>IF(C186="","",MIN(C186,Settings!$B$3))</f>
        <v/>
      </c>
      <c r="E186">
        <f>IF(C186="","",MAX(0,C186-D186))</f>
        <v/>
      </c>
    </row>
    <row r="187">
      <c r="D187">
        <f>IF(C187="","",MIN(C187,Settings!$B$3))</f>
        <v/>
      </c>
      <c r="E187">
        <f>IF(C187="","",MAX(0,C187-D187))</f>
        <v/>
      </c>
    </row>
    <row r="188">
      <c r="D188">
        <f>IF(C188="","",MIN(C188,Settings!$B$3))</f>
        <v/>
      </c>
      <c r="E188">
        <f>IF(C188="","",MAX(0,C188-D188))</f>
        <v/>
      </c>
    </row>
    <row r="189">
      <c r="D189">
        <f>IF(C189="","",MIN(C189,Settings!$B$3))</f>
        <v/>
      </c>
      <c r="E189">
        <f>IF(C189="","",MAX(0,C189-D189))</f>
        <v/>
      </c>
    </row>
    <row r="190">
      <c r="D190">
        <f>IF(C190="","",MIN(C190,Settings!$B$3))</f>
        <v/>
      </c>
      <c r="E190">
        <f>IF(C190="","",MAX(0,C190-D190))</f>
        <v/>
      </c>
    </row>
    <row r="191">
      <c r="D191">
        <f>IF(C191="","",MIN(C191,Settings!$B$3))</f>
        <v/>
      </c>
      <c r="E191">
        <f>IF(C191="","",MAX(0,C191-D191))</f>
        <v/>
      </c>
    </row>
    <row r="192">
      <c r="D192">
        <f>IF(C192="","",MIN(C192,Settings!$B$3))</f>
        <v/>
      </c>
      <c r="E192">
        <f>IF(C192="","",MAX(0,C192-D192))</f>
        <v/>
      </c>
    </row>
    <row r="193">
      <c r="D193">
        <f>IF(C193="","",MIN(C193,Settings!$B$3))</f>
        <v/>
      </c>
      <c r="E193">
        <f>IF(C193="","",MAX(0,C193-D193))</f>
        <v/>
      </c>
    </row>
    <row r="194">
      <c r="D194">
        <f>IF(C194="","",MIN(C194,Settings!$B$3))</f>
        <v/>
      </c>
      <c r="E194">
        <f>IF(C194="","",MAX(0,C194-D194))</f>
        <v/>
      </c>
    </row>
    <row r="195">
      <c r="D195">
        <f>IF(C195="","",MIN(C195,Settings!$B$3))</f>
        <v/>
      </c>
      <c r="E195">
        <f>IF(C195="","",MAX(0,C195-D195))</f>
        <v/>
      </c>
    </row>
    <row r="196">
      <c r="D196">
        <f>IF(C196="","",MIN(C196,Settings!$B$3))</f>
        <v/>
      </c>
      <c r="E196">
        <f>IF(C196="","",MAX(0,C196-D196))</f>
        <v/>
      </c>
    </row>
    <row r="197">
      <c r="D197">
        <f>IF(C197="","",MIN(C197,Settings!$B$3))</f>
        <v/>
      </c>
      <c r="E197">
        <f>IF(C197="","",MAX(0,C197-D197))</f>
        <v/>
      </c>
    </row>
    <row r="198">
      <c r="D198">
        <f>IF(C198="","",MIN(C198,Settings!$B$3))</f>
        <v/>
      </c>
      <c r="E198">
        <f>IF(C198="","",MAX(0,C198-D198))</f>
        <v/>
      </c>
    </row>
    <row r="199">
      <c r="D199">
        <f>IF(C199="","",MIN(C199,Settings!$B$3))</f>
        <v/>
      </c>
      <c r="E199">
        <f>IF(C199="","",MAX(0,C199-D199))</f>
        <v/>
      </c>
    </row>
    <row r="200">
      <c r="D200">
        <f>IF(C200="","",MIN(C200,Settings!$B$3))</f>
        <v/>
      </c>
      <c r="E200">
        <f>IF(C200="","",MAX(0,C200-D200))</f>
        <v/>
      </c>
    </row>
    <row r="201">
      <c r="D201">
        <f>IF(C201="","",MIN(C201,Settings!$B$3))</f>
        <v/>
      </c>
      <c r="E201">
        <f>IF(C201="","",MAX(0,C201-D201))</f>
        <v/>
      </c>
    </row>
    <row r="202">
      <c r="D202">
        <f>IF(C202="","",MIN(C202,Settings!$B$3))</f>
        <v/>
      </c>
      <c r="E202">
        <f>IF(C202="","",MAX(0,C202-D202))</f>
        <v/>
      </c>
    </row>
    <row r="203">
      <c r="D203">
        <f>IF(C203="","",MIN(C203,Settings!$B$3))</f>
        <v/>
      </c>
      <c r="E203">
        <f>IF(C203="","",MAX(0,C203-D203))</f>
        <v/>
      </c>
    </row>
    <row r="204">
      <c r="D204">
        <f>IF(C204="","",MIN(C204,Settings!$B$3))</f>
        <v/>
      </c>
      <c r="E204">
        <f>IF(C204="","",MAX(0,C204-D204))</f>
        <v/>
      </c>
    </row>
    <row r="205">
      <c r="D205">
        <f>IF(C205="","",MIN(C205,Settings!$B$3))</f>
        <v/>
      </c>
      <c r="E205">
        <f>IF(C205="","",MAX(0,C205-D205))</f>
        <v/>
      </c>
    </row>
    <row r="206">
      <c r="D206">
        <f>IF(C206="","",MIN(C206,Settings!$B$3))</f>
        <v/>
      </c>
      <c r="E206">
        <f>IF(C206="","",MAX(0,C206-D206))</f>
        <v/>
      </c>
    </row>
    <row r="207">
      <c r="D207">
        <f>IF(C207="","",MIN(C207,Settings!$B$3))</f>
        <v/>
      </c>
      <c r="E207">
        <f>IF(C207="","",MAX(0,C207-D207))</f>
        <v/>
      </c>
    </row>
    <row r="208">
      <c r="D208">
        <f>IF(C208="","",MIN(C208,Settings!$B$3))</f>
        <v/>
      </c>
      <c r="E208">
        <f>IF(C208="","",MAX(0,C208-D208))</f>
        <v/>
      </c>
    </row>
    <row r="209">
      <c r="D209">
        <f>IF(C209="","",MIN(C209,Settings!$B$3))</f>
        <v/>
      </c>
      <c r="E209">
        <f>IF(C209="","",MAX(0,C209-D209))</f>
        <v/>
      </c>
    </row>
    <row r="210">
      <c r="D210">
        <f>IF(C210="","",MIN(C210,Settings!$B$3))</f>
        <v/>
      </c>
      <c r="E210">
        <f>IF(C210="","",MAX(0,C210-D210))</f>
        <v/>
      </c>
    </row>
    <row r="211">
      <c r="D211">
        <f>IF(C211="","",MIN(C211,Settings!$B$3))</f>
        <v/>
      </c>
      <c r="E211">
        <f>IF(C211="","",MAX(0,C211-D211))</f>
        <v/>
      </c>
    </row>
    <row r="212">
      <c r="D212">
        <f>IF(C212="","",MIN(C212,Settings!$B$3))</f>
        <v/>
      </c>
      <c r="E212">
        <f>IF(C212="","",MAX(0,C212-D212))</f>
        <v/>
      </c>
    </row>
    <row r="213">
      <c r="D213">
        <f>IF(C213="","",MIN(C213,Settings!$B$3))</f>
        <v/>
      </c>
      <c r="E213">
        <f>IF(C213="","",MAX(0,C213-D213))</f>
        <v/>
      </c>
    </row>
    <row r="214">
      <c r="D214">
        <f>IF(C214="","",MIN(C214,Settings!$B$3))</f>
        <v/>
      </c>
      <c r="E214">
        <f>IF(C214="","",MAX(0,C214-D214))</f>
        <v/>
      </c>
    </row>
    <row r="215">
      <c r="D215">
        <f>IF(C215="","",MIN(C215,Settings!$B$3))</f>
        <v/>
      </c>
      <c r="E215">
        <f>IF(C215="","",MAX(0,C215-D215))</f>
        <v/>
      </c>
    </row>
    <row r="216">
      <c r="D216">
        <f>IF(C216="","",MIN(C216,Settings!$B$3))</f>
        <v/>
      </c>
      <c r="E216">
        <f>IF(C216="","",MAX(0,C216-D216))</f>
        <v/>
      </c>
    </row>
    <row r="217">
      <c r="D217">
        <f>IF(C217="","",MIN(C217,Settings!$B$3))</f>
        <v/>
      </c>
      <c r="E217">
        <f>IF(C217="","",MAX(0,C217-D217))</f>
        <v/>
      </c>
    </row>
    <row r="218">
      <c r="D218">
        <f>IF(C218="","",MIN(C218,Settings!$B$3))</f>
        <v/>
      </c>
      <c r="E218">
        <f>IF(C218="","",MAX(0,C218-D218))</f>
        <v/>
      </c>
    </row>
    <row r="219">
      <c r="D219">
        <f>IF(C219="","",MIN(C219,Settings!$B$3))</f>
        <v/>
      </c>
      <c r="E219">
        <f>IF(C219="","",MAX(0,C219-D219))</f>
        <v/>
      </c>
    </row>
    <row r="220">
      <c r="D220">
        <f>IF(C220="","",MIN(C220,Settings!$B$3))</f>
        <v/>
      </c>
      <c r="E220">
        <f>IF(C220="","",MAX(0,C220-D220))</f>
        <v/>
      </c>
    </row>
    <row r="221">
      <c r="D221">
        <f>IF(C221="","",MIN(C221,Settings!$B$3))</f>
        <v/>
      </c>
      <c r="E221">
        <f>IF(C221="","",MAX(0,C221-D221))</f>
        <v/>
      </c>
    </row>
    <row r="222">
      <c r="D222">
        <f>IF(C222="","",MIN(C222,Settings!$B$3))</f>
        <v/>
      </c>
      <c r="E222">
        <f>IF(C222="","",MAX(0,C222-D222))</f>
        <v/>
      </c>
    </row>
    <row r="223">
      <c r="D223">
        <f>IF(C223="","",MIN(C223,Settings!$B$3))</f>
        <v/>
      </c>
      <c r="E223">
        <f>IF(C223="","",MAX(0,C223-D223))</f>
        <v/>
      </c>
    </row>
    <row r="224">
      <c r="D224">
        <f>IF(C224="","",MIN(C224,Settings!$B$3))</f>
        <v/>
      </c>
      <c r="E224">
        <f>IF(C224="","",MAX(0,C224-D224))</f>
        <v/>
      </c>
    </row>
    <row r="225">
      <c r="D225">
        <f>IF(C225="","",MIN(C225,Settings!$B$3))</f>
        <v/>
      </c>
      <c r="E225">
        <f>IF(C225="","",MAX(0,C225-D225))</f>
        <v/>
      </c>
    </row>
    <row r="226">
      <c r="D226">
        <f>IF(C226="","",MIN(C226,Settings!$B$3))</f>
        <v/>
      </c>
      <c r="E226">
        <f>IF(C226="","",MAX(0,C226-D226))</f>
        <v/>
      </c>
    </row>
    <row r="227">
      <c r="D227">
        <f>IF(C227="","",MIN(C227,Settings!$B$3))</f>
        <v/>
      </c>
      <c r="E227">
        <f>IF(C227="","",MAX(0,C227-D227))</f>
        <v/>
      </c>
    </row>
    <row r="228">
      <c r="D228">
        <f>IF(C228="","",MIN(C228,Settings!$B$3))</f>
        <v/>
      </c>
      <c r="E228">
        <f>IF(C228="","",MAX(0,C228-D228))</f>
        <v/>
      </c>
    </row>
    <row r="229">
      <c r="D229">
        <f>IF(C229="","",MIN(C229,Settings!$B$3))</f>
        <v/>
      </c>
      <c r="E229">
        <f>IF(C229="","",MAX(0,C229-D229))</f>
        <v/>
      </c>
    </row>
    <row r="230">
      <c r="D230">
        <f>IF(C230="","",MIN(C230,Settings!$B$3))</f>
        <v/>
      </c>
      <c r="E230">
        <f>IF(C230="","",MAX(0,C230-D230))</f>
        <v/>
      </c>
    </row>
    <row r="231">
      <c r="D231">
        <f>IF(C231="","",MIN(C231,Settings!$B$3))</f>
        <v/>
      </c>
      <c r="E231">
        <f>IF(C231="","",MAX(0,C231-D231))</f>
        <v/>
      </c>
    </row>
    <row r="232">
      <c r="D232">
        <f>IF(C232="","",MIN(C232,Settings!$B$3))</f>
        <v/>
      </c>
      <c r="E232">
        <f>IF(C232="","",MAX(0,C232-D232))</f>
        <v/>
      </c>
    </row>
    <row r="233">
      <c r="D233">
        <f>IF(C233="","",MIN(C233,Settings!$B$3))</f>
        <v/>
      </c>
      <c r="E233">
        <f>IF(C233="","",MAX(0,C233-D233))</f>
        <v/>
      </c>
    </row>
    <row r="234">
      <c r="D234">
        <f>IF(C234="","",MIN(C234,Settings!$B$3))</f>
        <v/>
      </c>
      <c r="E234">
        <f>IF(C234="","",MAX(0,C234-D234))</f>
        <v/>
      </c>
    </row>
    <row r="235">
      <c r="D235">
        <f>IF(C235="","",MIN(C235,Settings!$B$3))</f>
        <v/>
      </c>
      <c r="E235">
        <f>IF(C235="","",MAX(0,C235-D235))</f>
        <v/>
      </c>
    </row>
    <row r="236">
      <c r="D236">
        <f>IF(C236="","",MIN(C236,Settings!$B$3))</f>
        <v/>
      </c>
      <c r="E236">
        <f>IF(C236="","",MAX(0,C236-D236))</f>
        <v/>
      </c>
    </row>
    <row r="237">
      <c r="D237">
        <f>IF(C237="","",MIN(C237,Settings!$B$3))</f>
        <v/>
      </c>
      <c r="E237">
        <f>IF(C237="","",MAX(0,C237-D237))</f>
        <v/>
      </c>
    </row>
    <row r="238">
      <c r="D238">
        <f>IF(C238="","",MIN(C238,Settings!$B$3))</f>
        <v/>
      </c>
      <c r="E238">
        <f>IF(C238="","",MAX(0,C238-D238))</f>
        <v/>
      </c>
    </row>
    <row r="239">
      <c r="D239">
        <f>IF(C239="","",MIN(C239,Settings!$B$3))</f>
        <v/>
      </c>
      <c r="E239">
        <f>IF(C239="","",MAX(0,C239-D239))</f>
        <v/>
      </c>
    </row>
    <row r="240">
      <c r="D240">
        <f>IF(C240="","",MIN(C240,Settings!$B$3))</f>
        <v/>
      </c>
      <c r="E240">
        <f>IF(C240="","",MAX(0,C240-D240))</f>
        <v/>
      </c>
    </row>
    <row r="241">
      <c r="D241">
        <f>IF(C241="","",MIN(C241,Settings!$B$3))</f>
        <v/>
      </c>
      <c r="E241">
        <f>IF(C241="","",MAX(0,C241-D241))</f>
        <v/>
      </c>
    </row>
    <row r="242">
      <c r="D242">
        <f>IF(C242="","",MIN(C242,Settings!$B$3))</f>
        <v/>
      </c>
      <c r="E242">
        <f>IF(C242="","",MAX(0,C242-D242))</f>
        <v/>
      </c>
    </row>
    <row r="243">
      <c r="D243">
        <f>IF(C243="","",MIN(C243,Settings!$B$3))</f>
        <v/>
      </c>
      <c r="E243">
        <f>IF(C243="","",MAX(0,C243-D243))</f>
        <v/>
      </c>
    </row>
    <row r="244">
      <c r="D244">
        <f>IF(C244="","",MIN(C244,Settings!$B$3))</f>
        <v/>
      </c>
      <c r="E244">
        <f>IF(C244="","",MAX(0,C244-D244))</f>
        <v/>
      </c>
    </row>
    <row r="245">
      <c r="D245">
        <f>IF(C245="","",MIN(C245,Settings!$B$3))</f>
        <v/>
      </c>
      <c r="E245">
        <f>IF(C245="","",MAX(0,C245-D245))</f>
        <v/>
      </c>
    </row>
    <row r="246">
      <c r="D246">
        <f>IF(C246="","",MIN(C246,Settings!$B$3))</f>
        <v/>
      </c>
      <c r="E246">
        <f>IF(C246="","",MAX(0,C246-D246))</f>
        <v/>
      </c>
    </row>
    <row r="247">
      <c r="D247">
        <f>IF(C247="","",MIN(C247,Settings!$B$3))</f>
        <v/>
      </c>
      <c r="E247">
        <f>IF(C247="","",MAX(0,C247-D247))</f>
        <v/>
      </c>
    </row>
    <row r="248">
      <c r="D248">
        <f>IF(C248="","",MIN(C248,Settings!$B$3))</f>
        <v/>
      </c>
      <c r="E248">
        <f>IF(C248="","",MAX(0,C248-D248))</f>
        <v/>
      </c>
    </row>
    <row r="249">
      <c r="D249">
        <f>IF(C249="","",MIN(C249,Settings!$B$3))</f>
        <v/>
      </c>
      <c r="E249">
        <f>IF(C249="","",MAX(0,C249-D249))</f>
        <v/>
      </c>
    </row>
    <row r="250">
      <c r="D250">
        <f>IF(C250="","",MIN(C250,Settings!$B$3))</f>
        <v/>
      </c>
      <c r="E250">
        <f>IF(C250="","",MAX(0,C250-D250))</f>
        <v/>
      </c>
    </row>
    <row r="251">
      <c r="D251">
        <f>IF(C251="","",MIN(C251,Settings!$B$3))</f>
        <v/>
      </c>
      <c r="E251">
        <f>IF(C251="","",MAX(0,C251-D251))</f>
        <v/>
      </c>
    </row>
    <row r="252">
      <c r="D252">
        <f>IF(C252="","",MIN(C252,Settings!$B$3))</f>
        <v/>
      </c>
      <c r="E252">
        <f>IF(C252="","",MAX(0,C252-D252))</f>
        <v/>
      </c>
    </row>
    <row r="253">
      <c r="D253">
        <f>IF(C253="","",MIN(C253,Settings!$B$3))</f>
        <v/>
      </c>
      <c r="E253">
        <f>IF(C253="","",MAX(0,C253-D253))</f>
        <v/>
      </c>
    </row>
    <row r="254">
      <c r="D254">
        <f>IF(C254="","",MIN(C254,Settings!$B$3))</f>
        <v/>
      </c>
      <c r="E254">
        <f>IF(C254="","",MAX(0,C254-D254))</f>
        <v/>
      </c>
    </row>
    <row r="255">
      <c r="D255">
        <f>IF(C255="","",MIN(C255,Settings!$B$3))</f>
        <v/>
      </c>
      <c r="E255">
        <f>IF(C255="","",MAX(0,C255-D255))</f>
        <v/>
      </c>
    </row>
    <row r="256">
      <c r="D256">
        <f>IF(C256="","",MIN(C256,Settings!$B$3))</f>
        <v/>
      </c>
      <c r="E256">
        <f>IF(C256="","",MAX(0,C256-D256))</f>
        <v/>
      </c>
    </row>
    <row r="257">
      <c r="D257">
        <f>IF(C257="","",MIN(C257,Settings!$B$3))</f>
        <v/>
      </c>
      <c r="E257">
        <f>IF(C257="","",MAX(0,C257-D257))</f>
        <v/>
      </c>
    </row>
    <row r="258">
      <c r="D258">
        <f>IF(C258="","",MIN(C258,Settings!$B$3))</f>
        <v/>
      </c>
      <c r="E258">
        <f>IF(C258="","",MAX(0,C258-D258))</f>
        <v/>
      </c>
    </row>
    <row r="259">
      <c r="D259">
        <f>IF(C259="","",MIN(C259,Settings!$B$3))</f>
        <v/>
      </c>
      <c r="E259">
        <f>IF(C259="","",MAX(0,C259-D259))</f>
        <v/>
      </c>
    </row>
    <row r="260">
      <c r="D260">
        <f>IF(C260="","",MIN(C260,Settings!$B$3))</f>
        <v/>
      </c>
      <c r="E260">
        <f>IF(C260="","",MAX(0,C260-D260))</f>
        <v/>
      </c>
    </row>
    <row r="261">
      <c r="D261">
        <f>IF(C261="","",MIN(C261,Settings!$B$3))</f>
        <v/>
      </c>
      <c r="E261">
        <f>IF(C261="","",MAX(0,C261-D261))</f>
        <v/>
      </c>
    </row>
    <row r="262">
      <c r="D262">
        <f>IF(C262="","",MIN(C262,Settings!$B$3))</f>
        <v/>
      </c>
      <c r="E262">
        <f>IF(C262="","",MAX(0,C262-D262))</f>
        <v/>
      </c>
    </row>
    <row r="263">
      <c r="D263">
        <f>IF(C263="","",MIN(C263,Settings!$B$3))</f>
        <v/>
      </c>
      <c r="E263">
        <f>IF(C263="","",MAX(0,C263-D263))</f>
        <v/>
      </c>
    </row>
    <row r="264">
      <c r="D264">
        <f>IF(C264="","",MIN(C264,Settings!$B$3))</f>
        <v/>
      </c>
      <c r="E264">
        <f>IF(C264="","",MAX(0,C264-D264))</f>
        <v/>
      </c>
    </row>
    <row r="265">
      <c r="D265">
        <f>IF(C265="","",MIN(C265,Settings!$B$3))</f>
        <v/>
      </c>
      <c r="E265">
        <f>IF(C265="","",MAX(0,C265-D265))</f>
        <v/>
      </c>
    </row>
    <row r="266">
      <c r="D266">
        <f>IF(C266="","",MIN(C266,Settings!$B$3))</f>
        <v/>
      </c>
      <c r="E266">
        <f>IF(C266="","",MAX(0,C266-D266))</f>
        <v/>
      </c>
    </row>
    <row r="267">
      <c r="D267">
        <f>IF(C267="","",MIN(C267,Settings!$B$3))</f>
        <v/>
      </c>
      <c r="E267">
        <f>IF(C267="","",MAX(0,C267-D267))</f>
        <v/>
      </c>
    </row>
    <row r="268">
      <c r="D268">
        <f>IF(C268="","",MIN(C268,Settings!$B$3))</f>
        <v/>
      </c>
      <c r="E268">
        <f>IF(C268="","",MAX(0,C268-D268))</f>
        <v/>
      </c>
    </row>
    <row r="269">
      <c r="D269">
        <f>IF(C269="","",MIN(C269,Settings!$B$3))</f>
        <v/>
      </c>
      <c r="E269">
        <f>IF(C269="","",MAX(0,C269-D269))</f>
        <v/>
      </c>
    </row>
    <row r="270">
      <c r="D270">
        <f>IF(C270="","",MIN(C270,Settings!$B$3))</f>
        <v/>
      </c>
      <c r="E270">
        <f>IF(C270="","",MAX(0,C270-D270))</f>
        <v/>
      </c>
    </row>
    <row r="271">
      <c r="D271">
        <f>IF(C271="","",MIN(C271,Settings!$B$3))</f>
        <v/>
      </c>
      <c r="E271">
        <f>IF(C271="","",MAX(0,C271-D271))</f>
        <v/>
      </c>
    </row>
    <row r="272">
      <c r="D272">
        <f>IF(C272="","",MIN(C272,Settings!$B$3))</f>
        <v/>
      </c>
      <c r="E272">
        <f>IF(C272="","",MAX(0,C272-D272))</f>
        <v/>
      </c>
    </row>
    <row r="273">
      <c r="D273">
        <f>IF(C273="","",MIN(C273,Settings!$B$3))</f>
        <v/>
      </c>
      <c r="E273">
        <f>IF(C273="","",MAX(0,C273-D273))</f>
        <v/>
      </c>
    </row>
    <row r="274">
      <c r="D274">
        <f>IF(C274="","",MIN(C274,Settings!$B$3))</f>
        <v/>
      </c>
      <c r="E274">
        <f>IF(C274="","",MAX(0,C274-D274))</f>
        <v/>
      </c>
    </row>
    <row r="275">
      <c r="D275">
        <f>IF(C275="","",MIN(C275,Settings!$B$3))</f>
        <v/>
      </c>
      <c r="E275">
        <f>IF(C275="","",MAX(0,C275-D275))</f>
        <v/>
      </c>
    </row>
    <row r="276">
      <c r="D276">
        <f>IF(C276="","",MIN(C276,Settings!$B$3))</f>
        <v/>
      </c>
      <c r="E276">
        <f>IF(C276="","",MAX(0,C276-D276))</f>
        <v/>
      </c>
    </row>
    <row r="277">
      <c r="D277">
        <f>IF(C277="","",MIN(C277,Settings!$B$3))</f>
        <v/>
      </c>
      <c r="E277">
        <f>IF(C277="","",MAX(0,C277-D277))</f>
        <v/>
      </c>
    </row>
    <row r="278">
      <c r="D278">
        <f>IF(C278="","",MIN(C278,Settings!$B$3))</f>
        <v/>
      </c>
      <c r="E278">
        <f>IF(C278="","",MAX(0,C278-D278))</f>
        <v/>
      </c>
    </row>
    <row r="279">
      <c r="D279">
        <f>IF(C279="","",MIN(C279,Settings!$B$3))</f>
        <v/>
      </c>
      <c r="E279">
        <f>IF(C279="","",MAX(0,C279-D279))</f>
        <v/>
      </c>
    </row>
    <row r="280">
      <c r="D280">
        <f>IF(C280="","",MIN(C280,Settings!$B$3))</f>
        <v/>
      </c>
      <c r="E280">
        <f>IF(C280="","",MAX(0,C280-D280))</f>
        <v/>
      </c>
    </row>
    <row r="281">
      <c r="D281">
        <f>IF(C281="","",MIN(C281,Settings!$B$3))</f>
        <v/>
      </c>
      <c r="E281">
        <f>IF(C281="","",MAX(0,C281-D281))</f>
        <v/>
      </c>
    </row>
    <row r="282">
      <c r="D282">
        <f>IF(C282="","",MIN(C282,Settings!$B$3))</f>
        <v/>
      </c>
      <c r="E282">
        <f>IF(C282="","",MAX(0,C282-D282))</f>
        <v/>
      </c>
    </row>
    <row r="283">
      <c r="D283">
        <f>IF(C283="","",MIN(C283,Settings!$B$3))</f>
        <v/>
      </c>
      <c r="E283">
        <f>IF(C283="","",MAX(0,C283-D283))</f>
        <v/>
      </c>
    </row>
    <row r="284">
      <c r="D284">
        <f>IF(C284="","",MIN(C284,Settings!$B$3))</f>
        <v/>
      </c>
      <c r="E284">
        <f>IF(C284="","",MAX(0,C284-D284))</f>
        <v/>
      </c>
    </row>
    <row r="285">
      <c r="D285">
        <f>IF(C285="","",MIN(C285,Settings!$B$3))</f>
        <v/>
      </c>
      <c r="E285">
        <f>IF(C285="","",MAX(0,C285-D285))</f>
        <v/>
      </c>
    </row>
    <row r="286">
      <c r="D286">
        <f>IF(C286="","",MIN(C286,Settings!$B$3))</f>
        <v/>
      </c>
      <c r="E286">
        <f>IF(C286="","",MAX(0,C286-D286))</f>
        <v/>
      </c>
    </row>
    <row r="287">
      <c r="D287">
        <f>IF(C287="","",MIN(C287,Settings!$B$3))</f>
        <v/>
      </c>
      <c r="E287">
        <f>IF(C287="","",MAX(0,C287-D287))</f>
        <v/>
      </c>
    </row>
    <row r="288">
      <c r="D288">
        <f>IF(C288="","",MIN(C288,Settings!$B$3))</f>
        <v/>
      </c>
      <c r="E288">
        <f>IF(C288="","",MAX(0,C288-D288))</f>
        <v/>
      </c>
    </row>
    <row r="289">
      <c r="D289">
        <f>IF(C289="","",MIN(C289,Settings!$B$3))</f>
        <v/>
      </c>
      <c r="E289">
        <f>IF(C289="","",MAX(0,C289-D289))</f>
        <v/>
      </c>
    </row>
    <row r="290">
      <c r="D290">
        <f>IF(C290="","",MIN(C290,Settings!$B$3))</f>
        <v/>
      </c>
      <c r="E290">
        <f>IF(C290="","",MAX(0,C290-D290))</f>
        <v/>
      </c>
    </row>
    <row r="291">
      <c r="D291">
        <f>IF(C291="","",MIN(C291,Settings!$B$3))</f>
        <v/>
      </c>
      <c r="E291">
        <f>IF(C291="","",MAX(0,C291-D291))</f>
        <v/>
      </c>
    </row>
    <row r="292">
      <c r="D292">
        <f>IF(C292="","",MIN(C292,Settings!$B$3))</f>
        <v/>
      </c>
      <c r="E292">
        <f>IF(C292="","",MAX(0,C292-D292))</f>
        <v/>
      </c>
    </row>
    <row r="293">
      <c r="D293">
        <f>IF(C293="","",MIN(C293,Settings!$B$3))</f>
        <v/>
      </c>
      <c r="E293">
        <f>IF(C293="","",MAX(0,C293-D293))</f>
        <v/>
      </c>
    </row>
    <row r="294">
      <c r="D294">
        <f>IF(C294="","",MIN(C294,Settings!$B$3))</f>
        <v/>
      </c>
      <c r="E294">
        <f>IF(C294="","",MAX(0,C294-D294))</f>
        <v/>
      </c>
    </row>
    <row r="295">
      <c r="D295">
        <f>IF(C295="","",MIN(C295,Settings!$B$3))</f>
        <v/>
      </c>
      <c r="E295">
        <f>IF(C295="","",MAX(0,C295-D295))</f>
        <v/>
      </c>
    </row>
    <row r="296">
      <c r="D296">
        <f>IF(C296="","",MIN(C296,Settings!$B$3))</f>
        <v/>
      </c>
      <c r="E296">
        <f>IF(C296="","",MAX(0,C296-D296))</f>
        <v/>
      </c>
    </row>
    <row r="297">
      <c r="D297">
        <f>IF(C297="","",MIN(C297,Settings!$B$3))</f>
        <v/>
      </c>
      <c r="E297">
        <f>IF(C297="","",MAX(0,C297-D297))</f>
        <v/>
      </c>
    </row>
    <row r="298">
      <c r="D298">
        <f>IF(C298="","",MIN(C298,Settings!$B$3))</f>
        <v/>
      </c>
      <c r="E298">
        <f>IF(C298="","",MAX(0,C298-D298))</f>
        <v/>
      </c>
    </row>
    <row r="299">
      <c r="D299">
        <f>IF(C299="","",MIN(C299,Settings!$B$3))</f>
        <v/>
      </c>
      <c r="E299">
        <f>IF(C299="","",MAX(0,C299-D299))</f>
        <v/>
      </c>
    </row>
    <row r="300">
      <c r="D300">
        <f>IF(C300="","",MIN(C300,Settings!$B$3))</f>
        <v/>
      </c>
      <c r="E300">
        <f>IF(C300="","",MAX(0,C300-D300))</f>
        <v/>
      </c>
    </row>
    <row r="301">
      <c r="D301">
        <f>IF(C301="","",MIN(C301,Settings!$B$3))</f>
        <v/>
      </c>
      <c r="E301">
        <f>IF(C301="","",MAX(0,C301-D301))</f>
        <v/>
      </c>
    </row>
    <row r="302">
      <c r="D302">
        <f>IF(C302="","",MIN(C302,Settings!$B$3))</f>
        <v/>
      </c>
      <c r="E302">
        <f>IF(C302="","",MAX(0,C302-D302))</f>
        <v/>
      </c>
    </row>
    <row r="303">
      <c r="D303">
        <f>IF(C303="","",MIN(C303,Settings!$B$3))</f>
        <v/>
      </c>
      <c r="E303">
        <f>IF(C303="","",MAX(0,C303-D303))</f>
        <v/>
      </c>
    </row>
    <row r="304">
      <c r="D304">
        <f>IF(C304="","",MIN(C304,Settings!$B$3))</f>
        <v/>
      </c>
      <c r="E304">
        <f>IF(C304="","",MAX(0,C304-D304))</f>
        <v/>
      </c>
    </row>
    <row r="305">
      <c r="D305">
        <f>IF(C305="","",MIN(C305,Settings!$B$3))</f>
        <v/>
      </c>
      <c r="E305">
        <f>IF(C305="","",MAX(0,C305-D305))</f>
        <v/>
      </c>
    </row>
    <row r="306">
      <c r="D306">
        <f>IF(C306="","",MIN(C306,Settings!$B$3))</f>
        <v/>
      </c>
      <c r="E306">
        <f>IF(C306="","",MAX(0,C306-D306))</f>
        <v/>
      </c>
    </row>
    <row r="307">
      <c r="D307">
        <f>IF(C307="","",MIN(C307,Settings!$B$3))</f>
        <v/>
      </c>
      <c r="E307">
        <f>IF(C307="","",MAX(0,C307-D307))</f>
        <v/>
      </c>
    </row>
    <row r="308">
      <c r="D308">
        <f>IF(C308="","",MIN(C308,Settings!$B$3))</f>
        <v/>
      </c>
      <c r="E308">
        <f>IF(C308="","",MAX(0,C308-D308))</f>
        <v/>
      </c>
    </row>
    <row r="309">
      <c r="D309">
        <f>IF(C309="","",MIN(C309,Settings!$B$3))</f>
        <v/>
      </c>
      <c r="E309">
        <f>IF(C309="","",MAX(0,C309-D309))</f>
        <v/>
      </c>
    </row>
    <row r="310">
      <c r="D310">
        <f>IF(C310="","",MIN(C310,Settings!$B$3))</f>
        <v/>
      </c>
      <c r="E310">
        <f>IF(C310="","",MAX(0,C310-D310))</f>
        <v/>
      </c>
    </row>
    <row r="311">
      <c r="D311">
        <f>IF(C311="","",MIN(C311,Settings!$B$3))</f>
        <v/>
      </c>
      <c r="E311">
        <f>IF(C311="","",MAX(0,C311-D311))</f>
        <v/>
      </c>
    </row>
    <row r="312">
      <c r="D312">
        <f>IF(C312="","",MIN(C312,Settings!$B$3))</f>
        <v/>
      </c>
      <c r="E312">
        <f>IF(C312="","",MAX(0,C312-D312))</f>
        <v/>
      </c>
    </row>
    <row r="313">
      <c r="D313">
        <f>IF(C313="","",MIN(C313,Settings!$B$3))</f>
        <v/>
      </c>
      <c r="E313">
        <f>IF(C313="","",MAX(0,C313-D313))</f>
        <v/>
      </c>
    </row>
    <row r="314">
      <c r="D314">
        <f>IF(C314="","",MIN(C314,Settings!$B$3))</f>
        <v/>
      </c>
      <c r="E314">
        <f>IF(C314="","",MAX(0,C314-D314))</f>
        <v/>
      </c>
    </row>
    <row r="315">
      <c r="D315">
        <f>IF(C315="","",MIN(C315,Settings!$B$3))</f>
        <v/>
      </c>
      <c r="E315">
        <f>IF(C315="","",MAX(0,C315-D315))</f>
        <v/>
      </c>
    </row>
    <row r="316">
      <c r="D316">
        <f>IF(C316="","",MIN(C316,Settings!$B$3))</f>
        <v/>
      </c>
      <c r="E316">
        <f>IF(C316="","",MAX(0,C316-D316))</f>
        <v/>
      </c>
    </row>
    <row r="317">
      <c r="D317">
        <f>IF(C317="","",MIN(C317,Settings!$B$3))</f>
        <v/>
      </c>
      <c r="E317">
        <f>IF(C317="","",MAX(0,C317-D317))</f>
        <v/>
      </c>
    </row>
    <row r="318">
      <c r="D318">
        <f>IF(C318="","",MIN(C318,Settings!$B$3))</f>
        <v/>
      </c>
      <c r="E318">
        <f>IF(C318="","",MAX(0,C318-D318))</f>
        <v/>
      </c>
    </row>
    <row r="319">
      <c r="D319">
        <f>IF(C319="","",MIN(C319,Settings!$B$3))</f>
        <v/>
      </c>
      <c r="E319">
        <f>IF(C319="","",MAX(0,C319-D319))</f>
        <v/>
      </c>
    </row>
    <row r="320">
      <c r="D320">
        <f>IF(C320="","",MIN(C320,Settings!$B$3))</f>
        <v/>
      </c>
      <c r="E320">
        <f>IF(C320="","",MAX(0,C320-D320))</f>
        <v/>
      </c>
    </row>
    <row r="321">
      <c r="D321">
        <f>IF(C321="","",MIN(C321,Settings!$B$3))</f>
        <v/>
      </c>
      <c r="E321">
        <f>IF(C321="","",MAX(0,C321-D321))</f>
        <v/>
      </c>
    </row>
    <row r="322">
      <c r="D322">
        <f>IF(C322="","",MIN(C322,Settings!$B$3))</f>
        <v/>
      </c>
      <c r="E322">
        <f>IF(C322="","",MAX(0,C322-D322))</f>
        <v/>
      </c>
    </row>
    <row r="323">
      <c r="D323">
        <f>IF(C323="","",MIN(C323,Settings!$B$3))</f>
        <v/>
      </c>
      <c r="E323">
        <f>IF(C323="","",MAX(0,C323-D323))</f>
        <v/>
      </c>
    </row>
    <row r="324">
      <c r="D324">
        <f>IF(C324="","",MIN(C324,Settings!$B$3))</f>
        <v/>
      </c>
      <c r="E324">
        <f>IF(C324="","",MAX(0,C324-D324))</f>
        <v/>
      </c>
    </row>
    <row r="325">
      <c r="D325">
        <f>IF(C325="","",MIN(C325,Settings!$B$3))</f>
        <v/>
      </c>
      <c r="E325">
        <f>IF(C325="","",MAX(0,C325-D325))</f>
        <v/>
      </c>
    </row>
    <row r="326">
      <c r="D326">
        <f>IF(C326="","",MIN(C326,Settings!$B$3))</f>
        <v/>
      </c>
      <c r="E326">
        <f>IF(C326="","",MAX(0,C326-D326))</f>
        <v/>
      </c>
    </row>
    <row r="327">
      <c r="D327">
        <f>IF(C327="","",MIN(C327,Settings!$B$3))</f>
        <v/>
      </c>
      <c r="E327">
        <f>IF(C327="","",MAX(0,C327-D327))</f>
        <v/>
      </c>
    </row>
    <row r="328">
      <c r="D328">
        <f>IF(C328="","",MIN(C328,Settings!$B$3))</f>
        <v/>
      </c>
      <c r="E328">
        <f>IF(C328="","",MAX(0,C328-D328))</f>
        <v/>
      </c>
    </row>
    <row r="329">
      <c r="D329">
        <f>IF(C329="","",MIN(C329,Settings!$B$3))</f>
        <v/>
      </c>
      <c r="E329">
        <f>IF(C329="","",MAX(0,C329-D329))</f>
        <v/>
      </c>
    </row>
    <row r="330">
      <c r="D330">
        <f>IF(C330="","",MIN(C330,Settings!$B$3))</f>
        <v/>
      </c>
      <c r="E330">
        <f>IF(C330="","",MAX(0,C330-D330))</f>
        <v/>
      </c>
    </row>
    <row r="331">
      <c r="D331">
        <f>IF(C331="","",MIN(C331,Settings!$B$3))</f>
        <v/>
      </c>
      <c r="E331">
        <f>IF(C331="","",MAX(0,C331-D331))</f>
        <v/>
      </c>
    </row>
    <row r="332">
      <c r="D332">
        <f>IF(C332="","",MIN(C332,Settings!$B$3))</f>
        <v/>
      </c>
      <c r="E332">
        <f>IF(C332="","",MAX(0,C332-D332))</f>
        <v/>
      </c>
    </row>
    <row r="333">
      <c r="D333">
        <f>IF(C333="","",MIN(C333,Settings!$B$3))</f>
        <v/>
      </c>
      <c r="E333">
        <f>IF(C333="","",MAX(0,C333-D333))</f>
        <v/>
      </c>
    </row>
    <row r="334">
      <c r="D334">
        <f>IF(C334="","",MIN(C334,Settings!$B$3))</f>
        <v/>
      </c>
      <c r="E334">
        <f>IF(C334="","",MAX(0,C334-D334))</f>
        <v/>
      </c>
    </row>
    <row r="335">
      <c r="D335">
        <f>IF(C335="","",MIN(C335,Settings!$B$3))</f>
        <v/>
      </c>
      <c r="E335">
        <f>IF(C335="","",MAX(0,C335-D335))</f>
        <v/>
      </c>
    </row>
    <row r="336">
      <c r="D336">
        <f>IF(C336="","",MIN(C336,Settings!$B$3))</f>
        <v/>
      </c>
      <c r="E336">
        <f>IF(C336="","",MAX(0,C336-D336))</f>
        <v/>
      </c>
    </row>
    <row r="337">
      <c r="D337">
        <f>IF(C337="","",MIN(C337,Settings!$B$3))</f>
        <v/>
      </c>
      <c r="E337">
        <f>IF(C337="","",MAX(0,C337-D337))</f>
        <v/>
      </c>
    </row>
    <row r="338">
      <c r="D338">
        <f>IF(C338="","",MIN(C338,Settings!$B$3))</f>
        <v/>
      </c>
      <c r="E338">
        <f>IF(C338="","",MAX(0,C338-D338))</f>
        <v/>
      </c>
    </row>
    <row r="339">
      <c r="D339">
        <f>IF(C339="","",MIN(C339,Settings!$B$3))</f>
        <v/>
      </c>
      <c r="E339">
        <f>IF(C339="","",MAX(0,C339-D339))</f>
        <v/>
      </c>
    </row>
    <row r="340">
      <c r="D340">
        <f>IF(C340="","",MIN(C340,Settings!$B$3))</f>
        <v/>
      </c>
      <c r="E340">
        <f>IF(C340="","",MAX(0,C340-D340))</f>
        <v/>
      </c>
    </row>
    <row r="341">
      <c r="D341">
        <f>IF(C341="","",MIN(C341,Settings!$B$3))</f>
        <v/>
      </c>
      <c r="E341">
        <f>IF(C341="","",MAX(0,C341-D341))</f>
        <v/>
      </c>
    </row>
    <row r="342">
      <c r="D342">
        <f>IF(C342="","",MIN(C342,Settings!$B$3))</f>
        <v/>
      </c>
      <c r="E342">
        <f>IF(C342="","",MAX(0,C342-D342))</f>
        <v/>
      </c>
    </row>
    <row r="343">
      <c r="D343">
        <f>IF(C343="","",MIN(C343,Settings!$B$3))</f>
        <v/>
      </c>
      <c r="E343">
        <f>IF(C343="","",MAX(0,C343-D343))</f>
        <v/>
      </c>
    </row>
    <row r="344">
      <c r="D344">
        <f>IF(C344="","",MIN(C344,Settings!$B$3))</f>
        <v/>
      </c>
      <c r="E344">
        <f>IF(C344="","",MAX(0,C344-D344))</f>
        <v/>
      </c>
    </row>
    <row r="345">
      <c r="D345">
        <f>IF(C345="","",MIN(C345,Settings!$B$3))</f>
        <v/>
      </c>
      <c r="E345">
        <f>IF(C345="","",MAX(0,C345-D345))</f>
        <v/>
      </c>
    </row>
    <row r="346">
      <c r="D346">
        <f>IF(C346="","",MIN(C346,Settings!$B$3))</f>
        <v/>
      </c>
      <c r="E346">
        <f>IF(C346="","",MAX(0,C346-D346))</f>
        <v/>
      </c>
    </row>
    <row r="347">
      <c r="D347">
        <f>IF(C347="","",MIN(C347,Settings!$B$3))</f>
        <v/>
      </c>
      <c r="E347">
        <f>IF(C347="","",MAX(0,C347-D347))</f>
        <v/>
      </c>
    </row>
    <row r="348">
      <c r="D348">
        <f>IF(C348="","",MIN(C348,Settings!$B$3))</f>
        <v/>
      </c>
      <c r="E348">
        <f>IF(C348="","",MAX(0,C348-D348))</f>
        <v/>
      </c>
    </row>
    <row r="349">
      <c r="D349">
        <f>IF(C349="","",MIN(C349,Settings!$B$3))</f>
        <v/>
      </c>
      <c r="E349">
        <f>IF(C349="","",MAX(0,C349-D349))</f>
        <v/>
      </c>
    </row>
    <row r="350">
      <c r="D350">
        <f>IF(C350="","",MIN(C350,Settings!$B$3))</f>
        <v/>
      </c>
      <c r="E350">
        <f>IF(C350="","",MAX(0,C350-D350))</f>
        <v/>
      </c>
    </row>
    <row r="351">
      <c r="D351">
        <f>IF(C351="","",MIN(C351,Settings!$B$3))</f>
        <v/>
      </c>
      <c r="E351">
        <f>IF(C351="","",MAX(0,C351-D351))</f>
        <v/>
      </c>
    </row>
    <row r="352">
      <c r="D352">
        <f>IF(C352="","",MIN(C352,Settings!$B$3))</f>
        <v/>
      </c>
      <c r="E352">
        <f>IF(C352="","",MAX(0,C352-D352))</f>
        <v/>
      </c>
    </row>
    <row r="353">
      <c r="D353">
        <f>IF(C353="","",MIN(C353,Settings!$B$3))</f>
        <v/>
      </c>
      <c r="E353">
        <f>IF(C353="","",MAX(0,C353-D353))</f>
        <v/>
      </c>
    </row>
    <row r="354">
      <c r="D354">
        <f>IF(C354="","",MIN(C354,Settings!$B$3))</f>
        <v/>
      </c>
      <c r="E354">
        <f>IF(C354="","",MAX(0,C354-D354))</f>
        <v/>
      </c>
    </row>
    <row r="355">
      <c r="D355">
        <f>IF(C355="","",MIN(C355,Settings!$B$3))</f>
        <v/>
      </c>
      <c r="E355">
        <f>IF(C355="","",MAX(0,C355-D355))</f>
        <v/>
      </c>
    </row>
    <row r="356">
      <c r="D356">
        <f>IF(C356="","",MIN(C356,Settings!$B$3))</f>
        <v/>
      </c>
      <c r="E356">
        <f>IF(C356="","",MAX(0,C356-D356))</f>
        <v/>
      </c>
    </row>
    <row r="357">
      <c r="D357">
        <f>IF(C357="","",MIN(C357,Settings!$B$3))</f>
        <v/>
      </c>
      <c r="E357">
        <f>IF(C357="","",MAX(0,C357-D357))</f>
        <v/>
      </c>
    </row>
    <row r="358">
      <c r="D358">
        <f>IF(C358="","",MIN(C358,Settings!$B$3))</f>
        <v/>
      </c>
      <c r="E358">
        <f>IF(C358="","",MAX(0,C358-D358))</f>
        <v/>
      </c>
    </row>
    <row r="359">
      <c r="D359">
        <f>IF(C359="","",MIN(C359,Settings!$B$3))</f>
        <v/>
      </c>
      <c r="E359">
        <f>IF(C359="","",MAX(0,C359-D359))</f>
        <v/>
      </c>
    </row>
    <row r="360">
      <c r="D360">
        <f>IF(C360="","",MIN(C360,Settings!$B$3))</f>
        <v/>
      </c>
      <c r="E360">
        <f>IF(C360="","",MAX(0,C360-D360))</f>
        <v/>
      </c>
    </row>
    <row r="361">
      <c r="D361">
        <f>IF(C361="","",MIN(C361,Settings!$B$3))</f>
        <v/>
      </c>
      <c r="E361">
        <f>IF(C361="","",MAX(0,C361-D361))</f>
        <v/>
      </c>
    </row>
    <row r="362">
      <c r="D362">
        <f>IF(C362="","",MIN(C362,Settings!$B$3))</f>
        <v/>
      </c>
      <c r="E362">
        <f>IF(C362="","",MAX(0,C362-D362))</f>
        <v/>
      </c>
    </row>
    <row r="363">
      <c r="D363">
        <f>IF(C363="","",MIN(C363,Settings!$B$3))</f>
        <v/>
      </c>
      <c r="E363">
        <f>IF(C363="","",MAX(0,C363-D363))</f>
        <v/>
      </c>
    </row>
    <row r="364">
      <c r="D364">
        <f>IF(C364="","",MIN(C364,Settings!$B$3))</f>
        <v/>
      </c>
      <c r="E364">
        <f>IF(C364="","",MAX(0,C364-D364))</f>
        <v/>
      </c>
    </row>
    <row r="365">
      <c r="D365">
        <f>IF(C365="","",MIN(C365,Settings!$B$3))</f>
        <v/>
      </c>
      <c r="E365">
        <f>IF(C365="","",MAX(0,C365-D365))</f>
        <v/>
      </c>
    </row>
    <row r="366">
      <c r="D366">
        <f>IF(C366="","",MIN(C366,Settings!$B$3))</f>
        <v/>
      </c>
      <c r="E366">
        <f>IF(C366="","",MAX(0,C366-D366))</f>
        <v/>
      </c>
    </row>
    <row r="367">
      <c r="D367">
        <f>IF(C367="","",MIN(C367,Settings!$B$3))</f>
        <v/>
      </c>
      <c r="E367">
        <f>IF(C367="","",MAX(0,C367-D367))</f>
        <v/>
      </c>
    </row>
    <row r="368">
      <c r="D368">
        <f>IF(C368="","",MIN(C368,Settings!$B$3))</f>
        <v/>
      </c>
      <c r="E368">
        <f>IF(C368="","",MAX(0,C368-D368))</f>
        <v/>
      </c>
    </row>
    <row r="369">
      <c r="D369">
        <f>IF(C369="","",MIN(C369,Settings!$B$3))</f>
        <v/>
      </c>
      <c r="E369">
        <f>IF(C369="","",MAX(0,C369-D369))</f>
        <v/>
      </c>
    </row>
    <row r="370">
      <c r="D370">
        <f>IF(C370="","",MIN(C370,Settings!$B$3))</f>
        <v/>
      </c>
      <c r="E370">
        <f>IF(C370="","",MAX(0,C370-D370))</f>
        <v/>
      </c>
    </row>
    <row r="371">
      <c r="D371">
        <f>IF(C371="","",MIN(C371,Settings!$B$3))</f>
        <v/>
      </c>
      <c r="E371">
        <f>IF(C371="","",MAX(0,C371-D371))</f>
        <v/>
      </c>
    </row>
    <row r="372">
      <c r="D372">
        <f>IF(C372="","",MIN(C372,Settings!$B$3))</f>
        <v/>
      </c>
      <c r="E372">
        <f>IF(C372="","",MAX(0,C372-D372))</f>
        <v/>
      </c>
    </row>
    <row r="373">
      <c r="D373">
        <f>IF(C373="","",MIN(C373,Settings!$B$3))</f>
        <v/>
      </c>
      <c r="E373">
        <f>IF(C373="","",MAX(0,C373-D373))</f>
        <v/>
      </c>
    </row>
    <row r="374">
      <c r="D374">
        <f>IF(C374="","",MIN(C374,Settings!$B$3))</f>
        <v/>
      </c>
      <c r="E374">
        <f>IF(C374="","",MAX(0,C374-D374))</f>
        <v/>
      </c>
    </row>
    <row r="375">
      <c r="D375">
        <f>IF(C375="","",MIN(C375,Settings!$B$3))</f>
        <v/>
      </c>
      <c r="E375">
        <f>IF(C375="","",MAX(0,C375-D375))</f>
        <v/>
      </c>
    </row>
    <row r="376">
      <c r="D376">
        <f>IF(C376="","",MIN(C376,Settings!$B$3))</f>
        <v/>
      </c>
      <c r="E376">
        <f>IF(C376="","",MAX(0,C376-D376))</f>
        <v/>
      </c>
    </row>
    <row r="377">
      <c r="D377">
        <f>IF(C377="","",MIN(C377,Settings!$B$3))</f>
        <v/>
      </c>
      <c r="E377">
        <f>IF(C377="","",MAX(0,C377-D377))</f>
        <v/>
      </c>
    </row>
    <row r="378">
      <c r="D378">
        <f>IF(C378="","",MIN(C378,Settings!$B$3))</f>
        <v/>
      </c>
      <c r="E378">
        <f>IF(C378="","",MAX(0,C378-D378))</f>
        <v/>
      </c>
    </row>
    <row r="379">
      <c r="D379">
        <f>IF(C379="","",MIN(C379,Settings!$B$3))</f>
        <v/>
      </c>
      <c r="E379">
        <f>IF(C379="","",MAX(0,C379-D379))</f>
        <v/>
      </c>
    </row>
    <row r="380">
      <c r="D380">
        <f>IF(C380="","",MIN(C380,Settings!$B$3))</f>
        <v/>
      </c>
      <c r="E380">
        <f>IF(C380="","",MAX(0,C380-D380))</f>
        <v/>
      </c>
    </row>
    <row r="381">
      <c r="D381">
        <f>IF(C381="","",MIN(C381,Settings!$B$3))</f>
        <v/>
      </c>
      <c r="E381">
        <f>IF(C381="","",MAX(0,C381-D381))</f>
        <v/>
      </c>
    </row>
    <row r="382">
      <c r="D382">
        <f>IF(C382="","",MIN(C382,Settings!$B$3))</f>
        <v/>
      </c>
      <c r="E382">
        <f>IF(C382="","",MAX(0,C382-D382))</f>
        <v/>
      </c>
    </row>
    <row r="383">
      <c r="D383">
        <f>IF(C383="","",MIN(C383,Settings!$B$3))</f>
        <v/>
      </c>
      <c r="E383">
        <f>IF(C383="","",MAX(0,C383-D383))</f>
        <v/>
      </c>
    </row>
    <row r="384">
      <c r="D384">
        <f>IF(C384="","",MIN(C384,Settings!$B$3))</f>
        <v/>
      </c>
      <c r="E384">
        <f>IF(C384="","",MAX(0,C384-D384))</f>
        <v/>
      </c>
    </row>
    <row r="385">
      <c r="D385">
        <f>IF(C385="","",MIN(C385,Settings!$B$3))</f>
        <v/>
      </c>
      <c r="E385">
        <f>IF(C385="","",MAX(0,C385-D385))</f>
        <v/>
      </c>
    </row>
    <row r="386">
      <c r="D386">
        <f>IF(C386="","",MIN(C386,Settings!$B$3))</f>
        <v/>
      </c>
      <c r="E386">
        <f>IF(C386="","",MAX(0,C386-D386))</f>
        <v/>
      </c>
    </row>
    <row r="387">
      <c r="D387">
        <f>IF(C387="","",MIN(C387,Settings!$B$3))</f>
        <v/>
      </c>
      <c r="E387">
        <f>IF(C387="","",MAX(0,C387-D387))</f>
        <v/>
      </c>
    </row>
    <row r="388">
      <c r="D388">
        <f>IF(C388="","",MIN(C388,Settings!$B$3))</f>
        <v/>
      </c>
      <c r="E388">
        <f>IF(C388="","",MAX(0,C388-D388))</f>
        <v/>
      </c>
    </row>
    <row r="389">
      <c r="D389">
        <f>IF(C389="","",MIN(C389,Settings!$B$3))</f>
        <v/>
      </c>
      <c r="E389">
        <f>IF(C389="","",MAX(0,C389-D389))</f>
        <v/>
      </c>
    </row>
    <row r="390">
      <c r="D390">
        <f>IF(C390="","",MIN(C390,Settings!$B$3))</f>
        <v/>
      </c>
      <c r="E390">
        <f>IF(C390="","",MAX(0,C390-D390))</f>
        <v/>
      </c>
    </row>
    <row r="391">
      <c r="D391">
        <f>IF(C391="","",MIN(C391,Settings!$B$3))</f>
        <v/>
      </c>
      <c r="E391">
        <f>IF(C391="","",MAX(0,C391-D391))</f>
        <v/>
      </c>
    </row>
    <row r="392">
      <c r="D392">
        <f>IF(C392="","",MIN(C392,Settings!$B$3))</f>
        <v/>
      </c>
      <c r="E392">
        <f>IF(C392="","",MAX(0,C392-D392))</f>
        <v/>
      </c>
    </row>
    <row r="393">
      <c r="D393">
        <f>IF(C393="","",MIN(C393,Settings!$B$3))</f>
        <v/>
      </c>
      <c r="E393">
        <f>IF(C393="","",MAX(0,C393-D393))</f>
        <v/>
      </c>
    </row>
    <row r="394">
      <c r="D394">
        <f>IF(C394="","",MIN(C394,Settings!$B$3))</f>
        <v/>
      </c>
      <c r="E394">
        <f>IF(C394="","",MAX(0,C394-D394))</f>
        <v/>
      </c>
    </row>
    <row r="395">
      <c r="D395">
        <f>IF(C395="","",MIN(C395,Settings!$B$3))</f>
        <v/>
      </c>
      <c r="E395">
        <f>IF(C395="","",MAX(0,C395-D395))</f>
        <v/>
      </c>
    </row>
    <row r="396">
      <c r="D396">
        <f>IF(C396="","",MIN(C396,Settings!$B$3))</f>
        <v/>
      </c>
      <c r="E396">
        <f>IF(C396="","",MAX(0,C396-D396))</f>
        <v/>
      </c>
    </row>
    <row r="397">
      <c r="D397">
        <f>IF(C397="","",MIN(C397,Settings!$B$3))</f>
        <v/>
      </c>
      <c r="E397">
        <f>IF(C397="","",MAX(0,C397-D397))</f>
        <v/>
      </c>
    </row>
    <row r="398">
      <c r="D398">
        <f>IF(C398="","",MIN(C398,Settings!$B$3))</f>
        <v/>
      </c>
      <c r="E398">
        <f>IF(C398="","",MAX(0,C398-D398))</f>
        <v/>
      </c>
    </row>
    <row r="399">
      <c r="D399">
        <f>IF(C399="","",MIN(C399,Settings!$B$3))</f>
        <v/>
      </c>
      <c r="E399">
        <f>IF(C399="","",MAX(0,C399-D399))</f>
        <v/>
      </c>
    </row>
    <row r="400">
      <c r="D400">
        <f>IF(C400="","",MIN(C400,Settings!$B$3))</f>
        <v/>
      </c>
      <c r="E400">
        <f>IF(C400="","",MAX(0,C400-D400))</f>
        <v/>
      </c>
    </row>
    <row r="401">
      <c r="D401">
        <f>IF(C401="","",MIN(C401,Settings!$B$3))</f>
        <v/>
      </c>
      <c r="E401">
        <f>IF(C401="","",MAX(0,C401-D401))</f>
        <v/>
      </c>
    </row>
    <row r="402">
      <c r="D402">
        <f>IF(C402="","",MIN(C402,Settings!$B$3))</f>
        <v/>
      </c>
      <c r="E402">
        <f>IF(C402="","",MAX(0,C402-D402))</f>
        <v/>
      </c>
    </row>
    <row r="403">
      <c r="D403">
        <f>IF(C403="","",MIN(C403,Settings!$B$3))</f>
        <v/>
      </c>
      <c r="E403">
        <f>IF(C403="","",MAX(0,C403-D403))</f>
        <v/>
      </c>
    </row>
    <row r="404">
      <c r="D404">
        <f>IF(C404="","",MIN(C404,Settings!$B$3))</f>
        <v/>
      </c>
      <c r="E404">
        <f>IF(C404="","",MAX(0,C404-D404))</f>
        <v/>
      </c>
    </row>
    <row r="405">
      <c r="D405">
        <f>IF(C405="","",MIN(C405,Settings!$B$3))</f>
        <v/>
      </c>
      <c r="E405">
        <f>IF(C405="","",MAX(0,C405-D405))</f>
        <v/>
      </c>
    </row>
    <row r="406">
      <c r="D406">
        <f>IF(C406="","",MIN(C406,Settings!$B$3))</f>
        <v/>
      </c>
      <c r="E406">
        <f>IF(C406="","",MAX(0,C406-D406))</f>
        <v/>
      </c>
    </row>
    <row r="407">
      <c r="D407">
        <f>IF(C407="","",MIN(C407,Settings!$B$3))</f>
        <v/>
      </c>
      <c r="E407">
        <f>IF(C407="","",MAX(0,C407-D407))</f>
        <v/>
      </c>
    </row>
    <row r="408">
      <c r="D408">
        <f>IF(C408="","",MIN(C408,Settings!$B$3))</f>
        <v/>
      </c>
      <c r="E408">
        <f>IF(C408="","",MAX(0,C408-D408))</f>
        <v/>
      </c>
    </row>
    <row r="409">
      <c r="D409">
        <f>IF(C409="","",MIN(C409,Settings!$B$3))</f>
        <v/>
      </c>
      <c r="E409">
        <f>IF(C409="","",MAX(0,C409-D409))</f>
        <v/>
      </c>
    </row>
    <row r="410">
      <c r="D410">
        <f>IF(C410="","",MIN(C410,Settings!$B$3))</f>
        <v/>
      </c>
      <c r="E410">
        <f>IF(C410="","",MAX(0,C410-D410))</f>
        <v/>
      </c>
    </row>
    <row r="411">
      <c r="D411">
        <f>IF(C411="","",MIN(C411,Settings!$B$3))</f>
        <v/>
      </c>
      <c r="E411">
        <f>IF(C411="","",MAX(0,C411-D411))</f>
        <v/>
      </c>
    </row>
    <row r="412">
      <c r="D412">
        <f>IF(C412="","",MIN(C412,Settings!$B$3))</f>
        <v/>
      </c>
      <c r="E412">
        <f>IF(C412="","",MAX(0,C412-D412))</f>
        <v/>
      </c>
    </row>
    <row r="413">
      <c r="D413">
        <f>IF(C413="","",MIN(C413,Settings!$B$3))</f>
        <v/>
      </c>
      <c r="E413">
        <f>IF(C413="","",MAX(0,C413-D413))</f>
        <v/>
      </c>
    </row>
    <row r="414">
      <c r="D414">
        <f>IF(C414="","",MIN(C414,Settings!$B$3))</f>
        <v/>
      </c>
      <c r="E414">
        <f>IF(C414="","",MAX(0,C414-D414))</f>
        <v/>
      </c>
    </row>
    <row r="415">
      <c r="D415">
        <f>IF(C415="","",MIN(C415,Settings!$B$3))</f>
        <v/>
      </c>
      <c r="E415">
        <f>IF(C415="","",MAX(0,C415-D415))</f>
        <v/>
      </c>
    </row>
    <row r="416">
      <c r="D416">
        <f>IF(C416="","",MIN(C416,Settings!$B$3))</f>
        <v/>
      </c>
      <c r="E416">
        <f>IF(C416="","",MAX(0,C416-D416))</f>
        <v/>
      </c>
    </row>
    <row r="417">
      <c r="D417">
        <f>IF(C417="","",MIN(C417,Settings!$B$3))</f>
        <v/>
      </c>
      <c r="E417">
        <f>IF(C417="","",MAX(0,C417-D417))</f>
        <v/>
      </c>
    </row>
    <row r="418">
      <c r="D418">
        <f>IF(C418="","",MIN(C418,Settings!$B$3))</f>
        <v/>
      </c>
      <c r="E418">
        <f>IF(C418="","",MAX(0,C418-D418))</f>
        <v/>
      </c>
    </row>
    <row r="419">
      <c r="D419">
        <f>IF(C419="","",MIN(C419,Settings!$B$3))</f>
        <v/>
      </c>
      <c r="E419">
        <f>IF(C419="","",MAX(0,C419-D419))</f>
        <v/>
      </c>
    </row>
    <row r="420">
      <c r="D420">
        <f>IF(C420="","",MIN(C420,Settings!$B$3))</f>
        <v/>
      </c>
      <c r="E420">
        <f>IF(C420="","",MAX(0,C420-D420))</f>
        <v/>
      </c>
    </row>
    <row r="421">
      <c r="D421">
        <f>IF(C421="","",MIN(C421,Settings!$B$3))</f>
        <v/>
      </c>
      <c r="E421">
        <f>IF(C421="","",MAX(0,C421-D421))</f>
        <v/>
      </c>
    </row>
    <row r="422">
      <c r="D422">
        <f>IF(C422="","",MIN(C422,Settings!$B$3))</f>
        <v/>
      </c>
      <c r="E422">
        <f>IF(C422="","",MAX(0,C422-D422))</f>
        <v/>
      </c>
    </row>
    <row r="423">
      <c r="D423">
        <f>IF(C423="","",MIN(C423,Settings!$B$3))</f>
        <v/>
      </c>
      <c r="E423">
        <f>IF(C423="","",MAX(0,C423-D423))</f>
        <v/>
      </c>
    </row>
    <row r="424">
      <c r="D424">
        <f>IF(C424="","",MIN(C424,Settings!$B$3))</f>
        <v/>
      </c>
      <c r="E424">
        <f>IF(C424="","",MAX(0,C424-D424))</f>
        <v/>
      </c>
    </row>
    <row r="425">
      <c r="D425">
        <f>IF(C425="","",MIN(C425,Settings!$B$3))</f>
        <v/>
      </c>
      <c r="E425">
        <f>IF(C425="","",MAX(0,C425-D425))</f>
        <v/>
      </c>
    </row>
    <row r="426">
      <c r="D426">
        <f>IF(C426="","",MIN(C426,Settings!$B$3))</f>
        <v/>
      </c>
      <c r="E426">
        <f>IF(C426="","",MAX(0,C426-D426))</f>
        <v/>
      </c>
    </row>
    <row r="427">
      <c r="D427">
        <f>IF(C427="","",MIN(C427,Settings!$B$3))</f>
        <v/>
      </c>
      <c r="E427">
        <f>IF(C427="","",MAX(0,C427-D427))</f>
        <v/>
      </c>
    </row>
    <row r="428">
      <c r="D428">
        <f>IF(C428="","",MIN(C428,Settings!$B$3))</f>
        <v/>
      </c>
      <c r="E428">
        <f>IF(C428="","",MAX(0,C428-D428))</f>
        <v/>
      </c>
    </row>
    <row r="429">
      <c r="D429">
        <f>IF(C429="","",MIN(C429,Settings!$B$3))</f>
        <v/>
      </c>
      <c r="E429">
        <f>IF(C429="","",MAX(0,C429-D429))</f>
        <v/>
      </c>
    </row>
    <row r="430">
      <c r="D430">
        <f>IF(C430="","",MIN(C430,Settings!$B$3))</f>
        <v/>
      </c>
      <c r="E430">
        <f>IF(C430="","",MAX(0,C430-D430))</f>
        <v/>
      </c>
    </row>
    <row r="431">
      <c r="D431">
        <f>IF(C431="","",MIN(C431,Settings!$B$3))</f>
        <v/>
      </c>
      <c r="E431">
        <f>IF(C431="","",MAX(0,C431-D431))</f>
        <v/>
      </c>
    </row>
    <row r="432">
      <c r="D432">
        <f>IF(C432="","",MIN(C432,Settings!$B$3))</f>
        <v/>
      </c>
      <c r="E432">
        <f>IF(C432="","",MAX(0,C432-D432))</f>
        <v/>
      </c>
    </row>
    <row r="433">
      <c r="D433">
        <f>IF(C433="","",MIN(C433,Settings!$B$3))</f>
        <v/>
      </c>
      <c r="E433">
        <f>IF(C433="","",MAX(0,C433-D433))</f>
        <v/>
      </c>
    </row>
    <row r="434">
      <c r="D434">
        <f>IF(C434="","",MIN(C434,Settings!$B$3))</f>
        <v/>
      </c>
      <c r="E434">
        <f>IF(C434="","",MAX(0,C434-D434))</f>
        <v/>
      </c>
    </row>
    <row r="435">
      <c r="D435">
        <f>IF(C435="","",MIN(C435,Settings!$B$3))</f>
        <v/>
      </c>
      <c r="E435">
        <f>IF(C435="","",MAX(0,C435-D435))</f>
        <v/>
      </c>
    </row>
    <row r="436">
      <c r="D436">
        <f>IF(C436="","",MIN(C436,Settings!$B$3))</f>
        <v/>
      </c>
      <c r="E436">
        <f>IF(C436="","",MAX(0,C436-D436))</f>
        <v/>
      </c>
    </row>
    <row r="437">
      <c r="D437">
        <f>IF(C437="","",MIN(C437,Settings!$B$3))</f>
        <v/>
      </c>
      <c r="E437">
        <f>IF(C437="","",MAX(0,C437-D437))</f>
        <v/>
      </c>
    </row>
    <row r="438">
      <c r="D438">
        <f>IF(C438="","",MIN(C438,Settings!$B$3))</f>
        <v/>
      </c>
      <c r="E438">
        <f>IF(C438="","",MAX(0,C438-D438))</f>
        <v/>
      </c>
    </row>
    <row r="439">
      <c r="D439">
        <f>IF(C439="","",MIN(C439,Settings!$B$3))</f>
        <v/>
      </c>
      <c r="E439">
        <f>IF(C439="","",MAX(0,C439-D439))</f>
        <v/>
      </c>
    </row>
    <row r="440">
      <c r="D440">
        <f>IF(C440="","",MIN(C440,Settings!$B$3))</f>
        <v/>
      </c>
      <c r="E440">
        <f>IF(C440="","",MAX(0,C440-D440))</f>
        <v/>
      </c>
    </row>
    <row r="441">
      <c r="D441">
        <f>IF(C441="","",MIN(C441,Settings!$B$3))</f>
        <v/>
      </c>
      <c r="E441">
        <f>IF(C441="","",MAX(0,C441-D441))</f>
        <v/>
      </c>
    </row>
    <row r="442">
      <c r="D442">
        <f>IF(C442="","",MIN(C442,Settings!$B$3))</f>
        <v/>
      </c>
      <c r="E442">
        <f>IF(C442="","",MAX(0,C442-D442))</f>
        <v/>
      </c>
    </row>
    <row r="443">
      <c r="D443">
        <f>IF(C443="","",MIN(C443,Settings!$B$3))</f>
        <v/>
      </c>
      <c r="E443">
        <f>IF(C443="","",MAX(0,C443-D443))</f>
        <v/>
      </c>
    </row>
    <row r="444">
      <c r="D444">
        <f>IF(C444="","",MIN(C444,Settings!$B$3))</f>
        <v/>
      </c>
      <c r="E444">
        <f>IF(C444="","",MAX(0,C444-D444))</f>
        <v/>
      </c>
    </row>
    <row r="445">
      <c r="D445">
        <f>IF(C445="","",MIN(C445,Settings!$B$3))</f>
        <v/>
      </c>
      <c r="E445">
        <f>IF(C445="","",MAX(0,C445-D445))</f>
        <v/>
      </c>
    </row>
    <row r="446">
      <c r="D446">
        <f>IF(C446="","",MIN(C446,Settings!$B$3))</f>
        <v/>
      </c>
      <c r="E446">
        <f>IF(C446="","",MAX(0,C446-D446))</f>
        <v/>
      </c>
    </row>
    <row r="447">
      <c r="D447">
        <f>IF(C447="","",MIN(C447,Settings!$B$3))</f>
        <v/>
      </c>
      <c r="E447">
        <f>IF(C447="","",MAX(0,C447-D447))</f>
        <v/>
      </c>
    </row>
    <row r="448">
      <c r="D448">
        <f>IF(C448="","",MIN(C448,Settings!$B$3))</f>
        <v/>
      </c>
      <c r="E448">
        <f>IF(C448="","",MAX(0,C448-D448))</f>
        <v/>
      </c>
    </row>
    <row r="449">
      <c r="D449">
        <f>IF(C449="","",MIN(C449,Settings!$B$3))</f>
        <v/>
      </c>
      <c r="E449">
        <f>IF(C449="","",MAX(0,C449-D449))</f>
        <v/>
      </c>
    </row>
    <row r="450">
      <c r="D450">
        <f>IF(C450="","",MIN(C450,Settings!$B$3))</f>
        <v/>
      </c>
      <c r="E450">
        <f>IF(C450="","",MAX(0,C450-D450))</f>
        <v/>
      </c>
    </row>
    <row r="451">
      <c r="D451">
        <f>IF(C451="","",MIN(C451,Settings!$B$3))</f>
        <v/>
      </c>
      <c r="E451">
        <f>IF(C451="","",MAX(0,C451-D451))</f>
        <v/>
      </c>
    </row>
    <row r="452">
      <c r="D452">
        <f>IF(C452="","",MIN(C452,Settings!$B$3))</f>
        <v/>
      </c>
      <c r="E452">
        <f>IF(C452="","",MAX(0,C452-D452))</f>
        <v/>
      </c>
    </row>
    <row r="453">
      <c r="D453">
        <f>IF(C453="","",MIN(C453,Settings!$B$3))</f>
        <v/>
      </c>
      <c r="E453">
        <f>IF(C453="","",MAX(0,C453-D453))</f>
        <v/>
      </c>
    </row>
    <row r="454">
      <c r="D454">
        <f>IF(C454="","",MIN(C454,Settings!$B$3))</f>
        <v/>
      </c>
      <c r="E454">
        <f>IF(C454="","",MAX(0,C454-D454))</f>
        <v/>
      </c>
    </row>
    <row r="455">
      <c r="D455">
        <f>IF(C455="","",MIN(C455,Settings!$B$3))</f>
        <v/>
      </c>
      <c r="E455">
        <f>IF(C455="","",MAX(0,C455-D455))</f>
        <v/>
      </c>
    </row>
    <row r="456">
      <c r="D456">
        <f>IF(C456="","",MIN(C456,Settings!$B$3))</f>
        <v/>
      </c>
      <c r="E456">
        <f>IF(C456="","",MAX(0,C456-D456))</f>
        <v/>
      </c>
    </row>
    <row r="457">
      <c r="D457">
        <f>IF(C457="","",MIN(C457,Settings!$B$3))</f>
        <v/>
      </c>
      <c r="E457">
        <f>IF(C457="","",MAX(0,C457-D457))</f>
        <v/>
      </c>
    </row>
    <row r="458">
      <c r="D458">
        <f>IF(C458="","",MIN(C458,Settings!$B$3))</f>
        <v/>
      </c>
      <c r="E458">
        <f>IF(C458="","",MAX(0,C458-D458))</f>
        <v/>
      </c>
    </row>
    <row r="459">
      <c r="D459">
        <f>IF(C459="","",MIN(C459,Settings!$B$3))</f>
        <v/>
      </c>
      <c r="E459">
        <f>IF(C459="","",MAX(0,C459-D459))</f>
        <v/>
      </c>
    </row>
    <row r="460">
      <c r="D460">
        <f>IF(C460="","",MIN(C460,Settings!$B$3))</f>
        <v/>
      </c>
      <c r="E460">
        <f>IF(C460="","",MAX(0,C460-D460))</f>
        <v/>
      </c>
    </row>
    <row r="461">
      <c r="D461">
        <f>IF(C461="","",MIN(C461,Settings!$B$3))</f>
        <v/>
      </c>
      <c r="E461">
        <f>IF(C461="","",MAX(0,C461-D461))</f>
        <v/>
      </c>
    </row>
    <row r="462">
      <c r="D462">
        <f>IF(C462="","",MIN(C462,Settings!$B$3))</f>
        <v/>
      </c>
      <c r="E462">
        <f>IF(C462="","",MAX(0,C462-D462))</f>
        <v/>
      </c>
    </row>
    <row r="463">
      <c r="D463">
        <f>IF(C463="","",MIN(C463,Settings!$B$3))</f>
        <v/>
      </c>
      <c r="E463">
        <f>IF(C463="","",MAX(0,C463-D463))</f>
        <v/>
      </c>
    </row>
    <row r="464">
      <c r="D464">
        <f>IF(C464="","",MIN(C464,Settings!$B$3))</f>
        <v/>
      </c>
      <c r="E464">
        <f>IF(C464="","",MAX(0,C464-D464))</f>
        <v/>
      </c>
    </row>
    <row r="465">
      <c r="D465">
        <f>IF(C465="","",MIN(C465,Settings!$B$3))</f>
        <v/>
      </c>
      <c r="E465">
        <f>IF(C465="","",MAX(0,C465-D465))</f>
        <v/>
      </c>
    </row>
    <row r="466">
      <c r="D466">
        <f>IF(C466="","",MIN(C466,Settings!$B$3))</f>
        <v/>
      </c>
      <c r="E466">
        <f>IF(C466="","",MAX(0,C466-D466))</f>
        <v/>
      </c>
    </row>
    <row r="467">
      <c r="D467">
        <f>IF(C467="","",MIN(C467,Settings!$B$3))</f>
        <v/>
      </c>
      <c r="E467">
        <f>IF(C467="","",MAX(0,C467-D467))</f>
        <v/>
      </c>
    </row>
    <row r="468">
      <c r="D468">
        <f>IF(C468="","",MIN(C468,Settings!$B$3))</f>
        <v/>
      </c>
      <c r="E468">
        <f>IF(C468="","",MAX(0,C468-D468))</f>
        <v/>
      </c>
    </row>
    <row r="469">
      <c r="D469">
        <f>IF(C469="","",MIN(C469,Settings!$B$3))</f>
        <v/>
      </c>
      <c r="E469">
        <f>IF(C469="","",MAX(0,C469-D469))</f>
        <v/>
      </c>
    </row>
    <row r="470">
      <c r="D470">
        <f>IF(C470="","",MIN(C470,Settings!$B$3))</f>
        <v/>
      </c>
      <c r="E470">
        <f>IF(C470="","",MAX(0,C470-D470))</f>
        <v/>
      </c>
    </row>
    <row r="471">
      <c r="D471">
        <f>IF(C471="","",MIN(C471,Settings!$B$3))</f>
        <v/>
      </c>
      <c r="E471">
        <f>IF(C471="","",MAX(0,C471-D471))</f>
        <v/>
      </c>
    </row>
    <row r="472">
      <c r="D472">
        <f>IF(C472="","",MIN(C472,Settings!$B$3))</f>
        <v/>
      </c>
      <c r="E472">
        <f>IF(C472="","",MAX(0,C472-D472))</f>
        <v/>
      </c>
    </row>
    <row r="473">
      <c r="D473">
        <f>IF(C473="","",MIN(C473,Settings!$B$3))</f>
        <v/>
      </c>
      <c r="E473">
        <f>IF(C473="","",MAX(0,C473-D473))</f>
        <v/>
      </c>
    </row>
    <row r="474">
      <c r="D474">
        <f>IF(C474="","",MIN(C474,Settings!$B$3))</f>
        <v/>
      </c>
      <c r="E474">
        <f>IF(C474="","",MAX(0,C474-D474))</f>
        <v/>
      </c>
    </row>
    <row r="475">
      <c r="D475">
        <f>IF(C475="","",MIN(C475,Settings!$B$3))</f>
        <v/>
      </c>
      <c r="E475">
        <f>IF(C475="","",MAX(0,C475-D475))</f>
        <v/>
      </c>
    </row>
    <row r="476">
      <c r="D476">
        <f>IF(C476="","",MIN(C476,Settings!$B$3))</f>
        <v/>
      </c>
      <c r="E476">
        <f>IF(C476="","",MAX(0,C476-D476))</f>
        <v/>
      </c>
    </row>
    <row r="477">
      <c r="D477">
        <f>IF(C477="","",MIN(C477,Settings!$B$3))</f>
        <v/>
      </c>
      <c r="E477">
        <f>IF(C477="","",MAX(0,C477-D477))</f>
        <v/>
      </c>
    </row>
    <row r="478">
      <c r="D478">
        <f>IF(C478="","",MIN(C478,Settings!$B$3))</f>
        <v/>
      </c>
      <c r="E478">
        <f>IF(C478="","",MAX(0,C478-D478))</f>
        <v/>
      </c>
    </row>
    <row r="479">
      <c r="D479">
        <f>IF(C479="","",MIN(C479,Settings!$B$3))</f>
        <v/>
      </c>
      <c r="E479">
        <f>IF(C479="","",MAX(0,C479-D479))</f>
        <v/>
      </c>
    </row>
    <row r="480">
      <c r="D480">
        <f>IF(C480="","",MIN(C480,Settings!$B$3))</f>
        <v/>
      </c>
      <c r="E480">
        <f>IF(C480="","",MAX(0,C480-D480))</f>
        <v/>
      </c>
    </row>
    <row r="481">
      <c r="D481">
        <f>IF(C481="","",MIN(C481,Settings!$B$3))</f>
        <v/>
      </c>
      <c r="E481">
        <f>IF(C481="","",MAX(0,C481-D481))</f>
        <v/>
      </c>
    </row>
    <row r="482">
      <c r="D482">
        <f>IF(C482="","",MIN(C482,Settings!$B$3))</f>
        <v/>
      </c>
      <c r="E482">
        <f>IF(C482="","",MAX(0,C482-D482))</f>
        <v/>
      </c>
    </row>
    <row r="483">
      <c r="D483">
        <f>IF(C483="","",MIN(C483,Settings!$B$3))</f>
        <v/>
      </c>
      <c r="E483">
        <f>IF(C483="","",MAX(0,C483-D483))</f>
        <v/>
      </c>
    </row>
    <row r="484">
      <c r="D484">
        <f>IF(C484="","",MIN(C484,Settings!$B$3))</f>
        <v/>
      </c>
      <c r="E484">
        <f>IF(C484="","",MAX(0,C484-D484))</f>
        <v/>
      </c>
    </row>
    <row r="485">
      <c r="D485">
        <f>IF(C485="","",MIN(C485,Settings!$B$3))</f>
        <v/>
      </c>
      <c r="E485">
        <f>IF(C485="","",MAX(0,C485-D485))</f>
        <v/>
      </c>
    </row>
    <row r="486">
      <c r="D486">
        <f>IF(C486="","",MIN(C486,Settings!$B$3))</f>
        <v/>
      </c>
      <c r="E486">
        <f>IF(C486="","",MAX(0,C486-D486))</f>
        <v/>
      </c>
    </row>
    <row r="487">
      <c r="D487">
        <f>IF(C487="","",MIN(C487,Settings!$B$3))</f>
        <v/>
      </c>
      <c r="E487">
        <f>IF(C487="","",MAX(0,C487-D487))</f>
        <v/>
      </c>
    </row>
    <row r="488">
      <c r="D488">
        <f>IF(C488="","",MIN(C488,Settings!$B$3))</f>
        <v/>
      </c>
      <c r="E488">
        <f>IF(C488="","",MAX(0,C488-D488))</f>
        <v/>
      </c>
    </row>
    <row r="489">
      <c r="D489">
        <f>IF(C489="","",MIN(C489,Settings!$B$3))</f>
        <v/>
      </c>
      <c r="E489">
        <f>IF(C489="","",MAX(0,C489-D489))</f>
        <v/>
      </c>
    </row>
    <row r="490">
      <c r="D490">
        <f>IF(C490="","",MIN(C490,Settings!$B$3))</f>
        <v/>
      </c>
      <c r="E490">
        <f>IF(C490="","",MAX(0,C490-D490))</f>
        <v/>
      </c>
    </row>
    <row r="491">
      <c r="D491">
        <f>IF(C491="","",MIN(C491,Settings!$B$3))</f>
        <v/>
      </c>
      <c r="E491">
        <f>IF(C491="","",MAX(0,C491-D491))</f>
        <v/>
      </c>
    </row>
    <row r="492">
      <c r="D492">
        <f>IF(C492="","",MIN(C492,Settings!$B$3))</f>
        <v/>
      </c>
      <c r="E492">
        <f>IF(C492="","",MAX(0,C492-D492))</f>
        <v/>
      </c>
    </row>
    <row r="493">
      <c r="D493">
        <f>IF(C493="","",MIN(C493,Settings!$B$3))</f>
        <v/>
      </c>
      <c r="E493">
        <f>IF(C493="","",MAX(0,C493-D493))</f>
        <v/>
      </c>
    </row>
    <row r="494">
      <c r="D494">
        <f>IF(C494="","",MIN(C494,Settings!$B$3))</f>
        <v/>
      </c>
      <c r="E494">
        <f>IF(C494="","",MAX(0,C494-D494))</f>
        <v/>
      </c>
    </row>
    <row r="495">
      <c r="D495">
        <f>IF(C495="","",MIN(C495,Settings!$B$3))</f>
        <v/>
      </c>
      <c r="E495">
        <f>IF(C495="","",MAX(0,C495-D495))</f>
        <v/>
      </c>
    </row>
    <row r="496">
      <c r="D496">
        <f>IF(C496="","",MIN(C496,Settings!$B$3))</f>
        <v/>
      </c>
      <c r="E496">
        <f>IF(C496="","",MAX(0,C496-D496))</f>
        <v/>
      </c>
    </row>
    <row r="497">
      <c r="D497">
        <f>IF(C497="","",MIN(C497,Settings!$B$3))</f>
        <v/>
      </c>
      <c r="E497">
        <f>IF(C497="","",MAX(0,C497-D497))</f>
        <v/>
      </c>
    </row>
    <row r="498">
      <c r="D498">
        <f>IF(C498="","",MIN(C498,Settings!$B$3))</f>
        <v/>
      </c>
      <c r="E498">
        <f>IF(C498="","",MAX(0,C498-D498))</f>
        <v/>
      </c>
    </row>
    <row r="499">
      <c r="D499">
        <f>IF(C499="","",MIN(C499,Settings!$B$3))</f>
        <v/>
      </c>
      <c r="E499">
        <f>IF(C499="","",MAX(0,C499-D499))</f>
        <v/>
      </c>
    </row>
    <row r="500">
      <c r="D500">
        <f>IF(C500="","",MIN(C500,Settings!$B$3))</f>
        <v/>
      </c>
      <c r="E500">
        <f>IF(C500="","",MAX(0,C500-D500))</f>
        <v/>
      </c>
    </row>
    <row r="501">
      <c r="D501">
        <f>IF(C501="","",MIN(C501,Settings!$B$3))</f>
        <v/>
      </c>
      <c r="E501">
        <f>IF(C501="","",MAX(0,C501-D501))</f>
        <v/>
      </c>
    </row>
    <row r="502">
      <c r="D502">
        <f>IF(C502="","",MIN(C502,Settings!$B$3))</f>
        <v/>
      </c>
      <c r="E502">
        <f>IF(C502="","",MAX(0,C502-D502))</f>
        <v/>
      </c>
    </row>
    <row r="503">
      <c r="D503">
        <f>IF(C503="","",MIN(C503,Settings!$B$3))</f>
        <v/>
      </c>
      <c r="E503">
        <f>IF(C503="","",MAX(0,C503-D503))</f>
        <v/>
      </c>
    </row>
    <row r="504">
      <c r="D504">
        <f>IF(C504="","",MIN(C504,Settings!$B$3))</f>
        <v/>
      </c>
      <c r="E504">
        <f>IF(C504="","",MAX(0,C504-D504))</f>
        <v/>
      </c>
    </row>
    <row r="505">
      <c r="D505">
        <f>IF(C505="","",MIN(C505,Settings!$B$3))</f>
        <v/>
      </c>
      <c r="E505">
        <f>IF(C505="","",MAX(0,C505-D505))</f>
        <v/>
      </c>
    </row>
    <row r="506">
      <c r="D506">
        <f>IF(C506="","",MIN(C506,Settings!$B$3))</f>
        <v/>
      </c>
      <c r="E506">
        <f>IF(C506="","",MAX(0,C506-D506))</f>
        <v/>
      </c>
    </row>
    <row r="507">
      <c r="D507">
        <f>IF(C507="","",MIN(C507,Settings!$B$3))</f>
        <v/>
      </c>
      <c r="E507">
        <f>IF(C507="","",MAX(0,C507-D507))</f>
        <v/>
      </c>
    </row>
    <row r="508">
      <c r="D508">
        <f>IF(C508="","",MIN(C508,Settings!$B$3))</f>
        <v/>
      </c>
      <c r="E508">
        <f>IF(C508="","",MAX(0,C508-D508))</f>
        <v/>
      </c>
    </row>
    <row r="509">
      <c r="D509">
        <f>IF(C509="","",MIN(C509,Settings!$B$3))</f>
        <v/>
      </c>
      <c r="E509">
        <f>IF(C509="","",MAX(0,C509-D509))</f>
        <v/>
      </c>
    </row>
    <row r="510">
      <c r="D510">
        <f>IF(C510="","",MIN(C510,Settings!$B$3))</f>
        <v/>
      </c>
      <c r="E510">
        <f>IF(C510="","",MAX(0,C510-D510))</f>
        <v/>
      </c>
    </row>
    <row r="511">
      <c r="D511">
        <f>IF(C511="","",MIN(C511,Settings!$B$3))</f>
        <v/>
      </c>
      <c r="E511">
        <f>IF(C511="","",MAX(0,C511-D511))</f>
        <v/>
      </c>
    </row>
    <row r="512">
      <c r="D512">
        <f>IF(C512="","",MIN(C512,Settings!$B$3))</f>
        <v/>
      </c>
      <c r="E512">
        <f>IF(C512="","",MAX(0,C512-D512))</f>
        <v/>
      </c>
    </row>
    <row r="513">
      <c r="D513">
        <f>IF(C513="","",MIN(C513,Settings!$B$3))</f>
        <v/>
      </c>
      <c r="E513">
        <f>IF(C513="","",MAX(0,C513-D513))</f>
        <v/>
      </c>
    </row>
    <row r="514">
      <c r="D514">
        <f>IF(C514="","",MIN(C514,Settings!$B$3))</f>
        <v/>
      </c>
      <c r="E514">
        <f>IF(C514="","",MAX(0,C514-D514))</f>
        <v/>
      </c>
    </row>
    <row r="515">
      <c r="D515">
        <f>IF(C515="","",MIN(C515,Settings!$B$3))</f>
        <v/>
      </c>
      <c r="E515">
        <f>IF(C515="","",MAX(0,C515-D515))</f>
        <v/>
      </c>
    </row>
    <row r="516">
      <c r="D516">
        <f>IF(C516="","",MIN(C516,Settings!$B$3))</f>
        <v/>
      </c>
      <c r="E516">
        <f>IF(C516="","",MAX(0,C516-D516))</f>
        <v/>
      </c>
    </row>
    <row r="517">
      <c r="D517">
        <f>IF(C517="","",MIN(C517,Settings!$B$3))</f>
        <v/>
      </c>
      <c r="E517">
        <f>IF(C517="","",MAX(0,C517-D517))</f>
        <v/>
      </c>
    </row>
    <row r="518">
      <c r="D518">
        <f>IF(C518="","",MIN(C518,Settings!$B$3))</f>
        <v/>
      </c>
      <c r="E518">
        <f>IF(C518="","",MAX(0,C518-D518))</f>
        <v/>
      </c>
    </row>
    <row r="519">
      <c r="D519">
        <f>IF(C519="","",MIN(C519,Settings!$B$3))</f>
        <v/>
      </c>
      <c r="E519">
        <f>IF(C519="","",MAX(0,C519-D519))</f>
        <v/>
      </c>
    </row>
    <row r="520">
      <c r="D520">
        <f>IF(C520="","",MIN(C520,Settings!$B$3))</f>
        <v/>
      </c>
      <c r="E520">
        <f>IF(C520="","",MAX(0,C520-D520))</f>
        <v/>
      </c>
    </row>
    <row r="521">
      <c r="D521">
        <f>IF(C521="","",MIN(C521,Settings!$B$3))</f>
        <v/>
      </c>
      <c r="E521">
        <f>IF(C521="","",MAX(0,C521-D521))</f>
        <v/>
      </c>
    </row>
    <row r="522">
      <c r="D522">
        <f>IF(C522="","",MIN(C522,Settings!$B$3))</f>
        <v/>
      </c>
      <c r="E522">
        <f>IF(C522="","",MAX(0,C522-D522))</f>
        <v/>
      </c>
    </row>
    <row r="523">
      <c r="D523">
        <f>IF(C523="","",MIN(C523,Settings!$B$3))</f>
        <v/>
      </c>
      <c r="E523">
        <f>IF(C523="","",MAX(0,C523-D523))</f>
        <v/>
      </c>
    </row>
    <row r="524">
      <c r="D524">
        <f>IF(C524="","",MIN(C524,Settings!$B$3))</f>
        <v/>
      </c>
      <c r="E524">
        <f>IF(C524="","",MAX(0,C524-D524))</f>
        <v/>
      </c>
    </row>
    <row r="525">
      <c r="D525">
        <f>IF(C525="","",MIN(C525,Settings!$B$3))</f>
        <v/>
      </c>
      <c r="E525">
        <f>IF(C525="","",MAX(0,C525-D525))</f>
        <v/>
      </c>
    </row>
    <row r="526">
      <c r="D526">
        <f>IF(C526="","",MIN(C526,Settings!$B$3))</f>
        <v/>
      </c>
      <c r="E526">
        <f>IF(C526="","",MAX(0,C526-D526))</f>
        <v/>
      </c>
    </row>
    <row r="527">
      <c r="D527">
        <f>IF(C527="","",MIN(C527,Settings!$B$3))</f>
        <v/>
      </c>
      <c r="E527">
        <f>IF(C527="","",MAX(0,C527-D527))</f>
        <v/>
      </c>
    </row>
    <row r="528">
      <c r="D528">
        <f>IF(C528="","",MIN(C528,Settings!$B$3))</f>
        <v/>
      </c>
      <c r="E528">
        <f>IF(C528="","",MAX(0,C528-D528))</f>
        <v/>
      </c>
    </row>
    <row r="529">
      <c r="D529">
        <f>IF(C529="","",MIN(C529,Settings!$B$3))</f>
        <v/>
      </c>
      <c r="E529">
        <f>IF(C529="","",MAX(0,C529-D529))</f>
        <v/>
      </c>
    </row>
    <row r="530">
      <c r="D530">
        <f>IF(C530="","",MIN(C530,Settings!$B$3))</f>
        <v/>
      </c>
      <c r="E530">
        <f>IF(C530="","",MAX(0,C530-D530))</f>
        <v/>
      </c>
    </row>
    <row r="531">
      <c r="D531">
        <f>IF(C531="","",MIN(C531,Settings!$B$3))</f>
        <v/>
      </c>
      <c r="E531">
        <f>IF(C531="","",MAX(0,C531-D531))</f>
        <v/>
      </c>
    </row>
    <row r="532">
      <c r="D532">
        <f>IF(C532="","",MIN(C532,Settings!$B$3))</f>
        <v/>
      </c>
      <c r="E532">
        <f>IF(C532="","",MAX(0,C532-D532))</f>
        <v/>
      </c>
    </row>
    <row r="533">
      <c r="D533">
        <f>IF(C533="","",MIN(C533,Settings!$B$3))</f>
        <v/>
      </c>
      <c r="E533">
        <f>IF(C533="","",MAX(0,C533-D533))</f>
        <v/>
      </c>
    </row>
    <row r="534">
      <c r="D534">
        <f>IF(C534="","",MIN(C534,Settings!$B$3))</f>
        <v/>
      </c>
      <c r="E534">
        <f>IF(C534="","",MAX(0,C534-D534))</f>
        <v/>
      </c>
    </row>
    <row r="535">
      <c r="D535">
        <f>IF(C535="","",MIN(C535,Settings!$B$3))</f>
        <v/>
      </c>
      <c r="E535">
        <f>IF(C535="","",MAX(0,C535-D535))</f>
        <v/>
      </c>
    </row>
    <row r="536">
      <c r="D536">
        <f>IF(C536="","",MIN(C536,Settings!$B$3))</f>
        <v/>
      </c>
      <c r="E536">
        <f>IF(C536="","",MAX(0,C536-D536))</f>
        <v/>
      </c>
    </row>
    <row r="537">
      <c r="D537">
        <f>IF(C537="","",MIN(C537,Settings!$B$3))</f>
        <v/>
      </c>
      <c r="E537">
        <f>IF(C537="","",MAX(0,C537-D537))</f>
        <v/>
      </c>
    </row>
    <row r="538">
      <c r="D538">
        <f>IF(C538="","",MIN(C538,Settings!$B$3))</f>
        <v/>
      </c>
      <c r="E538">
        <f>IF(C538="","",MAX(0,C538-D538))</f>
        <v/>
      </c>
    </row>
    <row r="539">
      <c r="D539">
        <f>IF(C539="","",MIN(C539,Settings!$B$3))</f>
        <v/>
      </c>
      <c r="E539">
        <f>IF(C539="","",MAX(0,C539-D539))</f>
        <v/>
      </c>
    </row>
    <row r="540">
      <c r="D540">
        <f>IF(C540="","",MIN(C540,Settings!$B$3))</f>
        <v/>
      </c>
      <c r="E540">
        <f>IF(C540="","",MAX(0,C540-D540))</f>
        <v/>
      </c>
    </row>
    <row r="541">
      <c r="D541">
        <f>IF(C541="","",MIN(C541,Settings!$B$3))</f>
        <v/>
      </c>
      <c r="E541">
        <f>IF(C541="","",MAX(0,C541-D541))</f>
        <v/>
      </c>
    </row>
    <row r="542">
      <c r="D542">
        <f>IF(C542="","",MIN(C542,Settings!$B$3))</f>
        <v/>
      </c>
      <c r="E542">
        <f>IF(C542="","",MAX(0,C542-D542))</f>
        <v/>
      </c>
    </row>
    <row r="543">
      <c r="D543">
        <f>IF(C543="","",MIN(C543,Settings!$B$3))</f>
        <v/>
      </c>
      <c r="E543">
        <f>IF(C543="","",MAX(0,C543-D543))</f>
        <v/>
      </c>
    </row>
    <row r="544">
      <c r="D544">
        <f>IF(C544="","",MIN(C544,Settings!$B$3))</f>
        <v/>
      </c>
      <c r="E544">
        <f>IF(C544="","",MAX(0,C544-D544))</f>
        <v/>
      </c>
    </row>
    <row r="545">
      <c r="D545">
        <f>IF(C545="","",MIN(C545,Settings!$B$3))</f>
        <v/>
      </c>
      <c r="E545">
        <f>IF(C545="","",MAX(0,C545-D545))</f>
        <v/>
      </c>
    </row>
    <row r="546">
      <c r="D546">
        <f>IF(C546="","",MIN(C546,Settings!$B$3))</f>
        <v/>
      </c>
      <c r="E546">
        <f>IF(C546="","",MAX(0,C546-D546))</f>
        <v/>
      </c>
    </row>
    <row r="547">
      <c r="D547">
        <f>IF(C547="","",MIN(C547,Settings!$B$3))</f>
        <v/>
      </c>
      <c r="E547">
        <f>IF(C547="","",MAX(0,C547-D547))</f>
        <v/>
      </c>
    </row>
    <row r="548">
      <c r="D548">
        <f>IF(C548="","",MIN(C548,Settings!$B$3))</f>
        <v/>
      </c>
      <c r="E548">
        <f>IF(C548="","",MAX(0,C548-D548))</f>
        <v/>
      </c>
    </row>
    <row r="549">
      <c r="D549">
        <f>IF(C549="","",MIN(C549,Settings!$B$3))</f>
        <v/>
      </c>
      <c r="E549">
        <f>IF(C549="","",MAX(0,C549-D549))</f>
        <v/>
      </c>
    </row>
    <row r="550">
      <c r="D550">
        <f>IF(C550="","",MIN(C550,Settings!$B$3))</f>
        <v/>
      </c>
      <c r="E550">
        <f>IF(C550="","",MAX(0,C550-D550))</f>
        <v/>
      </c>
    </row>
    <row r="551">
      <c r="D551">
        <f>IF(C551="","",MIN(C551,Settings!$B$3))</f>
        <v/>
      </c>
      <c r="E551">
        <f>IF(C551="","",MAX(0,C551-D551))</f>
        <v/>
      </c>
    </row>
    <row r="552">
      <c r="D552">
        <f>IF(C552="","",MIN(C552,Settings!$B$3))</f>
        <v/>
      </c>
      <c r="E552">
        <f>IF(C552="","",MAX(0,C552-D552))</f>
        <v/>
      </c>
    </row>
    <row r="553">
      <c r="D553">
        <f>IF(C553="","",MIN(C553,Settings!$B$3))</f>
        <v/>
      </c>
      <c r="E553">
        <f>IF(C553="","",MAX(0,C553-D553))</f>
        <v/>
      </c>
    </row>
    <row r="554">
      <c r="D554">
        <f>IF(C554="","",MIN(C554,Settings!$B$3))</f>
        <v/>
      </c>
      <c r="E554">
        <f>IF(C554="","",MAX(0,C554-D554))</f>
        <v/>
      </c>
    </row>
    <row r="555">
      <c r="D555">
        <f>IF(C555="","",MIN(C555,Settings!$B$3))</f>
        <v/>
      </c>
      <c r="E555">
        <f>IF(C555="","",MAX(0,C555-D555))</f>
        <v/>
      </c>
    </row>
    <row r="556">
      <c r="D556">
        <f>IF(C556="","",MIN(C556,Settings!$B$3))</f>
        <v/>
      </c>
      <c r="E556">
        <f>IF(C556="","",MAX(0,C556-D556))</f>
        <v/>
      </c>
    </row>
    <row r="557">
      <c r="D557">
        <f>IF(C557="","",MIN(C557,Settings!$B$3))</f>
        <v/>
      </c>
      <c r="E557">
        <f>IF(C557="","",MAX(0,C557-D557))</f>
        <v/>
      </c>
    </row>
    <row r="558">
      <c r="D558">
        <f>IF(C558="","",MIN(C558,Settings!$B$3))</f>
        <v/>
      </c>
      <c r="E558">
        <f>IF(C558="","",MAX(0,C558-D558))</f>
        <v/>
      </c>
    </row>
    <row r="559">
      <c r="D559">
        <f>IF(C559="","",MIN(C559,Settings!$B$3))</f>
        <v/>
      </c>
      <c r="E559">
        <f>IF(C559="","",MAX(0,C559-D559))</f>
        <v/>
      </c>
    </row>
    <row r="560">
      <c r="D560">
        <f>IF(C560="","",MIN(C560,Settings!$B$3))</f>
        <v/>
      </c>
      <c r="E560">
        <f>IF(C560="","",MAX(0,C560-D560))</f>
        <v/>
      </c>
    </row>
    <row r="561">
      <c r="D561">
        <f>IF(C561="","",MIN(C561,Settings!$B$3))</f>
        <v/>
      </c>
      <c r="E561">
        <f>IF(C561="","",MAX(0,C561-D561))</f>
        <v/>
      </c>
    </row>
    <row r="562">
      <c r="D562">
        <f>IF(C562="","",MIN(C562,Settings!$B$3))</f>
        <v/>
      </c>
      <c r="E562">
        <f>IF(C562="","",MAX(0,C562-D562))</f>
        <v/>
      </c>
    </row>
    <row r="563">
      <c r="D563">
        <f>IF(C563="","",MIN(C563,Settings!$B$3))</f>
        <v/>
      </c>
      <c r="E563">
        <f>IF(C563="","",MAX(0,C563-D563))</f>
        <v/>
      </c>
    </row>
    <row r="564">
      <c r="D564">
        <f>IF(C564="","",MIN(C564,Settings!$B$3))</f>
        <v/>
      </c>
      <c r="E564">
        <f>IF(C564="","",MAX(0,C564-D564))</f>
        <v/>
      </c>
    </row>
    <row r="565">
      <c r="D565">
        <f>IF(C565="","",MIN(C565,Settings!$B$3))</f>
        <v/>
      </c>
      <c r="E565">
        <f>IF(C565="","",MAX(0,C565-D565))</f>
        <v/>
      </c>
    </row>
    <row r="566">
      <c r="D566">
        <f>IF(C566="","",MIN(C566,Settings!$B$3))</f>
        <v/>
      </c>
      <c r="E566">
        <f>IF(C566="","",MAX(0,C566-D566))</f>
        <v/>
      </c>
    </row>
    <row r="567">
      <c r="D567">
        <f>IF(C567="","",MIN(C567,Settings!$B$3))</f>
        <v/>
      </c>
      <c r="E567">
        <f>IF(C567="","",MAX(0,C567-D567))</f>
        <v/>
      </c>
    </row>
    <row r="568">
      <c r="D568">
        <f>IF(C568="","",MIN(C568,Settings!$B$3))</f>
        <v/>
      </c>
      <c r="E568">
        <f>IF(C568="","",MAX(0,C568-D568))</f>
        <v/>
      </c>
    </row>
    <row r="569">
      <c r="D569">
        <f>IF(C569="","",MIN(C569,Settings!$B$3))</f>
        <v/>
      </c>
      <c r="E569">
        <f>IF(C569="","",MAX(0,C569-D569))</f>
        <v/>
      </c>
    </row>
    <row r="570">
      <c r="D570">
        <f>IF(C570="","",MIN(C570,Settings!$B$3))</f>
        <v/>
      </c>
      <c r="E570">
        <f>IF(C570="","",MAX(0,C570-D570))</f>
        <v/>
      </c>
    </row>
    <row r="571">
      <c r="D571">
        <f>IF(C571="","",MIN(C571,Settings!$B$3))</f>
        <v/>
      </c>
      <c r="E571">
        <f>IF(C571="","",MAX(0,C571-D571))</f>
        <v/>
      </c>
    </row>
    <row r="572">
      <c r="D572">
        <f>IF(C572="","",MIN(C572,Settings!$B$3))</f>
        <v/>
      </c>
      <c r="E572">
        <f>IF(C572="","",MAX(0,C572-D572))</f>
        <v/>
      </c>
    </row>
    <row r="573">
      <c r="D573">
        <f>IF(C573="","",MIN(C573,Settings!$B$3))</f>
        <v/>
      </c>
      <c r="E573">
        <f>IF(C573="","",MAX(0,C573-D573))</f>
        <v/>
      </c>
    </row>
    <row r="574">
      <c r="D574">
        <f>IF(C574="","",MIN(C574,Settings!$B$3))</f>
        <v/>
      </c>
      <c r="E574">
        <f>IF(C574="","",MAX(0,C574-D574))</f>
        <v/>
      </c>
    </row>
    <row r="575">
      <c r="D575">
        <f>IF(C575="","",MIN(C575,Settings!$B$3))</f>
        <v/>
      </c>
      <c r="E575">
        <f>IF(C575="","",MAX(0,C575-D575))</f>
        <v/>
      </c>
    </row>
    <row r="576">
      <c r="D576">
        <f>IF(C576="","",MIN(C576,Settings!$B$3))</f>
        <v/>
      </c>
      <c r="E576">
        <f>IF(C576="","",MAX(0,C576-D576))</f>
        <v/>
      </c>
    </row>
    <row r="577">
      <c r="D577">
        <f>IF(C577="","",MIN(C577,Settings!$B$3))</f>
        <v/>
      </c>
      <c r="E577">
        <f>IF(C577="","",MAX(0,C577-D577))</f>
        <v/>
      </c>
    </row>
    <row r="578">
      <c r="D578">
        <f>IF(C578="","",MIN(C578,Settings!$B$3))</f>
        <v/>
      </c>
      <c r="E578">
        <f>IF(C578="","",MAX(0,C578-D578))</f>
        <v/>
      </c>
    </row>
    <row r="579">
      <c r="D579">
        <f>IF(C579="","",MIN(C579,Settings!$B$3))</f>
        <v/>
      </c>
      <c r="E579">
        <f>IF(C579="","",MAX(0,C579-D579))</f>
        <v/>
      </c>
    </row>
    <row r="580">
      <c r="D580">
        <f>IF(C580="","",MIN(C580,Settings!$B$3))</f>
        <v/>
      </c>
      <c r="E580">
        <f>IF(C580="","",MAX(0,C580-D580))</f>
        <v/>
      </c>
    </row>
    <row r="581">
      <c r="D581">
        <f>IF(C581="","",MIN(C581,Settings!$B$3))</f>
        <v/>
      </c>
      <c r="E581">
        <f>IF(C581="","",MAX(0,C581-D581))</f>
        <v/>
      </c>
    </row>
    <row r="582">
      <c r="D582">
        <f>IF(C582="","",MIN(C582,Settings!$B$3))</f>
        <v/>
      </c>
      <c r="E582">
        <f>IF(C582="","",MAX(0,C582-D582))</f>
        <v/>
      </c>
    </row>
    <row r="583">
      <c r="D583">
        <f>IF(C583="","",MIN(C583,Settings!$B$3))</f>
        <v/>
      </c>
      <c r="E583">
        <f>IF(C583="","",MAX(0,C583-D583))</f>
        <v/>
      </c>
    </row>
    <row r="584">
      <c r="D584">
        <f>IF(C584="","",MIN(C584,Settings!$B$3))</f>
        <v/>
      </c>
      <c r="E584">
        <f>IF(C584="","",MAX(0,C584-D584))</f>
        <v/>
      </c>
    </row>
    <row r="585">
      <c r="D585">
        <f>IF(C585="","",MIN(C585,Settings!$B$3))</f>
        <v/>
      </c>
      <c r="E585">
        <f>IF(C585="","",MAX(0,C585-D585))</f>
        <v/>
      </c>
    </row>
    <row r="586">
      <c r="D586">
        <f>IF(C586="","",MIN(C586,Settings!$B$3))</f>
        <v/>
      </c>
      <c r="E586">
        <f>IF(C586="","",MAX(0,C586-D586))</f>
        <v/>
      </c>
    </row>
    <row r="587">
      <c r="D587">
        <f>IF(C587="","",MIN(C587,Settings!$B$3))</f>
        <v/>
      </c>
      <c r="E587">
        <f>IF(C587="","",MAX(0,C587-D587))</f>
        <v/>
      </c>
    </row>
    <row r="588">
      <c r="D588">
        <f>IF(C588="","",MIN(C588,Settings!$B$3))</f>
        <v/>
      </c>
      <c r="E588">
        <f>IF(C588="","",MAX(0,C588-D588))</f>
        <v/>
      </c>
    </row>
    <row r="589">
      <c r="D589">
        <f>IF(C589="","",MIN(C589,Settings!$B$3))</f>
        <v/>
      </c>
      <c r="E589">
        <f>IF(C589="","",MAX(0,C589-D589))</f>
        <v/>
      </c>
    </row>
    <row r="590">
      <c r="D590">
        <f>IF(C590="","",MIN(C590,Settings!$B$3))</f>
        <v/>
      </c>
      <c r="E590">
        <f>IF(C590="","",MAX(0,C590-D590))</f>
        <v/>
      </c>
    </row>
    <row r="591">
      <c r="D591">
        <f>IF(C591="","",MIN(C591,Settings!$B$3))</f>
        <v/>
      </c>
      <c r="E591">
        <f>IF(C591="","",MAX(0,C591-D591))</f>
        <v/>
      </c>
    </row>
    <row r="592">
      <c r="D592">
        <f>IF(C592="","",MIN(C592,Settings!$B$3))</f>
        <v/>
      </c>
      <c r="E592">
        <f>IF(C592="","",MAX(0,C592-D592))</f>
        <v/>
      </c>
    </row>
    <row r="593">
      <c r="D593">
        <f>IF(C593="","",MIN(C593,Settings!$B$3))</f>
        <v/>
      </c>
      <c r="E593">
        <f>IF(C593="","",MAX(0,C593-D593))</f>
        <v/>
      </c>
    </row>
    <row r="594">
      <c r="D594">
        <f>IF(C594="","",MIN(C594,Settings!$B$3))</f>
        <v/>
      </c>
      <c r="E594">
        <f>IF(C594="","",MAX(0,C594-D594))</f>
        <v/>
      </c>
    </row>
    <row r="595">
      <c r="D595">
        <f>IF(C595="","",MIN(C595,Settings!$B$3))</f>
        <v/>
      </c>
      <c r="E595">
        <f>IF(C595="","",MAX(0,C595-D595))</f>
        <v/>
      </c>
    </row>
    <row r="596">
      <c r="D596">
        <f>IF(C596="","",MIN(C596,Settings!$B$3))</f>
        <v/>
      </c>
      <c r="E596">
        <f>IF(C596="","",MAX(0,C596-D596))</f>
        <v/>
      </c>
    </row>
    <row r="597">
      <c r="D597">
        <f>IF(C597="","",MIN(C597,Settings!$B$3))</f>
        <v/>
      </c>
      <c r="E597">
        <f>IF(C597="","",MAX(0,C597-D597))</f>
        <v/>
      </c>
    </row>
    <row r="598">
      <c r="D598">
        <f>IF(C598="","",MIN(C598,Settings!$B$3))</f>
        <v/>
      </c>
      <c r="E598">
        <f>IF(C598="","",MAX(0,C598-D598))</f>
        <v/>
      </c>
    </row>
    <row r="599">
      <c r="D599">
        <f>IF(C599="","",MIN(C599,Settings!$B$3))</f>
        <v/>
      </c>
      <c r="E599">
        <f>IF(C599="","",MAX(0,C599-D599))</f>
        <v/>
      </c>
    </row>
    <row r="600">
      <c r="D600">
        <f>IF(C600="","",MIN(C600,Settings!$B$3))</f>
        <v/>
      </c>
      <c r="E600">
        <f>IF(C600="","",MAX(0,C600-D600))</f>
        <v/>
      </c>
    </row>
    <row r="601">
      <c r="D601">
        <f>IF(C601="","",MIN(C601,Settings!$B$3))</f>
        <v/>
      </c>
      <c r="E601">
        <f>IF(C601="","",MAX(0,C601-D601))</f>
        <v/>
      </c>
    </row>
    <row r="602">
      <c r="D602">
        <f>IF(C602="","",MIN(C602,Settings!$B$3))</f>
        <v/>
      </c>
      <c r="E602">
        <f>IF(C602="","",MAX(0,C602-D602))</f>
        <v/>
      </c>
    </row>
    <row r="603">
      <c r="D603">
        <f>IF(C603="","",MIN(C603,Settings!$B$3))</f>
        <v/>
      </c>
      <c r="E603">
        <f>IF(C603="","",MAX(0,C603-D603))</f>
        <v/>
      </c>
    </row>
    <row r="604">
      <c r="D604">
        <f>IF(C604="","",MIN(C604,Settings!$B$3))</f>
        <v/>
      </c>
      <c r="E604">
        <f>IF(C604="","",MAX(0,C604-D604))</f>
        <v/>
      </c>
    </row>
    <row r="605">
      <c r="D605">
        <f>IF(C605="","",MIN(C605,Settings!$B$3))</f>
        <v/>
      </c>
      <c r="E605">
        <f>IF(C605="","",MAX(0,C605-D605))</f>
        <v/>
      </c>
    </row>
    <row r="606">
      <c r="D606">
        <f>IF(C606="","",MIN(C606,Settings!$B$3))</f>
        <v/>
      </c>
      <c r="E606">
        <f>IF(C606="","",MAX(0,C606-D606))</f>
        <v/>
      </c>
    </row>
    <row r="607">
      <c r="D607">
        <f>IF(C607="","",MIN(C607,Settings!$B$3))</f>
        <v/>
      </c>
      <c r="E607">
        <f>IF(C607="","",MAX(0,C607-D607))</f>
        <v/>
      </c>
    </row>
    <row r="608">
      <c r="D608">
        <f>IF(C608="","",MIN(C608,Settings!$B$3))</f>
        <v/>
      </c>
      <c r="E608">
        <f>IF(C608="","",MAX(0,C608-D608))</f>
        <v/>
      </c>
    </row>
    <row r="609">
      <c r="D609">
        <f>IF(C609="","",MIN(C609,Settings!$B$3))</f>
        <v/>
      </c>
      <c r="E609">
        <f>IF(C609="","",MAX(0,C609-D609))</f>
        <v/>
      </c>
    </row>
    <row r="610">
      <c r="D610">
        <f>IF(C610="","",MIN(C610,Settings!$B$3))</f>
        <v/>
      </c>
      <c r="E610">
        <f>IF(C610="","",MAX(0,C610-D610))</f>
        <v/>
      </c>
    </row>
    <row r="611">
      <c r="D611">
        <f>IF(C611="","",MIN(C611,Settings!$B$3))</f>
        <v/>
      </c>
      <c r="E611">
        <f>IF(C611="","",MAX(0,C611-D611))</f>
        <v/>
      </c>
    </row>
    <row r="612">
      <c r="D612">
        <f>IF(C612="","",MIN(C612,Settings!$B$3))</f>
        <v/>
      </c>
      <c r="E612">
        <f>IF(C612="","",MAX(0,C612-D612))</f>
        <v/>
      </c>
    </row>
    <row r="613">
      <c r="D613">
        <f>IF(C613="","",MIN(C613,Settings!$B$3))</f>
        <v/>
      </c>
      <c r="E613">
        <f>IF(C613="","",MAX(0,C613-D613))</f>
        <v/>
      </c>
    </row>
    <row r="614">
      <c r="D614">
        <f>IF(C614="","",MIN(C614,Settings!$B$3))</f>
        <v/>
      </c>
      <c r="E614">
        <f>IF(C614="","",MAX(0,C614-D614))</f>
        <v/>
      </c>
    </row>
    <row r="615">
      <c r="D615">
        <f>IF(C615="","",MIN(C615,Settings!$B$3))</f>
        <v/>
      </c>
      <c r="E615">
        <f>IF(C615="","",MAX(0,C615-D615))</f>
        <v/>
      </c>
    </row>
    <row r="616">
      <c r="D616">
        <f>IF(C616="","",MIN(C616,Settings!$B$3))</f>
        <v/>
      </c>
      <c r="E616">
        <f>IF(C616="","",MAX(0,C616-D616))</f>
        <v/>
      </c>
    </row>
    <row r="617">
      <c r="D617">
        <f>IF(C617="","",MIN(C617,Settings!$B$3))</f>
        <v/>
      </c>
      <c r="E617">
        <f>IF(C617="","",MAX(0,C617-D617))</f>
        <v/>
      </c>
    </row>
    <row r="618">
      <c r="D618">
        <f>IF(C618="","",MIN(C618,Settings!$B$3))</f>
        <v/>
      </c>
      <c r="E618">
        <f>IF(C618="","",MAX(0,C618-D618))</f>
        <v/>
      </c>
    </row>
    <row r="619">
      <c r="D619">
        <f>IF(C619="","",MIN(C619,Settings!$B$3))</f>
        <v/>
      </c>
      <c r="E619">
        <f>IF(C619="","",MAX(0,C619-D619))</f>
        <v/>
      </c>
    </row>
    <row r="620">
      <c r="D620">
        <f>IF(C620="","",MIN(C620,Settings!$B$3))</f>
        <v/>
      </c>
      <c r="E620">
        <f>IF(C620="","",MAX(0,C620-D620))</f>
        <v/>
      </c>
    </row>
    <row r="621">
      <c r="D621">
        <f>IF(C621="","",MIN(C621,Settings!$B$3))</f>
        <v/>
      </c>
      <c r="E621">
        <f>IF(C621="","",MAX(0,C621-D621))</f>
        <v/>
      </c>
    </row>
    <row r="622">
      <c r="D622">
        <f>IF(C622="","",MIN(C622,Settings!$B$3))</f>
        <v/>
      </c>
      <c r="E622">
        <f>IF(C622="","",MAX(0,C622-D622))</f>
        <v/>
      </c>
    </row>
    <row r="623">
      <c r="D623">
        <f>IF(C623="","",MIN(C623,Settings!$B$3))</f>
        <v/>
      </c>
      <c r="E623">
        <f>IF(C623="","",MAX(0,C623-D623))</f>
        <v/>
      </c>
    </row>
    <row r="624">
      <c r="D624">
        <f>IF(C624="","",MIN(C624,Settings!$B$3))</f>
        <v/>
      </c>
      <c r="E624">
        <f>IF(C624="","",MAX(0,C624-D624))</f>
        <v/>
      </c>
    </row>
    <row r="625">
      <c r="D625">
        <f>IF(C625="","",MIN(C625,Settings!$B$3))</f>
        <v/>
      </c>
      <c r="E625">
        <f>IF(C625="","",MAX(0,C625-D625))</f>
        <v/>
      </c>
    </row>
    <row r="626">
      <c r="D626">
        <f>IF(C626="","",MIN(C626,Settings!$B$3))</f>
        <v/>
      </c>
      <c r="E626">
        <f>IF(C626="","",MAX(0,C626-D626))</f>
        <v/>
      </c>
    </row>
    <row r="627">
      <c r="D627">
        <f>IF(C627="","",MIN(C627,Settings!$B$3))</f>
        <v/>
      </c>
      <c r="E627">
        <f>IF(C627="","",MAX(0,C627-D627))</f>
        <v/>
      </c>
    </row>
    <row r="628">
      <c r="D628">
        <f>IF(C628="","",MIN(C628,Settings!$B$3))</f>
        <v/>
      </c>
      <c r="E628">
        <f>IF(C628="","",MAX(0,C628-D628))</f>
        <v/>
      </c>
    </row>
    <row r="629">
      <c r="D629">
        <f>IF(C629="","",MIN(C629,Settings!$B$3))</f>
        <v/>
      </c>
      <c r="E629">
        <f>IF(C629="","",MAX(0,C629-D629))</f>
        <v/>
      </c>
    </row>
    <row r="630">
      <c r="D630">
        <f>IF(C630="","",MIN(C630,Settings!$B$3))</f>
        <v/>
      </c>
      <c r="E630">
        <f>IF(C630="","",MAX(0,C630-D630))</f>
        <v/>
      </c>
    </row>
    <row r="631">
      <c r="D631">
        <f>IF(C631="","",MIN(C631,Settings!$B$3))</f>
        <v/>
      </c>
      <c r="E631">
        <f>IF(C631="","",MAX(0,C631-D631))</f>
        <v/>
      </c>
    </row>
    <row r="632">
      <c r="D632">
        <f>IF(C632="","",MIN(C632,Settings!$B$3))</f>
        <v/>
      </c>
      <c r="E632">
        <f>IF(C632="","",MAX(0,C632-D632))</f>
        <v/>
      </c>
    </row>
    <row r="633">
      <c r="D633">
        <f>IF(C633="","",MIN(C633,Settings!$B$3))</f>
        <v/>
      </c>
      <c r="E633">
        <f>IF(C633="","",MAX(0,C633-D633))</f>
        <v/>
      </c>
    </row>
    <row r="634">
      <c r="D634">
        <f>IF(C634="","",MIN(C634,Settings!$B$3))</f>
        <v/>
      </c>
      <c r="E634">
        <f>IF(C634="","",MAX(0,C634-D634))</f>
        <v/>
      </c>
    </row>
    <row r="635">
      <c r="D635">
        <f>IF(C635="","",MIN(C635,Settings!$B$3))</f>
        <v/>
      </c>
      <c r="E635">
        <f>IF(C635="","",MAX(0,C635-D635))</f>
        <v/>
      </c>
    </row>
    <row r="636">
      <c r="D636">
        <f>IF(C636="","",MIN(C636,Settings!$B$3))</f>
        <v/>
      </c>
      <c r="E636">
        <f>IF(C636="","",MAX(0,C636-D636))</f>
        <v/>
      </c>
    </row>
    <row r="637">
      <c r="D637">
        <f>IF(C637="","",MIN(C637,Settings!$B$3))</f>
        <v/>
      </c>
      <c r="E637">
        <f>IF(C637="","",MAX(0,C637-D637))</f>
        <v/>
      </c>
    </row>
    <row r="638">
      <c r="D638">
        <f>IF(C638="","",MIN(C638,Settings!$B$3))</f>
        <v/>
      </c>
      <c r="E638">
        <f>IF(C638="","",MAX(0,C638-D638))</f>
        <v/>
      </c>
    </row>
    <row r="639">
      <c r="D639">
        <f>IF(C639="","",MIN(C639,Settings!$B$3))</f>
        <v/>
      </c>
      <c r="E639">
        <f>IF(C639="","",MAX(0,C639-D639))</f>
        <v/>
      </c>
    </row>
    <row r="640">
      <c r="D640">
        <f>IF(C640="","",MIN(C640,Settings!$B$3))</f>
        <v/>
      </c>
      <c r="E640">
        <f>IF(C640="","",MAX(0,C640-D640))</f>
        <v/>
      </c>
    </row>
    <row r="641">
      <c r="D641">
        <f>IF(C641="","",MIN(C641,Settings!$B$3))</f>
        <v/>
      </c>
      <c r="E641">
        <f>IF(C641="","",MAX(0,C641-D641))</f>
        <v/>
      </c>
    </row>
    <row r="642">
      <c r="D642">
        <f>IF(C642="","",MIN(C642,Settings!$B$3))</f>
        <v/>
      </c>
      <c r="E642">
        <f>IF(C642="","",MAX(0,C642-D642))</f>
        <v/>
      </c>
    </row>
    <row r="643">
      <c r="D643">
        <f>IF(C643="","",MIN(C643,Settings!$B$3))</f>
        <v/>
      </c>
      <c r="E643">
        <f>IF(C643="","",MAX(0,C643-D643))</f>
        <v/>
      </c>
    </row>
    <row r="644">
      <c r="D644">
        <f>IF(C644="","",MIN(C644,Settings!$B$3))</f>
        <v/>
      </c>
      <c r="E644">
        <f>IF(C644="","",MAX(0,C644-D644))</f>
        <v/>
      </c>
    </row>
    <row r="645">
      <c r="D645">
        <f>IF(C645="","",MIN(C645,Settings!$B$3))</f>
        <v/>
      </c>
      <c r="E645">
        <f>IF(C645="","",MAX(0,C645-D645))</f>
        <v/>
      </c>
    </row>
    <row r="646">
      <c r="D646">
        <f>IF(C646="","",MIN(C646,Settings!$B$3))</f>
        <v/>
      </c>
      <c r="E646">
        <f>IF(C646="","",MAX(0,C646-D646))</f>
        <v/>
      </c>
    </row>
    <row r="647">
      <c r="D647">
        <f>IF(C647="","",MIN(C647,Settings!$B$3))</f>
        <v/>
      </c>
      <c r="E647">
        <f>IF(C647="","",MAX(0,C647-D647))</f>
        <v/>
      </c>
    </row>
    <row r="648">
      <c r="D648">
        <f>IF(C648="","",MIN(C648,Settings!$B$3))</f>
        <v/>
      </c>
      <c r="E648">
        <f>IF(C648="","",MAX(0,C648-D648))</f>
        <v/>
      </c>
    </row>
    <row r="649">
      <c r="D649">
        <f>IF(C649="","",MIN(C649,Settings!$B$3))</f>
        <v/>
      </c>
      <c r="E649">
        <f>IF(C649="","",MAX(0,C649-D649))</f>
        <v/>
      </c>
    </row>
    <row r="650">
      <c r="D650">
        <f>IF(C650="","",MIN(C650,Settings!$B$3))</f>
        <v/>
      </c>
      <c r="E650">
        <f>IF(C650="","",MAX(0,C650-D650))</f>
        <v/>
      </c>
    </row>
    <row r="651">
      <c r="D651">
        <f>IF(C651="","",MIN(C651,Settings!$B$3))</f>
        <v/>
      </c>
      <c r="E651">
        <f>IF(C651="","",MAX(0,C651-D651))</f>
        <v/>
      </c>
    </row>
    <row r="652">
      <c r="D652">
        <f>IF(C652="","",MIN(C652,Settings!$B$3))</f>
        <v/>
      </c>
      <c r="E652">
        <f>IF(C652="","",MAX(0,C652-D652))</f>
        <v/>
      </c>
    </row>
    <row r="653">
      <c r="D653">
        <f>IF(C653="","",MIN(C653,Settings!$B$3))</f>
        <v/>
      </c>
      <c r="E653">
        <f>IF(C653="","",MAX(0,C653-D653))</f>
        <v/>
      </c>
    </row>
    <row r="654">
      <c r="D654">
        <f>IF(C654="","",MIN(C654,Settings!$B$3))</f>
        <v/>
      </c>
      <c r="E654">
        <f>IF(C654="","",MAX(0,C654-D654))</f>
        <v/>
      </c>
    </row>
    <row r="655">
      <c r="D655">
        <f>IF(C655="","",MIN(C655,Settings!$B$3))</f>
        <v/>
      </c>
      <c r="E655">
        <f>IF(C655="","",MAX(0,C655-D655))</f>
        <v/>
      </c>
    </row>
    <row r="656">
      <c r="D656">
        <f>IF(C656="","",MIN(C656,Settings!$B$3))</f>
        <v/>
      </c>
      <c r="E656">
        <f>IF(C656="","",MAX(0,C656-D656))</f>
        <v/>
      </c>
    </row>
    <row r="657">
      <c r="D657">
        <f>IF(C657="","",MIN(C657,Settings!$B$3))</f>
        <v/>
      </c>
      <c r="E657">
        <f>IF(C657="","",MAX(0,C657-D657))</f>
        <v/>
      </c>
    </row>
    <row r="658">
      <c r="D658">
        <f>IF(C658="","",MIN(C658,Settings!$B$3))</f>
        <v/>
      </c>
      <c r="E658">
        <f>IF(C658="","",MAX(0,C658-D658))</f>
        <v/>
      </c>
    </row>
    <row r="659">
      <c r="D659">
        <f>IF(C659="","",MIN(C659,Settings!$B$3))</f>
        <v/>
      </c>
      <c r="E659">
        <f>IF(C659="","",MAX(0,C659-D659))</f>
        <v/>
      </c>
    </row>
    <row r="660">
      <c r="D660">
        <f>IF(C660="","",MIN(C660,Settings!$B$3))</f>
        <v/>
      </c>
      <c r="E660">
        <f>IF(C660="","",MAX(0,C660-D660))</f>
        <v/>
      </c>
    </row>
    <row r="661">
      <c r="D661">
        <f>IF(C661="","",MIN(C661,Settings!$B$3))</f>
        <v/>
      </c>
      <c r="E661">
        <f>IF(C661="","",MAX(0,C661-D661))</f>
        <v/>
      </c>
    </row>
    <row r="662">
      <c r="D662">
        <f>IF(C662="","",MIN(C662,Settings!$B$3))</f>
        <v/>
      </c>
      <c r="E662">
        <f>IF(C662="","",MAX(0,C662-D662))</f>
        <v/>
      </c>
    </row>
    <row r="663">
      <c r="D663">
        <f>IF(C663="","",MIN(C663,Settings!$B$3))</f>
        <v/>
      </c>
      <c r="E663">
        <f>IF(C663="","",MAX(0,C663-D663))</f>
        <v/>
      </c>
    </row>
    <row r="664">
      <c r="D664">
        <f>IF(C664="","",MIN(C664,Settings!$B$3))</f>
        <v/>
      </c>
      <c r="E664">
        <f>IF(C664="","",MAX(0,C664-D664))</f>
        <v/>
      </c>
    </row>
    <row r="665">
      <c r="D665">
        <f>IF(C665="","",MIN(C665,Settings!$B$3))</f>
        <v/>
      </c>
      <c r="E665">
        <f>IF(C665="","",MAX(0,C665-D665))</f>
        <v/>
      </c>
    </row>
    <row r="666">
      <c r="D666">
        <f>IF(C666="","",MIN(C666,Settings!$B$3))</f>
        <v/>
      </c>
      <c r="E666">
        <f>IF(C666="","",MAX(0,C666-D666))</f>
        <v/>
      </c>
    </row>
    <row r="667">
      <c r="D667">
        <f>IF(C667="","",MIN(C667,Settings!$B$3))</f>
        <v/>
      </c>
      <c r="E667">
        <f>IF(C667="","",MAX(0,C667-D667))</f>
        <v/>
      </c>
    </row>
    <row r="668">
      <c r="D668">
        <f>IF(C668="","",MIN(C668,Settings!$B$3))</f>
        <v/>
      </c>
      <c r="E668">
        <f>IF(C668="","",MAX(0,C668-D668))</f>
        <v/>
      </c>
    </row>
    <row r="669">
      <c r="D669">
        <f>IF(C669="","",MIN(C669,Settings!$B$3))</f>
        <v/>
      </c>
      <c r="E669">
        <f>IF(C669="","",MAX(0,C669-D669))</f>
        <v/>
      </c>
    </row>
    <row r="670">
      <c r="D670">
        <f>IF(C670="","",MIN(C670,Settings!$B$3))</f>
        <v/>
      </c>
      <c r="E670">
        <f>IF(C670="","",MAX(0,C670-D670))</f>
        <v/>
      </c>
    </row>
    <row r="671">
      <c r="D671">
        <f>IF(C671="","",MIN(C671,Settings!$B$3))</f>
        <v/>
      </c>
      <c r="E671">
        <f>IF(C671="","",MAX(0,C671-D671))</f>
        <v/>
      </c>
    </row>
    <row r="672">
      <c r="D672">
        <f>IF(C672="","",MIN(C672,Settings!$B$3))</f>
        <v/>
      </c>
      <c r="E672">
        <f>IF(C672="","",MAX(0,C672-D672))</f>
        <v/>
      </c>
    </row>
    <row r="673">
      <c r="D673">
        <f>IF(C673="","",MIN(C673,Settings!$B$3))</f>
        <v/>
      </c>
      <c r="E673">
        <f>IF(C673="","",MAX(0,C673-D673))</f>
        <v/>
      </c>
    </row>
    <row r="674">
      <c r="D674">
        <f>IF(C674="","",MIN(C674,Settings!$B$3))</f>
        <v/>
      </c>
      <c r="E674">
        <f>IF(C674="","",MAX(0,C674-D674))</f>
        <v/>
      </c>
    </row>
    <row r="675">
      <c r="D675">
        <f>IF(C675="","",MIN(C675,Settings!$B$3))</f>
        <v/>
      </c>
      <c r="E675">
        <f>IF(C675="","",MAX(0,C675-D675))</f>
        <v/>
      </c>
    </row>
    <row r="676">
      <c r="D676">
        <f>IF(C676="","",MIN(C676,Settings!$B$3))</f>
        <v/>
      </c>
      <c r="E676">
        <f>IF(C676="","",MAX(0,C676-D676))</f>
        <v/>
      </c>
    </row>
    <row r="677">
      <c r="D677">
        <f>IF(C677="","",MIN(C677,Settings!$B$3))</f>
        <v/>
      </c>
      <c r="E677">
        <f>IF(C677="","",MAX(0,C677-D677))</f>
        <v/>
      </c>
    </row>
    <row r="678">
      <c r="D678">
        <f>IF(C678="","",MIN(C678,Settings!$B$3))</f>
        <v/>
      </c>
      <c r="E678">
        <f>IF(C678="","",MAX(0,C678-D678))</f>
        <v/>
      </c>
    </row>
    <row r="679">
      <c r="D679">
        <f>IF(C679="","",MIN(C679,Settings!$B$3))</f>
        <v/>
      </c>
      <c r="E679">
        <f>IF(C679="","",MAX(0,C679-D679))</f>
        <v/>
      </c>
    </row>
    <row r="680">
      <c r="D680">
        <f>IF(C680="","",MIN(C680,Settings!$B$3))</f>
        <v/>
      </c>
      <c r="E680">
        <f>IF(C680="","",MAX(0,C680-D680))</f>
        <v/>
      </c>
    </row>
    <row r="681">
      <c r="D681">
        <f>IF(C681="","",MIN(C681,Settings!$B$3))</f>
        <v/>
      </c>
      <c r="E681">
        <f>IF(C681="","",MAX(0,C681-D681))</f>
        <v/>
      </c>
    </row>
    <row r="682">
      <c r="D682">
        <f>IF(C682="","",MIN(C682,Settings!$B$3))</f>
        <v/>
      </c>
      <c r="E682">
        <f>IF(C682="","",MAX(0,C682-D682))</f>
        <v/>
      </c>
    </row>
    <row r="683">
      <c r="D683">
        <f>IF(C683="","",MIN(C683,Settings!$B$3))</f>
        <v/>
      </c>
      <c r="E683">
        <f>IF(C683="","",MAX(0,C683-D683))</f>
        <v/>
      </c>
    </row>
    <row r="684">
      <c r="D684">
        <f>IF(C684="","",MIN(C684,Settings!$B$3))</f>
        <v/>
      </c>
      <c r="E684">
        <f>IF(C684="","",MAX(0,C684-D684))</f>
        <v/>
      </c>
    </row>
    <row r="685">
      <c r="D685">
        <f>IF(C685="","",MIN(C685,Settings!$B$3))</f>
        <v/>
      </c>
      <c r="E685">
        <f>IF(C685="","",MAX(0,C685-D685))</f>
        <v/>
      </c>
    </row>
    <row r="686">
      <c r="D686">
        <f>IF(C686="","",MIN(C686,Settings!$B$3))</f>
        <v/>
      </c>
      <c r="E686">
        <f>IF(C686="","",MAX(0,C686-D686))</f>
        <v/>
      </c>
    </row>
    <row r="687">
      <c r="D687">
        <f>IF(C687="","",MIN(C687,Settings!$B$3))</f>
        <v/>
      </c>
      <c r="E687">
        <f>IF(C687="","",MAX(0,C687-D687))</f>
        <v/>
      </c>
    </row>
    <row r="688">
      <c r="D688">
        <f>IF(C688="","",MIN(C688,Settings!$B$3))</f>
        <v/>
      </c>
      <c r="E688">
        <f>IF(C688="","",MAX(0,C688-D688))</f>
        <v/>
      </c>
    </row>
    <row r="689">
      <c r="D689">
        <f>IF(C689="","",MIN(C689,Settings!$B$3))</f>
        <v/>
      </c>
      <c r="E689">
        <f>IF(C689="","",MAX(0,C689-D689))</f>
        <v/>
      </c>
    </row>
    <row r="690">
      <c r="D690">
        <f>IF(C690="","",MIN(C690,Settings!$B$3))</f>
        <v/>
      </c>
      <c r="E690">
        <f>IF(C690="","",MAX(0,C690-D690))</f>
        <v/>
      </c>
    </row>
    <row r="691">
      <c r="D691">
        <f>IF(C691="","",MIN(C691,Settings!$B$3))</f>
        <v/>
      </c>
      <c r="E691">
        <f>IF(C691="","",MAX(0,C691-D691))</f>
        <v/>
      </c>
    </row>
    <row r="692">
      <c r="D692">
        <f>IF(C692="","",MIN(C692,Settings!$B$3))</f>
        <v/>
      </c>
      <c r="E692">
        <f>IF(C692="","",MAX(0,C692-D692))</f>
        <v/>
      </c>
    </row>
    <row r="693">
      <c r="D693">
        <f>IF(C693="","",MIN(C693,Settings!$B$3))</f>
        <v/>
      </c>
      <c r="E693">
        <f>IF(C693="","",MAX(0,C693-D693))</f>
        <v/>
      </c>
    </row>
    <row r="694">
      <c r="D694">
        <f>IF(C694="","",MIN(C694,Settings!$B$3))</f>
        <v/>
      </c>
      <c r="E694">
        <f>IF(C694="","",MAX(0,C694-D694))</f>
        <v/>
      </c>
    </row>
    <row r="695">
      <c r="D695">
        <f>IF(C695="","",MIN(C695,Settings!$B$3))</f>
        <v/>
      </c>
      <c r="E695">
        <f>IF(C695="","",MAX(0,C695-D695))</f>
        <v/>
      </c>
    </row>
    <row r="696">
      <c r="D696">
        <f>IF(C696="","",MIN(C696,Settings!$B$3))</f>
        <v/>
      </c>
      <c r="E696">
        <f>IF(C696="","",MAX(0,C696-D696))</f>
        <v/>
      </c>
    </row>
    <row r="697">
      <c r="D697">
        <f>IF(C697="","",MIN(C697,Settings!$B$3))</f>
        <v/>
      </c>
      <c r="E697">
        <f>IF(C697="","",MAX(0,C697-D697))</f>
        <v/>
      </c>
    </row>
    <row r="698">
      <c r="D698">
        <f>IF(C698="","",MIN(C698,Settings!$B$3))</f>
        <v/>
      </c>
      <c r="E698">
        <f>IF(C698="","",MAX(0,C698-D698))</f>
        <v/>
      </c>
    </row>
    <row r="699">
      <c r="D699">
        <f>IF(C699="","",MIN(C699,Settings!$B$3))</f>
        <v/>
      </c>
      <c r="E699">
        <f>IF(C699="","",MAX(0,C699-D699))</f>
        <v/>
      </c>
    </row>
    <row r="700">
      <c r="D700">
        <f>IF(C700="","",MIN(C700,Settings!$B$3))</f>
        <v/>
      </c>
      <c r="E700">
        <f>IF(C700="","",MAX(0,C700-D700))</f>
        <v/>
      </c>
    </row>
    <row r="701">
      <c r="D701">
        <f>IF(C701="","",MIN(C701,Settings!$B$3))</f>
        <v/>
      </c>
      <c r="E701">
        <f>IF(C701="","",MAX(0,C701-D701))</f>
        <v/>
      </c>
    </row>
    <row r="702">
      <c r="D702">
        <f>IF(C702="","",MIN(C702,Settings!$B$3))</f>
        <v/>
      </c>
      <c r="E702">
        <f>IF(C702="","",MAX(0,C702-D702))</f>
        <v/>
      </c>
    </row>
    <row r="703">
      <c r="D703">
        <f>IF(C703="","",MIN(C703,Settings!$B$3))</f>
        <v/>
      </c>
      <c r="E703">
        <f>IF(C703="","",MAX(0,C703-D703))</f>
        <v/>
      </c>
    </row>
    <row r="704">
      <c r="D704">
        <f>IF(C704="","",MIN(C704,Settings!$B$3))</f>
        <v/>
      </c>
      <c r="E704">
        <f>IF(C704="","",MAX(0,C704-D704))</f>
        <v/>
      </c>
    </row>
    <row r="705">
      <c r="D705">
        <f>IF(C705="","",MIN(C705,Settings!$B$3))</f>
        <v/>
      </c>
      <c r="E705">
        <f>IF(C705="","",MAX(0,C705-D705))</f>
        <v/>
      </c>
    </row>
    <row r="706">
      <c r="D706">
        <f>IF(C706="","",MIN(C706,Settings!$B$3))</f>
        <v/>
      </c>
      <c r="E706">
        <f>IF(C706="","",MAX(0,C706-D706))</f>
        <v/>
      </c>
    </row>
    <row r="707">
      <c r="D707">
        <f>IF(C707="","",MIN(C707,Settings!$B$3))</f>
        <v/>
      </c>
      <c r="E707">
        <f>IF(C707="","",MAX(0,C707-D707))</f>
        <v/>
      </c>
    </row>
    <row r="708">
      <c r="D708">
        <f>IF(C708="","",MIN(C708,Settings!$B$3))</f>
        <v/>
      </c>
      <c r="E708">
        <f>IF(C708="","",MAX(0,C708-D708))</f>
        <v/>
      </c>
    </row>
    <row r="709">
      <c r="D709">
        <f>IF(C709="","",MIN(C709,Settings!$B$3))</f>
        <v/>
      </c>
      <c r="E709">
        <f>IF(C709="","",MAX(0,C709-D709))</f>
        <v/>
      </c>
    </row>
    <row r="710">
      <c r="D710">
        <f>IF(C710="","",MIN(C710,Settings!$B$3))</f>
        <v/>
      </c>
      <c r="E710">
        <f>IF(C710="","",MAX(0,C710-D710))</f>
        <v/>
      </c>
    </row>
    <row r="711">
      <c r="D711">
        <f>IF(C711="","",MIN(C711,Settings!$B$3))</f>
        <v/>
      </c>
      <c r="E711">
        <f>IF(C711="","",MAX(0,C711-D711))</f>
        <v/>
      </c>
    </row>
    <row r="712">
      <c r="D712">
        <f>IF(C712="","",MIN(C712,Settings!$B$3))</f>
        <v/>
      </c>
      <c r="E712">
        <f>IF(C712="","",MAX(0,C712-D712))</f>
        <v/>
      </c>
    </row>
    <row r="713">
      <c r="D713">
        <f>IF(C713="","",MIN(C713,Settings!$B$3))</f>
        <v/>
      </c>
      <c r="E713">
        <f>IF(C713="","",MAX(0,C713-D713))</f>
        <v/>
      </c>
    </row>
    <row r="714">
      <c r="D714">
        <f>IF(C714="","",MIN(C714,Settings!$B$3))</f>
        <v/>
      </c>
      <c r="E714">
        <f>IF(C714="","",MAX(0,C714-D714))</f>
        <v/>
      </c>
    </row>
    <row r="715">
      <c r="D715">
        <f>IF(C715="","",MIN(C715,Settings!$B$3))</f>
        <v/>
      </c>
      <c r="E715">
        <f>IF(C715="","",MAX(0,C715-D715))</f>
        <v/>
      </c>
    </row>
    <row r="716">
      <c r="D716">
        <f>IF(C716="","",MIN(C716,Settings!$B$3))</f>
        <v/>
      </c>
      <c r="E716">
        <f>IF(C716="","",MAX(0,C716-D716))</f>
        <v/>
      </c>
    </row>
    <row r="717">
      <c r="D717">
        <f>IF(C717="","",MIN(C717,Settings!$B$3))</f>
        <v/>
      </c>
      <c r="E717">
        <f>IF(C717="","",MAX(0,C717-D717))</f>
        <v/>
      </c>
    </row>
    <row r="718">
      <c r="D718">
        <f>IF(C718="","",MIN(C718,Settings!$B$3))</f>
        <v/>
      </c>
      <c r="E718">
        <f>IF(C718="","",MAX(0,C718-D718))</f>
        <v/>
      </c>
    </row>
    <row r="719">
      <c r="D719">
        <f>IF(C719="","",MIN(C719,Settings!$B$3))</f>
        <v/>
      </c>
      <c r="E719">
        <f>IF(C719="","",MAX(0,C719-D719))</f>
        <v/>
      </c>
    </row>
    <row r="720">
      <c r="D720">
        <f>IF(C720="","",MIN(C720,Settings!$B$3))</f>
        <v/>
      </c>
      <c r="E720">
        <f>IF(C720="","",MAX(0,C720-D720))</f>
        <v/>
      </c>
    </row>
    <row r="721">
      <c r="D721">
        <f>IF(C721="","",MIN(C721,Settings!$B$3))</f>
        <v/>
      </c>
      <c r="E721">
        <f>IF(C721="","",MAX(0,C721-D721))</f>
        <v/>
      </c>
    </row>
    <row r="722">
      <c r="D722">
        <f>IF(C722="","",MIN(C722,Settings!$B$3))</f>
        <v/>
      </c>
      <c r="E722">
        <f>IF(C722="","",MAX(0,C722-D722))</f>
        <v/>
      </c>
    </row>
    <row r="723">
      <c r="D723">
        <f>IF(C723="","",MIN(C723,Settings!$B$3))</f>
        <v/>
      </c>
      <c r="E723">
        <f>IF(C723="","",MAX(0,C723-D723))</f>
        <v/>
      </c>
    </row>
    <row r="724">
      <c r="D724">
        <f>IF(C724="","",MIN(C724,Settings!$B$3))</f>
        <v/>
      </c>
      <c r="E724">
        <f>IF(C724="","",MAX(0,C724-D724))</f>
        <v/>
      </c>
    </row>
    <row r="725">
      <c r="D725">
        <f>IF(C725="","",MIN(C725,Settings!$B$3))</f>
        <v/>
      </c>
      <c r="E725">
        <f>IF(C725="","",MAX(0,C725-D725))</f>
        <v/>
      </c>
    </row>
    <row r="726">
      <c r="D726">
        <f>IF(C726="","",MIN(C726,Settings!$B$3))</f>
        <v/>
      </c>
      <c r="E726">
        <f>IF(C726="","",MAX(0,C726-D726))</f>
        <v/>
      </c>
    </row>
    <row r="727">
      <c r="D727">
        <f>IF(C727="","",MIN(C727,Settings!$B$3))</f>
        <v/>
      </c>
      <c r="E727">
        <f>IF(C727="","",MAX(0,C727-D727))</f>
        <v/>
      </c>
    </row>
    <row r="728">
      <c r="D728">
        <f>IF(C728="","",MIN(C728,Settings!$B$3))</f>
        <v/>
      </c>
      <c r="E728">
        <f>IF(C728="","",MAX(0,C728-D728))</f>
        <v/>
      </c>
    </row>
    <row r="729">
      <c r="D729">
        <f>IF(C729="","",MIN(C729,Settings!$B$3))</f>
        <v/>
      </c>
      <c r="E729">
        <f>IF(C729="","",MAX(0,C729-D729))</f>
        <v/>
      </c>
    </row>
    <row r="730">
      <c r="D730">
        <f>IF(C730="","",MIN(C730,Settings!$B$3))</f>
        <v/>
      </c>
      <c r="E730">
        <f>IF(C730="","",MAX(0,C730-D730))</f>
        <v/>
      </c>
    </row>
    <row r="731">
      <c r="D731">
        <f>IF(C731="","",MIN(C731,Settings!$B$3))</f>
        <v/>
      </c>
      <c r="E731">
        <f>IF(C731="","",MAX(0,C731-D731))</f>
        <v/>
      </c>
    </row>
    <row r="732">
      <c r="D732">
        <f>IF(C732="","",MIN(C732,Settings!$B$3))</f>
        <v/>
      </c>
      <c r="E732">
        <f>IF(C732="","",MAX(0,C732-D732))</f>
        <v/>
      </c>
    </row>
    <row r="733">
      <c r="D733">
        <f>IF(C733="","",MIN(C733,Settings!$B$3))</f>
        <v/>
      </c>
      <c r="E733">
        <f>IF(C733="","",MAX(0,C733-D733))</f>
        <v/>
      </c>
    </row>
    <row r="734">
      <c r="D734">
        <f>IF(C734="","",MIN(C734,Settings!$B$3))</f>
        <v/>
      </c>
      <c r="E734">
        <f>IF(C734="","",MAX(0,C734-D734))</f>
        <v/>
      </c>
    </row>
    <row r="735">
      <c r="D735">
        <f>IF(C735="","",MIN(C735,Settings!$B$3))</f>
        <v/>
      </c>
      <c r="E735">
        <f>IF(C735="","",MAX(0,C735-D735))</f>
        <v/>
      </c>
    </row>
    <row r="736">
      <c r="D736">
        <f>IF(C736="","",MIN(C736,Settings!$B$3))</f>
        <v/>
      </c>
      <c r="E736">
        <f>IF(C736="","",MAX(0,C736-D736))</f>
        <v/>
      </c>
    </row>
    <row r="737">
      <c r="D737">
        <f>IF(C737="","",MIN(C737,Settings!$B$3))</f>
        <v/>
      </c>
      <c r="E737">
        <f>IF(C737="","",MAX(0,C737-D737))</f>
        <v/>
      </c>
    </row>
    <row r="738">
      <c r="D738">
        <f>IF(C738="","",MIN(C738,Settings!$B$3))</f>
        <v/>
      </c>
      <c r="E738">
        <f>IF(C738="","",MAX(0,C738-D738))</f>
        <v/>
      </c>
    </row>
    <row r="739">
      <c r="D739">
        <f>IF(C739="","",MIN(C739,Settings!$B$3))</f>
        <v/>
      </c>
      <c r="E739">
        <f>IF(C739="","",MAX(0,C739-D739))</f>
        <v/>
      </c>
    </row>
    <row r="740">
      <c r="D740">
        <f>IF(C740="","",MIN(C740,Settings!$B$3))</f>
        <v/>
      </c>
      <c r="E740">
        <f>IF(C740="","",MAX(0,C740-D740))</f>
        <v/>
      </c>
    </row>
    <row r="741">
      <c r="D741">
        <f>IF(C741="","",MIN(C741,Settings!$B$3))</f>
        <v/>
      </c>
      <c r="E741">
        <f>IF(C741="","",MAX(0,C741-D741))</f>
        <v/>
      </c>
    </row>
    <row r="742">
      <c r="D742">
        <f>IF(C742="","",MIN(C742,Settings!$B$3))</f>
        <v/>
      </c>
      <c r="E742">
        <f>IF(C742="","",MAX(0,C742-D742))</f>
        <v/>
      </c>
    </row>
    <row r="743">
      <c r="D743">
        <f>IF(C743="","",MIN(C743,Settings!$B$3))</f>
        <v/>
      </c>
      <c r="E743">
        <f>IF(C743="","",MAX(0,C743-D743))</f>
        <v/>
      </c>
    </row>
    <row r="744">
      <c r="D744">
        <f>IF(C744="","",MIN(C744,Settings!$B$3))</f>
        <v/>
      </c>
      <c r="E744">
        <f>IF(C744="","",MAX(0,C744-D744))</f>
        <v/>
      </c>
    </row>
    <row r="745">
      <c r="D745">
        <f>IF(C745="","",MIN(C745,Settings!$B$3))</f>
        <v/>
      </c>
      <c r="E745">
        <f>IF(C745="","",MAX(0,C745-D745))</f>
        <v/>
      </c>
    </row>
    <row r="746">
      <c r="D746">
        <f>IF(C746="","",MIN(C746,Settings!$B$3))</f>
        <v/>
      </c>
      <c r="E746">
        <f>IF(C746="","",MAX(0,C746-D746))</f>
        <v/>
      </c>
    </row>
    <row r="747">
      <c r="D747">
        <f>IF(C747="","",MIN(C747,Settings!$B$3))</f>
        <v/>
      </c>
      <c r="E747">
        <f>IF(C747="","",MAX(0,C747-D747))</f>
        <v/>
      </c>
    </row>
    <row r="748">
      <c r="D748">
        <f>IF(C748="","",MIN(C748,Settings!$B$3))</f>
        <v/>
      </c>
      <c r="E748">
        <f>IF(C748="","",MAX(0,C748-D748))</f>
        <v/>
      </c>
    </row>
    <row r="749">
      <c r="D749">
        <f>IF(C749="","",MIN(C749,Settings!$B$3))</f>
        <v/>
      </c>
      <c r="E749">
        <f>IF(C749="","",MAX(0,C749-D749))</f>
        <v/>
      </c>
    </row>
    <row r="750">
      <c r="D750">
        <f>IF(C750="","",MIN(C750,Settings!$B$3))</f>
        <v/>
      </c>
      <c r="E750">
        <f>IF(C750="","",MAX(0,C750-D750))</f>
        <v/>
      </c>
    </row>
    <row r="751">
      <c r="D751">
        <f>IF(C751="","",MIN(C751,Settings!$B$3))</f>
        <v/>
      </c>
      <c r="E751">
        <f>IF(C751="","",MAX(0,C751-D751))</f>
        <v/>
      </c>
    </row>
    <row r="752">
      <c r="D752">
        <f>IF(C752="","",MIN(C752,Settings!$B$3))</f>
        <v/>
      </c>
      <c r="E752">
        <f>IF(C752="","",MAX(0,C752-D752))</f>
        <v/>
      </c>
    </row>
    <row r="753">
      <c r="D753">
        <f>IF(C753="","",MIN(C753,Settings!$B$3))</f>
        <v/>
      </c>
      <c r="E753">
        <f>IF(C753="","",MAX(0,C753-D753))</f>
        <v/>
      </c>
    </row>
    <row r="754">
      <c r="D754">
        <f>IF(C754="","",MIN(C754,Settings!$B$3))</f>
        <v/>
      </c>
      <c r="E754">
        <f>IF(C754="","",MAX(0,C754-D754))</f>
        <v/>
      </c>
    </row>
    <row r="755">
      <c r="D755">
        <f>IF(C755="","",MIN(C755,Settings!$B$3))</f>
        <v/>
      </c>
      <c r="E755">
        <f>IF(C755="","",MAX(0,C755-D755))</f>
        <v/>
      </c>
    </row>
    <row r="756">
      <c r="D756">
        <f>IF(C756="","",MIN(C756,Settings!$B$3))</f>
        <v/>
      </c>
      <c r="E756">
        <f>IF(C756="","",MAX(0,C756-D756))</f>
        <v/>
      </c>
    </row>
    <row r="757">
      <c r="D757">
        <f>IF(C757="","",MIN(C757,Settings!$B$3))</f>
        <v/>
      </c>
      <c r="E757">
        <f>IF(C757="","",MAX(0,C757-D757))</f>
        <v/>
      </c>
    </row>
    <row r="758">
      <c r="D758">
        <f>IF(C758="","",MIN(C758,Settings!$B$3))</f>
        <v/>
      </c>
      <c r="E758">
        <f>IF(C758="","",MAX(0,C758-D758))</f>
        <v/>
      </c>
    </row>
    <row r="759">
      <c r="D759">
        <f>IF(C759="","",MIN(C759,Settings!$B$3))</f>
        <v/>
      </c>
      <c r="E759">
        <f>IF(C759="","",MAX(0,C759-D759))</f>
        <v/>
      </c>
    </row>
    <row r="760">
      <c r="D760">
        <f>IF(C760="","",MIN(C760,Settings!$B$3))</f>
        <v/>
      </c>
      <c r="E760">
        <f>IF(C760="","",MAX(0,C760-D760))</f>
        <v/>
      </c>
    </row>
    <row r="761">
      <c r="D761">
        <f>IF(C761="","",MIN(C761,Settings!$B$3))</f>
        <v/>
      </c>
      <c r="E761">
        <f>IF(C761="","",MAX(0,C761-D761))</f>
        <v/>
      </c>
    </row>
    <row r="762">
      <c r="D762">
        <f>IF(C762="","",MIN(C762,Settings!$B$3))</f>
        <v/>
      </c>
      <c r="E762">
        <f>IF(C762="","",MAX(0,C762-D762))</f>
        <v/>
      </c>
    </row>
    <row r="763">
      <c r="D763">
        <f>IF(C763="","",MIN(C763,Settings!$B$3))</f>
        <v/>
      </c>
      <c r="E763">
        <f>IF(C763="","",MAX(0,C763-D763))</f>
        <v/>
      </c>
    </row>
    <row r="764">
      <c r="D764">
        <f>IF(C764="","",MIN(C764,Settings!$B$3))</f>
        <v/>
      </c>
      <c r="E764">
        <f>IF(C764="","",MAX(0,C764-D764))</f>
        <v/>
      </c>
    </row>
    <row r="765">
      <c r="D765">
        <f>IF(C765="","",MIN(C765,Settings!$B$3))</f>
        <v/>
      </c>
      <c r="E765">
        <f>IF(C765="","",MAX(0,C765-D765))</f>
        <v/>
      </c>
    </row>
    <row r="766">
      <c r="D766">
        <f>IF(C766="","",MIN(C766,Settings!$B$3))</f>
        <v/>
      </c>
      <c r="E766">
        <f>IF(C766="","",MAX(0,C766-D766))</f>
        <v/>
      </c>
    </row>
    <row r="767">
      <c r="D767">
        <f>IF(C767="","",MIN(C767,Settings!$B$3))</f>
        <v/>
      </c>
      <c r="E767">
        <f>IF(C767="","",MAX(0,C767-D767))</f>
        <v/>
      </c>
    </row>
    <row r="768">
      <c r="D768">
        <f>IF(C768="","",MIN(C768,Settings!$B$3))</f>
        <v/>
      </c>
      <c r="E768">
        <f>IF(C768="","",MAX(0,C768-D768))</f>
        <v/>
      </c>
    </row>
    <row r="769">
      <c r="D769">
        <f>IF(C769="","",MIN(C769,Settings!$B$3))</f>
        <v/>
      </c>
      <c r="E769">
        <f>IF(C769="","",MAX(0,C769-D769))</f>
        <v/>
      </c>
    </row>
    <row r="770">
      <c r="D770">
        <f>IF(C770="","",MIN(C770,Settings!$B$3))</f>
        <v/>
      </c>
      <c r="E770">
        <f>IF(C770="","",MAX(0,C770-D770))</f>
        <v/>
      </c>
    </row>
    <row r="771">
      <c r="D771">
        <f>IF(C771="","",MIN(C771,Settings!$B$3))</f>
        <v/>
      </c>
      <c r="E771">
        <f>IF(C771="","",MAX(0,C771-D771))</f>
        <v/>
      </c>
    </row>
    <row r="772">
      <c r="D772">
        <f>IF(C772="","",MIN(C772,Settings!$B$3))</f>
        <v/>
      </c>
      <c r="E772">
        <f>IF(C772="","",MAX(0,C772-D772))</f>
        <v/>
      </c>
    </row>
    <row r="773">
      <c r="D773">
        <f>IF(C773="","",MIN(C773,Settings!$B$3))</f>
        <v/>
      </c>
      <c r="E773">
        <f>IF(C773="","",MAX(0,C773-D773))</f>
        <v/>
      </c>
    </row>
    <row r="774">
      <c r="D774">
        <f>IF(C774="","",MIN(C774,Settings!$B$3))</f>
        <v/>
      </c>
      <c r="E774">
        <f>IF(C774="","",MAX(0,C774-D774))</f>
        <v/>
      </c>
    </row>
    <row r="775">
      <c r="D775">
        <f>IF(C775="","",MIN(C775,Settings!$B$3))</f>
        <v/>
      </c>
      <c r="E775">
        <f>IF(C775="","",MAX(0,C775-D775))</f>
        <v/>
      </c>
    </row>
    <row r="776">
      <c r="D776">
        <f>IF(C776="","",MIN(C776,Settings!$B$3))</f>
        <v/>
      </c>
      <c r="E776">
        <f>IF(C776="","",MAX(0,C776-D776))</f>
        <v/>
      </c>
    </row>
    <row r="777">
      <c r="D777">
        <f>IF(C777="","",MIN(C777,Settings!$B$3))</f>
        <v/>
      </c>
      <c r="E777">
        <f>IF(C777="","",MAX(0,C777-D777))</f>
        <v/>
      </c>
    </row>
    <row r="778">
      <c r="D778">
        <f>IF(C778="","",MIN(C778,Settings!$B$3))</f>
        <v/>
      </c>
      <c r="E778">
        <f>IF(C778="","",MAX(0,C778-D778))</f>
        <v/>
      </c>
    </row>
    <row r="779">
      <c r="D779">
        <f>IF(C779="","",MIN(C779,Settings!$B$3))</f>
        <v/>
      </c>
      <c r="E779">
        <f>IF(C779="","",MAX(0,C779-D779))</f>
        <v/>
      </c>
    </row>
    <row r="780">
      <c r="D780">
        <f>IF(C780="","",MIN(C780,Settings!$B$3))</f>
        <v/>
      </c>
      <c r="E780">
        <f>IF(C780="","",MAX(0,C780-D780))</f>
        <v/>
      </c>
    </row>
    <row r="781">
      <c r="D781">
        <f>IF(C781="","",MIN(C781,Settings!$B$3))</f>
        <v/>
      </c>
      <c r="E781">
        <f>IF(C781="","",MAX(0,C781-D781))</f>
        <v/>
      </c>
    </row>
    <row r="782">
      <c r="D782">
        <f>IF(C782="","",MIN(C782,Settings!$B$3))</f>
        <v/>
      </c>
      <c r="E782">
        <f>IF(C782="","",MAX(0,C782-D782))</f>
        <v/>
      </c>
    </row>
    <row r="783">
      <c r="D783">
        <f>IF(C783="","",MIN(C783,Settings!$B$3))</f>
        <v/>
      </c>
      <c r="E783">
        <f>IF(C783="","",MAX(0,C783-D783))</f>
        <v/>
      </c>
    </row>
    <row r="784">
      <c r="D784">
        <f>IF(C784="","",MIN(C784,Settings!$B$3))</f>
        <v/>
      </c>
      <c r="E784">
        <f>IF(C784="","",MAX(0,C784-D784))</f>
        <v/>
      </c>
    </row>
    <row r="785">
      <c r="D785">
        <f>IF(C785="","",MIN(C785,Settings!$B$3))</f>
        <v/>
      </c>
      <c r="E785">
        <f>IF(C785="","",MAX(0,C785-D785))</f>
        <v/>
      </c>
    </row>
    <row r="786">
      <c r="D786">
        <f>IF(C786="","",MIN(C786,Settings!$B$3))</f>
        <v/>
      </c>
      <c r="E786">
        <f>IF(C786="","",MAX(0,C786-D786))</f>
        <v/>
      </c>
    </row>
    <row r="787">
      <c r="D787">
        <f>IF(C787="","",MIN(C787,Settings!$B$3))</f>
        <v/>
      </c>
      <c r="E787">
        <f>IF(C787="","",MAX(0,C787-D787))</f>
        <v/>
      </c>
    </row>
    <row r="788">
      <c r="D788">
        <f>IF(C788="","",MIN(C788,Settings!$B$3))</f>
        <v/>
      </c>
      <c r="E788">
        <f>IF(C788="","",MAX(0,C788-D788))</f>
        <v/>
      </c>
    </row>
    <row r="789">
      <c r="D789">
        <f>IF(C789="","",MIN(C789,Settings!$B$3))</f>
        <v/>
      </c>
      <c r="E789">
        <f>IF(C789="","",MAX(0,C789-D789))</f>
        <v/>
      </c>
    </row>
    <row r="790">
      <c r="D790">
        <f>IF(C790="","",MIN(C790,Settings!$B$3))</f>
        <v/>
      </c>
      <c r="E790">
        <f>IF(C790="","",MAX(0,C790-D790))</f>
        <v/>
      </c>
    </row>
    <row r="791">
      <c r="D791">
        <f>IF(C791="","",MIN(C791,Settings!$B$3))</f>
        <v/>
      </c>
      <c r="E791">
        <f>IF(C791="","",MAX(0,C791-D791))</f>
        <v/>
      </c>
    </row>
    <row r="792">
      <c r="D792">
        <f>IF(C792="","",MIN(C792,Settings!$B$3))</f>
        <v/>
      </c>
      <c r="E792">
        <f>IF(C792="","",MAX(0,C792-D792))</f>
        <v/>
      </c>
    </row>
    <row r="793">
      <c r="D793">
        <f>IF(C793="","",MIN(C793,Settings!$B$3))</f>
        <v/>
      </c>
      <c r="E793">
        <f>IF(C793="","",MAX(0,C793-D793))</f>
        <v/>
      </c>
    </row>
    <row r="794">
      <c r="D794">
        <f>IF(C794="","",MIN(C794,Settings!$B$3))</f>
        <v/>
      </c>
      <c r="E794">
        <f>IF(C794="","",MAX(0,C794-D794))</f>
        <v/>
      </c>
    </row>
    <row r="795">
      <c r="D795">
        <f>IF(C795="","",MIN(C795,Settings!$B$3))</f>
        <v/>
      </c>
      <c r="E795">
        <f>IF(C795="","",MAX(0,C795-D795))</f>
        <v/>
      </c>
    </row>
    <row r="796">
      <c r="D796">
        <f>IF(C796="","",MIN(C796,Settings!$B$3))</f>
        <v/>
      </c>
      <c r="E796">
        <f>IF(C796="","",MAX(0,C796-D796))</f>
        <v/>
      </c>
    </row>
    <row r="797">
      <c r="D797">
        <f>IF(C797="","",MIN(C797,Settings!$B$3))</f>
        <v/>
      </c>
      <c r="E797">
        <f>IF(C797="","",MAX(0,C797-D797))</f>
        <v/>
      </c>
    </row>
    <row r="798">
      <c r="D798">
        <f>IF(C798="","",MIN(C798,Settings!$B$3))</f>
        <v/>
      </c>
      <c r="E798">
        <f>IF(C798="","",MAX(0,C798-D798))</f>
        <v/>
      </c>
    </row>
    <row r="799">
      <c r="D799">
        <f>IF(C799="","",MIN(C799,Settings!$B$3))</f>
        <v/>
      </c>
      <c r="E799">
        <f>IF(C799="","",MAX(0,C799-D799))</f>
        <v/>
      </c>
    </row>
    <row r="800">
      <c r="D800">
        <f>IF(C800="","",MIN(C800,Settings!$B$3))</f>
        <v/>
      </c>
      <c r="E800">
        <f>IF(C800="","",MAX(0,C800-D800))</f>
        <v/>
      </c>
    </row>
    <row r="801">
      <c r="D801">
        <f>IF(C801="","",MIN(C801,Settings!$B$3))</f>
        <v/>
      </c>
      <c r="E801">
        <f>IF(C801="","",MAX(0,C801-D801))</f>
        <v/>
      </c>
    </row>
    <row r="802">
      <c r="D802">
        <f>IF(C802="","",MIN(C802,Settings!$B$3))</f>
        <v/>
      </c>
      <c r="E802">
        <f>IF(C802="","",MAX(0,C802-D802))</f>
        <v/>
      </c>
    </row>
    <row r="803">
      <c r="D803">
        <f>IF(C803="","",MIN(C803,Settings!$B$3))</f>
        <v/>
      </c>
      <c r="E803">
        <f>IF(C803="","",MAX(0,C803-D803))</f>
        <v/>
      </c>
    </row>
    <row r="804">
      <c r="D804">
        <f>IF(C804="","",MIN(C804,Settings!$B$3))</f>
        <v/>
      </c>
      <c r="E804">
        <f>IF(C804="","",MAX(0,C804-D804))</f>
        <v/>
      </c>
    </row>
    <row r="805">
      <c r="D805">
        <f>IF(C805="","",MIN(C805,Settings!$B$3))</f>
        <v/>
      </c>
      <c r="E805">
        <f>IF(C805="","",MAX(0,C805-D805))</f>
        <v/>
      </c>
    </row>
    <row r="806">
      <c r="D806">
        <f>IF(C806="","",MIN(C806,Settings!$B$3))</f>
        <v/>
      </c>
      <c r="E806">
        <f>IF(C806="","",MAX(0,C806-D806))</f>
        <v/>
      </c>
    </row>
    <row r="807">
      <c r="D807">
        <f>IF(C807="","",MIN(C807,Settings!$B$3))</f>
        <v/>
      </c>
      <c r="E807">
        <f>IF(C807="","",MAX(0,C807-D807))</f>
        <v/>
      </c>
    </row>
    <row r="808">
      <c r="D808">
        <f>IF(C808="","",MIN(C808,Settings!$B$3))</f>
        <v/>
      </c>
      <c r="E808">
        <f>IF(C808="","",MAX(0,C808-D808))</f>
        <v/>
      </c>
    </row>
    <row r="809">
      <c r="D809">
        <f>IF(C809="","",MIN(C809,Settings!$B$3))</f>
        <v/>
      </c>
      <c r="E809">
        <f>IF(C809="","",MAX(0,C809-D809))</f>
        <v/>
      </c>
    </row>
    <row r="810">
      <c r="D810">
        <f>IF(C810="","",MIN(C810,Settings!$B$3))</f>
        <v/>
      </c>
      <c r="E810">
        <f>IF(C810="","",MAX(0,C810-D810))</f>
        <v/>
      </c>
    </row>
    <row r="811">
      <c r="D811">
        <f>IF(C811="","",MIN(C811,Settings!$B$3))</f>
        <v/>
      </c>
      <c r="E811">
        <f>IF(C811="","",MAX(0,C811-D811))</f>
        <v/>
      </c>
    </row>
    <row r="812">
      <c r="D812">
        <f>IF(C812="","",MIN(C812,Settings!$B$3))</f>
        <v/>
      </c>
      <c r="E812">
        <f>IF(C812="","",MAX(0,C812-D812))</f>
        <v/>
      </c>
    </row>
    <row r="813">
      <c r="D813">
        <f>IF(C813="","",MIN(C813,Settings!$B$3))</f>
        <v/>
      </c>
      <c r="E813">
        <f>IF(C813="","",MAX(0,C813-D813))</f>
        <v/>
      </c>
    </row>
    <row r="814">
      <c r="D814">
        <f>IF(C814="","",MIN(C814,Settings!$B$3))</f>
        <v/>
      </c>
      <c r="E814">
        <f>IF(C814="","",MAX(0,C814-D814))</f>
        <v/>
      </c>
    </row>
    <row r="815">
      <c r="D815">
        <f>IF(C815="","",MIN(C815,Settings!$B$3))</f>
        <v/>
      </c>
      <c r="E815">
        <f>IF(C815="","",MAX(0,C815-D815))</f>
        <v/>
      </c>
    </row>
    <row r="816">
      <c r="D816">
        <f>IF(C816="","",MIN(C816,Settings!$B$3))</f>
        <v/>
      </c>
      <c r="E816">
        <f>IF(C816="","",MAX(0,C816-D816))</f>
        <v/>
      </c>
    </row>
    <row r="817">
      <c r="D817">
        <f>IF(C817="","",MIN(C817,Settings!$B$3))</f>
        <v/>
      </c>
      <c r="E817">
        <f>IF(C817="","",MAX(0,C817-D817))</f>
        <v/>
      </c>
    </row>
    <row r="818">
      <c r="D818">
        <f>IF(C818="","",MIN(C818,Settings!$B$3))</f>
        <v/>
      </c>
      <c r="E818">
        <f>IF(C818="","",MAX(0,C818-D818))</f>
        <v/>
      </c>
    </row>
    <row r="819">
      <c r="D819">
        <f>IF(C819="","",MIN(C819,Settings!$B$3))</f>
        <v/>
      </c>
      <c r="E819">
        <f>IF(C819="","",MAX(0,C819-D819))</f>
        <v/>
      </c>
    </row>
    <row r="820">
      <c r="D820">
        <f>IF(C820="","",MIN(C820,Settings!$B$3))</f>
        <v/>
      </c>
      <c r="E820">
        <f>IF(C820="","",MAX(0,C820-D820))</f>
        <v/>
      </c>
    </row>
    <row r="821">
      <c r="D821">
        <f>IF(C821="","",MIN(C821,Settings!$B$3))</f>
        <v/>
      </c>
      <c r="E821">
        <f>IF(C821="","",MAX(0,C821-D821))</f>
        <v/>
      </c>
    </row>
    <row r="822">
      <c r="D822">
        <f>IF(C822="","",MIN(C822,Settings!$B$3))</f>
        <v/>
      </c>
      <c r="E822">
        <f>IF(C822="","",MAX(0,C822-D822))</f>
        <v/>
      </c>
    </row>
    <row r="823">
      <c r="D823">
        <f>IF(C823="","",MIN(C823,Settings!$B$3))</f>
        <v/>
      </c>
      <c r="E823">
        <f>IF(C823="","",MAX(0,C823-D823))</f>
        <v/>
      </c>
    </row>
    <row r="824">
      <c r="D824">
        <f>IF(C824="","",MIN(C824,Settings!$B$3))</f>
        <v/>
      </c>
      <c r="E824">
        <f>IF(C824="","",MAX(0,C824-D824))</f>
        <v/>
      </c>
    </row>
    <row r="825">
      <c r="D825">
        <f>IF(C825="","",MIN(C825,Settings!$B$3))</f>
        <v/>
      </c>
      <c r="E825">
        <f>IF(C825="","",MAX(0,C825-D825))</f>
        <v/>
      </c>
    </row>
    <row r="826">
      <c r="D826">
        <f>IF(C826="","",MIN(C826,Settings!$B$3))</f>
        <v/>
      </c>
      <c r="E826">
        <f>IF(C826="","",MAX(0,C826-D826))</f>
        <v/>
      </c>
    </row>
    <row r="827">
      <c r="D827">
        <f>IF(C827="","",MIN(C827,Settings!$B$3))</f>
        <v/>
      </c>
      <c r="E827">
        <f>IF(C827="","",MAX(0,C827-D827))</f>
        <v/>
      </c>
    </row>
    <row r="828">
      <c r="D828">
        <f>IF(C828="","",MIN(C828,Settings!$B$3))</f>
        <v/>
      </c>
      <c r="E828">
        <f>IF(C828="","",MAX(0,C828-D828))</f>
        <v/>
      </c>
    </row>
    <row r="829">
      <c r="D829">
        <f>IF(C829="","",MIN(C829,Settings!$B$3))</f>
        <v/>
      </c>
      <c r="E829">
        <f>IF(C829="","",MAX(0,C829-D829))</f>
        <v/>
      </c>
    </row>
    <row r="830">
      <c r="D830">
        <f>IF(C830="","",MIN(C830,Settings!$B$3))</f>
        <v/>
      </c>
      <c r="E830">
        <f>IF(C830="","",MAX(0,C830-D830))</f>
        <v/>
      </c>
    </row>
    <row r="831">
      <c r="D831">
        <f>IF(C831="","",MIN(C831,Settings!$B$3))</f>
        <v/>
      </c>
      <c r="E831">
        <f>IF(C831="","",MAX(0,C831-D831))</f>
        <v/>
      </c>
    </row>
    <row r="832">
      <c r="D832">
        <f>IF(C832="","",MIN(C832,Settings!$B$3))</f>
        <v/>
      </c>
      <c r="E832">
        <f>IF(C832="","",MAX(0,C832-D832))</f>
        <v/>
      </c>
    </row>
    <row r="833">
      <c r="D833">
        <f>IF(C833="","",MIN(C833,Settings!$B$3))</f>
        <v/>
      </c>
      <c r="E833">
        <f>IF(C833="","",MAX(0,C833-D833))</f>
        <v/>
      </c>
    </row>
    <row r="834">
      <c r="D834">
        <f>IF(C834="","",MIN(C834,Settings!$B$3))</f>
        <v/>
      </c>
      <c r="E834">
        <f>IF(C834="","",MAX(0,C834-D834))</f>
        <v/>
      </c>
    </row>
    <row r="835">
      <c r="D835">
        <f>IF(C835="","",MIN(C835,Settings!$B$3))</f>
        <v/>
      </c>
      <c r="E835">
        <f>IF(C835="","",MAX(0,C835-D835))</f>
        <v/>
      </c>
    </row>
    <row r="836">
      <c r="D836">
        <f>IF(C836="","",MIN(C836,Settings!$B$3))</f>
        <v/>
      </c>
      <c r="E836">
        <f>IF(C836="","",MAX(0,C836-D836))</f>
        <v/>
      </c>
    </row>
    <row r="837">
      <c r="D837">
        <f>IF(C837="","",MIN(C837,Settings!$B$3))</f>
        <v/>
      </c>
      <c r="E837">
        <f>IF(C837="","",MAX(0,C837-D837))</f>
        <v/>
      </c>
    </row>
    <row r="838">
      <c r="D838">
        <f>IF(C838="","",MIN(C838,Settings!$B$3))</f>
        <v/>
      </c>
      <c r="E838">
        <f>IF(C838="","",MAX(0,C838-D838))</f>
        <v/>
      </c>
    </row>
    <row r="839">
      <c r="D839">
        <f>IF(C839="","",MIN(C839,Settings!$B$3))</f>
        <v/>
      </c>
      <c r="E839">
        <f>IF(C839="","",MAX(0,C839-D839))</f>
        <v/>
      </c>
    </row>
    <row r="840">
      <c r="D840">
        <f>IF(C840="","",MIN(C840,Settings!$B$3))</f>
        <v/>
      </c>
      <c r="E840">
        <f>IF(C840="","",MAX(0,C840-D840))</f>
        <v/>
      </c>
    </row>
    <row r="841">
      <c r="D841">
        <f>IF(C841="","",MIN(C841,Settings!$B$3))</f>
        <v/>
      </c>
      <c r="E841">
        <f>IF(C841="","",MAX(0,C841-D841))</f>
        <v/>
      </c>
    </row>
    <row r="842">
      <c r="D842">
        <f>IF(C842="","",MIN(C842,Settings!$B$3))</f>
        <v/>
      </c>
      <c r="E842">
        <f>IF(C842="","",MAX(0,C842-D842))</f>
        <v/>
      </c>
    </row>
    <row r="843">
      <c r="D843">
        <f>IF(C843="","",MIN(C843,Settings!$B$3))</f>
        <v/>
      </c>
      <c r="E843">
        <f>IF(C843="","",MAX(0,C843-D843))</f>
        <v/>
      </c>
    </row>
    <row r="844">
      <c r="D844">
        <f>IF(C844="","",MIN(C844,Settings!$B$3))</f>
        <v/>
      </c>
      <c r="E844">
        <f>IF(C844="","",MAX(0,C844-D844))</f>
        <v/>
      </c>
    </row>
    <row r="845">
      <c r="D845">
        <f>IF(C845="","",MIN(C845,Settings!$B$3))</f>
        <v/>
      </c>
      <c r="E845">
        <f>IF(C845="","",MAX(0,C845-D845))</f>
        <v/>
      </c>
    </row>
    <row r="846">
      <c r="D846">
        <f>IF(C846="","",MIN(C846,Settings!$B$3))</f>
        <v/>
      </c>
      <c r="E846">
        <f>IF(C846="","",MAX(0,C846-D846))</f>
        <v/>
      </c>
    </row>
    <row r="847">
      <c r="D847">
        <f>IF(C847="","",MIN(C847,Settings!$B$3))</f>
        <v/>
      </c>
      <c r="E847">
        <f>IF(C847="","",MAX(0,C847-D847))</f>
        <v/>
      </c>
    </row>
    <row r="848">
      <c r="D848">
        <f>IF(C848="","",MIN(C848,Settings!$B$3))</f>
        <v/>
      </c>
      <c r="E848">
        <f>IF(C848="","",MAX(0,C848-D848))</f>
        <v/>
      </c>
    </row>
    <row r="849">
      <c r="D849">
        <f>IF(C849="","",MIN(C849,Settings!$B$3))</f>
        <v/>
      </c>
      <c r="E849">
        <f>IF(C849="","",MAX(0,C849-D849))</f>
        <v/>
      </c>
    </row>
    <row r="850">
      <c r="D850">
        <f>IF(C850="","",MIN(C850,Settings!$B$3))</f>
        <v/>
      </c>
      <c r="E850">
        <f>IF(C850="","",MAX(0,C850-D850))</f>
        <v/>
      </c>
    </row>
    <row r="851">
      <c r="D851">
        <f>IF(C851="","",MIN(C851,Settings!$B$3))</f>
        <v/>
      </c>
      <c r="E851">
        <f>IF(C851="","",MAX(0,C851-D851))</f>
        <v/>
      </c>
    </row>
    <row r="852">
      <c r="D852">
        <f>IF(C852="","",MIN(C852,Settings!$B$3))</f>
        <v/>
      </c>
      <c r="E852">
        <f>IF(C852="","",MAX(0,C852-D852))</f>
        <v/>
      </c>
    </row>
    <row r="853">
      <c r="D853">
        <f>IF(C853="","",MIN(C853,Settings!$B$3))</f>
        <v/>
      </c>
      <c r="E853">
        <f>IF(C853="","",MAX(0,C853-D853))</f>
        <v/>
      </c>
    </row>
    <row r="854">
      <c r="D854">
        <f>IF(C854="","",MIN(C854,Settings!$B$3))</f>
        <v/>
      </c>
      <c r="E854">
        <f>IF(C854="","",MAX(0,C854-D854))</f>
        <v/>
      </c>
    </row>
    <row r="855">
      <c r="D855">
        <f>IF(C855="","",MIN(C855,Settings!$B$3))</f>
        <v/>
      </c>
      <c r="E855">
        <f>IF(C855="","",MAX(0,C855-D855))</f>
        <v/>
      </c>
    </row>
    <row r="856">
      <c r="D856">
        <f>IF(C856="","",MIN(C856,Settings!$B$3))</f>
        <v/>
      </c>
      <c r="E856">
        <f>IF(C856="","",MAX(0,C856-D856))</f>
        <v/>
      </c>
    </row>
    <row r="857">
      <c r="D857">
        <f>IF(C857="","",MIN(C857,Settings!$B$3))</f>
        <v/>
      </c>
      <c r="E857">
        <f>IF(C857="","",MAX(0,C857-D857))</f>
        <v/>
      </c>
    </row>
    <row r="858">
      <c r="D858">
        <f>IF(C858="","",MIN(C858,Settings!$B$3))</f>
        <v/>
      </c>
      <c r="E858">
        <f>IF(C858="","",MAX(0,C858-D858))</f>
        <v/>
      </c>
    </row>
    <row r="859">
      <c r="D859">
        <f>IF(C859="","",MIN(C859,Settings!$B$3))</f>
        <v/>
      </c>
      <c r="E859">
        <f>IF(C859="","",MAX(0,C859-D859))</f>
        <v/>
      </c>
    </row>
    <row r="860">
      <c r="D860">
        <f>IF(C860="","",MIN(C860,Settings!$B$3))</f>
        <v/>
      </c>
      <c r="E860">
        <f>IF(C860="","",MAX(0,C860-D860))</f>
        <v/>
      </c>
    </row>
    <row r="861">
      <c r="D861">
        <f>IF(C861="","",MIN(C861,Settings!$B$3))</f>
        <v/>
      </c>
      <c r="E861">
        <f>IF(C861="","",MAX(0,C861-D861))</f>
        <v/>
      </c>
    </row>
    <row r="862">
      <c r="D862">
        <f>IF(C862="","",MIN(C862,Settings!$B$3))</f>
        <v/>
      </c>
      <c r="E862">
        <f>IF(C862="","",MAX(0,C862-D862))</f>
        <v/>
      </c>
    </row>
    <row r="863">
      <c r="D863">
        <f>IF(C863="","",MIN(C863,Settings!$B$3))</f>
        <v/>
      </c>
      <c r="E863">
        <f>IF(C863="","",MAX(0,C863-D863))</f>
        <v/>
      </c>
    </row>
    <row r="864">
      <c r="D864">
        <f>IF(C864="","",MIN(C864,Settings!$B$3))</f>
        <v/>
      </c>
      <c r="E864">
        <f>IF(C864="","",MAX(0,C864-D864))</f>
        <v/>
      </c>
    </row>
    <row r="865">
      <c r="D865">
        <f>IF(C865="","",MIN(C865,Settings!$B$3))</f>
        <v/>
      </c>
      <c r="E865">
        <f>IF(C865="","",MAX(0,C865-D865))</f>
        <v/>
      </c>
    </row>
    <row r="866">
      <c r="D866">
        <f>IF(C866="","",MIN(C866,Settings!$B$3))</f>
        <v/>
      </c>
      <c r="E866">
        <f>IF(C866="","",MAX(0,C866-D866))</f>
        <v/>
      </c>
    </row>
    <row r="867">
      <c r="D867">
        <f>IF(C867="","",MIN(C867,Settings!$B$3))</f>
        <v/>
      </c>
      <c r="E867">
        <f>IF(C867="","",MAX(0,C867-D867))</f>
        <v/>
      </c>
    </row>
    <row r="868">
      <c r="D868">
        <f>IF(C868="","",MIN(C868,Settings!$B$3))</f>
        <v/>
      </c>
      <c r="E868">
        <f>IF(C868="","",MAX(0,C868-D868))</f>
        <v/>
      </c>
    </row>
    <row r="869">
      <c r="D869">
        <f>IF(C869="","",MIN(C869,Settings!$B$3))</f>
        <v/>
      </c>
      <c r="E869">
        <f>IF(C869="","",MAX(0,C869-D869))</f>
        <v/>
      </c>
    </row>
    <row r="870">
      <c r="D870">
        <f>IF(C870="","",MIN(C870,Settings!$B$3))</f>
        <v/>
      </c>
      <c r="E870">
        <f>IF(C870="","",MAX(0,C870-D870))</f>
        <v/>
      </c>
    </row>
    <row r="871">
      <c r="D871">
        <f>IF(C871="","",MIN(C871,Settings!$B$3))</f>
        <v/>
      </c>
      <c r="E871">
        <f>IF(C871="","",MAX(0,C871-D871))</f>
        <v/>
      </c>
    </row>
    <row r="872">
      <c r="D872">
        <f>IF(C872="","",MIN(C872,Settings!$B$3))</f>
        <v/>
      </c>
      <c r="E872">
        <f>IF(C872="","",MAX(0,C872-D872))</f>
        <v/>
      </c>
    </row>
    <row r="873">
      <c r="D873">
        <f>IF(C873="","",MIN(C873,Settings!$B$3))</f>
        <v/>
      </c>
      <c r="E873">
        <f>IF(C873="","",MAX(0,C873-D873))</f>
        <v/>
      </c>
    </row>
    <row r="874">
      <c r="D874">
        <f>IF(C874="","",MIN(C874,Settings!$B$3))</f>
        <v/>
      </c>
      <c r="E874">
        <f>IF(C874="","",MAX(0,C874-D874))</f>
        <v/>
      </c>
    </row>
    <row r="875">
      <c r="D875">
        <f>IF(C875="","",MIN(C875,Settings!$B$3))</f>
        <v/>
      </c>
      <c r="E875">
        <f>IF(C875="","",MAX(0,C875-D875))</f>
        <v/>
      </c>
    </row>
    <row r="876">
      <c r="D876">
        <f>IF(C876="","",MIN(C876,Settings!$B$3))</f>
        <v/>
      </c>
      <c r="E876">
        <f>IF(C876="","",MAX(0,C876-D876))</f>
        <v/>
      </c>
    </row>
    <row r="877">
      <c r="D877">
        <f>IF(C877="","",MIN(C877,Settings!$B$3))</f>
        <v/>
      </c>
      <c r="E877">
        <f>IF(C877="","",MAX(0,C877-D877))</f>
        <v/>
      </c>
    </row>
    <row r="878">
      <c r="D878">
        <f>IF(C878="","",MIN(C878,Settings!$B$3))</f>
        <v/>
      </c>
      <c r="E878">
        <f>IF(C878="","",MAX(0,C878-D878))</f>
        <v/>
      </c>
    </row>
    <row r="879">
      <c r="D879">
        <f>IF(C879="","",MIN(C879,Settings!$B$3))</f>
        <v/>
      </c>
      <c r="E879">
        <f>IF(C879="","",MAX(0,C879-D879))</f>
        <v/>
      </c>
    </row>
    <row r="880">
      <c r="D880">
        <f>IF(C880="","",MIN(C880,Settings!$B$3))</f>
        <v/>
      </c>
      <c r="E880">
        <f>IF(C880="","",MAX(0,C880-D880))</f>
        <v/>
      </c>
    </row>
    <row r="881">
      <c r="D881">
        <f>IF(C881="","",MIN(C881,Settings!$B$3))</f>
        <v/>
      </c>
      <c r="E881">
        <f>IF(C881="","",MAX(0,C881-D881))</f>
        <v/>
      </c>
    </row>
    <row r="882">
      <c r="D882">
        <f>IF(C882="","",MIN(C882,Settings!$B$3))</f>
        <v/>
      </c>
      <c r="E882">
        <f>IF(C882="","",MAX(0,C882-D882))</f>
        <v/>
      </c>
    </row>
    <row r="883">
      <c r="D883">
        <f>IF(C883="","",MIN(C883,Settings!$B$3))</f>
        <v/>
      </c>
      <c r="E883">
        <f>IF(C883="","",MAX(0,C883-D883))</f>
        <v/>
      </c>
    </row>
    <row r="884">
      <c r="D884">
        <f>IF(C884="","",MIN(C884,Settings!$B$3))</f>
        <v/>
      </c>
      <c r="E884">
        <f>IF(C884="","",MAX(0,C884-D884))</f>
        <v/>
      </c>
    </row>
    <row r="885">
      <c r="D885">
        <f>IF(C885="","",MIN(C885,Settings!$B$3))</f>
        <v/>
      </c>
      <c r="E885">
        <f>IF(C885="","",MAX(0,C885-D885))</f>
        <v/>
      </c>
    </row>
    <row r="886">
      <c r="D886">
        <f>IF(C886="","",MIN(C886,Settings!$B$3))</f>
        <v/>
      </c>
      <c r="E886">
        <f>IF(C886="","",MAX(0,C886-D886))</f>
        <v/>
      </c>
    </row>
    <row r="887">
      <c r="D887">
        <f>IF(C887="","",MIN(C887,Settings!$B$3))</f>
        <v/>
      </c>
      <c r="E887">
        <f>IF(C887="","",MAX(0,C887-D887))</f>
        <v/>
      </c>
    </row>
    <row r="888">
      <c r="D888">
        <f>IF(C888="","",MIN(C888,Settings!$B$3))</f>
        <v/>
      </c>
      <c r="E888">
        <f>IF(C888="","",MAX(0,C888-D888))</f>
        <v/>
      </c>
    </row>
    <row r="889">
      <c r="D889">
        <f>IF(C889="","",MIN(C889,Settings!$B$3))</f>
        <v/>
      </c>
      <c r="E889">
        <f>IF(C889="","",MAX(0,C889-D889))</f>
        <v/>
      </c>
    </row>
    <row r="890">
      <c r="D890">
        <f>IF(C890="","",MIN(C890,Settings!$B$3))</f>
        <v/>
      </c>
      <c r="E890">
        <f>IF(C890="","",MAX(0,C890-D890))</f>
        <v/>
      </c>
    </row>
    <row r="891">
      <c r="D891">
        <f>IF(C891="","",MIN(C891,Settings!$B$3))</f>
        <v/>
      </c>
      <c r="E891">
        <f>IF(C891="","",MAX(0,C891-D891))</f>
        <v/>
      </c>
    </row>
    <row r="892">
      <c r="D892">
        <f>IF(C892="","",MIN(C892,Settings!$B$3))</f>
        <v/>
      </c>
      <c r="E892">
        <f>IF(C892="","",MAX(0,C892-D892))</f>
        <v/>
      </c>
    </row>
    <row r="893">
      <c r="D893">
        <f>IF(C893="","",MIN(C893,Settings!$B$3))</f>
        <v/>
      </c>
      <c r="E893">
        <f>IF(C893="","",MAX(0,C893-D893))</f>
        <v/>
      </c>
    </row>
    <row r="894">
      <c r="D894">
        <f>IF(C894="","",MIN(C894,Settings!$B$3))</f>
        <v/>
      </c>
      <c r="E894">
        <f>IF(C894="","",MAX(0,C894-D894))</f>
        <v/>
      </c>
    </row>
    <row r="895">
      <c r="D895">
        <f>IF(C895="","",MIN(C895,Settings!$B$3))</f>
        <v/>
      </c>
      <c r="E895">
        <f>IF(C895="","",MAX(0,C895-D895))</f>
        <v/>
      </c>
    </row>
    <row r="896">
      <c r="D896">
        <f>IF(C896="","",MIN(C896,Settings!$B$3))</f>
        <v/>
      </c>
      <c r="E896">
        <f>IF(C896="","",MAX(0,C896-D896))</f>
        <v/>
      </c>
    </row>
    <row r="897">
      <c r="D897">
        <f>IF(C897="","",MIN(C897,Settings!$B$3))</f>
        <v/>
      </c>
      <c r="E897">
        <f>IF(C897="","",MAX(0,C897-D897))</f>
        <v/>
      </c>
    </row>
    <row r="898">
      <c r="D898">
        <f>IF(C898="","",MIN(C898,Settings!$B$3))</f>
        <v/>
      </c>
      <c r="E898">
        <f>IF(C898="","",MAX(0,C898-D898))</f>
        <v/>
      </c>
    </row>
    <row r="899">
      <c r="D899">
        <f>IF(C899="","",MIN(C899,Settings!$B$3))</f>
        <v/>
      </c>
      <c r="E899">
        <f>IF(C899="","",MAX(0,C899-D899))</f>
        <v/>
      </c>
    </row>
    <row r="900">
      <c r="D900">
        <f>IF(C900="","",MIN(C900,Settings!$B$3))</f>
        <v/>
      </c>
      <c r="E900">
        <f>IF(C900="","",MAX(0,C900-D900))</f>
        <v/>
      </c>
    </row>
    <row r="901">
      <c r="D901">
        <f>IF(C901="","",MIN(C901,Settings!$B$3))</f>
        <v/>
      </c>
      <c r="E901">
        <f>IF(C901="","",MAX(0,C901-D901))</f>
        <v/>
      </c>
    </row>
    <row r="902">
      <c r="D902">
        <f>IF(C902="","",MIN(C902,Settings!$B$3))</f>
        <v/>
      </c>
      <c r="E902">
        <f>IF(C902="","",MAX(0,C902-D902))</f>
        <v/>
      </c>
    </row>
    <row r="903">
      <c r="D903">
        <f>IF(C903="","",MIN(C903,Settings!$B$3))</f>
        <v/>
      </c>
      <c r="E903">
        <f>IF(C903="","",MAX(0,C903-D903))</f>
        <v/>
      </c>
    </row>
    <row r="904">
      <c r="D904">
        <f>IF(C904="","",MIN(C904,Settings!$B$3))</f>
        <v/>
      </c>
      <c r="E904">
        <f>IF(C904="","",MAX(0,C904-D904))</f>
        <v/>
      </c>
    </row>
    <row r="905">
      <c r="D905">
        <f>IF(C905="","",MIN(C905,Settings!$B$3))</f>
        <v/>
      </c>
      <c r="E905">
        <f>IF(C905="","",MAX(0,C905-D905))</f>
        <v/>
      </c>
    </row>
    <row r="906">
      <c r="D906">
        <f>IF(C906="","",MIN(C906,Settings!$B$3))</f>
        <v/>
      </c>
      <c r="E906">
        <f>IF(C906="","",MAX(0,C906-D906))</f>
        <v/>
      </c>
    </row>
    <row r="907">
      <c r="D907">
        <f>IF(C907="","",MIN(C907,Settings!$B$3))</f>
        <v/>
      </c>
      <c r="E907">
        <f>IF(C907="","",MAX(0,C907-D907))</f>
        <v/>
      </c>
    </row>
    <row r="908">
      <c r="D908">
        <f>IF(C908="","",MIN(C908,Settings!$B$3))</f>
        <v/>
      </c>
      <c r="E908">
        <f>IF(C908="","",MAX(0,C908-D908))</f>
        <v/>
      </c>
    </row>
    <row r="909">
      <c r="D909">
        <f>IF(C909="","",MIN(C909,Settings!$B$3))</f>
        <v/>
      </c>
      <c r="E909">
        <f>IF(C909="","",MAX(0,C909-D909))</f>
        <v/>
      </c>
    </row>
    <row r="910">
      <c r="D910">
        <f>IF(C910="","",MIN(C910,Settings!$B$3))</f>
        <v/>
      </c>
      <c r="E910">
        <f>IF(C910="","",MAX(0,C910-D910))</f>
        <v/>
      </c>
    </row>
    <row r="911">
      <c r="D911">
        <f>IF(C911="","",MIN(C911,Settings!$B$3))</f>
        <v/>
      </c>
      <c r="E911">
        <f>IF(C911="","",MAX(0,C911-D911))</f>
        <v/>
      </c>
    </row>
    <row r="912">
      <c r="D912">
        <f>IF(C912="","",MIN(C912,Settings!$B$3))</f>
        <v/>
      </c>
      <c r="E912">
        <f>IF(C912="","",MAX(0,C912-D912))</f>
        <v/>
      </c>
    </row>
    <row r="913">
      <c r="D913">
        <f>IF(C913="","",MIN(C913,Settings!$B$3))</f>
        <v/>
      </c>
      <c r="E913">
        <f>IF(C913="","",MAX(0,C913-D913))</f>
        <v/>
      </c>
    </row>
    <row r="914">
      <c r="D914">
        <f>IF(C914="","",MIN(C914,Settings!$B$3))</f>
        <v/>
      </c>
      <c r="E914">
        <f>IF(C914="","",MAX(0,C914-D914))</f>
        <v/>
      </c>
    </row>
    <row r="915">
      <c r="D915">
        <f>IF(C915="","",MIN(C915,Settings!$B$3))</f>
        <v/>
      </c>
      <c r="E915">
        <f>IF(C915="","",MAX(0,C915-D915))</f>
        <v/>
      </c>
    </row>
    <row r="916">
      <c r="D916">
        <f>IF(C916="","",MIN(C916,Settings!$B$3))</f>
        <v/>
      </c>
      <c r="E916">
        <f>IF(C916="","",MAX(0,C916-D916))</f>
        <v/>
      </c>
    </row>
    <row r="917">
      <c r="D917">
        <f>IF(C917="","",MIN(C917,Settings!$B$3))</f>
        <v/>
      </c>
      <c r="E917">
        <f>IF(C917="","",MAX(0,C917-D917))</f>
        <v/>
      </c>
    </row>
    <row r="918">
      <c r="D918">
        <f>IF(C918="","",MIN(C918,Settings!$B$3))</f>
        <v/>
      </c>
      <c r="E918">
        <f>IF(C918="","",MAX(0,C918-D918))</f>
        <v/>
      </c>
    </row>
    <row r="919">
      <c r="D919">
        <f>IF(C919="","",MIN(C919,Settings!$B$3))</f>
        <v/>
      </c>
      <c r="E919">
        <f>IF(C919="","",MAX(0,C919-D919))</f>
        <v/>
      </c>
    </row>
    <row r="920">
      <c r="D920">
        <f>IF(C920="","",MIN(C920,Settings!$B$3))</f>
        <v/>
      </c>
      <c r="E920">
        <f>IF(C920="","",MAX(0,C920-D920))</f>
        <v/>
      </c>
    </row>
    <row r="921">
      <c r="D921">
        <f>IF(C921="","",MIN(C921,Settings!$B$3))</f>
        <v/>
      </c>
      <c r="E921">
        <f>IF(C921="","",MAX(0,C921-D921))</f>
        <v/>
      </c>
    </row>
    <row r="922">
      <c r="D922">
        <f>IF(C922="","",MIN(C922,Settings!$B$3))</f>
        <v/>
      </c>
      <c r="E922">
        <f>IF(C922="","",MAX(0,C922-D922))</f>
        <v/>
      </c>
    </row>
    <row r="923">
      <c r="D923">
        <f>IF(C923="","",MIN(C923,Settings!$B$3))</f>
        <v/>
      </c>
      <c r="E923">
        <f>IF(C923="","",MAX(0,C923-D923))</f>
        <v/>
      </c>
    </row>
    <row r="924">
      <c r="D924">
        <f>IF(C924="","",MIN(C924,Settings!$B$3))</f>
        <v/>
      </c>
      <c r="E924">
        <f>IF(C924="","",MAX(0,C924-D924))</f>
        <v/>
      </c>
    </row>
    <row r="925">
      <c r="D925">
        <f>IF(C925="","",MIN(C925,Settings!$B$3))</f>
        <v/>
      </c>
      <c r="E925">
        <f>IF(C925="","",MAX(0,C925-D925))</f>
        <v/>
      </c>
    </row>
    <row r="926">
      <c r="D926">
        <f>IF(C926="","",MIN(C926,Settings!$B$3))</f>
        <v/>
      </c>
      <c r="E926">
        <f>IF(C926="","",MAX(0,C926-D926))</f>
        <v/>
      </c>
    </row>
    <row r="927">
      <c r="D927">
        <f>IF(C927="","",MIN(C927,Settings!$B$3))</f>
        <v/>
      </c>
      <c r="E927">
        <f>IF(C927="","",MAX(0,C927-D927))</f>
        <v/>
      </c>
    </row>
    <row r="928">
      <c r="D928">
        <f>IF(C928="","",MIN(C928,Settings!$B$3))</f>
        <v/>
      </c>
      <c r="E928">
        <f>IF(C928="","",MAX(0,C928-D928))</f>
        <v/>
      </c>
    </row>
    <row r="929">
      <c r="D929">
        <f>IF(C929="","",MIN(C929,Settings!$B$3))</f>
        <v/>
      </c>
      <c r="E929">
        <f>IF(C929="","",MAX(0,C929-D929))</f>
        <v/>
      </c>
    </row>
    <row r="930">
      <c r="D930">
        <f>IF(C930="","",MIN(C930,Settings!$B$3))</f>
        <v/>
      </c>
      <c r="E930">
        <f>IF(C930="","",MAX(0,C930-D930))</f>
        <v/>
      </c>
    </row>
    <row r="931">
      <c r="D931">
        <f>IF(C931="","",MIN(C931,Settings!$B$3))</f>
        <v/>
      </c>
      <c r="E931">
        <f>IF(C931="","",MAX(0,C931-D931))</f>
        <v/>
      </c>
    </row>
    <row r="932">
      <c r="D932">
        <f>IF(C932="","",MIN(C932,Settings!$B$3))</f>
        <v/>
      </c>
      <c r="E932">
        <f>IF(C932="","",MAX(0,C932-D932))</f>
        <v/>
      </c>
    </row>
    <row r="933">
      <c r="D933">
        <f>IF(C933="","",MIN(C933,Settings!$B$3))</f>
        <v/>
      </c>
      <c r="E933">
        <f>IF(C933="","",MAX(0,C933-D933))</f>
        <v/>
      </c>
    </row>
    <row r="934">
      <c r="D934">
        <f>IF(C934="","",MIN(C934,Settings!$B$3))</f>
        <v/>
      </c>
      <c r="E934">
        <f>IF(C934="","",MAX(0,C934-D934))</f>
        <v/>
      </c>
    </row>
    <row r="935">
      <c r="D935">
        <f>IF(C935="","",MIN(C935,Settings!$B$3))</f>
        <v/>
      </c>
      <c r="E935">
        <f>IF(C935="","",MAX(0,C935-D935))</f>
        <v/>
      </c>
    </row>
    <row r="936">
      <c r="D936">
        <f>IF(C936="","",MIN(C936,Settings!$B$3))</f>
        <v/>
      </c>
      <c r="E936">
        <f>IF(C936="","",MAX(0,C936-D936))</f>
        <v/>
      </c>
    </row>
    <row r="937">
      <c r="D937">
        <f>IF(C937="","",MIN(C937,Settings!$B$3))</f>
        <v/>
      </c>
      <c r="E937">
        <f>IF(C937="","",MAX(0,C937-D937))</f>
        <v/>
      </c>
    </row>
    <row r="938">
      <c r="D938">
        <f>IF(C938="","",MIN(C938,Settings!$B$3))</f>
        <v/>
      </c>
      <c r="E938">
        <f>IF(C938="","",MAX(0,C938-D938))</f>
        <v/>
      </c>
    </row>
    <row r="939">
      <c r="D939">
        <f>IF(C939="","",MIN(C939,Settings!$B$3))</f>
        <v/>
      </c>
      <c r="E939">
        <f>IF(C939="","",MAX(0,C939-D939))</f>
        <v/>
      </c>
    </row>
    <row r="940">
      <c r="D940">
        <f>IF(C940="","",MIN(C940,Settings!$B$3))</f>
        <v/>
      </c>
      <c r="E940">
        <f>IF(C940="","",MAX(0,C940-D940))</f>
        <v/>
      </c>
    </row>
    <row r="941">
      <c r="D941">
        <f>IF(C941="","",MIN(C941,Settings!$B$3))</f>
        <v/>
      </c>
      <c r="E941">
        <f>IF(C941="","",MAX(0,C941-D941))</f>
        <v/>
      </c>
    </row>
    <row r="942">
      <c r="D942">
        <f>IF(C942="","",MIN(C942,Settings!$B$3))</f>
        <v/>
      </c>
      <c r="E942">
        <f>IF(C942="","",MAX(0,C942-D942))</f>
        <v/>
      </c>
    </row>
    <row r="943">
      <c r="D943">
        <f>IF(C943="","",MIN(C943,Settings!$B$3))</f>
        <v/>
      </c>
      <c r="E943">
        <f>IF(C943="","",MAX(0,C943-D943))</f>
        <v/>
      </c>
    </row>
    <row r="944">
      <c r="D944">
        <f>IF(C944="","",MIN(C944,Settings!$B$3))</f>
        <v/>
      </c>
      <c r="E944">
        <f>IF(C944="","",MAX(0,C944-D944))</f>
        <v/>
      </c>
    </row>
    <row r="945">
      <c r="D945">
        <f>IF(C945="","",MIN(C945,Settings!$B$3))</f>
        <v/>
      </c>
      <c r="E945">
        <f>IF(C945="","",MAX(0,C945-D945))</f>
        <v/>
      </c>
    </row>
    <row r="946">
      <c r="D946">
        <f>IF(C946="","",MIN(C946,Settings!$B$3))</f>
        <v/>
      </c>
      <c r="E946">
        <f>IF(C946="","",MAX(0,C946-D946))</f>
        <v/>
      </c>
    </row>
    <row r="947">
      <c r="D947">
        <f>IF(C947="","",MIN(C947,Settings!$B$3))</f>
        <v/>
      </c>
      <c r="E947">
        <f>IF(C947="","",MAX(0,C947-D947))</f>
        <v/>
      </c>
    </row>
    <row r="948">
      <c r="D948">
        <f>IF(C948="","",MIN(C948,Settings!$B$3))</f>
        <v/>
      </c>
      <c r="E948">
        <f>IF(C948="","",MAX(0,C948-D948))</f>
        <v/>
      </c>
    </row>
    <row r="949">
      <c r="D949">
        <f>IF(C949="","",MIN(C949,Settings!$B$3))</f>
        <v/>
      </c>
      <c r="E949">
        <f>IF(C949="","",MAX(0,C949-D949))</f>
        <v/>
      </c>
    </row>
    <row r="950">
      <c r="D950">
        <f>IF(C950="","",MIN(C950,Settings!$B$3))</f>
        <v/>
      </c>
      <c r="E950">
        <f>IF(C950="","",MAX(0,C950-D950))</f>
        <v/>
      </c>
    </row>
    <row r="951">
      <c r="D951">
        <f>IF(C951="","",MIN(C951,Settings!$B$3))</f>
        <v/>
      </c>
      <c r="E951">
        <f>IF(C951="","",MAX(0,C951-D951))</f>
        <v/>
      </c>
    </row>
    <row r="952">
      <c r="D952">
        <f>IF(C952="","",MIN(C952,Settings!$B$3))</f>
        <v/>
      </c>
      <c r="E952">
        <f>IF(C952="","",MAX(0,C952-D952))</f>
        <v/>
      </c>
    </row>
    <row r="953">
      <c r="D953">
        <f>IF(C953="","",MIN(C953,Settings!$B$3))</f>
        <v/>
      </c>
      <c r="E953">
        <f>IF(C953="","",MAX(0,C953-D953))</f>
        <v/>
      </c>
    </row>
    <row r="954">
      <c r="D954">
        <f>IF(C954="","",MIN(C954,Settings!$B$3))</f>
        <v/>
      </c>
      <c r="E954">
        <f>IF(C954="","",MAX(0,C954-D954))</f>
        <v/>
      </c>
    </row>
    <row r="955">
      <c r="D955">
        <f>IF(C955="","",MIN(C955,Settings!$B$3))</f>
        <v/>
      </c>
      <c r="E955">
        <f>IF(C955="","",MAX(0,C955-D955))</f>
        <v/>
      </c>
    </row>
    <row r="956">
      <c r="D956">
        <f>IF(C956="","",MIN(C956,Settings!$B$3))</f>
        <v/>
      </c>
      <c r="E956">
        <f>IF(C956="","",MAX(0,C956-D956))</f>
        <v/>
      </c>
    </row>
    <row r="957">
      <c r="D957">
        <f>IF(C957="","",MIN(C957,Settings!$B$3))</f>
        <v/>
      </c>
      <c r="E957">
        <f>IF(C957="","",MAX(0,C957-D957))</f>
        <v/>
      </c>
    </row>
    <row r="958">
      <c r="D958">
        <f>IF(C958="","",MIN(C958,Settings!$B$3))</f>
        <v/>
      </c>
      <c r="E958">
        <f>IF(C958="","",MAX(0,C958-D958))</f>
        <v/>
      </c>
    </row>
    <row r="959">
      <c r="D959">
        <f>IF(C959="","",MIN(C959,Settings!$B$3))</f>
        <v/>
      </c>
      <c r="E959">
        <f>IF(C959="","",MAX(0,C959-D959))</f>
        <v/>
      </c>
    </row>
    <row r="960">
      <c r="D960">
        <f>IF(C960="","",MIN(C960,Settings!$B$3))</f>
        <v/>
      </c>
      <c r="E960">
        <f>IF(C960="","",MAX(0,C960-D960))</f>
        <v/>
      </c>
    </row>
    <row r="961">
      <c r="D961">
        <f>IF(C961="","",MIN(C961,Settings!$B$3))</f>
        <v/>
      </c>
      <c r="E961">
        <f>IF(C961="","",MAX(0,C961-D961))</f>
        <v/>
      </c>
    </row>
    <row r="962">
      <c r="D962">
        <f>IF(C962="","",MIN(C962,Settings!$B$3))</f>
        <v/>
      </c>
      <c r="E962">
        <f>IF(C962="","",MAX(0,C962-D962))</f>
        <v/>
      </c>
    </row>
    <row r="963">
      <c r="D963">
        <f>IF(C963="","",MIN(C963,Settings!$B$3))</f>
        <v/>
      </c>
      <c r="E963">
        <f>IF(C963="","",MAX(0,C963-D963))</f>
        <v/>
      </c>
    </row>
    <row r="964">
      <c r="D964">
        <f>IF(C964="","",MIN(C964,Settings!$B$3))</f>
        <v/>
      </c>
      <c r="E964">
        <f>IF(C964="","",MAX(0,C964-D964))</f>
        <v/>
      </c>
    </row>
    <row r="965">
      <c r="D965">
        <f>IF(C965="","",MIN(C965,Settings!$B$3))</f>
        <v/>
      </c>
      <c r="E965">
        <f>IF(C965="","",MAX(0,C965-D965))</f>
        <v/>
      </c>
    </row>
    <row r="966">
      <c r="D966">
        <f>IF(C966="","",MIN(C966,Settings!$B$3))</f>
        <v/>
      </c>
      <c r="E966">
        <f>IF(C966="","",MAX(0,C966-D966))</f>
        <v/>
      </c>
    </row>
    <row r="967">
      <c r="D967">
        <f>IF(C967="","",MIN(C967,Settings!$B$3))</f>
        <v/>
      </c>
      <c r="E967">
        <f>IF(C967="","",MAX(0,C967-D967))</f>
        <v/>
      </c>
    </row>
    <row r="968">
      <c r="D968">
        <f>IF(C968="","",MIN(C968,Settings!$B$3))</f>
        <v/>
      </c>
      <c r="E968">
        <f>IF(C968="","",MAX(0,C968-D968))</f>
        <v/>
      </c>
    </row>
    <row r="969">
      <c r="D969">
        <f>IF(C969="","",MIN(C969,Settings!$B$3))</f>
        <v/>
      </c>
      <c r="E969">
        <f>IF(C969="","",MAX(0,C969-D969))</f>
        <v/>
      </c>
    </row>
    <row r="970">
      <c r="D970">
        <f>IF(C970="","",MIN(C970,Settings!$B$3))</f>
        <v/>
      </c>
      <c r="E970">
        <f>IF(C970="","",MAX(0,C970-D970))</f>
        <v/>
      </c>
    </row>
    <row r="971">
      <c r="D971">
        <f>IF(C971="","",MIN(C971,Settings!$B$3))</f>
        <v/>
      </c>
      <c r="E971">
        <f>IF(C971="","",MAX(0,C971-D971))</f>
        <v/>
      </c>
    </row>
    <row r="972">
      <c r="D972">
        <f>IF(C972="","",MIN(C972,Settings!$B$3))</f>
        <v/>
      </c>
      <c r="E972">
        <f>IF(C972="","",MAX(0,C972-D972))</f>
        <v/>
      </c>
    </row>
    <row r="973">
      <c r="D973">
        <f>IF(C973="","",MIN(C973,Settings!$B$3))</f>
        <v/>
      </c>
      <c r="E973">
        <f>IF(C973="","",MAX(0,C973-D973))</f>
        <v/>
      </c>
    </row>
    <row r="974">
      <c r="D974">
        <f>IF(C974="","",MIN(C974,Settings!$B$3))</f>
        <v/>
      </c>
      <c r="E974">
        <f>IF(C974="","",MAX(0,C974-D974))</f>
        <v/>
      </c>
    </row>
    <row r="975">
      <c r="D975">
        <f>IF(C975="","",MIN(C975,Settings!$B$3))</f>
        <v/>
      </c>
      <c r="E975">
        <f>IF(C975="","",MAX(0,C975-D975))</f>
        <v/>
      </c>
    </row>
    <row r="976">
      <c r="D976">
        <f>IF(C976="","",MIN(C976,Settings!$B$3))</f>
        <v/>
      </c>
      <c r="E976">
        <f>IF(C976="","",MAX(0,C976-D976))</f>
        <v/>
      </c>
    </row>
    <row r="977">
      <c r="D977">
        <f>IF(C977="","",MIN(C977,Settings!$B$3))</f>
        <v/>
      </c>
      <c r="E977">
        <f>IF(C977="","",MAX(0,C977-D977))</f>
        <v/>
      </c>
    </row>
    <row r="978">
      <c r="D978">
        <f>IF(C978="","",MIN(C978,Settings!$B$3))</f>
        <v/>
      </c>
      <c r="E978">
        <f>IF(C978="","",MAX(0,C978-D978))</f>
        <v/>
      </c>
    </row>
    <row r="979">
      <c r="D979">
        <f>IF(C979="","",MIN(C979,Settings!$B$3))</f>
        <v/>
      </c>
      <c r="E979">
        <f>IF(C979="","",MAX(0,C979-D979))</f>
        <v/>
      </c>
    </row>
    <row r="980">
      <c r="D980">
        <f>IF(C980="","",MIN(C980,Settings!$B$3))</f>
        <v/>
      </c>
      <c r="E980">
        <f>IF(C980="","",MAX(0,C980-D980))</f>
        <v/>
      </c>
    </row>
    <row r="981">
      <c r="D981">
        <f>IF(C981="","",MIN(C981,Settings!$B$3))</f>
        <v/>
      </c>
      <c r="E981">
        <f>IF(C981="","",MAX(0,C981-D981))</f>
        <v/>
      </c>
    </row>
    <row r="982">
      <c r="D982">
        <f>IF(C982="","",MIN(C982,Settings!$B$3))</f>
        <v/>
      </c>
      <c r="E982">
        <f>IF(C982="","",MAX(0,C982-D982))</f>
        <v/>
      </c>
    </row>
    <row r="983">
      <c r="D983">
        <f>IF(C983="","",MIN(C983,Settings!$B$3))</f>
        <v/>
      </c>
      <c r="E983">
        <f>IF(C983="","",MAX(0,C983-D983))</f>
        <v/>
      </c>
    </row>
    <row r="984">
      <c r="D984">
        <f>IF(C984="","",MIN(C984,Settings!$B$3))</f>
        <v/>
      </c>
      <c r="E984">
        <f>IF(C984="","",MAX(0,C984-D984))</f>
        <v/>
      </c>
    </row>
    <row r="985">
      <c r="D985">
        <f>IF(C985="","",MIN(C985,Settings!$B$3))</f>
        <v/>
      </c>
      <c r="E985">
        <f>IF(C985="","",MAX(0,C985-D985))</f>
        <v/>
      </c>
    </row>
    <row r="986">
      <c r="D986">
        <f>IF(C986="","",MIN(C986,Settings!$B$3))</f>
        <v/>
      </c>
      <c r="E986">
        <f>IF(C986="","",MAX(0,C986-D986))</f>
        <v/>
      </c>
    </row>
    <row r="987">
      <c r="D987">
        <f>IF(C987="","",MIN(C987,Settings!$B$3))</f>
        <v/>
      </c>
      <c r="E987">
        <f>IF(C987="","",MAX(0,C987-D987))</f>
        <v/>
      </c>
    </row>
    <row r="988">
      <c r="D988">
        <f>IF(C988="","",MIN(C988,Settings!$B$3))</f>
        <v/>
      </c>
      <c r="E988">
        <f>IF(C988="","",MAX(0,C988-D988))</f>
        <v/>
      </c>
    </row>
    <row r="989">
      <c r="D989">
        <f>IF(C989="","",MIN(C989,Settings!$B$3))</f>
        <v/>
      </c>
      <c r="E989">
        <f>IF(C989="","",MAX(0,C989-D989))</f>
        <v/>
      </c>
    </row>
    <row r="990">
      <c r="D990">
        <f>IF(C990="","",MIN(C990,Settings!$B$3))</f>
        <v/>
      </c>
      <c r="E990">
        <f>IF(C990="","",MAX(0,C990-D990))</f>
        <v/>
      </c>
    </row>
    <row r="991">
      <c r="D991">
        <f>IF(C991="","",MIN(C991,Settings!$B$3))</f>
        <v/>
      </c>
      <c r="E991">
        <f>IF(C991="","",MAX(0,C991-D991))</f>
        <v/>
      </c>
    </row>
    <row r="992">
      <c r="D992">
        <f>IF(C992="","",MIN(C992,Settings!$B$3))</f>
        <v/>
      </c>
      <c r="E992">
        <f>IF(C992="","",MAX(0,C992-D992))</f>
        <v/>
      </c>
    </row>
    <row r="993">
      <c r="D993">
        <f>IF(C993="","",MIN(C993,Settings!$B$3))</f>
        <v/>
      </c>
      <c r="E993">
        <f>IF(C993="","",MAX(0,C993-D993))</f>
        <v/>
      </c>
    </row>
    <row r="994">
      <c r="D994">
        <f>IF(C994="","",MIN(C994,Settings!$B$3))</f>
        <v/>
      </c>
      <c r="E994">
        <f>IF(C994="","",MAX(0,C994-D994))</f>
        <v/>
      </c>
    </row>
    <row r="995">
      <c r="D995">
        <f>IF(C995="","",MIN(C995,Settings!$B$3))</f>
        <v/>
      </c>
      <c r="E995">
        <f>IF(C995="","",MAX(0,C995-D995))</f>
        <v/>
      </c>
    </row>
    <row r="996">
      <c r="D996">
        <f>IF(C996="","",MIN(C996,Settings!$B$3))</f>
        <v/>
      </c>
      <c r="E996">
        <f>IF(C996="","",MAX(0,C996-D996))</f>
        <v/>
      </c>
    </row>
    <row r="997">
      <c r="D997">
        <f>IF(C997="","",MIN(C997,Settings!$B$3))</f>
        <v/>
      </c>
      <c r="E997">
        <f>IF(C997="","",MAX(0,C997-D997))</f>
        <v/>
      </c>
    </row>
    <row r="998">
      <c r="D998">
        <f>IF(C998="","",MIN(C998,Settings!$B$3))</f>
        <v/>
      </c>
      <c r="E998">
        <f>IF(C998="","",MAX(0,C998-D998))</f>
        <v/>
      </c>
    </row>
    <row r="999">
      <c r="D999">
        <f>IF(C999="","",MIN(C999,Settings!$B$3))</f>
        <v/>
      </c>
      <c r="E999">
        <f>IF(C999="","",MAX(0,C999-D999))</f>
        <v/>
      </c>
    </row>
    <row r="1000">
      <c r="D1000">
        <f>IF(C1000="","",MIN(C1000,Settings!$B$3))</f>
        <v/>
      </c>
      <c r="E1000">
        <f>IF(C1000="","",MAX(0,C1000-D1000))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12" customWidth="1" style="38" min="2" max="2"/>
    <col width="12" customWidth="1" style="38" min="3" max="3"/>
    <col width="39" customWidth="1" style="38" min="4" max="4"/>
    <col width="31" customWidth="1" style="38" min="5" max="5"/>
  </cols>
  <sheetData>
    <row r="1">
      <c r="A1" s="39" t="inlineStr">
        <is>
          <t>MonthKey</t>
        </is>
      </c>
      <c r="B1" s="39" t="inlineStr">
        <is>
          <t>CoachID</t>
        </is>
      </c>
      <c r="C1" s="39" t="inlineStr">
        <is>
          <t>OpsRaw</t>
        </is>
      </c>
      <c r="D1" s="39" t="inlineStr">
        <is>
          <t>OpsCounted</t>
        </is>
      </c>
      <c r="E1" s="39" t="inlineStr">
        <is>
          <t>OverCap</t>
        </is>
      </c>
    </row>
    <row r="2">
      <c r="A2" s="23">
        <f>IFERROR(QUERY(XPLog!A2:P1000,"select Col15,Col2,sum(Col13) where Col10 matches 'Ops|Professional|Systems|Programming|Experience' and Col13 is not null group by Col15,Col2 label sum(Col13) ''",0),"")</f>
        <v/>
      </c>
      <c r="D2" s="23">
        <f>IF(C2="","",MIN(C2,Settings!$B$4))</f>
        <v/>
      </c>
      <c r="E2" s="23">
        <f>IF(C2="","",MAX(0,C2-D2))</f>
        <v/>
      </c>
    </row>
    <row r="3">
      <c r="D3">
        <f>IF(C3="","",MIN(C3,Settings!$B$4))</f>
        <v/>
      </c>
      <c r="E3">
        <f>IF(C3="","",MAX(0,C3-D3))</f>
        <v/>
      </c>
    </row>
    <row r="4">
      <c r="D4">
        <f>IF(C4="","",MIN(C4,Settings!$B$4))</f>
        <v/>
      </c>
      <c r="E4">
        <f>IF(C4="","",MAX(0,C4-D4))</f>
        <v/>
      </c>
    </row>
    <row r="5">
      <c r="D5">
        <f>IF(C5="","",MIN(C5,Settings!$B$4))</f>
        <v/>
      </c>
      <c r="E5">
        <f>IF(C5="","",MAX(0,C5-D5))</f>
        <v/>
      </c>
    </row>
    <row r="6">
      <c r="D6">
        <f>IF(C6="","",MIN(C6,Settings!$B$4))</f>
        <v/>
      </c>
      <c r="E6">
        <f>IF(C6="","",MAX(0,C6-D6))</f>
        <v/>
      </c>
    </row>
    <row r="7">
      <c r="D7">
        <f>IF(C7="","",MIN(C7,Settings!$B$4))</f>
        <v/>
      </c>
      <c r="E7">
        <f>IF(C7="","",MAX(0,C7-D7))</f>
        <v/>
      </c>
    </row>
    <row r="8">
      <c r="D8">
        <f>IF(C8="","",MIN(C8,Settings!$B$4))</f>
        <v/>
      </c>
      <c r="E8">
        <f>IF(C8="","",MAX(0,C8-D8))</f>
        <v/>
      </c>
    </row>
    <row r="9">
      <c r="D9">
        <f>IF(C9="","",MIN(C9,Settings!$B$4))</f>
        <v/>
      </c>
      <c r="E9">
        <f>IF(C9="","",MAX(0,C9-D9))</f>
        <v/>
      </c>
    </row>
    <row r="10">
      <c r="D10">
        <f>IF(C10="","",MIN(C10,Settings!$B$4))</f>
        <v/>
      </c>
      <c r="E10">
        <f>IF(C10="","",MAX(0,C10-D10))</f>
        <v/>
      </c>
    </row>
    <row r="11">
      <c r="D11">
        <f>IF(C11="","",MIN(C11,Settings!$B$4))</f>
        <v/>
      </c>
      <c r="E11">
        <f>IF(C11="","",MAX(0,C11-D11))</f>
        <v/>
      </c>
    </row>
    <row r="12">
      <c r="D12">
        <f>IF(C12="","",MIN(C12,Settings!$B$4))</f>
        <v/>
      </c>
      <c r="E12">
        <f>IF(C12="","",MAX(0,C12-D12))</f>
        <v/>
      </c>
    </row>
    <row r="13">
      <c r="D13">
        <f>IF(C13="","",MIN(C13,Settings!$B$4))</f>
        <v/>
      </c>
      <c r="E13">
        <f>IF(C13="","",MAX(0,C13-D13))</f>
        <v/>
      </c>
    </row>
    <row r="14">
      <c r="D14">
        <f>IF(C14="","",MIN(C14,Settings!$B$4))</f>
        <v/>
      </c>
      <c r="E14">
        <f>IF(C14="","",MAX(0,C14-D14))</f>
        <v/>
      </c>
    </row>
    <row r="15">
      <c r="D15">
        <f>IF(C15="","",MIN(C15,Settings!$B$4))</f>
        <v/>
      </c>
      <c r="E15">
        <f>IF(C15="","",MAX(0,C15-D15))</f>
        <v/>
      </c>
    </row>
    <row r="16">
      <c r="D16">
        <f>IF(C16="","",MIN(C16,Settings!$B$4))</f>
        <v/>
      </c>
      <c r="E16">
        <f>IF(C16="","",MAX(0,C16-D16))</f>
        <v/>
      </c>
    </row>
    <row r="17">
      <c r="D17">
        <f>IF(C17="","",MIN(C17,Settings!$B$4))</f>
        <v/>
      </c>
      <c r="E17">
        <f>IF(C17="","",MAX(0,C17-D17))</f>
        <v/>
      </c>
    </row>
    <row r="18">
      <c r="D18">
        <f>IF(C18="","",MIN(C18,Settings!$B$4))</f>
        <v/>
      </c>
      <c r="E18">
        <f>IF(C18="","",MAX(0,C18-D18))</f>
        <v/>
      </c>
    </row>
    <row r="19">
      <c r="D19">
        <f>IF(C19="","",MIN(C19,Settings!$B$4))</f>
        <v/>
      </c>
      <c r="E19">
        <f>IF(C19="","",MAX(0,C19-D19))</f>
        <v/>
      </c>
    </row>
    <row r="20">
      <c r="D20">
        <f>IF(C20="","",MIN(C20,Settings!$B$4))</f>
        <v/>
      </c>
      <c r="E20">
        <f>IF(C20="","",MAX(0,C20-D20))</f>
        <v/>
      </c>
    </row>
    <row r="21">
      <c r="D21">
        <f>IF(C21="","",MIN(C21,Settings!$B$4))</f>
        <v/>
      </c>
      <c r="E21">
        <f>IF(C21="","",MAX(0,C21-D21))</f>
        <v/>
      </c>
    </row>
    <row r="22">
      <c r="D22">
        <f>IF(C22="","",MIN(C22,Settings!$B$4))</f>
        <v/>
      </c>
      <c r="E22">
        <f>IF(C22="","",MAX(0,C22-D22))</f>
        <v/>
      </c>
    </row>
    <row r="23">
      <c r="D23">
        <f>IF(C23="","",MIN(C23,Settings!$B$4))</f>
        <v/>
      </c>
      <c r="E23">
        <f>IF(C23="","",MAX(0,C23-D23))</f>
        <v/>
      </c>
    </row>
    <row r="24">
      <c r="D24">
        <f>IF(C24="","",MIN(C24,Settings!$B$4))</f>
        <v/>
      </c>
      <c r="E24">
        <f>IF(C24="","",MAX(0,C24-D24))</f>
        <v/>
      </c>
    </row>
    <row r="25">
      <c r="D25">
        <f>IF(C25="","",MIN(C25,Settings!$B$4))</f>
        <v/>
      </c>
      <c r="E25">
        <f>IF(C25="","",MAX(0,C25-D25))</f>
        <v/>
      </c>
    </row>
    <row r="26">
      <c r="D26">
        <f>IF(C26="","",MIN(C26,Settings!$B$4))</f>
        <v/>
      </c>
      <c r="E26">
        <f>IF(C26="","",MAX(0,C26-D26))</f>
        <v/>
      </c>
    </row>
    <row r="27">
      <c r="D27">
        <f>IF(C27="","",MIN(C27,Settings!$B$4))</f>
        <v/>
      </c>
      <c r="E27">
        <f>IF(C27="","",MAX(0,C27-D27))</f>
        <v/>
      </c>
    </row>
    <row r="28">
      <c r="D28">
        <f>IF(C28="","",MIN(C28,Settings!$B$4))</f>
        <v/>
      </c>
      <c r="E28">
        <f>IF(C28="","",MAX(0,C28-D28))</f>
        <v/>
      </c>
    </row>
    <row r="29">
      <c r="D29">
        <f>IF(C29="","",MIN(C29,Settings!$B$4))</f>
        <v/>
      </c>
      <c r="E29">
        <f>IF(C29="","",MAX(0,C29-D29))</f>
        <v/>
      </c>
    </row>
    <row r="30">
      <c r="D30">
        <f>IF(C30="","",MIN(C30,Settings!$B$4))</f>
        <v/>
      </c>
      <c r="E30">
        <f>IF(C30="","",MAX(0,C30-D30))</f>
        <v/>
      </c>
    </row>
    <row r="31">
      <c r="D31">
        <f>IF(C31="","",MIN(C31,Settings!$B$4))</f>
        <v/>
      </c>
      <c r="E31">
        <f>IF(C31="","",MAX(0,C31-D31))</f>
        <v/>
      </c>
    </row>
    <row r="32">
      <c r="D32">
        <f>IF(C32="","",MIN(C32,Settings!$B$4))</f>
        <v/>
      </c>
      <c r="E32">
        <f>IF(C32="","",MAX(0,C32-D32))</f>
        <v/>
      </c>
    </row>
    <row r="33">
      <c r="D33">
        <f>IF(C33="","",MIN(C33,Settings!$B$4))</f>
        <v/>
      </c>
      <c r="E33">
        <f>IF(C33="","",MAX(0,C33-D33))</f>
        <v/>
      </c>
    </row>
    <row r="34">
      <c r="D34">
        <f>IF(C34="","",MIN(C34,Settings!$B$4))</f>
        <v/>
      </c>
      <c r="E34">
        <f>IF(C34="","",MAX(0,C34-D34))</f>
        <v/>
      </c>
    </row>
    <row r="35">
      <c r="D35">
        <f>IF(C35="","",MIN(C35,Settings!$B$4))</f>
        <v/>
      </c>
      <c r="E35">
        <f>IF(C35="","",MAX(0,C35-D35))</f>
        <v/>
      </c>
    </row>
    <row r="36">
      <c r="D36">
        <f>IF(C36="","",MIN(C36,Settings!$B$4))</f>
        <v/>
      </c>
      <c r="E36">
        <f>IF(C36="","",MAX(0,C36-D36))</f>
        <v/>
      </c>
    </row>
    <row r="37">
      <c r="D37">
        <f>IF(C37="","",MIN(C37,Settings!$B$4))</f>
        <v/>
      </c>
      <c r="E37">
        <f>IF(C37="","",MAX(0,C37-D37))</f>
        <v/>
      </c>
    </row>
    <row r="38">
      <c r="D38">
        <f>IF(C38="","",MIN(C38,Settings!$B$4))</f>
        <v/>
      </c>
      <c r="E38">
        <f>IF(C38="","",MAX(0,C38-D38))</f>
        <v/>
      </c>
    </row>
    <row r="39">
      <c r="D39">
        <f>IF(C39="","",MIN(C39,Settings!$B$4))</f>
        <v/>
      </c>
      <c r="E39">
        <f>IF(C39="","",MAX(0,C39-D39))</f>
        <v/>
      </c>
    </row>
    <row r="40">
      <c r="D40">
        <f>IF(C40="","",MIN(C40,Settings!$B$4))</f>
        <v/>
      </c>
      <c r="E40">
        <f>IF(C40="","",MAX(0,C40-D40))</f>
        <v/>
      </c>
    </row>
    <row r="41">
      <c r="D41">
        <f>IF(C41="","",MIN(C41,Settings!$B$4))</f>
        <v/>
      </c>
      <c r="E41">
        <f>IF(C41="","",MAX(0,C41-D41))</f>
        <v/>
      </c>
    </row>
    <row r="42">
      <c r="D42">
        <f>IF(C42="","",MIN(C42,Settings!$B$4))</f>
        <v/>
      </c>
      <c r="E42">
        <f>IF(C42="","",MAX(0,C42-D42))</f>
        <v/>
      </c>
    </row>
    <row r="43">
      <c r="D43">
        <f>IF(C43="","",MIN(C43,Settings!$B$4))</f>
        <v/>
      </c>
      <c r="E43">
        <f>IF(C43="","",MAX(0,C43-D43))</f>
        <v/>
      </c>
    </row>
    <row r="44">
      <c r="D44">
        <f>IF(C44="","",MIN(C44,Settings!$B$4))</f>
        <v/>
      </c>
      <c r="E44">
        <f>IF(C44="","",MAX(0,C44-D44))</f>
        <v/>
      </c>
    </row>
    <row r="45">
      <c r="D45">
        <f>IF(C45="","",MIN(C45,Settings!$B$4))</f>
        <v/>
      </c>
      <c r="E45">
        <f>IF(C45="","",MAX(0,C45-D45))</f>
        <v/>
      </c>
    </row>
    <row r="46">
      <c r="D46">
        <f>IF(C46="","",MIN(C46,Settings!$B$4))</f>
        <v/>
      </c>
      <c r="E46">
        <f>IF(C46="","",MAX(0,C46-D46))</f>
        <v/>
      </c>
    </row>
    <row r="47">
      <c r="D47">
        <f>IF(C47="","",MIN(C47,Settings!$B$4))</f>
        <v/>
      </c>
      <c r="E47">
        <f>IF(C47="","",MAX(0,C47-D47))</f>
        <v/>
      </c>
    </row>
    <row r="48">
      <c r="D48">
        <f>IF(C48="","",MIN(C48,Settings!$B$4))</f>
        <v/>
      </c>
      <c r="E48">
        <f>IF(C48="","",MAX(0,C48-D48))</f>
        <v/>
      </c>
    </row>
    <row r="49">
      <c r="D49">
        <f>IF(C49="","",MIN(C49,Settings!$B$4))</f>
        <v/>
      </c>
      <c r="E49">
        <f>IF(C49="","",MAX(0,C49-D49))</f>
        <v/>
      </c>
    </row>
    <row r="50">
      <c r="D50">
        <f>IF(C50="","",MIN(C50,Settings!$B$4))</f>
        <v/>
      </c>
      <c r="E50">
        <f>IF(C50="","",MAX(0,C50-D50))</f>
        <v/>
      </c>
    </row>
    <row r="51">
      <c r="D51">
        <f>IF(C51="","",MIN(C51,Settings!$B$4))</f>
        <v/>
      </c>
      <c r="E51">
        <f>IF(C51="","",MAX(0,C51-D51))</f>
        <v/>
      </c>
    </row>
    <row r="52">
      <c r="D52">
        <f>IF(C52="","",MIN(C52,Settings!$B$4))</f>
        <v/>
      </c>
      <c r="E52">
        <f>IF(C52="","",MAX(0,C52-D52))</f>
        <v/>
      </c>
    </row>
    <row r="53">
      <c r="D53">
        <f>IF(C53="","",MIN(C53,Settings!$B$4))</f>
        <v/>
      </c>
      <c r="E53">
        <f>IF(C53="","",MAX(0,C53-D53))</f>
        <v/>
      </c>
    </row>
    <row r="54">
      <c r="D54">
        <f>IF(C54="","",MIN(C54,Settings!$B$4))</f>
        <v/>
      </c>
      <c r="E54">
        <f>IF(C54="","",MAX(0,C54-D54))</f>
        <v/>
      </c>
    </row>
    <row r="55">
      <c r="D55">
        <f>IF(C55="","",MIN(C55,Settings!$B$4))</f>
        <v/>
      </c>
      <c r="E55">
        <f>IF(C55="","",MAX(0,C55-D55))</f>
        <v/>
      </c>
    </row>
    <row r="56">
      <c r="D56">
        <f>IF(C56="","",MIN(C56,Settings!$B$4))</f>
        <v/>
      </c>
      <c r="E56">
        <f>IF(C56="","",MAX(0,C56-D56))</f>
        <v/>
      </c>
    </row>
    <row r="57">
      <c r="D57">
        <f>IF(C57="","",MIN(C57,Settings!$B$4))</f>
        <v/>
      </c>
      <c r="E57">
        <f>IF(C57="","",MAX(0,C57-D57))</f>
        <v/>
      </c>
    </row>
    <row r="58">
      <c r="D58">
        <f>IF(C58="","",MIN(C58,Settings!$B$4))</f>
        <v/>
      </c>
      <c r="E58">
        <f>IF(C58="","",MAX(0,C58-D58))</f>
        <v/>
      </c>
    </row>
    <row r="59">
      <c r="D59">
        <f>IF(C59="","",MIN(C59,Settings!$B$4))</f>
        <v/>
      </c>
      <c r="E59">
        <f>IF(C59="","",MAX(0,C59-D59))</f>
        <v/>
      </c>
    </row>
    <row r="60">
      <c r="D60">
        <f>IF(C60="","",MIN(C60,Settings!$B$4))</f>
        <v/>
      </c>
      <c r="E60">
        <f>IF(C60="","",MAX(0,C60-D60))</f>
        <v/>
      </c>
    </row>
    <row r="61">
      <c r="D61">
        <f>IF(C61="","",MIN(C61,Settings!$B$4))</f>
        <v/>
      </c>
      <c r="E61">
        <f>IF(C61="","",MAX(0,C61-D61))</f>
        <v/>
      </c>
    </row>
    <row r="62">
      <c r="D62">
        <f>IF(C62="","",MIN(C62,Settings!$B$4))</f>
        <v/>
      </c>
      <c r="E62">
        <f>IF(C62="","",MAX(0,C62-D62))</f>
        <v/>
      </c>
    </row>
    <row r="63">
      <c r="D63">
        <f>IF(C63="","",MIN(C63,Settings!$B$4))</f>
        <v/>
      </c>
      <c r="E63">
        <f>IF(C63="","",MAX(0,C63-D63))</f>
        <v/>
      </c>
    </row>
    <row r="64">
      <c r="D64">
        <f>IF(C64="","",MIN(C64,Settings!$B$4))</f>
        <v/>
      </c>
      <c r="E64">
        <f>IF(C64="","",MAX(0,C64-D64))</f>
        <v/>
      </c>
    </row>
    <row r="65">
      <c r="D65">
        <f>IF(C65="","",MIN(C65,Settings!$B$4))</f>
        <v/>
      </c>
      <c r="E65">
        <f>IF(C65="","",MAX(0,C65-D65))</f>
        <v/>
      </c>
    </row>
    <row r="66">
      <c r="D66">
        <f>IF(C66="","",MIN(C66,Settings!$B$4))</f>
        <v/>
      </c>
      <c r="E66">
        <f>IF(C66="","",MAX(0,C66-D66))</f>
        <v/>
      </c>
    </row>
    <row r="67">
      <c r="D67">
        <f>IF(C67="","",MIN(C67,Settings!$B$4))</f>
        <v/>
      </c>
      <c r="E67">
        <f>IF(C67="","",MAX(0,C67-D67))</f>
        <v/>
      </c>
    </row>
    <row r="68">
      <c r="D68">
        <f>IF(C68="","",MIN(C68,Settings!$B$4))</f>
        <v/>
      </c>
      <c r="E68">
        <f>IF(C68="","",MAX(0,C68-D68))</f>
        <v/>
      </c>
    </row>
    <row r="69">
      <c r="D69">
        <f>IF(C69="","",MIN(C69,Settings!$B$4))</f>
        <v/>
      </c>
      <c r="E69">
        <f>IF(C69="","",MAX(0,C69-D69))</f>
        <v/>
      </c>
    </row>
    <row r="70">
      <c r="D70">
        <f>IF(C70="","",MIN(C70,Settings!$B$4))</f>
        <v/>
      </c>
      <c r="E70">
        <f>IF(C70="","",MAX(0,C70-D70))</f>
        <v/>
      </c>
    </row>
    <row r="71">
      <c r="D71">
        <f>IF(C71="","",MIN(C71,Settings!$B$4))</f>
        <v/>
      </c>
      <c r="E71">
        <f>IF(C71="","",MAX(0,C71-D71))</f>
        <v/>
      </c>
    </row>
    <row r="72">
      <c r="D72">
        <f>IF(C72="","",MIN(C72,Settings!$B$4))</f>
        <v/>
      </c>
      <c r="E72">
        <f>IF(C72="","",MAX(0,C72-D72))</f>
        <v/>
      </c>
    </row>
    <row r="73">
      <c r="D73">
        <f>IF(C73="","",MIN(C73,Settings!$B$4))</f>
        <v/>
      </c>
      <c r="E73">
        <f>IF(C73="","",MAX(0,C73-D73))</f>
        <v/>
      </c>
    </row>
    <row r="74">
      <c r="D74">
        <f>IF(C74="","",MIN(C74,Settings!$B$4))</f>
        <v/>
      </c>
      <c r="E74">
        <f>IF(C74="","",MAX(0,C74-D74))</f>
        <v/>
      </c>
    </row>
    <row r="75">
      <c r="D75">
        <f>IF(C75="","",MIN(C75,Settings!$B$4))</f>
        <v/>
      </c>
      <c r="E75">
        <f>IF(C75="","",MAX(0,C75-D75))</f>
        <v/>
      </c>
    </row>
    <row r="76">
      <c r="D76">
        <f>IF(C76="","",MIN(C76,Settings!$B$4))</f>
        <v/>
      </c>
      <c r="E76">
        <f>IF(C76="","",MAX(0,C76-D76))</f>
        <v/>
      </c>
    </row>
    <row r="77">
      <c r="D77">
        <f>IF(C77="","",MIN(C77,Settings!$B$4))</f>
        <v/>
      </c>
      <c r="E77">
        <f>IF(C77="","",MAX(0,C77-D77))</f>
        <v/>
      </c>
    </row>
    <row r="78">
      <c r="D78">
        <f>IF(C78="","",MIN(C78,Settings!$B$4))</f>
        <v/>
      </c>
      <c r="E78">
        <f>IF(C78="","",MAX(0,C78-D78))</f>
        <v/>
      </c>
    </row>
    <row r="79">
      <c r="D79">
        <f>IF(C79="","",MIN(C79,Settings!$B$4))</f>
        <v/>
      </c>
      <c r="E79">
        <f>IF(C79="","",MAX(0,C79-D79))</f>
        <v/>
      </c>
    </row>
    <row r="80">
      <c r="D80">
        <f>IF(C80="","",MIN(C80,Settings!$B$4))</f>
        <v/>
      </c>
      <c r="E80">
        <f>IF(C80="","",MAX(0,C80-D80))</f>
        <v/>
      </c>
    </row>
    <row r="81">
      <c r="D81">
        <f>IF(C81="","",MIN(C81,Settings!$B$4))</f>
        <v/>
      </c>
      <c r="E81">
        <f>IF(C81="","",MAX(0,C81-D81))</f>
        <v/>
      </c>
    </row>
    <row r="82">
      <c r="D82">
        <f>IF(C82="","",MIN(C82,Settings!$B$4))</f>
        <v/>
      </c>
      <c r="E82">
        <f>IF(C82="","",MAX(0,C82-D82))</f>
        <v/>
      </c>
    </row>
    <row r="83">
      <c r="D83">
        <f>IF(C83="","",MIN(C83,Settings!$B$4))</f>
        <v/>
      </c>
      <c r="E83">
        <f>IF(C83="","",MAX(0,C83-D83))</f>
        <v/>
      </c>
    </row>
    <row r="84">
      <c r="D84">
        <f>IF(C84="","",MIN(C84,Settings!$B$4))</f>
        <v/>
      </c>
      <c r="E84">
        <f>IF(C84="","",MAX(0,C84-D84))</f>
        <v/>
      </c>
    </row>
    <row r="85">
      <c r="D85">
        <f>IF(C85="","",MIN(C85,Settings!$B$4))</f>
        <v/>
      </c>
      <c r="E85">
        <f>IF(C85="","",MAX(0,C85-D85))</f>
        <v/>
      </c>
    </row>
    <row r="86">
      <c r="D86">
        <f>IF(C86="","",MIN(C86,Settings!$B$4))</f>
        <v/>
      </c>
      <c r="E86">
        <f>IF(C86="","",MAX(0,C86-D86))</f>
        <v/>
      </c>
    </row>
    <row r="87">
      <c r="D87">
        <f>IF(C87="","",MIN(C87,Settings!$B$4))</f>
        <v/>
      </c>
      <c r="E87">
        <f>IF(C87="","",MAX(0,C87-D87))</f>
        <v/>
      </c>
    </row>
    <row r="88">
      <c r="D88">
        <f>IF(C88="","",MIN(C88,Settings!$B$4))</f>
        <v/>
      </c>
      <c r="E88">
        <f>IF(C88="","",MAX(0,C88-D88))</f>
        <v/>
      </c>
    </row>
    <row r="89">
      <c r="D89">
        <f>IF(C89="","",MIN(C89,Settings!$B$4))</f>
        <v/>
      </c>
      <c r="E89">
        <f>IF(C89="","",MAX(0,C89-D89))</f>
        <v/>
      </c>
    </row>
    <row r="90">
      <c r="D90">
        <f>IF(C90="","",MIN(C90,Settings!$B$4))</f>
        <v/>
      </c>
      <c r="E90">
        <f>IF(C90="","",MAX(0,C90-D90))</f>
        <v/>
      </c>
    </row>
    <row r="91">
      <c r="D91">
        <f>IF(C91="","",MIN(C91,Settings!$B$4))</f>
        <v/>
      </c>
      <c r="E91">
        <f>IF(C91="","",MAX(0,C91-D91))</f>
        <v/>
      </c>
    </row>
    <row r="92">
      <c r="D92">
        <f>IF(C92="","",MIN(C92,Settings!$B$4))</f>
        <v/>
      </c>
      <c r="E92">
        <f>IF(C92="","",MAX(0,C92-D92))</f>
        <v/>
      </c>
    </row>
    <row r="93">
      <c r="D93">
        <f>IF(C93="","",MIN(C93,Settings!$B$4))</f>
        <v/>
      </c>
      <c r="E93">
        <f>IF(C93="","",MAX(0,C93-D93))</f>
        <v/>
      </c>
    </row>
    <row r="94">
      <c r="D94">
        <f>IF(C94="","",MIN(C94,Settings!$B$4))</f>
        <v/>
      </c>
      <c r="E94">
        <f>IF(C94="","",MAX(0,C94-D94))</f>
        <v/>
      </c>
    </row>
    <row r="95">
      <c r="D95">
        <f>IF(C95="","",MIN(C95,Settings!$B$4))</f>
        <v/>
      </c>
      <c r="E95">
        <f>IF(C95="","",MAX(0,C95-D95))</f>
        <v/>
      </c>
    </row>
    <row r="96">
      <c r="D96">
        <f>IF(C96="","",MIN(C96,Settings!$B$4))</f>
        <v/>
      </c>
      <c r="E96">
        <f>IF(C96="","",MAX(0,C96-D96))</f>
        <v/>
      </c>
    </row>
    <row r="97">
      <c r="D97">
        <f>IF(C97="","",MIN(C97,Settings!$B$4))</f>
        <v/>
      </c>
      <c r="E97">
        <f>IF(C97="","",MAX(0,C97-D97))</f>
        <v/>
      </c>
    </row>
    <row r="98">
      <c r="D98">
        <f>IF(C98="","",MIN(C98,Settings!$B$4))</f>
        <v/>
      </c>
      <c r="E98">
        <f>IF(C98="","",MAX(0,C98-D98))</f>
        <v/>
      </c>
    </row>
    <row r="99">
      <c r="D99">
        <f>IF(C99="","",MIN(C99,Settings!$B$4))</f>
        <v/>
      </c>
      <c r="E99">
        <f>IF(C99="","",MAX(0,C99-D99))</f>
        <v/>
      </c>
    </row>
    <row r="100">
      <c r="D100">
        <f>IF(C100="","",MIN(C100,Settings!$B$4))</f>
        <v/>
      </c>
      <c r="E100">
        <f>IF(C100="","",MAX(0,C100-D100))</f>
        <v/>
      </c>
    </row>
    <row r="101">
      <c r="D101">
        <f>IF(C101="","",MIN(C101,Settings!$B$4))</f>
        <v/>
      </c>
      <c r="E101">
        <f>IF(C101="","",MAX(0,C101-D101))</f>
        <v/>
      </c>
    </row>
    <row r="102">
      <c r="D102">
        <f>IF(C102="","",MIN(C102,Settings!$B$4))</f>
        <v/>
      </c>
      <c r="E102">
        <f>IF(C102="","",MAX(0,C102-D102))</f>
        <v/>
      </c>
    </row>
    <row r="103">
      <c r="D103">
        <f>IF(C103="","",MIN(C103,Settings!$B$4))</f>
        <v/>
      </c>
      <c r="E103">
        <f>IF(C103="","",MAX(0,C103-D103))</f>
        <v/>
      </c>
    </row>
    <row r="104">
      <c r="D104">
        <f>IF(C104="","",MIN(C104,Settings!$B$4))</f>
        <v/>
      </c>
      <c r="E104">
        <f>IF(C104="","",MAX(0,C104-D104))</f>
        <v/>
      </c>
    </row>
    <row r="105">
      <c r="D105">
        <f>IF(C105="","",MIN(C105,Settings!$B$4))</f>
        <v/>
      </c>
      <c r="E105">
        <f>IF(C105="","",MAX(0,C105-D105))</f>
        <v/>
      </c>
    </row>
    <row r="106">
      <c r="D106">
        <f>IF(C106="","",MIN(C106,Settings!$B$4))</f>
        <v/>
      </c>
      <c r="E106">
        <f>IF(C106="","",MAX(0,C106-D106))</f>
        <v/>
      </c>
    </row>
    <row r="107">
      <c r="D107">
        <f>IF(C107="","",MIN(C107,Settings!$B$4))</f>
        <v/>
      </c>
      <c r="E107">
        <f>IF(C107="","",MAX(0,C107-D107))</f>
        <v/>
      </c>
    </row>
    <row r="108">
      <c r="D108">
        <f>IF(C108="","",MIN(C108,Settings!$B$4))</f>
        <v/>
      </c>
      <c r="E108">
        <f>IF(C108="","",MAX(0,C108-D108))</f>
        <v/>
      </c>
    </row>
    <row r="109">
      <c r="D109">
        <f>IF(C109="","",MIN(C109,Settings!$B$4))</f>
        <v/>
      </c>
      <c r="E109">
        <f>IF(C109="","",MAX(0,C109-D109))</f>
        <v/>
      </c>
    </row>
    <row r="110">
      <c r="D110">
        <f>IF(C110="","",MIN(C110,Settings!$B$4))</f>
        <v/>
      </c>
      <c r="E110">
        <f>IF(C110="","",MAX(0,C110-D110))</f>
        <v/>
      </c>
    </row>
    <row r="111">
      <c r="D111">
        <f>IF(C111="","",MIN(C111,Settings!$B$4))</f>
        <v/>
      </c>
      <c r="E111">
        <f>IF(C111="","",MAX(0,C111-D111))</f>
        <v/>
      </c>
    </row>
    <row r="112">
      <c r="D112">
        <f>IF(C112="","",MIN(C112,Settings!$B$4))</f>
        <v/>
      </c>
      <c r="E112">
        <f>IF(C112="","",MAX(0,C112-D112))</f>
        <v/>
      </c>
    </row>
    <row r="113">
      <c r="D113">
        <f>IF(C113="","",MIN(C113,Settings!$B$4))</f>
        <v/>
      </c>
      <c r="E113">
        <f>IF(C113="","",MAX(0,C113-D113))</f>
        <v/>
      </c>
    </row>
    <row r="114">
      <c r="D114">
        <f>IF(C114="","",MIN(C114,Settings!$B$4))</f>
        <v/>
      </c>
      <c r="E114">
        <f>IF(C114="","",MAX(0,C114-D114))</f>
        <v/>
      </c>
    </row>
    <row r="115">
      <c r="D115">
        <f>IF(C115="","",MIN(C115,Settings!$B$4))</f>
        <v/>
      </c>
      <c r="E115">
        <f>IF(C115="","",MAX(0,C115-D115))</f>
        <v/>
      </c>
    </row>
    <row r="116">
      <c r="D116">
        <f>IF(C116="","",MIN(C116,Settings!$B$4))</f>
        <v/>
      </c>
      <c r="E116">
        <f>IF(C116="","",MAX(0,C116-D116))</f>
        <v/>
      </c>
    </row>
    <row r="117">
      <c r="D117">
        <f>IF(C117="","",MIN(C117,Settings!$B$4))</f>
        <v/>
      </c>
      <c r="E117">
        <f>IF(C117="","",MAX(0,C117-D117))</f>
        <v/>
      </c>
    </row>
    <row r="118">
      <c r="D118">
        <f>IF(C118="","",MIN(C118,Settings!$B$4))</f>
        <v/>
      </c>
      <c r="E118">
        <f>IF(C118="","",MAX(0,C118-D118))</f>
        <v/>
      </c>
    </row>
    <row r="119">
      <c r="D119">
        <f>IF(C119="","",MIN(C119,Settings!$B$4))</f>
        <v/>
      </c>
      <c r="E119">
        <f>IF(C119="","",MAX(0,C119-D119))</f>
        <v/>
      </c>
    </row>
    <row r="120">
      <c r="D120">
        <f>IF(C120="","",MIN(C120,Settings!$B$4))</f>
        <v/>
      </c>
      <c r="E120">
        <f>IF(C120="","",MAX(0,C120-D120))</f>
        <v/>
      </c>
    </row>
    <row r="121">
      <c r="D121">
        <f>IF(C121="","",MIN(C121,Settings!$B$4))</f>
        <v/>
      </c>
      <c r="E121">
        <f>IF(C121="","",MAX(0,C121-D121))</f>
        <v/>
      </c>
    </row>
    <row r="122">
      <c r="D122">
        <f>IF(C122="","",MIN(C122,Settings!$B$4))</f>
        <v/>
      </c>
      <c r="E122">
        <f>IF(C122="","",MAX(0,C122-D122))</f>
        <v/>
      </c>
    </row>
    <row r="123">
      <c r="D123">
        <f>IF(C123="","",MIN(C123,Settings!$B$4))</f>
        <v/>
      </c>
      <c r="E123">
        <f>IF(C123="","",MAX(0,C123-D123))</f>
        <v/>
      </c>
    </row>
    <row r="124">
      <c r="D124">
        <f>IF(C124="","",MIN(C124,Settings!$B$4))</f>
        <v/>
      </c>
      <c r="E124">
        <f>IF(C124="","",MAX(0,C124-D124))</f>
        <v/>
      </c>
    </row>
    <row r="125">
      <c r="D125">
        <f>IF(C125="","",MIN(C125,Settings!$B$4))</f>
        <v/>
      </c>
      <c r="E125">
        <f>IF(C125="","",MAX(0,C125-D125))</f>
        <v/>
      </c>
    </row>
    <row r="126">
      <c r="D126">
        <f>IF(C126="","",MIN(C126,Settings!$B$4))</f>
        <v/>
      </c>
      <c r="E126">
        <f>IF(C126="","",MAX(0,C126-D126))</f>
        <v/>
      </c>
    </row>
    <row r="127">
      <c r="D127">
        <f>IF(C127="","",MIN(C127,Settings!$B$4))</f>
        <v/>
      </c>
      <c r="E127">
        <f>IF(C127="","",MAX(0,C127-D127))</f>
        <v/>
      </c>
    </row>
    <row r="128">
      <c r="D128">
        <f>IF(C128="","",MIN(C128,Settings!$B$4))</f>
        <v/>
      </c>
      <c r="E128">
        <f>IF(C128="","",MAX(0,C128-D128))</f>
        <v/>
      </c>
    </row>
    <row r="129">
      <c r="D129">
        <f>IF(C129="","",MIN(C129,Settings!$B$4))</f>
        <v/>
      </c>
      <c r="E129">
        <f>IF(C129="","",MAX(0,C129-D129))</f>
        <v/>
      </c>
    </row>
    <row r="130">
      <c r="D130">
        <f>IF(C130="","",MIN(C130,Settings!$B$4))</f>
        <v/>
      </c>
      <c r="E130">
        <f>IF(C130="","",MAX(0,C130-D130))</f>
        <v/>
      </c>
    </row>
    <row r="131">
      <c r="D131">
        <f>IF(C131="","",MIN(C131,Settings!$B$4))</f>
        <v/>
      </c>
      <c r="E131">
        <f>IF(C131="","",MAX(0,C131-D131))</f>
        <v/>
      </c>
    </row>
    <row r="132">
      <c r="D132">
        <f>IF(C132="","",MIN(C132,Settings!$B$4))</f>
        <v/>
      </c>
      <c r="E132">
        <f>IF(C132="","",MAX(0,C132-D132))</f>
        <v/>
      </c>
    </row>
    <row r="133">
      <c r="D133">
        <f>IF(C133="","",MIN(C133,Settings!$B$4))</f>
        <v/>
      </c>
      <c r="E133">
        <f>IF(C133="","",MAX(0,C133-D133))</f>
        <v/>
      </c>
    </row>
    <row r="134">
      <c r="D134">
        <f>IF(C134="","",MIN(C134,Settings!$B$4))</f>
        <v/>
      </c>
      <c r="E134">
        <f>IF(C134="","",MAX(0,C134-D134))</f>
        <v/>
      </c>
    </row>
    <row r="135">
      <c r="D135">
        <f>IF(C135="","",MIN(C135,Settings!$B$4))</f>
        <v/>
      </c>
      <c r="E135">
        <f>IF(C135="","",MAX(0,C135-D135))</f>
        <v/>
      </c>
    </row>
    <row r="136">
      <c r="D136">
        <f>IF(C136="","",MIN(C136,Settings!$B$4))</f>
        <v/>
      </c>
      <c r="E136">
        <f>IF(C136="","",MAX(0,C136-D136))</f>
        <v/>
      </c>
    </row>
    <row r="137">
      <c r="D137">
        <f>IF(C137="","",MIN(C137,Settings!$B$4))</f>
        <v/>
      </c>
      <c r="E137">
        <f>IF(C137="","",MAX(0,C137-D137))</f>
        <v/>
      </c>
    </row>
    <row r="138">
      <c r="D138">
        <f>IF(C138="","",MIN(C138,Settings!$B$4))</f>
        <v/>
      </c>
      <c r="E138">
        <f>IF(C138="","",MAX(0,C138-D138))</f>
        <v/>
      </c>
    </row>
    <row r="139">
      <c r="D139">
        <f>IF(C139="","",MIN(C139,Settings!$B$4))</f>
        <v/>
      </c>
      <c r="E139">
        <f>IF(C139="","",MAX(0,C139-D139))</f>
        <v/>
      </c>
    </row>
    <row r="140">
      <c r="D140">
        <f>IF(C140="","",MIN(C140,Settings!$B$4))</f>
        <v/>
      </c>
      <c r="E140">
        <f>IF(C140="","",MAX(0,C140-D140))</f>
        <v/>
      </c>
    </row>
    <row r="141">
      <c r="D141">
        <f>IF(C141="","",MIN(C141,Settings!$B$4))</f>
        <v/>
      </c>
      <c r="E141">
        <f>IF(C141="","",MAX(0,C141-D141))</f>
        <v/>
      </c>
    </row>
    <row r="142">
      <c r="D142">
        <f>IF(C142="","",MIN(C142,Settings!$B$4))</f>
        <v/>
      </c>
      <c r="E142">
        <f>IF(C142="","",MAX(0,C142-D142))</f>
        <v/>
      </c>
    </row>
    <row r="143">
      <c r="D143">
        <f>IF(C143="","",MIN(C143,Settings!$B$4))</f>
        <v/>
      </c>
      <c r="E143">
        <f>IF(C143="","",MAX(0,C143-D143))</f>
        <v/>
      </c>
    </row>
    <row r="144">
      <c r="D144">
        <f>IF(C144="","",MIN(C144,Settings!$B$4))</f>
        <v/>
      </c>
      <c r="E144">
        <f>IF(C144="","",MAX(0,C144-D144))</f>
        <v/>
      </c>
    </row>
    <row r="145">
      <c r="D145">
        <f>IF(C145="","",MIN(C145,Settings!$B$4))</f>
        <v/>
      </c>
      <c r="E145">
        <f>IF(C145="","",MAX(0,C145-D145))</f>
        <v/>
      </c>
    </row>
    <row r="146">
      <c r="D146">
        <f>IF(C146="","",MIN(C146,Settings!$B$4))</f>
        <v/>
      </c>
      <c r="E146">
        <f>IF(C146="","",MAX(0,C146-D146))</f>
        <v/>
      </c>
    </row>
    <row r="147">
      <c r="D147">
        <f>IF(C147="","",MIN(C147,Settings!$B$4))</f>
        <v/>
      </c>
      <c r="E147">
        <f>IF(C147="","",MAX(0,C147-D147))</f>
        <v/>
      </c>
    </row>
    <row r="148">
      <c r="D148">
        <f>IF(C148="","",MIN(C148,Settings!$B$4))</f>
        <v/>
      </c>
      <c r="E148">
        <f>IF(C148="","",MAX(0,C148-D148))</f>
        <v/>
      </c>
    </row>
    <row r="149">
      <c r="D149">
        <f>IF(C149="","",MIN(C149,Settings!$B$4))</f>
        <v/>
      </c>
      <c r="E149">
        <f>IF(C149="","",MAX(0,C149-D149))</f>
        <v/>
      </c>
    </row>
    <row r="150">
      <c r="D150">
        <f>IF(C150="","",MIN(C150,Settings!$B$4))</f>
        <v/>
      </c>
      <c r="E150">
        <f>IF(C150="","",MAX(0,C150-D150))</f>
        <v/>
      </c>
    </row>
    <row r="151">
      <c r="D151">
        <f>IF(C151="","",MIN(C151,Settings!$B$4))</f>
        <v/>
      </c>
      <c r="E151">
        <f>IF(C151="","",MAX(0,C151-D151))</f>
        <v/>
      </c>
    </row>
    <row r="152">
      <c r="D152">
        <f>IF(C152="","",MIN(C152,Settings!$B$4))</f>
        <v/>
      </c>
      <c r="E152">
        <f>IF(C152="","",MAX(0,C152-D152))</f>
        <v/>
      </c>
    </row>
    <row r="153">
      <c r="D153">
        <f>IF(C153="","",MIN(C153,Settings!$B$4))</f>
        <v/>
      </c>
      <c r="E153">
        <f>IF(C153="","",MAX(0,C153-D153))</f>
        <v/>
      </c>
    </row>
    <row r="154">
      <c r="D154">
        <f>IF(C154="","",MIN(C154,Settings!$B$4))</f>
        <v/>
      </c>
      <c r="E154">
        <f>IF(C154="","",MAX(0,C154-D154))</f>
        <v/>
      </c>
    </row>
    <row r="155">
      <c r="D155">
        <f>IF(C155="","",MIN(C155,Settings!$B$4))</f>
        <v/>
      </c>
      <c r="E155">
        <f>IF(C155="","",MAX(0,C155-D155))</f>
        <v/>
      </c>
    </row>
    <row r="156">
      <c r="D156">
        <f>IF(C156="","",MIN(C156,Settings!$B$4))</f>
        <v/>
      </c>
      <c r="E156">
        <f>IF(C156="","",MAX(0,C156-D156))</f>
        <v/>
      </c>
    </row>
    <row r="157">
      <c r="D157">
        <f>IF(C157="","",MIN(C157,Settings!$B$4))</f>
        <v/>
      </c>
      <c r="E157">
        <f>IF(C157="","",MAX(0,C157-D157))</f>
        <v/>
      </c>
    </row>
    <row r="158">
      <c r="D158">
        <f>IF(C158="","",MIN(C158,Settings!$B$4))</f>
        <v/>
      </c>
      <c r="E158">
        <f>IF(C158="","",MAX(0,C158-D158))</f>
        <v/>
      </c>
    </row>
    <row r="159">
      <c r="D159">
        <f>IF(C159="","",MIN(C159,Settings!$B$4))</f>
        <v/>
      </c>
      <c r="E159">
        <f>IF(C159="","",MAX(0,C159-D159))</f>
        <v/>
      </c>
    </row>
    <row r="160">
      <c r="D160">
        <f>IF(C160="","",MIN(C160,Settings!$B$4))</f>
        <v/>
      </c>
      <c r="E160">
        <f>IF(C160="","",MAX(0,C160-D160))</f>
        <v/>
      </c>
    </row>
    <row r="161">
      <c r="D161">
        <f>IF(C161="","",MIN(C161,Settings!$B$4))</f>
        <v/>
      </c>
      <c r="E161">
        <f>IF(C161="","",MAX(0,C161-D161))</f>
        <v/>
      </c>
    </row>
    <row r="162">
      <c r="D162">
        <f>IF(C162="","",MIN(C162,Settings!$B$4))</f>
        <v/>
      </c>
      <c r="E162">
        <f>IF(C162="","",MAX(0,C162-D162))</f>
        <v/>
      </c>
    </row>
    <row r="163">
      <c r="D163">
        <f>IF(C163="","",MIN(C163,Settings!$B$4))</f>
        <v/>
      </c>
      <c r="E163">
        <f>IF(C163="","",MAX(0,C163-D163))</f>
        <v/>
      </c>
    </row>
    <row r="164">
      <c r="D164">
        <f>IF(C164="","",MIN(C164,Settings!$B$4))</f>
        <v/>
      </c>
      <c r="E164">
        <f>IF(C164="","",MAX(0,C164-D164))</f>
        <v/>
      </c>
    </row>
    <row r="165">
      <c r="D165">
        <f>IF(C165="","",MIN(C165,Settings!$B$4))</f>
        <v/>
      </c>
      <c r="E165">
        <f>IF(C165="","",MAX(0,C165-D165))</f>
        <v/>
      </c>
    </row>
    <row r="166">
      <c r="D166">
        <f>IF(C166="","",MIN(C166,Settings!$B$4))</f>
        <v/>
      </c>
      <c r="E166">
        <f>IF(C166="","",MAX(0,C166-D166))</f>
        <v/>
      </c>
    </row>
    <row r="167">
      <c r="D167">
        <f>IF(C167="","",MIN(C167,Settings!$B$4))</f>
        <v/>
      </c>
      <c r="E167">
        <f>IF(C167="","",MAX(0,C167-D167))</f>
        <v/>
      </c>
    </row>
    <row r="168">
      <c r="D168">
        <f>IF(C168="","",MIN(C168,Settings!$B$4))</f>
        <v/>
      </c>
      <c r="E168">
        <f>IF(C168="","",MAX(0,C168-D168))</f>
        <v/>
      </c>
    </row>
    <row r="169">
      <c r="D169">
        <f>IF(C169="","",MIN(C169,Settings!$B$4))</f>
        <v/>
      </c>
      <c r="E169">
        <f>IF(C169="","",MAX(0,C169-D169))</f>
        <v/>
      </c>
    </row>
    <row r="170">
      <c r="D170">
        <f>IF(C170="","",MIN(C170,Settings!$B$4))</f>
        <v/>
      </c>
      <c r="E170">
        <f>IF(C170="","",MAX(0,C170-D170))</f>
        <v/>
      </c>
    </row>
    <row r="171">
      <c r="D171">
        <f>IF(C171="","",MIN(C171,Settings!$B$4))</f>
        <v/>
      </c>
      <c r="E171">
        <f>IF(C171="","",MAX(0,C171-D171))</f>
        <v/>
      </c>
    </row>
    <row r="172">
      <c r="D172">
        <f>IF(C172="","",MIN(C172,Settings!$B$4))</f>
        <v/>
      </c>
      <c r="E172">
        <f>IF(C172="","",MAX(0,C172-D172))</f>
        <v/>
      </c>
    </row>
    <row r="173">
      <c r="D173">
        <f>IF(C173="","",MIN(C173,Settings!$B$4))</f>
        <v/>
      </c>
      <c r="E173">
        <f>IF(C173="","",MAX(0,C173-D173))</f>
        <v/>
      </c>
    </row>
    <row r="174">
      <c r="D174">
        <f>IF(C174="","",MIN(C174,Settings!$B$4))</f>
        <v/>
      </c>
      <c r="E174">
        <f>IF(C174="","",MAX(0,C174-D174))</f>
        <v/>
      </c>
    </row>
    <row r="175">
      <c r="D175">
        <f>IF(C175="","",MIN(C175,Settings!$B$4))</f>
        <v/>
      </c>
      <c r="E175">
        <f>IF(C175="","",MAX(0,C175-D175))</f>
        <v/>
      </c>
    </row>
    <row r="176">
      <c r="D176">
        <f>IF(C176="","",MIN(C176,Settings!$B$4))</f>
        <v/>
      </c>
      <c r="E176">
        <f>IF(C176="","",MAX(0,C176-D176))</f>
        <v/>
      </c>
    </row>
    <row r="177">
      <c r="D177">
        <f>IF(C177="","",MIN(C177,Settings!$B$4))</f>
        <v/>
      </c>
      <c r="E177">
        <f>IF(C177="","",MAX(0,C177-D177))</f>
        <v/>
      </c>
    </row>
    <row r="178">
      <c r="D178">
        <f>IF(C178="","",MIN(C178,Settings!$B$4))</f>
        <v/>
      </c>
      <c r="E178">
        <f>IF(C178="","",MAX(0,C178-D178))</f>
        <v/>
      </c>
    </row>
    <row r="179">
      <c r="D179">
        <f>IF(C179="","",MIN(C179,Settings!$B$4))</f>
        <v/>
      </c>
      <c r="E179">
        <f>IF(C179="","",MAX(0,C179-D179))</f>
        <v/>
      </c>
    </row>
    <row r="180">
      <c r="D180">
        <f>IF(C180="","",MIN(C180,Settings!$B$4))</f>
        <v/>
      </c>
      <c r="E180">
        <f>IF(C180="","",MAX(0,C180-D180))</f>
        <v/>
      </c>
    </row>
    <row r="181">
      <c r="D181">
        <f>IF(C181="","",MIN(C181,Settings!$B$4))</f>
        <v/>
      </c>
      <c r="E181">
        <f>IF(C181="","",MAX(0,C181-D181))</f>
        <v/>
      </c>
    </row>
    <row r="182">
      <c r="D182">
        <f>IF(C182="","",MIN(C182,Settings!$B$4))</f>
        <v/>
      </c>
      <c r="E182">
        <f>IF(C182="","",MAX(0,C182-D182))</f>
        <v/>
      </c>
    </row>
    <row r="183">
      <c r="D183">
        <f>IF(C183="","",MIN(C183,Settings!$B$4))</f>
        <v/>
      </c>
      <c r="E183">
        <f>IF(C183="","",MAX(0,C183-D183))</f>
        <v/>
      </c>
    </row>
    <row r="184">
      <c r="D184">
        <f>IF(C184="","",MIN(C184,Settings!$B$4))</f>
        <v/>
      </c>
      <c r="E184">
        <f>IF(C184="","",MAX(0,C184-D184))</f>
        <v/>
      </c>
    </row>
    <row r="185">
      <c r="D185">
        <f>IF(C185="","",MIN(C185,Settings!$B$4))</f>
        <v/>
      </c>
      <c r="E185">
        <f>IF(C185="","",MAX(0,C185-D185))</f>
        <v/>
      </c>
    </row>
    <row r="186">
      <c r="D186">
        <f>IF(C186="","",MIN(C186,Settings!$B$4))</f>
        <v/>
      </c>
      <c r="E186">
        <f>IF(C186="","",MAX(0,C186-D186))</f>
        <v/>
      </c>
    </row>
    <row r="187">
      <c r="D187">
        <f>IF(C187="","",MIN(C187,Settings!$B$4))</f>
        <v/>
      </c>
      <c r="E187">
        <f>IF(C187="","",MAX(0,C187-D187))</f>
        <v/>
      </c>
    </row>
    <row r="188">
      <c r="D188">
        <f>IF(C188="","",MIN(C188,Settings!$B$4))</f>
        <v/>
      </c>
      <c r="E188">
        <f>IF(C188="","",MAX(0,C188-D188))</f>
        <v/>
      </c>
    </row>
    <row r="189">
      <c r="D189">
        <f>IF(C189="","",MIN(C189,Settings!$B$4))</f>
        <v/>
      </c>
      <c r="E189">
        <f>IF(C189="","",MAX(0,C189-D189))</f>
        <v/>
      </c>
    </row>
    <row r="190">
      <c r="D190">
        <f>IF(C190="","",MIN(C190,Settings!$B$4))</f>
        <v/>
      </c>
      <c r="E190">
        <f>IF(C190="","",MAX(0,C190-D190))</f>
        <v/>
      </c>
    </row>
    <row r="191">
      <c r="D191">
        <f>IF(C191="","",MIN(C191,Settings!$B$4))</f>
        <v/>
      </c>
      <c r="E191">
        <f>IF(C191="","",MAX(0,C191-D191))</f>
        <v/>
      </c>
    </row>
    <row r="192">
      <c r="D192">
        <f>IF(C192="","",MIN(C192,Settings!$B$4))</f>
        <v/>
      </c>
      <c r="E192">
        <f>IF(C192="","",MAX(0,C192-D192))</f>
        <v/>
      </c>
    </row>
    <row r="193">
      <c r="D193">
        <f>IF(C193="","",MIN(C193,Settings!$B$4))</f>
        <v/>
      </c>
      <c r="E193">
        <f>IF(C193="","",MAX(0,C193-D193))</f>
        <v/>
      </c>
    </row>
    <row r="194">
      <c r="D194">
        <f>IF(C194="","",MIN(C194,Settings!$B$4))</f>
        <v/>
      </c>
      <c r="E194">
        <f>IF(C194="","",MAX(0,C194-D194))</f>
        <v/>
      </c>
    </row>
    <row r="195">
      <c r="D195">
        <f>IF(C195="","",MIN(C195,Settings!$B$4))</f>
        <v/>
      </c>
      <c r="E195">
        <f>IF(C195="","",MAX(0,C195-D195))</f>
        <v/>
      </c>
    </row>
    <row r="196">
      <c r="D196">
        <f>IF(C196="","",MIN(C196,Settings!$B$4))</f>
        <v/>
      </c>
      <c r="E196">
        <f>IF(C196="","",MAX(0,C196-D196))</f>
        <v/>
      </c>
    </row>
    <row r="197">
      <c r="D197">
        <f>IF(C197="","",MIN(C197,Settings!$B$4))</f>
        <v/>
      </c>
      <c r="E197">
        <f>IF(C197="","",MAX(0,C197-D197))</f>
        <v/>
      </c>
    </row>
    <row r="198">
      <c r="D198">
        <f>IF(C198="","",MIN(C198,Settings!$B$4))</f>
        <v/>
      </c>
      <c r="E198">
        <f>IF(C198="","",MAX(0,C198-D198))</f>
        <v/>
      </c>
    </row>
    <row r="199">
      <c r="D199">
        <f>IF(C199="","",MIN(C199,Settings!$B$4))</f>
        <v/>
      </c>
      <c r="E199">
        <f>IF(C199="","",MAX(0,C199-D199))</f>
        <v/>
      </c>
    </row>
    <row r="200">
      <c r="D200">
        <f>IF(C200="","",MIN(C200,Settings!$B$4))</f>
        <v/>
      </c>
      <c r="E200">
        <f>IF(C200="","",MAX(0,C200-D200))</f>
        <v/>
      </c>
    </row>
    <row r="201">
      <c r="D201">
        <f>IF(C201="","",MIN(C201,Settings!$B$4))</f>
        <v/>
      </c>
      <c r="E201">
        <f>IF(C201="","",MAX(0,C201-D201))</f>
        <v/>
      </c>
    </row>
    <row r="202">
      <c r="D202">
        <f>IF(C202="","",MIN(C202,Settings!$B$4))</f>
        <v/>
      </c>
      <c r="E202">
        <f>IF(C202="","",MAX(0,C202-D202))</f>
        <v/>
      </c>
    </row>
    <row r="203">
      <c r="D203">
        <f>IF(C203="","",MIN(C203,Settings!$B$4))</f>
        <v/>
      </c>
      <c r="E203">
        <f>IF(C203="","",MAX(0,C203-D203))</f>
        <v/>
      </c>
    </row>
    <row r="204">
      <c r="D204">
        <f>IF(C204="","",MIN(C204,Settings!$B$4))</f>
        <v/>
      </c>
      <c r="E204">
        <f>IF(C204="","",MAX(0,C204-D204))</f>
        <v/>
      </c>
    </row>
    <row r="205">
      <c r="D205">
        <f>IF(C205="","",MIN(C205,Settings!$B$4))</f>
        <v/>
      </c>
      <c r="E205">
        <f>IF(C205="","",MAX(0,C205-D205))</f>
        <v/>
      </c>
    </row>
    <row r="206">
      <c r="D206">
        <f>IF(C206="","",MIN(C206,Settings!$B$4))</f>
        <v/>
      </c>
      <c r="E206">
        <f>IF(C206="","",MAX(0,C206-D206))</f>
        <v/>
      </c>
    </row>
    <row r="207">
      <c r="D207">
        <f>IF(C207="","",MIN(C207,Settings!$B$4))</f>
        <v/>
      </c>
      <c r="E207">
        <f>IF(C207="","",MAX(0,C207-D207))</f>
        <v/>
      </c>
    </row>
    <row r="208">
      <c r="D208">
        <f>IF(C208="","",MIN(C208,Settings!$B$4))</f>
        <v/>
      </c>
      <c r="E208">
        <f>IF(C208="","",MAX(0,C208-D208))</f>
        <v/>
      </c>
    </row>
    <row r="209">
      <c r="D209">
        <f>IF(C209="","",MIN(C209,Settings!$B$4))</f>
        <v/>
      </c>
      <c r="E209">
        <f>IF(C209="","",MAX(0,C209-D209))</f>
        <v/>
      </c>
    </row>
    <row r="210">
      <c r="D210">
        <f>IF(C210="","",MIN(C210,Settings!$B$4))</f>
        <v/>
      </c>
      <c r="E210">
        <f>IF(C210="","",MAX(0,C210-D210))</f>
        <v/>
      </c>
    </row>
    <row r="211">
      <c r="D211">
        <f>IF(C211="","",MIN(C211,Settings!$B$4))</f>
        <v/>
      </c>
      <c r="E211">
        <f>IF(C211="","",MAX(0,C211-D211))</f>
        <v/>
      </c>
    </row>
    <row r="212">
      <c r="D212">
        <f>IF(C212="","",MIN(C212,Settings!$B$4))</f>
        <v/>
      </c>
      <c r="E212">
        <f>IF(C212="","",MAX(0,C212-D212))</f>
        <v/>
      </c>
    </row>
    <row r="213">
      <c r="D213">
        <f>IF(C213="","",MIN(C213,Settings!$B$4))</f>
        <v/>
      </c>
      <c r="E213">
        <f>IF(C213="","",MAX(0,C213-D213))</f>
        <v/>
      </c>
    </row>
    <row r="214">
      <c r="D214">
        <f>IF(C214="","",MIN(C214,Settings!$B$4))</f>
        <v/>
      </c>
      <c r="E214">
        <f>IF(C214="","",MAX(0,C214-D214))</f>
        <v/>
      </c>
    </row>
    <row r="215">
      <c r="D215">
        <f>IF(C215="","",MIN(C215,Settings!$B$4))</f>
        <v/>
      </c>
      <c r="E215">
        <f>IF(C215="","",MAX(0,C215-D215))</f>
        <v/>
      </c>
    </row>
    <row r="216">
      <c r="D216">
        <f>IF(C216="","",MIN(C216,Settings!$B$4))</f>
        <v/>
      </c>
      <c r="E216">
        <f>IF(C216="","",MAX(0,C216-D216))</f>
        <v/>
      </c>
    </row>
    <row r="217">
      <c r="D217">
        <f>IF(C217="","",MIN(C217,Settings!$B$4))</f>
        <v/>
      </c>
      <c r="E217">
        <f>IF(C217="","",MAX(0,C217-D217))</f>
        <v/>
      </c>
    </row>
    <row r="218">
      <c r="D218">
        <f>IF(C218="","",MIN(C218,Settings!$B$4))</f>
        <v/>
      </c>
      <c r="E218">
        <f>IF(C218="","",MAX(0,C218-D218))</f>
        <v/>
      </c>
    </row>
    <row r="219">
      <c r="D219">
        <f>IF(C219="","",MIN(C219,Settings!$B$4))</f>
        <v/>
      </c>
      <c r="E219">
        <f>IF(C219="","",MAX(0,C219-D219))</f>
        <v/>
      </c>
    </row>
    <row r="220">
      <c r="D220">
        <f>IF(C220="","",MIN(C220,Settings!$B$4))</f>
        <v/>
      </c>
      <c r="E220">
        <f>IF(C220="","",MAX(0,C220-D220))</f>
        <v/>
      </c>
    </row>
    <row r="221">
      <c r="D221">
        <f>IF(C221="","",MIN(C221,Settings!$B$4))</f>
        <v/>
      </c>
      <c r="E221">
        <f>IF(C221="","",MAX(0,C221-D221))</f>
        <v/>
      </c>
    </row>
    <row r="222">
      <c r="D222">
        <f>IF(C222="","",MIN(C222,Settings!$B$4))</f>
        <v/>
      </c>
      <c r="E222">
        <f>IF(C222="","",MAX(0,C222-D222))</f>
        <v/>
      </c>
    </row>
    <row r="223">
      <c r="D223">
        <f>IF(C223="","",MIN(C223,Settings!$B$4))</f>
        <v/>
      </c>
      <c r="E223">
        <f>IF(C223="","",MAX(0,C223-D223))</f>
        <v/>
      </c>
    </row>
    <row r="224">
      <c r="D224">
        <f>IF(C224="","",MIN(C224,Settings!$B$4))</f>
        <v/>
      </c>
      <c r="E224">
        <f>IF(C224="","",MAX(0,C224-D224))</f>
        <v/>
      </c>
    </row>
    <row r="225">
      <c r="D225">
        <f>IF(C225="","",MIN(C225,Settings!$B$4))</f>
        <v/>
      </c>
      <c r="E225">
        <f>IF(C225="","",MAX(0,C225-D225))</f>
        <v/>
      </c>
    </row>
    <row r="226">
      <c r="D226">
        <f>IF(C226="","",MIN(C226,Settings!$B$4))</f>
        <v/>
      </c>
      <c r="E226">
        <f>IF(C226="","",MAX(0,C226-D226))</f>
        <v/>
      </c>
    </row>
    <row r="227">
      <c r="D227">
        <f>IF(C227="","",MIN(C227,Settings!$B$4))</f>
        <v/>
      </c>
      <c r="E227">
        <f>IF(C227="","",MAX(0,C227-D227))</f>
        <v/>
      </c>
    </row>
    <row r="228">
      <c r="D228">
        <f>IF(C228="","",MIN(C228,Settings!$B$4))</f>
        <v/>
      </c>
      <c r="E228">
        <f>IF(C228="","",MAX(0,C228-D228))</f>
        <v/>
      </c>
    </row>
    <row r="229">
      <c r="D229">
        <f>IF(C229="","",MIN(C229,Settings!$B$4))</f>
        <v/>
      </c>
      <c r="E229">
        <f>IF(C229="","",MAX(0,C229-D229))</f>
        <v/>
      </c>
    </row>
    <row r="230">
      <c r="D230">
        <f>IF(C230="","",MIN(C230,Settings!$B$4))</f>
        <v/>
      </c>
      <c r="E230">
        <f>IF(C230="","",MAX(0,C230-D230))</f>
        <v/>
      </c>
    </row>
    <row r="231">
      <c r="D231">
        <f>IF(C231="","",MIN(C231,Settings!$B$4))</f>
        <v/>
      </c>
      <c r="E231">
        <f>IF(C231="","",MAX(0,C231-D231))</f>
        <v/>
      </c>
    </row>
    <row r="232">
      <c r="D232">
        <f>IF(C232="","",MIN(C232,Settings!$B$4))</f>
        <v/>
      </c>
      <c r="E232">
        <f>IF(C232="","",MAX(0,C232-D232))</f>
        <v/>
      </c>
    </row>
    <row r="233">
      <c r="D233">
        <f>IF(C233="","",MIN(C233,Settings!$B$4))</f>
        <v/>
      </c>
      <c r="E233">
        <f>IF(C233="","",MAX(0,C233-D233))</f>
        <v/>
      </c>
    </row>
    <row r="234">
      <c r="D234">
        <f>IF(C234="","",MIN(C234,Settings!$B$4))</f>
        <v/>
      </c>
      <c r="E234">
        <f>IF(C234="","",MAX(0,C234-D234))</f>
        <v/>
      </c>
    </row>
    <row r="235">
      <c r="D235">
        <f>IF(C235="","",MIN(C235,Settings!$B$4))</f>
        <v/>
      </c>
      <c r="E235">
        <f>IF(C235="","",MAX(0,C235-D235))</f>
        <v/>
      </c>
    </row>
    <row r="236">
      <c r="D236">
        <f>IF(C236="","",MIN(C236,Settings!$B$4))</f>
        <v/>
      </c>
      <c r="E236">
        <f>IF(C236="","",MAX(0,C236-D236))</f>
        <v/>
      </c>
    </row>
    <row r="237">
      <c r="D237">
        <f>IF(C237="","",MIN(C237,Settings!$B$4))</f>
        <v/>
      </c>
      <c r="E237">
        <f>IF(C237="","",MAX(0,C237-D237))</f>
        <v/>
      </c>
    </row>
    <row r="238">
      <c r="D238">
        <f>IF(C238="","",MIN(C238,Settings!$B$4))</f>
        <v/>
      </c>
      <c r="E238">
        <f>IF(C238="","",MAX(0,C238-D238))</f>
        <v/>
      </c>
    </row>
    <row r="239">
      <c r="D239">
        <f>IF(C239="","",MIN(C239,Settings!$B$4))</f>
        <v/>
      </c>
      <c r="E239">
        <f>IF(C239="","",MAX(0,C239-D239))</f>
        <v/>
      </c>
    </row>
    <row r="240">
      <c r="D240">
        <f>IF(C240="","",MIN(C240,Settings!$B$4))</f>
        <v/>
      </c>
      <c r="E240">
        <f>IF(C240="","",MAX(0,C240-D240))</f>
        <v/>
      </c>
    </row>
    <row r="241">
      <c r="D241">
        <f>IF(C241="","",MIN(C241,Settings!$B$4))</f>
        <v/>
      </c>
      <c r="E241">
        <f>IF(C241="","",MAX(0,C241-D241))</f>
        <v/>
      </c>
    </row>
    <row r="242">
      <c r="D242">
        <f>IF(C242="","",MIN(C242,Settings!$B$4))</f>
        <v/>
      </c>
      <c r="E242">
        <f>IF(C242="","",MAX(0,C242-D242))</f>
        <v/>
      </c>
    </row>
    <row r="243">
      <c r="D243">
        <f>IF(C243="","",MIN(C243,Settings!$B$4))</f>
        <v/>
      </c>
      <c r="E243">
        <f>IF(C243="","",MAX(0,C243-D243))</f>
        <v/>
      </c>
    </row>
    <row r="244">
      <c r="D244">
        <f>IF(C244="","",MIN(C244,Settings!$B$4))</f>
        <v/>
      </c>
      <c r="E244">
        <f>IF(C244="","",MAX(0,C244-D244))</f>
        <v/>
      </c>
    </row>
    <row r="245">
      <c r="D245">
        <f>IF(C245="","",MIN(C245,Settings!$B$4))</f>
        <v/>
      </c>
      <c r="E245">
        <f>IF(C245="","",MAX(0,C245-D245))</f>
        <v/>
      </c>
    </row>
    <row r="246">
      <c r="D246">
        <f>IF(C246="","",MIN(C246,Settings!$B$4))</f>
        <v/>
      </c>
      <c r="E246">
        <f>IF(C246="","",MAX(0,C246-D246))</f>
        <v/>
      </c>
    </row>
    <row r="247">
      <c r="D247">
        <f>IF(C247="","",MIN(C247,Settings!$B$4))</f>
        <v/>
      </c>
      <c r="E247">
        <f>IF(C247="","",MAX(0,C247-D247))</f>
        <v/>
      </c>
    </row>
    <row r="248">
      <c r="D248">
        <f>IF(C248="","",MIN(C248,Settings!$B$4))</f>
        <v/>
      </c>
      <c r="E248">
        <f>IF(C248="","",MAX(0,C248-D248))</f>
        <v/>
      </c>
    </row>
    <row r="249">
      <c r="D249">
        <f>IF(C249="","",MIN(C249,Settings!$B$4))</f>
        <v/>
      </c>
      <c r="E249">
        <f>IF(C249="","",MAX(0,C249-D249))</f>
        <v/>
      </c>
    </row>
    <row r="250">
      <c r="D250">
        <f>IF(C250="","",MIN(C250,Settings!$B$4))</f>
        <v/>
      </c>
      <c r="E250">
        <f>IF(C250="","",MAX(0,C250-D250))</f>
        <v/>
      </c>
    </row>
    <row r="251">
      <c r="D251">
        <f>IF(C251="","",MIN(C251,Settings!$B$4))</f>
        <v/>
      </c>
      <c r="E251">
        <f>IF(C251="","",MAX(0,C251-D251))</f>
        <v/>
      </c>
    </row>
    <row r="252">
      <c r="D252">
        <f>IF(C252="","",MIN(C252,Settings!$B$4))</f>
        <v/>
      </c>
      <c r="E252">
        <f>IF(C252="","",MAX(0,C252-D252))</f>
        <v/>
      </c>
    </row>
    <row r="253">
      <c r="D253">
        <f>IF(C253="","",MIN(C253,Settings!$B$4))</f>
        <v/>
      </c>
      <c r="E253">
        <f>IF(C253="","",MAX(0,C253-D253))</f>
        <v/>
      </c>
    </row>
    <row r="254">
      <c r="D254">
        <f>IF(C254="","",MIN(C254,Settings!$B$4))</f>
        <v/>
      </c>
      <c r="E254">
        <f>IF(C254="","",MAX(0,C254-D254))</f>
        <v/>
      </c>
    </row>
    <row r="255">
      <c r="D255">
        <f>IF(C255="","",MIN(C255,Settings!$B$4))</f>
        <v/>
      </c>
      <c r="E255">
        <f>IF(C255="","",MAX(0,C255-D255))</f>
        <v/>
      </c>
    </row>
    <row r="256">
      <c r="D256">
        <f>IF(C256="","",MIN(C256,Settings!$B$4))</f>
        <v/>
      </c>
      <c r="E256">
        <f>IF(C256="","",MAX(0,C256-D256))</f>
        <v/>
      </c>
    </row>
    <row r="257">
      <c r="D257">
        <f>IF(C257="","",MIN(C257,Settings!$B$4))</f>
        <v/>
      </c>
      <c r="E257">
        <f>IF(C257="","",MAX(0,C257-D257))</f>
        <v/>
      </c>
    </row>
    <row r="258">
      <c r="D258">
        <f>IF(C258="","",MIN(C258,Settings!$B$4))</f>
        <v/>
      </c>
      <c r="E258">
        <f>IF(C258="","",MAX(0,C258-D258))</f>
        <v/>
      </c>
    </row>
    <row r="259">
      <c r="D259">
        <f>IF(C259="","",MIN(C259,Settings!$B$4))</f>
        <v/>
      </c>
      <c r="E259">
        <f>IF(C259="","",MAX(0,C259-D259))</f>
        <v/>
      </c>
    </row>
    <row r="260">
      <c r="D260">
        <f>IF(C260="","",MIN(C260,Settings!$B$4))</f>
        <v/>
      </c>
      <c r="E260">
        <f>IF(C260="","",MAX(0,C260-D260))</f>
        <v/>
      </c>
    </row>
    <row r="261">
      <c r="D261">
        <f>IF(C261="","",MIN(C261,Settings!$B$4))</f>
        <v/>
      </c>
      <c r="E261">
        <f>IF(C261="","",MAX(0,C261-D261))</f>
        <v/>
      </c>
    </row>
    <row r="262">
      <c r="D262">
        <f>IF(C262="","",MIN(C262,Settings!$B$4))</f>
        <v/>
      </c>
      <c r="E262">
        <f>IF(C262="","",MAX(0,C262-D262))</f>
        <v/>
      </c>
    </row>
    <row r="263">
      <c r="D263">
        <f>IF(C263="","",MIN(C263,Settings!$B$4))</f>
        <v/>
      </c>
      <c r="E263">
        <f>IF(C263="","",MAX(0,C263-D263))</f>
        <v/>
      </c>
    </row>
    <row r="264">
      <c r="D264">
        <f>IF(C264="","",MIN(C264,Settings!$B$4))</f>
        <v/>
      </c>
      <c r="E264">
        <f>IF(C264="","",MAX(0,C264-D264))</f>
        <v/>
      </c>
    </row>
    <row r="265">
      <c r="D265">
        <f>IF(C265="","",MIN(C265,Settings!$B$4))</f>
        <v/>
      </c>
      <c r="E265">
        <f>IF(C265="","",MAX(0,C265-D265))</f>
        <v/>
      </c>
    </row>
    <row r="266">
      <c r="D266">
        <f>IF(C266="","",MIN(C266,Settings!$B$4))</f>
        <v/>
      </c>
      <c r="E266">
        <f>IF(C266="","",MAX(0,C266-D266))</f>
        <v/>
      </c>
    </row>
    <row r="267">
      <c r="D267">
        <f>IF(C267="","",MIN(C267,Settings!$B$4))</f>
        <v/>
      </c>
      <c r="E267">
        <f>IF(C267="","",MAX(0,C267-D267))</f>
        <v/>
      </c>
    </row>
    <row r="268">
      <c r="D268">
        <f>IF(C268="","",MIN(C268,Settings!$B$4))</f>
        <v/>
      </c>
      <c r="E268">
        <f>IF(C268="","",MAX(0,C268-D268))</f>
        <v/>
      </c>
    </row>
    <row r="269">
      <c r="D269">
        <f>IF(C269="","",MIN(C269,Settings!$B$4))</f>
        <v/>
      </c>
      <c r="E269">
        <f>IF(C269="","",MAX(0,C269-D269))</f>
        <v/>
      </c>
    </row>
    <row r="270">
      <c r="D270">
        <f>IF(C270="","",MIN(C270,Settings!$B$4))</f>
        <v/>
      </c>
      <c r="E270">
        <f>IF(C270="","",MAX(0,C270-D270))</f>
        <v/>
      </c>
    </row>
    <row r="271">
      <c r="D271">
        <f>IF(C271="","",MIN(C271,Settings!$B$4))</f>
        <v/>
      </c>
      <c r="E271">
        <f>IF(C271="","",MAX(0,C271-D271))</f>
        <v/>
      </c>
    </row>
    <row r="272">
      <c r="D272">
        <f>IF(C272="","",MIN(C272,Settings!$B$4))</f>
        <v/>
      </c>
      <c r="E272">
        <f>IF(C272="","",MAX(0,C272-D272))</f>
        <v/>
      </c>
    </row>
    <row r="273">
      <c r="D273">
        <f>IF(C273="","",MIN(C273,Settings!$B$4))</f>
        <v/>
      </c>
      <c r="E273">
        <f>IF(C273="","",MAX(0,C273-D273))</f>
        <v/>
      </c>
    </row>
    <row r="274">
      <c r="D274">
        <f>IF(C274="","",MIN(C274,Settings!$B$4))</f>
        <v/>
      </c>
      <c r="E274">
        <f>IF(C274="","",MAX(0,C274-D274))</f>
        <v/>
      </c>
    </row>
    <row r="275">
      <c r="D275">
        <f>IF(C275="","",MIN(C275,Settings!$B$4))</f>
        <v/>
      </c>
      <c r="E275">
        <f>IF(C275="","",MAX(0,C275-D275))</f>
        <v/>
      </c>
    </row>
    <row r="276">
      <c r="D276">
        <f>IF(C276="","",MIN(C276,Settings!$B$4))</f>
        <v/>
      </c>
      <c r="E276">
        <f>IF(C276="","",MAX(0,C276-D276))</f>
        <v/>
      </c>
    </row>
    <row r="277">
      <c r="D277">
        <f>IF(C277="","",MIN(C277,Settings!$B$4))</f>
        <v/>
      </c>
      <c r="E277">
        <f>IF(C277="","",MAX(0,C277-D277))</f>
        <v/>
      </c>
    </row>
    <row r="278">
      <c r="D278">
        <f>IF(C278="","",MIN(C278,Settings!$B$4))</f>
        <v/>
      </c>
      <c r="E278">
        <f>IF(C278="","",MAX(0,C278-D278))</f>
        <v/>
      </c>
    </row>
    <row r="279">
      <c r="D279">
        <f>IF(C279="","",MIN(C279,Settings!$B$4))</f>
        <v/>
      </c>
      <c r="E279">
        <f>IF(C279="","",MAX(0,C279-D279))</f>
        <v/>
      </c>
    </row>
    <row r="280">
      <c r="D280">
        <f>IF(C280="","",MIN(C280,Settings!$B$4))</f>
        <v/>
      </c>
      <c r="E280">
        <f>IF(C280="","",MAX(0,C280-D280))</f>
        <v/>
      </c>
    </row>
    <row r="281">
      <c r="D281">
        <f>IF(C281="","",MIN(C281,Settings!$B$4))</f>
        <v/>
      </c>
      <c r="E281">
        <f>IF(C281="","",MAX(0,C281-D281))</f>
        <v/>
      </c>
    </row>
    <row r="282">
      <c r="D282">
        <f>IF(C282="","",MIN(C282,Settings!$B$4))</f>
        <v/>
      </c>
      <c r="E282">
        <f>IF(C282="","",MAX(0,C282-D282))</f>
        <v/>
      </c>
    </row>
    <row r="283">
      <c r="D283">
        <f>IF(C283="","",MIN(C283,Settings!$B$4))</f>
        <v/>
      </c>
      <c r="E283">
        <f>IF(C283="","",MAX(0,C283-D283))</f>
        <v/>
      </c>
    </row>
    <row r="284">
      <c r="D284">
        <f>IF(C284="","",MIN(C284,Settings!$B$4))</f>
        <v/>
      </c>
      <c r="E284">
        <f>IF(C284="","",MAX(0,C284-D284))</f>
        <v/>
      </c>
    </row>
    <row r="285">
      <c r="D285">
        <f>IF(C285="","",MIN(C285,Settings!$B$4))</f>
        <v/>
      </c>
      <c r="E285">
        <f>IF(C285="","",MAX(0,C285-D285))</f>
        <v/>
      </c>
    </row>
    <row r="286">
      <c r="D286">
        <f>IF(C286="","",MIN(C286,Settings!$B$4))</f>
        <v/>
      </c>
      <c r="E286">
        <f>IF(C286="","",MAX(0,C286-D286))</f>
        <v/>
      </c>
    </row>
    <row r="287">
      <c r="D287">
        <f>IF(C287="","",MIN(C287,Settings!$B$4))</f>
        <v/>
      </c>
      <c r="E287">
        <f>IF(C287="","",MAX(0,C287-D287))</f>
        <v/>
      </c>
    </row>
    <row r="288">
      <c r="D288">
        <f>IF(C288="","",MIN(C288,Settings!$B$4))</f>
        <v/>
      </c>
      <c r="E288">
        <f>IF(C288="","",MAX(0,C288-D288))</f>
        <v/>
      </c>
    </row>
    <row r="289">
      <c r="D289">
        <f>IF(C289="","",MIN(C289,Settings!$B$4))</f>
        <v/>
      </c>
      <c r="E289">
        <f>IF(C289="","",MAX(0,C289-D289))</f>
        <v/>
      </c>
    </row>
    <row r="290">
      <c r="D290">
        <f>IF(C290="","",MIN(C290,Settings!$B$4))</f>
        <v/>
      </c>
      <c r="E290">
        <f>IF(C290="","",MAX(0,C290-D290))</f>
        <v/>
      </c>
    </row>
    <row r="291">
      <c r="D291">
        <f>IF(C291="","",MIN(C291,Settings!$B$4))</f>
        <v/>
      </c>
      <c r="E291">
        <f>IF(C291="","",MAX(0,C291-D291))</f>
        <v/>
      </c>
    </row>
    <row r="292">
      <c r="D292">
        <f>IF(C292="","",MIN(C292,Settings!$B$4))</f>
        <v/>
      </c>
      <c r="E292">
        <f>IF(C292="","",MAX(0,C292-D292))</f>
        <v/>
      </c>
    </row>
    <row r="293">
      <c r="D293">
        <f>IF(C293="","",MIN(C293,Settings!$B$4))</f>
        <v/>
      </c>
      <c r="E293">
        <f>IF(C293="","",MAX(0,C293-D293))</f>
        <v/>
      </c>
    </row>
    <row r="294">
      <c r="D294">
        <f>IF(C294="","",MIN(C294,Settings!$B$4))</f>
        <v/>
      </c>
      <c r="E294">
        <f>IF(C294="","",MAX(0,C294-D294))</f>
        <v/>
      </c>
    </row>
    <row r="295">
      <c r="D295">
        <f>IF(C295="","",MIN(C295,Settings!$B$4))</f>
        <v/>
      </c>
      <c r="E295">
        <f>IF(C295="","",MAX(0,C295-D295))</f>
        <v/>
      </c>
    </row>
    <row r="296">
      <c r="D296">
        <f>IF(C296="","",MIN(C296,Settings!$B$4))</f>
        <v/>
      </c>
      <c r="E296">
        <f>IF(C296="","",MAX(0,C296-D296))</f>
        <v/>
      </c>
    </row>
    <row r="297">
      <c r="D297">
        <f>IF(C297="","",MIN(C297,Settings!$B$4))</f>
        <v/>
      </c>
      <c r="E297">
        <f>IF(C297="","",MAX(0,C297-D297))</f>
        <v/>
      </c>
    </row>
    <row r="298">
      <c r="D298">
        <f>IF(C298="","",MIN(C298,Settings!$B$4))</f>
        <v/>
      </c>
      <c r="E298">
        <f>IF(C298="","",MAX(0,C298-D298))</f>
        <v/>
      </c>
    </row>
    <row r="299">
      <c r="D299">
        <f>IF(C299="","",MIN(C299,Settings!$B$4))</f>
        <v/>
      </c>
      <c r="E299">
        <f>IF(C299="","",MAX(0,C299-D299))</f>
        <v/>
      </c>
    </row>
    <row r="300">
      <c r="D300">
        <f>IF(C300="","",MIN(C300,Settings!$B$4))</f>
        <v/>
      </c>
      <c r="E300">
        <f>IF(C300="","",MAX(0,C300-D300))</f>
        <v/>
      </c>
    </row>
    <row r="301">
      <c r="D301">
        <f>IF(C301="","",MIN(C301,Settings!$B$4))</f>
        <v/>
      </c>
      <c r="E301">
        <f>IF(C301="","",MAX(0,C301-D301))</f>
        <v/>
      </c>
    </row>
    <row r="302">
      <c r="D302">
        <f>IF(C302="","",MIN(C302,Settings!$B$4))</f>
        <v/>
      </c>
      <c r="E302">
        <f>IF(C302="","",MAX(0,C302-D302))</f>
        <v/>
      </c>
    </row>
    <row r="303">
      <c r="D303">
        <f>IF(C303="","",MIN(C303,Settings!$B$4))</f>
        <v/>
      </c>
      <c r="E303">
        <f>IF(C303="","",MAX(0,C303-D303))</f>
        <v/>
      </c>
    </row>
    <row r="304">
      <c r="D304">
        <f>IF(C304="","",MIN(C304,Settings!$B$4))</f>
        <v/>
      </c>
      <c r="E304">
        <f>IF(C304="","",MAX(0,C304-D304))</f>
        <v/>
      </c>
    </row>
    <row r="305">
      <c r="D305">
        <f>IF(C305="","",MIN(C305,Settings!$B$4))</f>
        <v/>
      </c>
      <c r="E305">
        <f>IF(C305="","",MAX(0,C305-D305))</f>
        <v/>
      </c>
    </row>
    <row r="306">
      <c r="D306">
        <f>IF(C306="","",MIN(C306,Settings!$B$4))</f>
        <v/>
      </c>
      <c r="E306">
        <f>IF(C306="","",MAX(0,C306-D306))</f>
        <v/>
      </c>
    </row>
    <row r="307">
      <c r="D307">
        <f>IF(C307="","",MIN(C307,Settings!$B$4))</f>
        <v/>
      </c>
      <c r="E307">
        <f>IF(C307="","",MAX(0,C307-D307))</f>
        <v/>
      </c>
    </row>
    <row r="308">
      <c r="D308">
        <f>IF(C308="","",MIN(C308,Settings!$B$4))</f>
        <v/>
      </c>
      <c r="E308">
        <f>IF(C308="","",MAX(0,C308-D308))</f>
        <v/>
      </c>
    </row>
    <row r="309">
      <c r="D309">
        <f>IF(C309="","",MIN(C309,Settings!$B$4))</f>
        <v/>
      </c>
      <c r="E309">
        <f>IF(C309="","",MAX(0,C309-D309))</f>
        <v/>
      </c>
    </row>
    <row r="310">
      <c r="D310">
        <f>IF(C310="","",MIN(C310,Settings!$B$4))</f>
        <v/>
      </c>
      <c r="E310">
        <f>IF(C310="","",MAX(0,C310-D310))</f>
        <v/>
      </c>
    </row>
    <row r="311">
      <c r="D311">
        <f>IF(C311="","",MIN(C311,Settings!$B$4))</f>
        <v/>
      </c>
      <c r="E311">
        <f>IF(C311="","",MAX(0,C311-D311))</f>
        <v/>
      </c>
    </row>
    <row r="312">
      <c r="D312">
        <f>IF(C312="","",MIN(C312,Settings!$B$4))</f>
        <v/>
      </c>
      <c r="E312">
        <f>IF(C312="","",MAX(0,C312-D312))</f>
        <v/>
      </c>
    </row>
    <row r="313">
      <c r="D313">
        <f>IF(C313="","",MIN(C313,Settings!$B$4))</f>
        <v/>
      </c>
      <c r="E313">
        <f>IF(C313="","",MAX(0,C313-D313))</f>
        <v/>
      </c>
    </row>
    <row r="314">
      <c r="D314">
        <f>IF(C314="","",MIN(C314,Settings!$B$4))</f>
        <v/>
      </c>
      <c r="E314">
        <f>IF(C314="","",MAX(0,C314-D314))</f>
        <v/>
      </c>
    </row>
    <row r="315">
      <c r="D315">
        <f>IF(C315="","",MIN(C315,Settings!$B$4))</f>
        <v/>
      </c>
      <c r="E315">
        <f>IF(C315="","",MAX(0,C315-D315))</f>
        <v/>
      </c>
    </row>
    <row r="316">
      <c r="D316">
        <f>IF(C316="","",MIN(C316,Settings!$B$4))</f>
        <v/>
      </c>
      <c r="E316">
        <f>IF(C316="","",MAX(0,C316-D316))</f>
        <v/>
      </c>
    </row>
    <row r="317">
      <c r="D317">
        <f>IF(C317="","",MIN(C317,Settings!$B$4))</f>
        <v/>
      </c>
      <c r="E317">
        <f>IF(C317="","",MAX(0,C317-D317))</f>
        <v/>
      </c>
    </row>
    <row r="318">
      <c r="D318">
        <f>IF(C318="","",MIN(C318,Settings!$B$4))</f>
        <v/>
      </c>
      <c r="E318">
        <f>IF(C318="","",MAX(0,C318-D318))</f>
        <v/>
      </c>
    </row>
    <row r="319">
      <c r="D319">
        <f>IF(C319="","",MIN(C319,Settings!$B$4))</f>
        <v/>
      </c>
      <c r="E319">
        <f>IF(C319="","",MAX(0,C319-D319))</f>
        <v/>
      </c>
    </row>
    <row r="320">
      <c r="D320">
        <f>IF(C320="","",MIN(C320,Settings!$B$4))</f>
        <v/>
      </c>
      <c r="E320">
        <f>IF(C320="","",MAX(0,C320-D320))</f>
        <v/>
      </c>
    </row>
    <row r="321">
      <c r="D321">
        <f>IF(C321="","",MIN(C321,Settings!$B$4))</f>
        <v/>
      </c>
      <c r="E321">
        <f>IF(C321="","",MAX(0,C321-D321))</f>
        <v/>
      </c>
    </row>
    <row r="322">
      <c r="D322">
        <f>IF(C322="","",MIN(C322,Settings!$B$4))</f>
        <v/>
      </c>
      <c r="E322">
        <f>IF(C322="","",MAX(0,C322-D322))</f>
        <v/>
      </c>
    </row>
    <row r="323">
      <c r="D323">
        <f>IF(C323="","",MIN(C323,Settings!$B$4))</f>
        <v/>
      </c>
      <c r="E323">
        <f>IF(C323="","",MAX(0,C323-D323))</f>
        <v/>
      </c>
    </row>
    <row r="324">
      <c r="D324">
        <f>IF(C324="","",MIN(C324,Settings!$B$4))</f>
        <v/>
      </c>
      <c r="E324">
        <f>IF(C324="","",MAX(0,C324-D324))</f>
        <v/>
      </c>
    </row>
    <row r="325">
      <c r="D325">
        <f>IF(C325="","",MIN(C325,Settings!$B$4))</f>
        <v/>
      </c>
      <c r="E325">
        <f>IF(C325="","",MAX(0,C325-D325))</f>
        <v/>
      </c>
    </row>
    <row r="326">
      <c r="D326">
        <f>IF(C326="","",MIN(C326,Settings!$B$4))</f>
        <v/>
      </c>
      <c r="E326">
        <f>IF(C326="","",MAX(0,C326-D326))</f>
        <v/>
      </c>
    </row>
    <row r="327">
      <c r="D327">
        <f>IF(C327="","",MIN(C327,Settings!$B$4))</f>
        <v/>
      </c>
      <c r="E327">
        <f>IF(C327="","",MAX(0,C327-D327))</f>
        <v/>
      </c>
    </row>
    <row r="328">
      <c r="D328">
        <f>IF(C328="","",MIN(C328,Settings!$B$4))</f>
        <v/>
      </c>
      <c r="E328">
        <f>IF(C328="","",MAX(0,C328-D328))</f>
        <v/>
      </c>
    </row>
    <row r="329">
      <c r="D329">
        <f>IF(C329="","",MIN(C329,Settings!$B$4))</f>
        <v/>
      </c>
      <c r="E329">
        <f>IF(C329="","",MAX(0,C329-D329))</f>
        <v/>
      </c>
    </row>
    <row r="330">
      <c r="D330">
        <f>IF(C330="","",MIN(C330,Settings!$B$4))</f>
        <v/>
      </c>
      <c r="E330">
        <f>IF(C330="","",MAX(0,C330-D330))</f>
        <v/>
      </c>
    </row>
    <row r="331">
      <c r="D331">
        <f>IF(C331="","",MIN(C331,Settings!$B$4))</f>
        <v/>
      </c>
      <c r="E331">
        <f>IF(C331="","",MAX(0,C331-D331))</f>
        <v/>
      </c>
    </row>
    <row r="332">
      <c r="D332">
        <f>IF(C332="","",MIN(C332,Settings!$B$4))</f>
        <v/>
      </c>
      <c r="E332">
        <f>IF(C332="","",MAX(0,C332-D332))</f>
        <v/>
      </c>
    </row>
    <row r="333">
      <c r="D333">
        <f>IF(C333="","",MIN(C333,Settings!$B$4))</f>
        <v/>
      </c>
      <c r="E333">
        <f>IF(C333="","",MAX(0,C333-D333))</f>
        <v/>
      </c>
    </row>
    <row r="334">
      <c r="D334">
        <f>IF(C334="","",MIN(C334,Settings!$B$4))</f>
        <v/>
      </c>
      <c r="E334">
        <f>IF(C334="","",MAX(0,C334-D334))</f>
        <v/>
      </c>
    </row>
    <row r="335">
      <c r="D335">
        <f>IF(C335="","",MIN(C335,Settings!$B$4))</f>
        <v/>
      </c>
      <c r="E335">
        <f>IF(C335="","",MAX(0,C335-D335))</f>
        <v/>
      </c>
    </row>
    <row r="336">
      <c r="D336">
        <f>IF(C336="","",MIN(C336,Settings!$B$4))</f>
        <v/>
      </c>
      <c r="E336">
        <f>IF(C336="","",MAX(0,C336-D336))</f>
        <v/>
      </c>
    </row>
    <row r="337">
      <c r="D337">
        <f>IF(C337="","",MIN(C337,Settings!$B$4))</f>
        <v/>
      </c>
      <c r="E337">
        <f>IF(C337="","",MAX(0,C337-D337))</f>
        <v/>
      </c>
    </row>
    <row r="338">
      <c r="D338">
        <f>IF(C338="","",MIN(C338,Settings!$B$4))</f>
        <v/>
      </c>
      <c r="E338">
        <f>IF(C338="","",MAX(0,C338-D338))</f>
        <v/>
      </c>
    </row>
    <row r="339">
      <c r="D339">
        <f>IF(C339="","",MIN(C339,Settings!$B$4))</f>
        <v/>
      </c>
      <c r="E339">
        <f>IF(C339="","",MAX(0,C339-D339))</f>
        <v/>
      </c>
    </row>
    <row r="340">
      <c r="D340">
        <f>IF(C340="","",MIN(C340,Settings!$B$4))</f>
        <v/>
      </c>
      <c r="E340">
        <f>IF(C340="","",MAX(0,C340-D340))</f>
        <v/>
      </c>
    </row>
    <row r="341">
      <c r="D341">
        <f>IF(C341="","",MIN(C341,Settings!$B$4))</f>
        <v/>
      </c>
      <c r="E341">
        <f>IF(C341="","",MAX(0,C341-D341))</f>
        <v/>
      </c>
    </row>
    <row r="342">
      <c r="D342">
        <f>IF(C342="","",MIN(C342,Settings!$B$4))</f>
        <v/>
      </c>
      <c r="E342">
        <f>IF(C342="","",MAX(0,C342-D342))</f>
        <v/>
      </c>
    </row>
    <row r="343">
      <c r="D343">
        <f>IF(C343="","",MIN(C343,Settings!$B$4))</f>
        <v/>
      </c>
      <c r="E343">
        <f>IF(C343="","",MAX(0,C343-D343))</f>
        <v/>
      </c>
    </row>
    <row r="344">
      <c r="D344">
        <f>IF(C344="","",MIN(C344,Settings!$B$4))</f>
        <v/>
      </c>
      <c r="E344">
        <f>IF(C344="","",MAX(0,C344-D344))</f>
        <v/>
      </c>
    </row>
    <row r="345">
      <c r="D345">
        <f>IF(C345="","",MIN(C345,Settings!$B$4))</f>
        <v/>
      </c>
      <c r="E345">
        <f>IF(C345="","",MAX(0,C345-D345))</f>
        <v/>
      </c>
    </row>
    <row r="346">
      <c r="D346">
        <f>IF(C346="","",MIN(C346,Settings!$B$4))</f>
        <v/>
      </c>
      <c r="E346">
        <f>IF(C346="","",MAX(0,C346-D346))</f>
        <v/>
      </c>
    </row>
    <row r="347">
      <c r="D347">
        <f>IF(C347="","",MIN(C347,Settings!$B$4))</f>
        <v/>
      </c>
      <c r="E347">
        <f>IF(C347="","",MAX(0,C347-D347))</f>
        <v/>
      </c>
    </row>
    <row r="348">
      <c r="D348">
        <f>IF(C348="","",MIN(C348,Settings!$B$4))</f>
        <v/>
      </c>
      <c r="E348">
        <f>IF(C348="","",MAX(0,C348-D348))</f>
        <v/>
      </c>
    </row>
    <row r="349">
      <c r="D349">
        <f>IF(C349="","",MIN(C349,Settings!$B$4))</f>
        <v/>
      </c>
      <c r="E349">
        <f>IF(C349="","",MAX(0,C349-D349))</f>
        <v/>
      </c>
    </row>
    <row r="350">
      <c r="D350">
        <f>IF(C350="","",MIN(C350,Settings!$B$4))</f>
        <v/>
      </c>
      <c r="E350">
        <f>IF(C350="","",MAX(0,C350-D350))</f>
        <v/>
      </c>
    </row>
    <row r="351">
      <c r="D351">
        <f>IF(C351="","",MIN(C351,Settings!$B$4))</f>
        <v/>
      </c>
      <c r="E351">
        <f>IF(C351="","",MAX(0,C351-D351))</f>
        <v/>
      </c>
    </row>
    <row r="352">
      <c r="D352">
        <f>IF(C352="","",MIN(C352,Settings!$B$4))</f>
        <v/>
      </c>
      <c r="E352">
        <f>IF(C352="","",MAX(0,C352-D352))</f>
        <v/>
      </c>
    </row>
    <row r="353">
      <c r="D353">
        <f>IF(C353="","",MIN(C353,Settings!$B$4))</f>
        <v/>
      </c>
      <c r="E353">
        <f>IF(C353="","",MAX(0,C353-D353))</f>
        <v/>
      </c>
    </row>
    <row r="354">
      <c r="D354">
        <f>IF(C354="","",MIN(C354,Settings!$B$4))</f>
        <v/>
      </c>
      <c r="E354">
        <f>IF(C354="","",MAX(0,C354-D354))</f>
        <v/>
      </c>
    </row>
    <row r="355">
      <c r="D355">
        <f>IF(C355="","",MIN(C355,Settings!$B$4))</f>
        <v/>
      </c>
      <c r="E355">
        <f>IF(C355="","",MAX(0,C355-D355))</f>
        <v/>
      </c>
    </row>
    <row r="356">
      <c r="D356">
        <f>IF(C356="","",MIN(C356,Settings!$B$4))</f>
        <v/>
      </c>
      <c r="E356">
        <f>IF(C356="","",MAX(0,C356-D356))</f>
        <v/>
      </c>
    </row>
    <row r="357">
      <c r="D357">
        <f>IF(C357="","",MIN(C357,Settings!$B$4))</f>
        <v/>
      </c>
      <c r="E357">
        <f>IF(C357="","",MAX(0,C357-D357))</f>
        <v/>
      </c>
    </row>
    <row r="358">
      <c r="D358">
        <f>IF(C358="","",MIN(C358,Settings!$B$4))</f>
        <v/>
      </c>
      <c r="E358">
        <f>IF(C358="","",MAX(0,C358-D358))</f>
        <v/>
      </c>
    </row>
    <row r="359">
      <c r="D359">
        <f>IF(C359="","",MIN(C359,Settings!$B$4))</f>
        <v/>
      </c>
      <c r="E359">
        <f>IF(C359="","",MAX(0,C359-D359))</f>
        <v/>
      </c>
    </row>
    <row r="360">
      <c r="D360">
        <f>IF(C360="","",MIN(C360,Settings!$B$4))</f>
        <v/>
      </c>
      <c r="E360">
        <f>IF(C360="","",MAX(0,C360-D360))</f>
        <v/>
      </c>
    </row>
    <row r="361">
      <c r="D361">
        <f>IF(C361="","",MIN(C361,Settings!$B$4))</f>
        <v/>
      </c>
      <c r="E361">
        <f>IF(C361="","",MAX(0,C361-D361))</f>
        <v/>
      </c>
    </row>
    <row r="362">
      <c r="D362">
        <f>IF(C362="","",MIN(C362,Settings!$B$4))</f>
        <v/>
      </c>
      <c r="E362">
        <f>IF(C362="","",MAX(0,C362-D362))</f>
        <v/>
      </c>
    </row>
    <row r="363">
      <c r="D363">
        <f>IF(C363="","",MIN(C363,Settings!$B$4))</f>
        <v/>
      </c>
      <c r="E363">
        <f>IF(C363="","",MAX(0,C363-D363))</f>
        <v/>
      </c>
    </row>
    <row r="364">
      <c r="D364">
        <f>IF(C364="","",MIN(C364,Settings!$B$4))</f>
        <v/>
      </c>
      <c r="E364">
        <f>IF(C364="","",MAX(0,C364-D364))</f>
        <v/>
      </c>
    </row>
    <row r="365">
      <c r="D365">
        <f>IF(C365="","",MIN(C365,Settings!$B$4))</f>
        <v/>
      </c>
      <c r="E365">
        <f>IF(C365="","",MAX(0,C365-D365))</f>
        <v/>
      </c>
    </row>
    <row r="366">
      <c r="D366">
        <f>IF(C366="","",MIN(C366,Settings!$B$4))</f>
        <v/>
      </c>
      <c r="E366">
        <f>IF(C366="","",MAX(0,C366-D366))</f>
        <v/>
      </c>
    </row>
    <row r="367">
      <c r="D367">
        <f>IF(C367="","",MIN(C367,Settings!$B$4))</f>
        <v/>
      </c>
      <c r="E367">
        <f>IF(C367="","",MAX(0,C367-D367))</f>
        <v/>
      </c>
    </row>
    <row r="368">
      <c r="D368">
        <f>IF(C368="","",MIN(C368,Settings!$B$4))</f>
        <v/>
      </c>
      <c r="E368">
        <f>IF(C368="","",MAX(0,C368-D368))</f>
        <v/>
      </c>
    </row>
    <row r="369">
      <c r="D369">
        <f>IF(C369="","",MIN(C369,Settings!$B$4))</f>
        <v/>
      </c>
      <c r="E369">
        <f>IF(C369="","",MAX(0,C369-D369))</f>
        <v/>
      </c>
    </row>
    <row r="370">
      <c r="D370">
        <f>IF(C370="","",MIN(C370,Settings!$B$4))</f>
        <v/>
      </c>
      <c r="E370">
        <f>IF(C370="","",MAX(0,C370-D370))</f>
        <v/>
      </c>
    </row>
    <row r="371">
      <c r="D371">
        <f>IF(C371="","",MIN(C371,Settings!$B$4))</f>
        <v/>
      </c>
      <c r="E371">
        <f>IF(C371="","",MAX(0,C371-D371))</f>
        <v/>
      </c>
    </row>
    <row r="372">
      <c r="D372">
        <f>IF(C372="","",MIN(C372,Settings!$B$4))</f>
        <v/>
      </c>
      <c r="E372">
        <f>IF(C372="","",MAX(0,C372-D372))</f>
        <v/>
      </c>
    </row>
    <row r="373">
      <c r="D373">
        <f>IF(C373="","",MIN(C373,Settings!$B$4))</f>
        <v/>
      </c>
      <c r="E373">
        <f>IF(C373="","",MAX(0,C373-D373))</f>
        <v/>
      </c>
    </row>
    <row r="374">
      <c r="D374">
        <f>IF(C374="","",MIN(C374,Settings!$B$4))</f>
        <v/>
      </c>
      <c r="E374">
        <f>IF(C374="","",MAX(0,C374-D374))</f>
        <v/>
      </c>
    </row>
    <row r="375">
      <c r="D375">
        <f>IF(C375="","",MIN(C375,Settings!$B$4))</f>
        <v/>
      </c>
      <c r="E375">
        <f>IF(C375="","",MAX(0,C375-D375))</f>
        <v/>
      </c>
    </row>
    <row r="376">
      <c r="D376">
        <f>IF(C376="","",MIN(C376,Settings!$B$4))</f>
        <v/>
      </c>
      <c r="E376">
        <f>IF(C376="","",MAX(0,C376-D376))</f>
        <v/>
      </c>
    </row>
    <row r="377">
      <c r="D377">
        <f>IF(C377="","",MIN(C377,Settings!$B$4))</f>
        <v/>
      </c>
      <c r="E377">
        <f>IF(C377="","",MAX(0,C377-D377))</f>
        <v/>
      </c>
    </row>
    <row r="378">
      <c r="D378">
        <f>IF(C378="","",MIN(C378,Settings!$B$4))</f>
        <v/>
      </c>
      <c r="E378">
        <f>IF(C378="","",MAX(0,C378-D378))</f>
        <v/>
      </c>
    </row>
    <row r="379">
      <c r="D379">
        <f>IF(C379="","",MIN(C379,Settings!$B$4))</f>
        <v/>
      </c>
      <c r="E379">
        <f>IF(C379="","",MAX(0,C379-D379))</f>
        <v/>
      </c>
    </row>
    <row r="380">
      <c r="D380">
        <f>IF(C380="","",MIN(C380,Settings!$B$4))</f>
        <v/>
      </c>
      <c r="E380">
        <f>IF(C380="","",MAX(0,C380-D380))</f>
        <v/>
      </c>
    </row>
    <row r="381">
      <c r="D381">
        <f>IF(C381="","",MIN(C381,Settings!$B$4))</f>
        <v/>
      </c>
      <c r="E381">
        <f>IF(C381="","",MAX(0,C381-D381))</f>
        <v/>
      </c>
    </row>
    <row r="382">
      <c r="D382">
        <f>IF(C382="","",MIN(C382,Settings!$B$4))</f>
        <v/>
      </c>
      <c r="E382">
        <f>IF(C382="","",MAX(0,C382-D382))</f>
        <v/>
      </c>
    </row>
    <row r="383">
      <c r="D383">
        <f>IF(C383="","",MIN(C383,Settings!$B$4))</f>
        <v/>
      </c>
      <c r="E383">
        <f>IF(C383="","",MAX(0,C383-D383))</f>
        <v/>
      </c>
    </row>
    <row r="384">
      <c r="D384">
        <f>IF(C384="","",MIN(C384,Settings!$B$4))</f>
        <v/>
      </c>
      <c r="E384">
        <f>IF(C384="","",MAX(0,C384-D384))</f>
        <v/>
      </c>
    </row>
    <row r="385">
      <c r="D385">
        <f>IF(C385="","",MIN(C385,Settings!$B$4))</f>
        <v/>
      </c>
      <c r="E385">
        <f>IF(C385="","",MAX(0,C385-D385))</f>
        <v/>
      </c>
    </row>
    <row r="386">
      <c r="D386">
        <f>IF(C386="","",MIN(C386,Settings!$B$4))</f>
        <v/>
      </c>
      <c r="E386">
        <f>IF(C386="","",MAX(0,C386-D386))</f>
        <v/>
      </c>
    </row>
    <row r="387">
      <c r="D387">
        <f>IF(C387="","",MIN(C387,Settings!$B$4))</f>
        <v/>
      </c>
      <c r="E387">
        <f>IF(C387="","",MAX(0,C387-D387))</f>
        <v/>
      </c>
    </row>
    <row r="388">
      <c r="D388">
        <f>IF(C388="","",MIN(C388,Settings!$B$4))</f>
        <v/>
      </c>
      <c r="E388">
        <f>IF(C388="","",MAX(0,C388-D388))</f>
        <v/>
      </c>
    </row>
    <row r="389">
      <c r="D389">
        <f>IF(C389="","",MIN(C389,Settings!$B$4))</f>
        <v/>
      </c>
      <c r="E389">
        <f>IF(C389="","",MAX(0,C389-D389))</f>
        <v/>
      </c>
    </row>
    <row r="390">
      <c r="D390">
        <f>IF(C390="","",MIN(C390,Settings!$B$4))</f>
        <v/>
      </c>
      <c r="E390">
        <f>IF(C390="","",MAX(0,C390-D390))</f>
        <v/>
      </c>
    </row>
    <row r="391">
      <c r="D391">
        <f>IF(C391="","",MIN(C391,Settings!$B$4))</f>
        <v/>
      </c>
      <c r="E391">
        <f>IF(C391="","",MAX(0,C391-D391))</f>
        <v/>
      </c>
    </row>
    <row r="392">
      <c r="D392">
        <f>IF(C392="","",MIN(C392,Settings!$B$4))</f>
        <v/>
      </c>
      <c r="E392">
        <f>IF(C392="","",MAX(0,C392-D392))</f>
        <v/>
      </c>
    </row>
    <row r="393">
      <c r="D393">
        <f>IF(C393="","",MIN(C393,Settings!$B$4))</f>
        <v/>
      </c>
      <c r="E393">
        <f>IF(C393="","",MAX(0,C393-D393))</f>
        <v/>
      </c>
    </row>
    <row r="394">
      <c r="D394">
        <f>IF(C394="","",MIN(C394,Settings!$B$4))</f>
        <v/>
      </c>
      <c r="E394">
        <f>IF(C394="","",MAX(0,C394-D394))</f>
        <v/>
      </c>
    </row>
    <row r="395">
      <c r="D395">
        <f>IF(C395="","",MIN(C395,Settings!$B$4))</f>
        <v/>
      </c>
      <c r="E395">
        <f>IF(C395="","",MAX(0,C395-D395))</f>
        <v/>
      </c>
    </row>
    <row r="396">
      <c r="D396">
        <f>IF(C396="","",MIN(C396,Settings!$B$4))</f>
        <v/>
      </c>
      <c r="E396">
        <f>IF(C396="","",MAX(0,C396-D396))</f>
        <v/>
      </c>
    </row>
    <row r="397">
      <c r="D397">
        <f>IF(C397="","",MIN(C397,Settings!$B$4))</f>
        <v/>
      </c>
      <c r="E397">
        <f>IF(C397="","",MAX(0,C397-D397))</f>
        <v/>
      </c>
    </row>
    <row r="398">
      <c r="D398">
        <f>IF(C398="","",MIN(C398,Settings!$B$4))</f>
        <v/>
      </c>
      <c r="E398">
        <f>IF(C398="","",MAX(0,C398-D398))</f>
        <v/>
      </c>
    </row>
    <row r="399">
      <c r="D399">
        <f>IF(C399="","",MIN(C399,Settings!$B$4))</f>
        <v/>
      </c>
      <c r="E399">
        <f>IF(C399="","",MAX(0,C399-D399))</f>
        <v/>
      </c>
    </row>
    <row r="400">
      <c r="D400">
        <f>IF(C400="","",MIN(C400,Settings!$B$4))</f>
        <v/>
      </c>
      <c r="E400">
        <f>IF(C400="","",MAX(0,C400-D400))</f>
        <v/>
      </c>
    </row>
    <row r="401">
      <c r="D401">
        <f>IF(C401="","",MIN(C401,Settings!$B$4))</f>
        <v/>
      </c>
      <c r="E401">
        <f>IF(C401="","",MAX(0,C401-D401))</f>
        <v/>
      </c>
    </row>
    <row r="402">
      <c r="D402">
        <f>IF(C402="","",MIN(C402,Settings!$B$4))</f>
        <v/>
      </c>
      <c r="E402">
        <f>IF(C402="","",MAX(0,C402-D402))</f>
        <v/>
      </c>
    </row>
    <row r="403">
      <c r="D403">
        <f>IF(C403="","",MIN(C403,Settings!$B$4))</f>
        <v/>
      </c>
      <c r="E403">
        <f>IF(C403="","",MAX(0,C403-D403))</f>
        <v/>
      </c>
    </row>
    <row r="404">
      <c r="D404">
        <f>IF(C404="","",MIN(C404,Settings!$B$4))</f>
        <v/>
      </c>
      <c r="E404">
        <f>IF(C404="","",MAX(0,C404-D404))</f>
        <v/>
      </c>
    </row>
    <row r="405">
      <c r="D405">
        <f>IF(C405="","",MIN(C405,Settings!$B$4))</f>
        <v/>
      </c>
      <c r="E405">
        <f>IF(C405="","",MAX(0,C405-D405))</f>
        <v/>
      </c>
    </row>
    <row r="406">
      <c r="D406">
        <f>IF(C406="","",MIN(C406,Settings!$B$4))</f>
        <v/>
      </c>
      <c r="E406">
        <f>IF(C406="","",MAX(0,C406-D406))</f>
        <v/>
      </c>
    </row>
    <row r="407">
      <c r="D407">
        <f>IF(C407="","",MIN(C407,Settings!$B$4))</f>
        <v/>
      </c>
      <c r="E407">
        <f>IF(C407="","",MAX(0,C407-D407))</f>
        <v/>
      </c>
    </row>
    <row r="408">
      <c r="D408">
        <f>IF(C408="","",MIN(C408,Settings!$B$4))</f>
        <v/>
      </c>
      <c r="E408">
        <f>IF(C408="","",MAX(0,C408-D408))</f>
        <v/>
      </c>
    </row>
    <row r="409">
      <c r="D409">
        <f>IF(C409="","",MIN(C409,Settings!$B$4))</f>
        <v/>
      </c>
      <c r="E409">
        <f>IF(C409="","",MAX(0,C409-D409))</f>
        <v/>
      </c>
    </row>
    <row r="410">
      <c r="D410">
        <f>IF(C410="","",MIN(C410,Settings!$B$4))</f>
        <v/>
      </c>
      <c r="E410">
        <f>IF(C410="","",MAX(0,C410-D410))</f>
        <v/>
      </c>
    </row>
    <row r="411">
      <c r="D411">
        <f>IF(C411="","",MIN(C411,Settings!$B$4))</f>
        <v/>
      </c>
      <c r="E411">
        <f>IF(C411="","",MAX(0,C411-D411))</f>
        <v/>
      </c>
    </row>
    <row r="412">
      <c r="D412">
        <f>IF(C412="","",MIN(C412,Settings!$B$4))</f>
        <v/>
      </c>
      <c r="E412">
        <f>IF(C412="","",MAX(0,C412-D412))</f>
        <v/>
      </c>
    </row>
    <row r="413">
      <c r="D413">
        <f>IF(C413="","",MIN(C413,Settings!$B$4))</f>
        <v/>
      </c>
      <c r="E413">
        <f>IF(C413="","",MAX(0,C413-D413))</f>
        <v/>
      </c>
    </row>
    <row r="414">
      <c r="D414">
        <f>IF(C414="","",MIN(C414,Settings!$B$4))</f>
        <v/>
      </c>
      <c r="E414">
        <f>IF(C414="","",MAX(0,C414-D414))</f>
        <v/>
      </c>
    </row>
    <row r="415">
      <c r="D415">
        <f>IF(C415="","",MIN(C415,Settings!$B$4))</f>
        <v/>
      </c>
      <c r="E415">
        <f>IF(C415="","",MAX(0,C415-D415))</f>
        <v/>
      </c>
    </row>
    <row r="416">
      <c r="D416">
        <f>IF(C416="","",MIN(C416,Settings!$B$4))</f>
        <v/>
      </c>
      <c r="E416">
        <f>IF(C416="","",MAX(0,C416-D416))</f>
        <v/>
      </c>
    </row>
    <row r="417">
      <c r="D417">
        <f>IF(C417="","",MIN(C417,Settings!$B$4))</f>
        <v/>
      </c>
      <c r="E417">
        <f>IF(C417="","",MAX(0,C417-D417))</f>
        <v/>
      </c>
    </row>
    <row r="418">
      <c r="D418">
        <f>IF(C418="","",MIN(C418,Settings!$B$4))</f>
        <v/>
      </c>
      <c r="E418">
        <f>IF(C418="","",MAX(0,C418-D418))</f>
        <v/>
      </c>
    </row>
    <row r="419">
      <c r="D419">
        <f>IF(C419="","",MIN(C419,Settings!$B$4))</f>
        <v/>
      </c>
      <c r="E419">
        <f>IF(C419="","",MAX(0,C419-D419))</f>
        <v/>
      </c>
    </row>
    <row r="420">
      <c r="D420">
        <f>IF(C420="","",MIN(C420,Settings!$B$4))</f>
        <v/>
      </c>
      <c r="E420">
        <f>IF(C420="","",MAX(0,C420-D420))</f>
        <v/>
      </c>
    </row>
    <row r="421">
      <c r="D421">
        <f>IF(C421="","",MIN(C421,Settings!$B$4))</f>
        <v/>
      </c>
      <c r="E421">
        <f>IF(C421="","",MAX(0,C421-D421))</f>
        <v/>
      </c>
    </row>
    <row r="422">
      <c r="D422">
        <f>IF(C422="","",MIN(C422,Settings!$B$4))</f>
        <v/>
      </c>
      <c r="E422">
        <f>IF(C422="","",MAX(0,C422-D422))</f>
        <v/>
      </c>
    </row>
    <row r="423">
      <c r="D423">
        <f>IF(C423="","",MIN(C423,Settings!$B$4))</f>
        <v/>
      </c>
      <c r="E423">
        <f>IF(C423="","",MAX(0,C423-D423))</f>
        <v/>
      </c>
    </row>
    <row r="424">
      <c r="D424">
        <f>IF(C424="","",MIN(C424,Settings!$B$4))</f>
        <v/>
      </c>
      <c r="E424">
        <f>IF(C424="","",MAX(0,C424-D424))</f>
        <v/>
      </c>
    </row>
    <row r="425">
      <c r="D425">
        <f>IF(C425="","",MIN(C425,Settings!$B$4))</f>
        <v/>
      </c>
      <c r="E425">
        <f>IF(C425="","",MAX(0,C425-D425))</f>
        <v/>
      </c>
    </row>
    <row r="426">
      <c r="D426">
        <f>IF(C426="","",MIN(C426,Settings!$B$4))</f>
        <v/>
      </c>
      <c r="E426">
        <f>IF(C426="","",MAX(0,C426-D426))</f>
        <v/>
      </c>
    </row>
    <row r="427">
      <c r="D427">
        <f>IF(C427="","",MIN(C427,Settings!$B$4))</f>
        <v/>
      </c>
      <c r="E427">
        <f>IF(C427="","",MAX(0,C427-D427))</f>
        <v/>
      </c>
    </row>
    <row r="428">
      <c r="D428">
        <f>IF(C428="","",MIN(C428,Settings!$B$4))</f>
        <v/>
      </c>
      <c r="E428">
        <f>IF(C428="","",MAX(0,C428-D428))</f>
        <v/>
      </c>
    </row>
    <row r="429">
      <c r="D429">
        <f>IF(C429="","",MIN(C429,Settings!$B$4))</f>
        <v/>
      </c>
      <c r="E429">
        <f>IF(C429="","",MAX(0,C429-D429))</f>
        <v/>
      </c>
    </row>
    <row r="430">
      <c r="D430">
        <f>IF(C430="","",MIN(C430,Settings!$B$4))</f>
        <v/>
      </c>
      <c r="E430">
        <f>IF(C430="","",MAX(0,C430-D430))</f>
        <v/>
      </c>
    </row>
    <row r="431">
      <c r="D431">
        <f>IF(C431="","",MIN(C431,Settings!$B$4))</f>
        <v/>
      </c>
      <c r="E431">
        <f>IF(C431="","",MAX(0,C431-D431))</f>
        <v/>
      </c>
    </row>
    <row r="432">
      <c r="D432">
        <f>IF(C432="","",MIN(C432,Settings!$B$4))</f>
        <v/>
      </c>
      <c r="E432">
        <f>IF(C432="","",MAX(0,C432-D432))</f>
        <v/>
      </c>
    </row>
    <row r="433">
      <c r="D433">
        <f>IF(C433="","",MIN(C433,Settings!$B$4))</f>
        <v/>
      </c>
      <c r="E433">
        <f>IF(C433="","",MAX(0,C433-D433))</f>
        <v/>
      </c>
    </row>
    <row r="434">
      <c r="D434">
        <f>IF(C434="","",MIN(C434,Settings!$B$4))</f>
        <v/>
      </c>
      <c r="E434">
        <f>IF(C434="","",MAX(0,C434-D434))</f>
        <v/>
      </c>
    </row>
    <row r="435">
      <c r="D435">
        <f>IF(C435="","",MIN(C435,Settings!$B$4))</f>
        <v/>
      </c>
      <c r="E435">
        <f>IF(C435="","",MAX(0,C435-D435))</f>
        <v/>
      </c>
    </row>
    <row r="436">
      <c r="D436">
        <f>IF(C436="","",MIN(C436,Settings!$B$4))</f>
        <v/>
      </c>
      <c r="E436">
        <f>IF(C436="","",MAX(0,C436-D436))</f>
        <v/>
      </c>
    </row>
    <row r="437">
      <c r="D437">
        <f>IF(C437="","",MIN(C437,Settings!$B$4))</f>
        <v/>
      </c>
      <c r="E437">
        <f>IF(C437="","",MAX(0,C437-D437))</f>
        <v/>
      </c>
    </row>
    <row r="438">
      <c r="D438">
        <f>IF(C438="","",MIN(C438,Settings!$B$4))</f>
        <v/>
      </c>
      <c r="E438">
        <f>IF(C438="","",MAX(0,C438-D438))</f>
        <v/>
      </c>
    </row>
    <row r="439">
      <c r="D439">
        <f>IF(C439="","",MIN(C439,Settings!$B$4))</f>
        <v/>
      </c>
      <c r="E439">
        <f>IF(C439="","",MAX(0,C439-D439))</f>
        <v/>
      </c>
    </row>
    <row r="440">
      <c r="D440">
        <f>IF(C440="","",MIN(C440,Settings!$B$4))</f>
        <v/>
      </c>
      <c r="E440">
        <f>IF(C440="","",MAX(0,C440-D440))</f>
        <v/>
      </c>
    </row>
    <row r="441">
      <c r="D441">
        <f>IF(C441="","",MIN(C441,Settings!$B$4))</f>
        <v/>
      </c>
      <c r="E441">
        <f>IF(C441="","",MAX(0,C441-D441))</f>
        <v/>
      </c>
    </row>
    <row r="442">
      <c r="D442">
        <f>IF(C442="","",MIN(C442,Settings!$B$4))</f>
        <v/>
      </c>
      <c r="E442">
        <f>IF(C442="","",MAX(0,C442-D442))</f>
        <v/>
      </c>
    </row>
    <row r="443">
      <c r="D443">
        <f>IF(C443="","",MIN(C443,Settings!$B$4))</f>
        <v/>
      </c>
      <c r="E443">
        <f>IF(C443="","",MAX(0,C443-D443))</f>
        <v/>
      </c>
    </row>
    <row r="444">
      <c r="D444">
        <f>IF(C444="","",MIN(C444,Settings!$B$4))</f>
        <v/>
      </c>
      <c r="E444">
        <f>IF(C444="","",MAX(0,C444-D444))</f>
        <v/>
      </c>
    </row>
    <row r="445">
      <c r="D445">
        <f>IF(C445="","",MIN(C445,Settings!$B$4))</f>
        <v/>
      </c>
      <c r="E445">
        <f>IF(C445="","",MAX(0,C445-D445))</f>
        <v/>
      </c>
    </row>
    <row r="446">
      <c r="D446">
        <f>IF(C446="","",MIN(C446,Settings!$B$4))</f>
        <v/>
      </c>
      <c r="E446">
        <f>IF(C446="","",MAX(0,C446-D446))</f>
        <v/>
      </c>
    </row>
    <row r="447">
      <c r="D447">
        <f>IF(C447="","",MIN(C447,Settings!$B$4))</f>
        <v/>
      </c>
      <c r="E447">
        <f>IF(C447="","",MAX(0,C447-D447))</f>
        <v/>
      </c>
    </row>
    <row r="448">
      <c r="D448">
        <f>IF(C448="","",MIN(C448,Settings!$B$4))</f>
        <v/>
      </c>
      <c r="E448">
        <f>IF(C448="","",MAX(0,C448-D448))</f>
        <v/>
      </c>
    </row>
    <row r="449">
      <c r="D449">
        <f>IF(C449="","",MIN(C449,Settings!$B$4))</f>
        <v/>
      </c>
      <c r="E449">
        <f>IF(C449="","",MAX(0,C449-D449))</f>
        <v/>
      </c>
    </row>
    <row r="450">
      <c r="D450">
        <f>IF(C450="","",MIN(C450,Settings!$B$4))</f>
        <v/>
      </c>
      <c r="E450">
        <f>IF(C450="","",MAX(0,C450-D450))</f>
        <v/>
      </c>
    </row>
    <row r="451">
      <c r="D451">
        <f>IF(C451="","",MIN(C451,Settings!$B$4))</f>
        <v/>
      </c>
      <c r="E451">
        <f>IF(C451="","",MAX(0,C451-D451))</f>
        <v/>
      </c>
    </row>
    <row r="452">
      <c r="D452">
        <f>IF(C452="","",MIN(C452,Settings!$B$4))</f>
        <v/>
      </c>
      <c r="E452">
        <f>IF(C452="","",MAX(0,C452-D452))</f>
        <v/>
      </c>
    </row>
    <row r="453">
      <c r="D453">
        <f>IF(C453="","",MIN(C453,Settings!$B$4))</f>
        <v/>
      </c>
      <c r="E453">
        <f>IF(C453="","",MAX(0,C453-D453))</f>
        <v/>
      </c>
    </row>
    <row r="454">
      <c r="D454">
        <f>IF(C454="","",MIN(C454,Settings!$B$4))</f>
        <v/>
      </c>
      <c r="E454">
        <f>IF(C454="","",MAX(0,C454-D454))</f>
        <v/>
      </c>
    </row>
    <row r="455">
      <c r="D455">
        <f>IF(C455="","",MIN(C455,Settings!$B$4))</f>
        <v/>
      </c>
      <c r="E455">
        <f>IF(C455="","",MAX(0,C455-D455))</f>
        <v/>
      </c>
    </row>
    <row r="456">
      <c r="D456">
        <f>IF(C456="","",MIN(C456,Settings!$B$4))</f>
        <v/>
      </c>
      <c r="E456">
        <f>IF(C456="","",MAX(0,C456-D456))</f>
        <v/>
      </c>
    </row>
    <row r="457">
      <c r="D457">
        <f>IF(C457="","",MIN(C457,Settings!$B$4))</f>
        <v/>
      </c>
      <c r="E457">
        <f>IF(C457="","",MAX(0,C457-D457))</f>
        <v/>
      </c>
    </row>
    <row r="458">
      <c r="D458">
        <f>IF(C458="","",MIN(C458,Settings!$B$4))</f>
        <v/>
      </c>
      <c r="E458">
        <f>IF(C458="","",MAX(0,C458-D458))</f>
        <v/>
      </c>
    </row>
    <row r="459">
      <c r="D459">
        <f>IF(C459="","",MIN(C459,Settings!$B$4))</f>
        <v/>
      </c>
      <c r="E459">
        <f>IF(C459="","",MAX(0,C459-D459))</f>
        <v/>
      </c>
    </row>
    <row r="460">
      <c r="D460">
        <f>IF(C460="","",MIN(C460,Settings!$B$4))</f>
        <v/>
      </c>
      <c r="E460">
        <f>IF(C460="","",MAX(0,C460-D460))</f>
        <v/>
      </c>
    </row>
    <row r="461">
      <c r="D461">
        <f>IF(C461="","",MIN(C461,Settings!$B$4))</f>
        <v/>
      </c>
      <c r="E461">
        <f>IF(C461="","",MAX(0,C461-D461))</f>
        <v/>
      </c>
    </row>
    <row r="462">
      <c r="D462">
        <f>IF(C462="","",MIN(C462,Settings!$B$4))</f>
        <v/>
      </c>
      <c r="E462">
        <f>IF(C462="","",MAX(0,C462-D462))</f>
        <v/>
      </c>
    </row>
    <row r="463">
      <c r="D463">
        <f>IF(C463="","",MIN(C463,Settings!$B$4))</f>
        <v/>
      </c>
      <c r="E463">
        <f>IF(C463="","",MAX(0,C463-D463))</f>
        <v/>
      </c>
    </row>
    <row r="464">
      <c r="D464">
        <f>IF(C464="","",MIN(C464,Settings!$B$4))</f>
        <v/>
      </c>
      <c r="E464">
        <f>IF(C464="","",MAX(0,C464-D464))</f>
        <v/>
      </c>
    </row>
    <row r="465">
      <c r="D465">
        <f>IF(C465="","",MIN(C465,Settings!$B$4))</f>
        <v/>
      </c>
      <c r="E465">
        <f>IF(C465="","",MAX(0,C465-D465))</f>
        <v/>
      </c>
    </row>
    <row r="466">
      <c r="D466">
        <f>IF(C466="","",MIN(C466,Settings!$B$4))</f>
        <v/>
      </c>
      <c r="E466">
        <f>IF(C466="","",MAX(0,C466-D466))</f>
        <v/>
      </c>
    </row>
    <row r="467">
      <c r="D467">
        <f>IF(C467="","",MIN(C467,Settings!$B$4))</f>
        <v/>
      </c>
      <c r="E467">
        <f>IF(C467="","",MAX(0,C467-D467))</f>
        <v/>
      </c>
    </row>
    <row r="468">
      <c r="D468">
        <f>IF(C468="","",MIN(C468,Settings!$B$4))</f>
        <v/>
      </c>
      <c r="E468">
        <f>IF(C468="","",MAX(0,C468-D468))</f>
        <v/>
      </c>
    </row>
    <row r="469">
      <c r="D469">
        <f>IF(C469="","",MIN(C469,Settings!$B$4))</f>
        <v/>
      </c>
      <c r="E469">
        <f>IF(C469="","",MAX(0,C469-D469))</f>
        <v/>
      </c>
    </row>
    <row r="470">
      <c r="D470">
        <f>IF(C470="","",MIN(C470,Settings!$B$4))</f>
        <v/>
      </c>
      <c r="E470">
        <f>IF(C470="","",MAX(0,C470-D470))</f>
        <v/>
      </c>
    </row>
    <row r="471">
      <c r="D471">
        <f>IF(C471="","",MIN(C471,Settings!$B$4))</f>
        <v/>
      </c>
      <c r="E471">
        <f>IF(C471="","",MAX(0,C471-D471))</f>
        <v/>
      </c>
    </row>
    <row r="472">
      <c r="D472">
        <f>IF(C472="","",MIN(C472,Settings!$B$4))</f>
        <v/>
      </c>
      <c r="E472">
        <f>IF(C472="","",MAX(0,C472-D472))</f>
        <v/>
      </c>
    </row>
    <row r="473">
      <c r="D473">
        <f>IF(C473="","",MIN(C473,Settings!$B$4))</f>
        <v/>
      </c>
      <c r="E473">
        <f>IF(C473="","",MAX(0,C473-D473))</f>
        <v/>
      </c>
    </row>
    <row r="474">
      <c r="D474">
        <f>IF(C474="","",MIN(C474,Settings!$B$4))</f>
        <v/>
      </c>
      <c r="E474">
        <f>IF(C474="","",MAX(0,C474-D474))</f>
        <v/>
      </c>
    </row>
    <row r="475">
      <c r="D475">
        <f>IF(C475="","",MIN(C475,Settings!$B$4))</f>
        <v/>
      </c>
      <c r="E475">
        <f>IF(C475="","",MAX(0,C475-D475))</f>
        <v/>
      </c>
    </row>
    <row r="476">
      <c r="D476">
        <f>IF(C476="","",MIN(C476,Settings!$B$4))</f>
        <v/>
      </c>
      <c r="E476">
        <f>IF(C476="","",MAX(0,C476-D476))</f>
        <v/>
      </c>
    </row>
    <row r="477">
      <c r="D477">
        <f>IF(C477="","",MIN(C477,Settings!$B$4))</f>
        <v/>
      </c>
      <c r="E477">
        <f>IF(C477="","",MAX(0,C477-D477))</f>
        <v/>
      </c>
    </row>
    <row r="478">
      <c r="D478">
        <f>IF(C478="","",MIN(C478,Settings!$B$4))</f>
        <v/>
      </c>
      <c r="E478">
        <f>IF(C478="","",MAX(0,C478-D478))</f>
        <v/>
      </c>
    </row>
    <row r="479">
      <c r="D479">
        <f>IF(C479="","",MIN(C479,Settings!$B$4))</f>
        <v/>
      </c>
      <c r="E479">
        <f>IF(C479="","",MAX(0,C479-D479))</f>
        <v/>
      </c>
    </row>
    <row r="480">
      <c r="D480">
        <f>IF(C480="","",MIN(C480,Settings!$B$4))</f>
        <v/>
      </c>
      <c r="E480">
        <f>IF(C480="","",MAX(0,C480-D480))</f>
        <v/>
      </c>
    </row>
    <row r="481">
      <c r="D481">
        <f>IF(C481="","",MIN(C481,Settings!$B$4))</f>
        <v/>
      </c>
      <c r="E481">
        <f>IF(C481="","",MAX(0,C481-D481))</f>
        <v/>
      </c>
    </row>
    <row r="482">
      <c r="D482">
        <f>IF(C482="","",MIN(C482,Settings!$B$4))</f>
        <v/>
      </c>
      <c r="E482">
        <f>IF(C482="","",MAX(0,C482-D482))</f>
        <v/>
      </c>
    </row>
    <row r="483">
      <c r="D483">
        <f>IF(C483="","",MIN(C483,Settings!$B$4))</f>
        <v/>
      </c>
      <c r="E483">
        <f>IF(C483="","",MAX(0,C483-D483))</f>
        <v/>
      </c>
    </row>
    <row r="484">
      <c r="D484">
        <f>IF(C484="","",MIN(C484,Settings!$B$4))</f>
        <v/>
      </c>
      <c r="E484">
        <f>IF(C484="","",MAX(0,C484-D484))</f>
        <v/>
      </c>
    </row>
    <row r="485">
      <c r="D485">
        <f>IF(C485="","",MIN(C485,Settings!$B$4))</f>
        <v/>
      </c>
      <c r="E485">
        <f>IF(C485="","",MAX(0,C485-D485))</f>
        <v/>
      </c>
    </row>
    <row r="486">
      <c r="D486">
        <f>IF(C486="","",MIN(C486,Settings!$B$4))</f>
        <v/>
      </c>
      <c r="E486">
        <f>IF(C486="","",MAX(0,C486-D486))</f>
        <v/>
      </c>
    </row>
    <row r="487">
      <c r="D487">
        <f>IF(C487="","",MIN(C487,Settings!$B$4))</f>
        <v/>
      </c>
      <c r="E487">
        <f>IF(C487="","",MAX(0,C487-D487))</f>
        <v/>
      </c>
    </row>
    <row r="488">
      <c r="D488">
        <f>IF(C488="","",MIN(C488,Settings!$B$4))</f>
        <v/>
      </c>
      <c r="E488">
        <f>IF(C488="","",MAX(0,C488-D488))</f>
        <v/>
      </c>
    </row>
    <row r="489">
      <c r="D489">
        <f>IF(C489="","",MIN(C489,Settings!$B$4))</f>
        <v/>
      </c>
      <c r="E489">
        <f>IF(C489="","",MAX(0,C489-D489))</f>
        <v/>
      </c>
    </row>
    <row r="490">
      <c r="D490">
        <f>IF(C490="","",MIN(C490,Settings!$B$4))</f>
        <v/>
      </c>
      <c r="E490">
        <f>IF(C490="","",MAX(0,C490-D490))</f>
        <v/>
      </c>
    </row>
    <row r="491">
      <c r="D491">
        <f>IF(C491="","",MIN(C491,Settings!$B$4))</f>
        <v/>
      </c>
      <c r="E491">
        <f>IF(C491="","",MAX(0,C491-D491))</f>
        <v/>
      </c>
    </row>
    <row r="492">
      <c r="D492">
        <f>IF(C492="","",MIN(C492,Settings!$B$4))</f>
        <v/>
      </c>
      <c r="E492">
        <f>IF(C492="","",MAX(0,C492-D492))</f>
        <v/>
      </c>
    </row>
    <row r="493">
      <c r="D493">
        <f>IF(C493="","",MIN(C493,Settings!$B$4))</f>
        <v/>
      </c>
      <c r="E493">
        <f>IF(C493="","",MAX(0,C493-D493))</f>
        <v/>
      </c>
    </row>
    <row r="494">
      <c r="D494">
        <f>IF(C494="","",MIN(C494,Settings!$B$4))</f>
        <v/>
      </c>
      <c r="E494">
        <f>IF(C494="","",MAX(0,C494-D494))</f>
        <v/>
      </c>
    </row>
    <row r="495">
      <c r="D495">
        <f>IF(C495="","",MIN(C495,Settings!$B$4))</f>
        <v/>
      </c>
      <c r="E495">
        <f>IF(C495="","",MAX(0,C495-D495))</f>
        <v/>
      </c>
    </row>
    <row r="496">
      <c r="D496">
        <f>IF(C496="","",MIN(C496,Settings!$B$4))</f>
        <v/>
      </c>
      <c r="E496">
        <f>IF(C496="","",MAX(0,C496-D496))</f>
        <v/>
      </c>
    </row>
    <row r="497">
      <c r="D497">
        <f>IF(C497="","",MIN(C497,Settings!$B$4))</f>
        <v/>
      </c>
      <c r="E497">
        <f>IF(C497="","",MAX(0,C497-D497))</f>
        <v/>
      </c>
    </row>
    <row r="498">
      <c r="D498">
        <f>IF(C498="","",MIN(C498,Settings!$B$4))</f>
        <v/>
      </c>
      <c r="E498">
        <f>IF(C498="","",MAX(0,C498-D498))</f>
        <v/>
      </c>
    </row>
    <row r="499">
      <c r="D499">
        <f>IF(C499="","",MIN(C499,Settings!$B$4))</f>
        <v/>
      </c>
      <c r="E499">
        <f>IF(C499="","",MAX(0,C499-D499))</f>
        <v/>
      </c>
    </row>
    <row r="500">
      <c r="D500">
        <f>IF(C500="","",MIN(C500,Settings!$B$4))</f>
        <v/>
      </c>
      <c r="E500">
        <f>IF(C500="","",MAX(0,C500-D500))</f>
        <v/>
      </c>
    </row>
    <row r="501">
      <c r="D501">
        <f>IF(C501="","",MIN(C501,Settings!$B$4))</f>
        <v/>
      </c>
      <c r="E501">
        <f>IF(C501="","",MAX(0,C501-D501))</f>
        <v/>
      </c>
    </row>
    <row r="502">
      <c r="D502">
        <f>IF(C502="","",MIN(C502,Settings!$B$4))</f>
        <v/>
      </c>
      <c r="E502">
        <f>IF(C502="","",MAX(0,C502-D502))</f>
        <v/>
      </c>
    </row>
    <row r="503">
      <c r="D503">
        <f>IF(C503="","",MIN(C503,Settings!$B$4))</f>
        <v/>
      </c>
      <c r="E503">
        <f>IF(C503="","",MAX(0,C503-D503))</f>
        <v/>
      </c>
    </row>
    <row r="504">
      <c r="D504">
        <f>IF(C504="","",MIN(C504,Settings!$B$4))</f>
        <v/>
      </c>
      <c r="E504">
        <f>IF(C504="","",MAX(0,C504-D504))</f>
        <v/>
      </c>
    </row>
    <row r="505">
      <c r="D505">
        <f>IF(C505="","",MIN(C505,Settings!$B$4))</f>
        <v/>
      </c>
      <c r="E505">
        <f>IF(C505="","",MAX(0,C505-D505))</f>
        <v/>
      </c>
    </row>
    <row r="506">
      <c r="D506">
        <f>IF(C506="","",MIN(C506,Settings!$B$4))</f>
        <v/>
      </c>
      <c r="E506">
        <f>IF(C506="","",MAX(0,C506-D506))</f>
        <v/>
      </c>
    </row>
    <row r="507">
      <c r="D507">
        <f>IF(C507="","",MIN(C507,Settings!$B$4))</f>
        <v/>
      </c>
      <c r="E507">
        <f>IF(C507="","",MAX(0,C507-D507))</f>
        <v/>
      </c>
    </row>
    <row r="508">
      <c r="D508">
        <f>IF(C508="","",MIN(C508,Settings!$B$4))</f>
        <v/>
      </c>
      <c r="E508">
        <f>IF(C508="","",MAX(0,C508-D508))</f>
        <v/>
      </c>
    </row>
    <row r="509">
      <c r="D509">
        <f>IF(C509="","",MIN(C509,Settings!$B$4))</f>
        <v/>
      </c>
      <c r="E509">
        <f>IF(C509="","",MAX(0,C509-D509))</f>
        <v/>
      </c>
    </row>
    <row r="510">
      <c r="D510">
        <f>IF(C510="","",MIN(C510,Settings!$B$4))</f>
        <v/>
      </c>
      <c r="E510">
        <f>IF(C510="","",MAX(0,C510-D510))</f>
        <v/>
      </c>
    </row>
    <row r="511">
      <c r="D511">
        <f>IF(C511="","",MIN(C511,Settings!$B$4))</f>
        <v/>
      </c>
      <c r="E511">
        <f>IF(C511="","",MAX(0,C511-D511))</f>
        <v/>
      </c>
    </row>
    <row r="512">
      <c r="D512">
        <f>IF(C512="","",MIN(C512,Settings!$B$4))</f>
        <v/>
      </c>
      <c r="E512">
        <f>IF(C512="","",MAX(0,C512-D512))</f>
        <v/>
      </c>
    </row>
    <row r="513">
      <c r="D513">
        <f>IF(C513="","",MIN(C513,Settings!$B$4))</f>
        <v/>
      </c>
      <c r="E513">
        <f>IF(C513="","",MAX(0,C513-D513))</f>
        <v/>
      </c>
    </row>
    <row r="514">
      <c r="D514">
        <f>IF(C514="","",MIN(C514,Settings!$B$4))</f>
        <v/>
      </c>
      <c r="E514">
        <f>IF(C514="","",MAX(0,C514-D514))</f>
        <v/>
      </c>
    </row>
    <row r="515">
      <c r="D515">
        <f>IF(C515="","",MIN(C515,Settings!$B$4))</f>
        <v/>
      </c>
      <c r="E515">
        <f>IF(C515="","",MAX(0,C515-D515))</f>
        <v/>
      </c>
    </row>
    <row r="516">
      <c r="D516">
        <f>IF(C516="","",MIN(C516,Settings!$B$4))</f>
        <v/>
      </c>
      <c r="E516">
        <f>IF(C516="","",MAX(0,C516-D516))</f>
        <v/>
      </c>
    </row>
    <row r="517">
      <c r="D517">
        <f>IF(C517="","",MIN(C517,Settings!$B$4))</f>
        <v/>
      </c>
      <c r="E517">
        <f>IF(C517="","",MAX(0,C517-D517))</f>
        <v/>
      </c>
    </row>
    <row r="518">
      <c r="D518">
        <f>IF(C518="","",MIN(C518,Settings!$B$4))</f>
        <v/>
      </c>
      <c r="E518">
        <f>IF(C518="","",MAX(0,C518-D518))</f>
        <v/>
      </c>
    </row>
    <row r="519">
      <c r="D519">
        <f>IF(C519="","",MIN(C519,Settings!$B$4))</f>
        <v/>
      </c>
      <c r="E519">
        <f>IF(C519="","",MAX(0,C519-D519))</f>
        <v/>
      </c>
    </row>
    <row r="520">
      <c r="D520">
        <f>IF(C520="","",MIN(C520,Settings!$B$4))</f>
        <v/>
      </c>
      <c r="E520">
        <f>IF(C520="","",MAX(0,C520-D520))</f>
        <v/>
      </c>
    </row>
    <row r="521">
      <c r="D521">
        <f>IF(C521="","",MIN(C521,Settings!$B$4))</f>
        <v/>
      </c>
      <c r="E521">
        <f>IF(C521="","",MAX(0,C521-D521))</f>
        <v/>
      </c>
    </row>
    <row r="522">
      <c r="D522">
        <f>IF(C522="","",MIN(C522,Settings!$B$4))</f>
        <v/>
      </c>
      <c r="E522">
        <f>IF(C522="","",MAX(0,C522-D522))</f>
        <v/>
      </c>
    </row>
    <row r="523">
      <c r="D523">
        <f>IF(C523="","",MIN(C523,Settings!$B$4))</f>
        <v/>
      </c>
      <c r="E523">
        <f>IF(C523="","",MAX(0,C523-D523))</f>
        <v/>
      </c>
    </row>
    <row r="524">
      <c r="D524">
        <f>IF(C524="","",MIN(C524,Settings!$B$4))</f>
        <v/>
      </c>
      <c r="E524">
        <f>IF(C524="","",MAX(0,C524-D524))</f>
        <v/>
      </c>
    </row>
    <row r="525">
      <c r="D525">
        <f>IF(C525="","",MIN(C525,Settings!$B$4))</f>
        <v/>
      </c>
      <c r="E525">
        <f>IF(C525="","",MAX(0,C525-D525))</f>
        <v/>
      </c>
    </row>
    <row r="526">
      <c r="D526">
        <f>IF(C526="","",MIN(C526,Settings!$B$4))</f>
        <v/>
      </c>
      <c r="E526">
        <f>IF(C526="","",MAX(0,C526-D526))</f>
        <v/>
      </c>
    </row>
    <row r="527">
      <c r="D527">
        <f>IF(C527="","",MIN(C527,Settings!$B$4))</f>
        <v/>
      </c>
      <c r="E527">
        <f>IF(C527="","",MAX(0,C527-D527))</f>
        <v/>
      </c>
    </row>
    <row r="528">
      <c r="D528">
        <f>IF(C528="","",MIN(C528,Settings!$B$4))</f>
        <v/>
      </c>
      <c r="E528">
        <f>IF(C528="","",MAX(0,C528-D528))</f>
        <v/>
      </c>
    </row>
    <row r="529">
      <c r="D529">
        <f>IF(C529="","",MIN(C529,Settings!$B$4))</f>
        <v/>
      </c>
      <c r="E529">
        <f>IF(C529="","",MAX(0,C529-D529))</f>
        <v/>
      </c>
    </row>
    <row r="530">
      <c r="D530">
        <f>IF(C530="","",MIN(C530,Settings!$B$4))</f>
        <v/>
      </c>
      <c r="E530">
        <f>IF(C530="","",MAX(0,C530-D530))</f>
        <v/>
      </c>
    </row>
    <row r="531">
      <c r="D531">
        <f>IF(C531="","",MIN(C531,Settings!$B$4))</f>
        <v/>
      </c>
      <c r="E531">
        <f>IF(C531="","",MAX(0,C531-D531))</f>
        <v/>
      </c>
    </row>
    <row r="532">
      <c r="D532">
        <f>IF(C532="","",MIN(C532,Settings!$B$4))</f>
        <v/>
      </c>
      <c r="E532">
        <f>IF(C532="","",MAX(0,C532-D532))</f>
        <v/>
      </c>
    </row>
    <row r="533">
      <c r="D533">
        <f>IF(C533="","",MIN(C533,Settings!$B$4))</f>
        <v/>
      </c>
      <c r="E533">
        <f>IF(C533="","",MAX(0,C533-D533))</f>
        <v/>
      </c>
    </row>
    <row r="534">
      <c r="D534">
        <f>IF(C534="","",MIN(C534,Settings!$B$4))</f>
        <v/>
      </c>
      <c r="E534">
        <f>IF(C534="","",MAX(0,C534-D534))</f>
        <v/>
      </c>
    </row>
    <row r="535">
      <c r="D535">
        <f>IF(C535="","",MIN(C535,Settings!$B$4))</f>
        <v/>
      </c>
      <c r="E535">
        <f>IF(C535="","",MAX(0,C535-D535))</f>
        <v/>
      </c>
    </row>
    <row r="536">
      <c r="D536">
        <f>IF(C536="","",MIN(C536,Settings!$B$4))</f>
        <v/>
      </c>
      <c r="E536">
        <f>IF(C536="","",MAX(0,C536-D536))</f>
        <v/>
      </c>
    </row>
    <row r="537">
      <c r="D537">
        <f>IF(C537="","",MIN(C537,Settings!$B$4))</f>
        <v/>
      </c>
      <c r="E537">
        <f>IF(C537="","",MAX(0,C537-D537))</f>
        <v/>
      </c>
    </row>
    <row r="538">
      <c r="D538">
        <f>IF(C538="","",MIN(C538,Settings!$B$4))</f>
        <v/>
      </c>
      <c r="E538">
        <f>IF(C538="","",MAX(0,C538-D538))</f>
        <v/>
      </c>
    </row>
    <row r="539">
      <c r="D539">
        <f>IF(C539="","",MIN(C539,Settings!$B$4))</f>
        <v/>
      </c>
      <c r="E539">
        <f>IF(C539="","",MAX(0,C539-D539))</f>
        <v/>
      </c>
    </row>
    <row r="540">
      <c r="D540">
        <f>IF(C540="","",MIN(C540,Settings!$B$4))</f>
        <v/>
      </c>
      <c r="E540">
        <f>IF(C540="","",MAX(0,C540-D540))</f>
        <v/>
      </c>
    </row>
    <row r="541">
      <c r="D541">
        <f>IF(C541="","",MIN(C541,Settings!$B$4))</f>
        <v/>
      </c>
      <c r="E541">
        <f>IF(C541="","",MAX(0,C541-D541))</f>
        <v/>
      </c>
    </row>
    <row r="542">
      <c r="D542">
        <f>IF(C542="","",MIN(C542,Settings!$B$4))</f>
        <v/>
      </c>
      <c r="E542">
        <f>IF(C542="","",MAX(0,C542-D542))</f>
        <v/>
      </c>
    </row>
    <row r="543">
      <c r="D543">
        <f>IF(C543="","",MIN(C543,Settings!$B$4))</f>
        <v/>
      </c>
      <c r="E543">
        <f>IF(C543="","",MAX(0,C543-D543))</f>
        <v/>
      </c>
    </row>
    <row r="544">
      <c r="D544">
        <f>IF(C544="","",MIN(C544,Settings!$B$4))</f>
        <v/>
      </c>
      <c r="E544">
        <f>IF(C544="","",MAX(0,C544-D544))</f>
        <v/>
      </c>
    </row>
    <row r="545">
      <c r="D545">
        <f>IF(C545="","",MIN(C545,Settings!$B$4))</f>
        <v/>
      </c>
      <c r="E545">
        <f>IF(C545="","",MAX(0,C545-D545))</f>
        <v/>
      </c>
    </row>
    <row r="546">
      <c r="D546">
        <f>IF(C546="","",MIN(C546,Settings!$B$4))</f>
        <v/>
      </c>
      <c r="E546">
        <f>IF(C546="","",MAX(0,C546-D546))</f>
        <v/>
      </c>
    </row>
    <row r="547">
      <c r="D547">
        <f>IF(C547="","",MIN(C547,Settings!$B$4))</f>
        <v/>
      </c>
      <c r="E547">
        <f>IF(C547="","",MAX(0,C547-D547))</f>
        <v/>
      </c>
    </row>
    <row r="548">
      <c r="D548">
        <f>IF(C548="","",MIN(C548,Settings!$B$4))</f>
        <v/>
      </c>
      <c r="E548">
        <f>IF(C548="","",MAX(0,C548-D548))</f>
        <v/>
      </c>
    </row>
    <row r="549">
      <c r="D549">
        <f>IF(C549="","",MIN(C549,Settings!$B$4))</f>
        <v/>
      </c>
      <c r="E549">
        <f>IF(C549="","",MAX(0,C549-D549))</f>
        <v/>
      </c>
    </row>
    <row r="550">
      <c r="D550">
        <f>IF(C550="","",MIN(C550,Settings!$B$4))</f>
        <v/>
      </c>
      <c r="E550">
        <f>IF(C550="","",MAX(0,C550-D550))</f>
        <v/>
      </c>
    </row>
    <row r="551">
      <c r="D551">
        <f>IF(C551="","",MIN(C551,Settings!$B$4))</f>
        <v/>
      </c>
      <c r="E551">
        <f>IF(C551="","",MAX(0,C551-D551))</f>
        <v/>
      </c>
    </row>
    <row r="552">
      <c r="D552">
        <f>IF(C552="","",MIN(C552,Settings!$B$4))</f>
        <v/>
      </c>
      <c r="E552">
        <f>IF(C552="","",MAX(0,C552-D552))</f>
        <v/>
      </c>
    </row>
    <row r="553">
      <c r="D553">
        <f>IF(C553="","",MIN(C553,Settings!$B$4))</f>
        <v/>
      </c>
      <c r="E553">
        <f>IF(C553="","",MAX(0,C553-D553))</f>
        <v/>
      </c>
    </row>
    <row r="554">
      <c r="D554">
        <f>IF(C554="","",MIN(C554,Settings!$B$4))</f>
        <v/>
      </c>
      <c r="E554">
        <f>IF(C554="","",MAX(0,C554-D554))</f>
        <v/>
      </c>
    </row>
    <row r="555">
      <c r="D555">
        <f>IF(C555="","",MIN(C555,Settings!$B$4))</f>
        <v/>
      </c>
      <c r="E555">
        <f>IF(C555="","",MAX(0,C555-D555))</f>
        <v/>
      </c>
    </row>
    <row r="556">
      <c r="D556">
        <f>IF(C556="","",MIN(C556,Settings!$B$4))</f>
        <v/>
      </c>
      <c r="E556">
        <f>IF(C556="","",MAX(0,C556-D556))</f>
        <v/>
      </c>
    </row>
    <row r="557">
      <c r="D557">
        <f>IF(C557="","",MIN(C557,Settings!$B$4))</f>
        <v/>
      </c>
      <c r="E557">
        <f>IF(C557="","",MAX(0,C557-D557))</f>
        <v/>
      </c>
    </row>
    <row r="558">
      <c r="D558">
        <f>IF(C558="","",MIN(C558,Settings!$B$4))</f>
        <v/>
      </c>
      <c r="E558">
        <f>IF(C558="","",MAX(0,C558-D558))</f>
        <v/>
      </c>
    </row>
    <row r="559">
      <c r="D559">
        <f>IF(C559="","",MIN(C559,Settings!$B$4))</f>
        <v/>
      </c>
      <c r="E559">
        <f>IF(C559="","",MAX(0,C559-D559))</f>
        <v/>
      </c>
    </row>
    <row r="560">
      <c r="D560">
        <f>IF(C560="","",MIN(C560,Settings!$B$4))</f>
        <v/>
      </c>
      <c r="E560">
        <f>IF(C560="","",MAX(0,C560-D560))</f>
        <v/>
      </c>
    </row>
    <row r="561">
      <c r="D561">
        <f>IF(C561="","",MIN(C561,Settings!$B$4))</f>
        <v/>
      </c>
      <c r="E561">
        <f>IF(C561="","",MAX(0,C561-D561))</f>
        <v/>
      </c>
    </row>
    <row r="562">
      <c r="D562">
        <f>IF(C562="","",MIN(C562,Settings!$B$4))</f>
        <v/>
      </c>
      <c r="E562">
        <f>IF(C562="","",MAX(0,C562-D562))</f>
        <v/>
      </c>
    </row>
    <row r="563">
      <c r="D563">
        <f>IF(C563="","",MIN(C563,Settings!$B$4))</f>
        <v/>
      </c>
      <c r="E563">
        <f>IF(C563="","",MAX(0,C563-D563))</f>
        <v/>
      </c>
    </row>
    <row r="564">
      <c r="D564">
        <f>IF(C564="","",MIN(C564,Settings!$B$4))</f>
        <v/>
      </c>
      <c r="E564">
        <f>IF(C564="","",MAX(0,C564-D564))</f>
        <v/>
      </c>
    </row>
    <row r="565">
      <c r="D565">
        <f>IF(C565="","",MIN(C565,Settings!$B$4))</f>
        <v/>
      </c>
      <c r="E565">
        <f>IF(C565="","",MAX(0,C565-D565))</f>
        <v/>
      </c>
    </row>
    <row r="566">
      <c r="D566">
        <f>IF(C566="","",MIN(C566,Settings!$B$4))</f>
        <v/>
      </c>
      <c r="E566">
        <f>IF(C566="","",MAX(0,C566-D566))</f>
        <v/>
      </c>
    </row>
    <row r="567">
      <c r="D567">
        <f>IF(C567="","",MIN(C567,Settings!$B$4))</f>
        <v/>
      </c>
      <c r="E567">
        <f>IF(C567="","",MAX(0,C567-D567))</f>
        <v/>
      </c>
    </row>
    <row r="568">
      <c r="D568">
        <f>IF(C568="","",MIN(C568,Settings!$B$4))</f>
        <v/>
      </c>
      <c r="E568">
        <f>IF(C568="","",MAX(0,C568-D568))</f>
        <v/>
      </c>
    </row>
    <row r="569">
      <c r="D569">
        <f>IF(C569="","",MIN(C569,Settings!$B$4))</f>
        <v/>
      </c>
      <c r="E569">
        <f>IF(C569="","",MAX(0,C569-D569))</f>
        <v/>
      </c>
    </row>
    <row r="570">
      <c r="D570">
        <f>IF(C570="","",MIN(C570,Settings!$B$4))</f>
        <v/>
      </c>
      <c r="E570">
        <f>IF(C570="","",MAX(0,C570-D570))</f>
        <v/>
      </c>
    </row>
    <row r="571">
      <c r="D571">
        <f>IF(C571="","",MIN(C571,Settings!$B$4))</f>
        <v/>
      </c>
      <c r="E571">
        <f>IF(C571="","",MAX(0,C571-D571))</f>
        <v/>
      </c>
    </row>
    <row r="572">
      <c r="D572">
        <f>IF(C572="","",MIN(C572,Settings!$B$4))</f>
        <v/>
      </c>
      <c r="E572">
        <f>IF(C572="","",MAX(0,C572-D572))</f>
        <v/>
      </c>
    </row>
    <row r="573">
      <c r="D573">
        <f>IF(C573="","",MIN(C573,Settings!$B$4))</f>
        <v/>
      </c>
      <c r="E573">
        <f>IF(C573="","",MAX(0,C573-D573))</f>
        <v/>
      </c>
    </row>
    <row r="574">
      <c r="D574">
        <f>IF(C574="","",MIN(C574,Settings!$B$4))</f>
        <v/>
      </c>
      <c r="E574">
        <f>IF(C574="","",MAX(0,C574-D574))</f>
        <v/>
      </c>
    </row>
    <row r="575">
      <c r="D575">
        <f>IF(C575="","",MIN(C575,Settings!$B$4))</f>
        <v/>
      </c>
      <c r="E575">
        <f>IF(C575="","",MAX(0,C575-D575))</f>
        <v/>
      </c>
    </row>
    <row r="576">
      <c r="D576">
        <f>IF(C576="","",MIN(C576,Settings!$B$4))</f>
        <v/>
      </c>
      <c r="E576">
        <f>IF(C576="","",MAX(0,C576-D576))</f>
        <v/>
      </c>
    </row>
    <row r="577">
      <c r="D577">
        <f>IF(C577="","",MIN(C577,Settings!$B$4))</f>
        <v/>
      </c>
      <c r="E577">
        <f>IF(C577="","",MAX(0,C577-D577))</f>
        <v/>
      </c>
    </row>
    <row r="578">
      <c r="D578">
        <f>IF(C578="","",MIN(C578,Settings!$B$4))</f>
        <v/>
      </c>
      <c r="E578">
        <f>IF(C578="","",MAX(0,C578-D578))</f>
        <v/>
      </c>
    </row>
    <row r="579">
      <c r="D579">
        <f>IF(C579="","",MIN(C579,Settings!$B$4))</f>
        <v/>
      </c>
      <c r="E579">
        <f>IF(C579="","",MAX(0,C579-D579))</f>
        <v/>
      </c>
    </row>
    <row r="580">
      <c r="D580">
        <f>IF(C580="","",MIN(C580,Settings!$B$4))</f>
        <v/>
      </c>
      <c r="E580">
        <f>IF(C580="","",MAX(0,C580-D580))</f>
        <v/>
      </c>
    </row>
    <row r="581">
      <c r="D581">
        <f>IF(C581="","",MIN(C581,Settings!$B$4))</f>
        <v/>
      </c>
      <c r="E581">
        <f>IF(C581="","",MAX(0,C581-D581))</f>
        <v/>
      </c>
    </row>
    <row r="582">
      <c r="D582">
        <f>IF(C582="","",MIN(C582,Settings!$B$4))</f>
        <v/>
      </c>
      <c r="E582">
        <f>IF(C582="","",MAX(0,C582-D582))</f>
        <v/>
      </c>
    </row>
    <row r="583">
      <c r="D583">
        <f>IF(C583="","",MIN(C583,Settings!$B$4))</f>
        <v/>
      </c>
      <c r="E583">
        <f>IF(C583="","",MAX(0,C583-D583))</f>
        <v/>
      </c>
    </row>
    <row r="584">
      <c r="D584">
        <f>IF(C584="","",MIN(C584,Settings!$B$4))</f>
        <v/>
      </c>
      <c r="E584">
        <f>IF(C584="","",MAX(0,C584-D584))</f>
        <v/>
      </c>
    </row>
    <row r="585">
      <c r="D585">
        <f>IF(C585="","",MIN(C585,Settings!$B$4))</f>
        <v/>
      </c>
      <c r="E585">
        <f>IF(C585="","",MAX(0,C585-D585))</f>
        <v/>
      </c>
    </row>
    <row r="586">
      <c r="D586">
        <f>IF(C586="","",MIN(C586,Settings!$B$4))</f>
        <v/>
      </c>
      <c r="E586">
        <f>IF(C586="","",MAX(0,C586-D586))</f>
        <v/>
      </c>
    </row>
    <row r="587">
      <c r="D587">
        <f>IF(C587="","",MIN(C587,Settings!$B$4))</f>
        <v/>
      </c>
      <c r="E587">
        <f>IF(C587="","",MAX(0,C587-D587))</f>
        <v/>
      </c>
    </row>
    <row r="588">
      <c r="D588">
        <f>IF(C588="","",MIN(C588,Settings!$B$4))</f>
        <v/>
      </c>
      <c r="E588">
        <f>IF(C588="","",MAX(0,C588-D588))</f>
        <v/>
      </c>
    </row>
    <row r="589">
      <c r="D589">
        <f>IF(C589="","",MIN(C589,Settings!$B$4))</f>
        <v/>
      </c>
      <c r="E589">
        <f>IF(C589="","",MAX(0,C589-D589))</f>
        <v/>
      </c>
    </row>
    <row r="590">
      <c r="D590">
        <f>IF(C590="","",MIN(C590,Settings!$B$4))</f>
        <v/>
      </c>
      <c r="E590">
        <f>IF(C590="","",MAX(0,C590-D590))</f>
        <v/>
      </c>
    </row>
    <row r="591">
      <c r="D591">
        <f>IF(C591="","",MIN(C591,Settings!$B$4))</f>
        <v/>
      </c>
      <c r="E591">
        <f>IF(C591="","",MAX(0,C591-D591))</f>
        <v/>
      </c>
    </row>
    <row r="592">
      <c r="D592">
        <f>IF(C592="","",MIN(C592,Settings!$B$4))</f>
        <v/>
      </c>
      <c r="E592">
        <f>IF(C592="","",MAX(0,C592-D592))</f>
        <v/>
      </c>
    </row>
    <row r="593">
      <c r="D593">
        <f>IF(C593="","",MIN(C593,Settings!$B$4))</f>
        <v/>
      </c>
      <c r="E593">
        <f>IF(C593="","",MAX(0,C593-D593))</f>
        <v/>
      </c>
    </row>
    <row r="594">
      <c r="D594">
        <f>IF(C594="","",MIN(C594,Settings!$B$4))</f>
        <v/>
      </c>
      <c r="E594">
        <f>IF(C594="","",MAX(0,C594-D594))</f>
        <v/>
      </c>
    </row>
    <row r="595">
      <c r="D595">
        <f>IF(C595="","",MIN(C595,Settings!$B$4))</f>
        <v/>
      </c>
      <c r="E595">
        <f>IF(C595="","",MAX(0,C595-D595))</f>
        <v/>
      </c>
    </row>
    <row r="596">
      <c r="D596">
        <f>IF(C596="","",MIN(C596,Settings!$B$4))</f>
        <v/>
      </c>
      <c r="E596">
        <f>IF(C596="","",MAX(0,C596-D596))</f>
        <v/>
      </c>
    </row>
    <row r="597">
      <c r="D597">
        <f>IF(C597="","",MIN(C597,Settings!$B$4))</f>
        <v/>
      </c>
      <c r="E597">
        <f>IF(C597="","",MAX(0,C597-D597))</f>
        <v/>
      </c>
    </row>
    <row r="598">
      <c r="D598">
        <f>IF(C598="","",MIN(C598,Settings!$B$4))</f>
        <v/>
      </c>
      <c r="E598">
        <f>IF(C598="","",MAX(0,C598-D598))</f>
        <v/>
      </c>
    </row>
    <row r="599">
      <c r="D599">
        <f>IF(C599="","",MIN(C599,Settings!$B$4))</f>
        <v/>
      </c>
      <c r="E599">
        <f>IF(C599="","",MAX(0,C599-D599))</f>
        <v/>
      </c>
    </row>
    <row r="600">
      <c r="D600">
        <f>IF(C600="","",MIN(C600,Settings!$B$4))</f>
        <v/>
      </c>
      <c r="E600">
        <f>IF(C600="","",MAX(0,C600-D600))</f>
        <v/>
      </c>
    </row>
    <row r="601">
      <c r="D601">
        <f>IF(C601="","",MIN(C601,Settings!$B$4))</f>
        <v/>
      </c>
      <c r="E601">
        <f>IF(C601="","",MAX(0,C601-D601))</f>
        <v/>
      </c>
    </row>
    <row r="602">
      <c r="D602">
        <f>IF(C602="","",MIN(C602,Settings!$B$4))</f>
        <v/>
      </c>
      <c r="E602">
        <f>IF(C602="","",MAX(0,C602-D602))</f>
        <v/>
      </c>
    </row>
    <row r="603">
      <c r="D603">
        <f>IF(C603="","",MIN(C603,Settings!$B$4))</f>
        <v/>
      </c>
      <c r="E603">
        <f>IF(C603="","",MAX(0,C603-D603))</f>
        <v/>
      </c>
    </row>
    <row r="604">
      <c r="D604">
        <f>IF(C604="","",MIN(C604,Settings!$B$4))</f>
        <v/>
      </c>
      <c r="E604">
        <f>IF(C604="","",MAX(0,C604-D604))</f>
        <v/>
      </c>
    </row>
    <row r="605">
      <c r="D605">
        <f>IF(C605="","",MIN(C605,Settings!$B$4))</f>
        <v/>
      </c>
      <c r="E605">
        <f>IF(C605="","",MAX(0,C605-D605))</f>
        <v/>
      </c>
    </row>
    <row r="606">
      <c r="D606">
        <f>IF(C606="","",MIN(C606,Settings!$B$4))</f>
        <v/>
      </c>
      <c r="E606">
        <f>IF(C606="","",MAX(0,C606-D606))</f>
        <v/>
      </c>
    </row>
    <row r="607">
      <c r="D607">
        <f>IF(C607="","",MIN(C607,Settings!$B$4))</f>
        <v/>
      </c>
      <c r="E607">
        <f>IF(C607="","",MAX(0,C607-D607))</f>
        <v/>
      </c>
    </row>
    <row r="608">
      <c r="D608">
        <f>IF(C608="","",MIN(C608,Settings!$B$4))</f>
        <v/>
      </c>
      <c r="E608">
        <f>IF(C608="","",MAX(0,C608-D608))</f>
        <v/>
      </c>
    </row>
    <row r="609">
      <c r="D609">
        <f>IF(C609="","",MIN(C609,Settings!$B$4))</f>
        <v/>
      </c>
      <c r="E609">
        <f>IF(C609="","",MAX(0,C609-D609))</f>
        <v/>
      </c>
    </row>
    <row r="610">
      <c r="D610">
        <f>IF(C610="","",MIN(C610,Settings!$B$4))</f>
        <v/>
      </c>
      <c r="E610">
        <f>IF(C610="","",MAX(0,C610-D610))</f>
        <v/>
      </c>
    </row>
    <row r="611">
      <c r="D611">
        <f>IF(C611="","",MIN(C611,Settings!$B$4))</f>
        <v/>
      </c>
      <c r="E611">
        <f>IF(C611="","",MAX(0,C611-D611))</f>
        <v/>
      </c>
    </row>
    <row r="612">
      <c r="D612">
        <f>IF(C612="","",MIN(C612,Settings!$B$4))</f>
        <v/>
      </c>
      <c r="E612">
        <f>IF(C612="","",MAX(0,C612-D612))</f>
        <v/>
      </c>
    </row>
    <row r="613">
      <c r="D613">
        <f>IF(C613="","",MIN(C613,Settings!$B$4))</f>
        <v/>
      </c>
      <c r="E613">
        <f>IF(C613="","",MAX(0,C613-D613))</f>
        <v/>
      </c>
    </row>
    <row r="614">
      <c r="D614">
        <f>IF(C614="","",MIN(C614,Settings!$B$4))</f>
        <v/>
      </c>
      <c r="E614">
        <f>IF(C614="","",MAX(0,C614-D614))</f>
        <v/>
      </c>
    </row>
    <row r="615">
      <c r="D615">
        <f>IF(C615="","",MIN(C615,Settings!$B$4))</f>
        <v/>
      </c>
      <c r="E615">
        <f>IF(C615="","",MAX(0,C615-D615))</f>
        <v/>
      </c>
    </row>
    <row r="616">
      <c r="D616">
        <f>IF(C616="","",MIN(C616,Settings!$B$4))</f>
        <v/>
      </c>
      <c r="E616">
        <f>IF(C616="","",MAX(0,C616-D616))</f>
        <v/>
      </c>
    </row>
    <row r="617">
      <c r="D617">
        <f>IF(C617="","",MIN(C617,Settings!$B$4))</f>
        <v/>
      </c>
      <c r="E617">
        <f>IF(C617="","",MAX(0,C617-D617))</f>
        <v/>
      </c>
    </row>
    <row r="618">
      <c r="D618">
        <f>IF(C618="","",MIN(C618,Settings!$B$4))</f>
        <v/>
      </c>
      <c r="E618">
        <f>IF(C618="","",MAX(0,C618-D618))</f>
        <v/>
      </c>
    </row>
    <row r="619">
      <c r="D619">
        <f>IF(C619="","",MIN(C619,Settings!$B$4))</f>
        <v/>
      </c>
      <c r="E619">
        <f>IF(C619="","",MAX(0,C619-D619))</f>
        <v/>
      </c>
    </row>
    <row r="620">
      <c r="D620">
        <f>IF(C620="","",MIN(C620,Settings!$B$4))</f>
        <v/>
      </c>
      <c r="E620">
        <f>IF(C620="","",MAX(0,C620-D620))</f>
        <v/>
      </c>
    </row>
    <row r="621">
      <c r="D621">
        <f>IF(C621="","",MIN(C621,Settings!$B$4))</f>
        <v/>
      </c>
      <c r="E621">
        <f>IF(C621="","",MAX(0,C621-D621))</f>
        <v/>
      </c>
    </row>
    <row r="622">
      <c r="D622">
        <f>IF(C622="","",MIN(C622,Settings!$B$4))</f>
        <v/>
      </c>
      <c r="E622">
        <f>IF(C622="","",MAX(0,C622-D622))</f>
        <v/>
      </c>
    </row>
    <row r="623">
      <c r="D623">
        <f>IF(C623="","",MIN(C623,Settings!$B$4))</f>
        <v/>
      </c>
      <c r="E623">
        <f>IF(C623="","",MAX(0,C623-D623))</f>
        <v/>
      </c>
    </row>
    <row r="624">
      <c r="D624">
        <f>IF(C624="","",MIN(C624,Settings!$B$4))</f>
        <v/>
      </c>
      <c r="E624">
        <f>IF(C624="","",MAX(0,C624-D624))</f>
        <v/>
      </c>
    </row>
    <row r="625">
      <c r="D625">
        <f>IF(C625="","",MIN(C625,Settings!$B$4))</f>
        <v/>
      </c>
      <c r="E625">
        <f>IF(C625="","",MAX(0,C625-D625))</f>
        <v/>
      </c>
    </row>
    <row r="626">
      <c r="D626">
        <f>IF(C626="","",MIN(C626,Settings!$B$4))</f>
        <v/>
      </c>
      <c r="E626">
        <f>IF(C626="","",MAX(0,C626-D626))</f>
        <v/>
      </c>
    </row>
    <row r="627">
      <c r="D627">
        <f>IF(C627="","",MIN(C627,Settings!$B$4))</f>
        <v/>
      </c>
      <c r="E627">
        <f>IF(C627="","",MAX(0,C627-D627))</f>
        <v/>
      </c>
    </row>
    <row r="628">
      <c r="D628">
        <f>IF(C628="","",MIN(C628,Settings!$B$4))</f>
        <v/>
      </c>
      <c r="E628">
        <f>IF(C628="","",MAX(0,C628-D628))</f>
        <v/>
      </c>
    </row>
    <row r="629">
      <c r="D629">
        <f>IF(C629="","",MIN(C629,Settings!$B$4))</f>
        <v/>
      </c>
      <c r="E629">
        <f>IF(C629="","",MAX(0,C629-D629))</f>
        <v/>
      </c>
    </row>
    <row r="630">
      <c r="D630">
        <f>IF(C630="","",MIN(C630,Settings!$B$4))</f>
        <v/>
      </c>
      <c r="E630">
        <f>IF(C630="","",MAX(0,C630-D630))</f>
        <v/>
      </c>
    </row>
    <row r="631">
      <c r="D631">
        <f>IF(C631="","",MIN(C631,Settings!$B$4))</f>
        <v/>
      </c>
      <c r="E631">
        <f>IF(C631="","",MAX(0,C631-D631))</f>
        <v/>
      </c>
    </row>
    <row r="632">
      <c r="D632">
        <f>IF(C632="","",MIN(C632,Settings!$B$4))</f>
        <v/>
      </c>
      <c r="E632">
        <f>IF(C632="","",MAX(0,C632-D632))</f>
        <v/>
      </c>
    </row>
    <row r="633">
      <c r="D633">
        <f>IF(C633="","",MIN(C633,Settings!$B$4))</f>
        <v/>
      </c>
      <c r="E633">
        <f>IF(C633="","",MAX(0,C633-D633))</f>
        <v/>
      </c>
    </row>
    <row r="634">
      <c r="D634">
        <f>IF(C634="","",MIN(C634,Settings!$B$4))</f>
        <v/>
      </c>
      <c r="E634">
        <f>IF(C634="","",MAX(0,C634-D634))</f>
        <v/>
      </c>
    </row>
    <row r="635">
      <c r="D635">
        <f>IF(C635="","",MIN(C635,Settings!$B$4))</f>
        <v/>
      </c>
      <c r="E635">
        <f>IF(C635="","",MAX(0,C635-D635))</f>
        <v/>
      </c>
    </row>
    <row r="636">
      <c r="D636">
        <f>IF(C636="","",MIN(C636,Settings!$B$4))</f>
        <v/>
      </c>
      <c r="E636">
        <f>IF(C636="","",MAX(0,C636-D636))</f>
        <v/>
      </c>
    </row>
    <row r="637">
      <c r="D637">
        <f>IF(C637="","",MIN(C637,Settings!$B$4))</f>
        <v/>
      </c>
      <c r="E637">
        <f>IF(C637="","",MAX(0,C637-D637))</f>
        <v/>
      </c>
    </row>
    <row r="638">
      <c r="D638">
        <f>IF(C638="","",MIN(C638,Settings!$B$4))</f>
        <v/>
      </c>
      <c r="E638">
        <f>IF(C638="","",MAX(0,C638-D638))</f>
        <v/>
      </c>
    </row>
    <row r="639">
      <c r="D639">
        <f>IF(C639="","",MIN(C639,Settings!$B$4))</f>
        <v/>
      </c>
      <c r="E639">
        <f>IF(C639="","",MAX(0,C639-D639))</f>
        <v/>
      </c>
    </row>
    <row r="640">
      <c r="D640">
        <f>IF(C640="","",MIN(C640,Settings!$B$4))</f>
        <v/>
      </c>
      <c r="E640">
        <f>IF(C640="","",MAX(0,C640-D640))</f>
        <v/>
      </c>
    </row>
    <row r="641">
      <c r="D641">
        <f>IF(C641="","",MIN(C641,Settings!$B$4))</f>
        <v/>
      </c>
      <c r="E641">
        <f>IF(C641="","",MAX(0,C641-D641))</f>
        <v/>
      </c>
    </row>
    <row r="642">
      <c r="D642">
        <f>IF(C642="","",MIN(C642,Settings!$B$4))</f>
        <v/>
      </c>
      <c r="E642">
        <f>IF(C642="","",MAX(0,C642-D642))</f>
        <v/>
      </c>
    </row>
    <row r="643">
      <c r="D643">
        <f>IF(C643="","",MIN(C643,Settings!$B$4))</f>
        <v/>
      </c>
      <c r="E643">
        <f>IF(C643="","",MAX(0,C643-D643))</f>
        <v/>
      </c>
    </row>
    <row r="644">
      <c r="D644">
        <f>IF(C644="","",MIN(C644,Settings!$B$4))</f>
        <v/>
      </c>
      <c r="E644">
        <f>IF(C644="","",MAX(0,C644-D644))</f>
        <v/>
      </c>
    </row>
    <row r="645">
      <c r="D645">
        <f>IF(C645="","",MIN(C645,Settings!$B$4))</f>
        <v/>
      </c>
      <c r="E645">
        <f>IF(C645="","",MAX(0,C645-D645))</f>
        <v/>
      </c>
    </row>
    <row r="646">
      <c r="D646">
        <f>IF(C646="","",MIN(C646,Settings!$B$4))</f>
        <v/>
      </c>
      <c r="E646">
        <f>IF(C646="","",MAX(0,C646-D646))</f>
        <v/>
      </c>
    </row>
    <row r="647">
      <c r="D647">
        <f>IF(C647="","",MIN(C647,Settings!$B$4))</f>
        <v/>
      </c>
      <c r="E647">
        <f>IF(C647="","",MAX(0,C647-D647))</f>
        <v/>
      </c>
    </row>
    <row r="648">
      <c r="D648">
        <f>IF(C648="","",MIN(C648,Settings!$B$4))</f>
        <v/>
      </c>
      <c r="E648">
        <f>IF(C648="","",MAX(0,C648-D648))</f>
        <v/>
      </c>
    </row>
    <row r="649">
      <c r="D649">
        <f>IF(C649="","",MIN(C649,Settings!$B$4))</f>
        <v/>
      </c>
      <c r="E649">
        <f>IF(C649="","",MAX(0,C649-D649))</f>
        <v/>
      </c>
    </row>
    <row r="650">
      <c r="D650">
        <f>IF(C650="","",MIN(C650,Settings!$B$4))</f>
        <v/>
      </c>
      <c r="E650">
        <f>IF(C650="","",MAX(0,C650-D650))</f>
        <v/>
      </c>
    </row>
    <row r="651">
      <c r="D651">
        <f>IF(C651="","",MIN(C651,Settings!$B$4))</f>
        <v/>
      </c>
      <c r="E651">
        <f>IF(C651="","",MAX(0,C651-D651))</f>
        <v/>
      </c>
    </row>
    <row r="652">
      <c r="D652">
        <f>IF(C652="","",MIN(C652,Settings!$B$4))</f>
        <v/>
      </c>
      <c r="E652">
        <f>IF(C652="","",MAX(0,C652-D652))</f>
        <v/>
      </c>
    </row>
    <row r="653">
      <c r="D653">
        <f>IF(C653="","",MIN(C653,Settings!$B$4))</f>
        <v/>
      </c>
      <c r="E653">
        <f>IF(C653="","",MAX(0,C653-D653))</f>
        <v/>
      </c>
    </row>
    <row r="654">
      <c r="D654">
        <f>IF(C654="","",MIN(C654,Settings!$B$4))</f>
        <v/>
      </c>
      <c r="E654">
        <f>IF(C654="","",MAX(0,C654-D654))</f>
        <v/>
      </c>
    </row>
    <row r="655">
      <c r="D655">
        <f>IF(C655="","",MIN(C655,Settings!$B$4))</f>
        <v/>
      </c>
      <c r="E655">
        <f>IF(C655="","",MAX(0,C655-D655))</f>
        <v/>
      </c>
    </row>
    <row r="656">
      <c r="D656">
        <f>IF(C656="","",MIN(C656,Settings!$B$4))</f>
        <v/>
      </c>
      <c r="E656">
        <f>IF(C656="","",MAX(0,C656-D656))</f>
        <v/>
      </c>
    </row>
    <row r="657">
      <c r="D657">
        <f>IF(C657="","",MIN(C657,Settings!$B$4))</f>
        <v/>
      </c>
      <c r="E657">
        <f>IF(C657="","",MAX(0,C657-D657))</f>
        <v/>
      </c>
    </row>
    <row r="658">
      <c r="D658">
        <f>IF(C658="","",MIN(C658,Settings!$B$4))</f>
        <v/>
      </c>
      <c r="E658">
        <f>IF(C658="","",MAX(0,C658-D658))</f>
        <v/>
      </c>
    </row>
    <row r="659">
      <c r="D659">
        <f>IF(C659="","",MIN(C659,Settings!$B$4))</f>
        <v/>
      </c>
      <c r="E659">
        <f>IF(C659="","",MAX(0,C659-D659))</f>
        <v/>
      </c>
    </row>
    <row r="660">
      <c r="D660">
        <f>IF(C660="","",MIN(C660,Settings!$B$4))</f>
        <v/>
      </c>
      <c r="E660">
        <f>IF(C660="","",MAX(0,C660-D660))</f>
        <v/>
      </c>
    </row>
    <row r="661">
      <c r="D661">
        <f>IF(C661="","",MIN(C661,Settings!$B$4))</f>
        <v/>
      </c>
      <c r="E661">
        <f>IF(C661="","",MAX(0,C661-D661))</f>
        <v/>
      </c>
    </row>
    <row r="662">
      <c r="D662">
        <f>IF(C662="","",MIN(C662,Settings!$B$4))</f>
        <v/>
      </c>
      <c r="E662">
        <f>IF(C662="","",MAX(0,C662-D662))</f>
        <v/>
      </c>
    </row>
    <row r="663">
      <c r="D663">
        <f>IF(C663="","",MIN(C663,Settings!$B$4))</f>
        <v/>
      </c>
      <c r="E663">
        <f>IF(C663="","",MAX(0,C663-D663))</f>
        <v/>
      </c>
    </row>
    <row r="664">
      <c r="D664">
        <f>IF(C664="","",MIN(C664,Settings!$B$4))</f>
        <v/>
      </c>
      <c r="E664">
        <f>IF(C664="","",MAX(0,C664-D664))</f>
        <v/>
      </c>
    </row>
    <row r="665">
      <c r="D665">
        <f>IF(C665="","",MIN(C665,Settings!$B$4))</f>
        <v/>
      </c>
      <c r="E665">
        <f>IF(C665="","",MAX(0,C665-D665))</f>
        <v/>
      </c>
    </row>
    <row r="666">
      <c r="D666">
        <f>IF(C666="","",MIN(C666,Settings!$B$4))</f>
        <v/>
      </c>
      <c r="E666">
        <f>IF(C666="","",MAX(0,C666-D666))</f>
        <v/>
      </c>
    </row>
    <row r="667">
      <c r="D667">
        <f>IF(C667="","",MIN(C667,Settings!$B$4))</f>
        <v/>
      </c>
      <c r="E667">
        <f>IF(C667="","",MAX(0,C667-D667))</f>
        <v/>
      </c>
    </row>
    <row r="668">
      <c r="D668">
        <f>IF(C668="","",MIN(C668,Settings!$B$4))</f>
        <v/>
      </c>
      <c r="E668">
        <f>IF(C668="","",MAX(0,C668-D668))</f>
        <v/>
      </c>
    </row>
    <row r="669">
      <c r="D669">
        <f>IF(C669="","",MIN(C669,Settings!$B$4))</f>
        <v/>
      </c>
      <c r="E669">
        <f>IF(C669="","",MAX(0,C669-D669))</f>
        <v/>
      </c>
    </row>
    <row r="670">
      <c r="D670">
        <f>IF(C670="","",MIN(C670,Settings!$B$4))</f>
        <v/>
      </c>
      <c r="E670">
        <f>IF(C670="","",MAX(0,C670-D670))</f>
        <v/>
      </c>
    </row>
    <row r="671">
      <c r="D671">
        <f>IF(C671="","",MIN(C671,Settings!$B$4))</f>
        <v/>
      </c>
      <c r="E671">
        <f>IF(C671="","",MAX(0,C671-D671))</f>
        <v/>
      </c>
    </row>
    <row r="672">
      <c r="D672">
        <f>IF(C672="","",MIN(C672,Settings!$B$4))</f>
        <v/>
      </c>
      <c r="E672">
        <f>IF(C672="","",MAX(0,C672-D672))</f>
        <v/>
      </c>
    </row>
    <row r="673">
      <c r="D673">
        <f>IF(C673="","",MIN(C673,Settings!$B$4))</f>
        <v/>
      </c>
      <c r="E673">
        <f>IF(C673="","",MAX(0,C673-D673))</f>
        <v/>
      </c>
    </row>
    <row r="674">
      <c r="D674">
        <f>IF(C674="","",MIN(C674,Settings!$B$4))</f>
        <v/>
      </c>
      <c r="E674">
        <f>IF(C674="","",MAX(0,C674-D674))</f>
        <v/>
      </c>
    </row>
    <row r="675">
      <c r="D675">
        <f>IF(C675="","",MIN(C675,Settings!$B$4))</f>
        <v/>
      </c>
      <c r="E675">
        <f>IF(C675="","",MAX(0,C675-D675))</f>
        <v/>
      </c>
    </row>
    <row r="676">
      <c r="D676">
        <f>IF(C676="","",MIN(C676,Settings!$B$4))</f>
        <v/>
      </c>
      <c r="E676">
        <f>IF(C676="","",MAX(0,C676-D676))</f>
        <v/>
      </c>
    </row>
    <row r="677">
      <c r="D677">
        <f>IF(C677="","",MIN(C677,Settings!$B$4))</f>
        <v/>
      </c>
      <c r="E677">
        <f>IF(C677="","",MAX(0,C677-D677))</f>
        <v/>
      </c>
    </row>
    <row r="678">
      <c r="D678">
        <f>IF(C678="","",MIN(C678,Settings!$B$4))</f>
        <v/>
      </c>
      <c r="E678">
        <f>IF(C678="","",MAX(0,C678-D678))</f>
        <v/>
      </c>
    </row>
    <row r="679">
      <c r="D679">
        <f>IF(C679="","",MIN(C679,Settings!$B$4))</f>
        <v/>
      </c>
      <c r="E679">
        <f>IF(C679="","",MAX(0,C679-D679))</f>
        <v/>
      </c>
    </row>
    <row r="680">
      <c r="D680">
        <f>IF(C680="","",MIN(C680,Settings!$B$4))</f>
        <v/>
      </c>
      <c r="E680">
        <f>IF(C680="","",MAX(0,C680-D680))</f>
        <v/>
      </c>
    </row>
    <row r="681">
      <c r="D681">
        <f>IF(C681="","",MIN(C681,Settings!$B$4))</f>
        <v/>
      </c>
      <c r="E681">
        <f>IF(C681="","",MAX(0,C681-D681))</f>
        <v/>
      </c>
    </row>
    <row r="682">
      <c r="D682">
        <f>IF(C682="","",MIN(C682,Settings!$B$4))</f>
        <v/>
      </c>
      <c r="E682">
        <f>IF(C682="","",MAX(0,C682-D682))</f>
        <v/>
      </c>
    </row>
    <row r="683">
      <c r="D683">
        <f>IF(C683="","",MIN(C683,Settings!$B$4))</f>
        <v/>
      </c>
      <c r="E683">
        <f>IF(C683="","",MAX(0,C683-D683))</f>
        <v/>
      </c>
    </row>
    <row r="684">
      <c r="D684">
        <f>IF(C684="","",MIN(C684,Settings!$B$4))</f>
        <v/>
      </c>
      <c r="E684">
        <f>IF(C684="","",MAX(0,C684-D684))</f>
        <v/>
      </c>
    </row>
    <row r="685">
      <c r="D685">
        <f>IF(C685="","",MIN(C685,Settings!$B$4))</f>
        <v/>
      </c>
      <c r="E685">
        <f>IF(C685="","",MAX(0,C685-D685))</f>
        <v/>
      </c>
    </row>
    <row r="686">
      <c r="D686">
        <f>IF(C686="","",MIN(C686,Settings!$B$4))</f>
        <v/>
      </c>
      <c r="E686">
        <f>IF(C686="","",MAX(0,C686-D686))</f>
        <v/>
      </c>
    </row>
    <row r="687">
      <c r="D687">
        <f>IF(C687="","",MIN(C687,Settings!$B$4))</f>
        <v/>
      </c>
      <c r="E687">
        <f>IF(C687="","",MAX(0,C687-D687))</f>
        <v/>
      </c>
    </row>
    <row r="688">
      <c r="D688">
        <f>IF(C688="","",MIN(C688,Settings!$B$4))</f>
        <v/>
      </c>
      <c r="E688">
        <f>IF(C688="","",MAX(0,C688-D688))</f>
        <v/>
      </c>
    </row>
    <row r="689">
      <c r="D689">
        <f>IF(C689="","",MIN(C689,Settings!$B$4))</f>
        <v/>
      </c>
      <c r="E689">
        <f>IF(C689="","",MAX(0,C689-D689))</f>
        <v/>
      </c>
    </row>
    <row r="690">
      <c r="D690">
        <f>IF(C690="","",MIN(C690,Settings!$B$4))</f>
        <v/>
      </c>
      <c r="E690">
        <f>IF(C690="","",MAX(0,C690-D690))</f>
        <v/>
      </c>
    </row>
    <row r="691">
      <c r="D691">
        <f>IF(C691="","",MIN(C691,Settings!$B$4))</f>
        <v/>
      </c>
      <c r="E691">
        <f>IF(C691="","",MAX(0,C691-D691))</f>
        <v/>
      </c>
    </row>
    <row r="692">
      <c r="D692">
        <f>IF(C692="","",MIN(C692,Settings!$B$4))</f>
        <v/>
      </c>
      <c r="E692">
        <f>IF(C692="","",MAX(0,C692-D692))</f>
        <v/>
      </c>
    </row>
    <row r="693">
      <c r="D693">
        <f>IF(C693="","",MIN(C693,Settings!$B$4))</f>
        <v/>
      </c>
      <c r="E693">
        <f>IF(C693="","",MAX(0,C693-D693))</f>
        <v/>
      </c>
    </row>
    <row r="694">
      <c r="D694">
        <f>IF(C694="","",MIN(C694,Settings!$B$4))</f>
        <v/>
      </c>
      <c r="E694">
        <f>IF(C694="","",MAX(0,C694-D694))</f>
        <v/>
      </c>
    </row>
    <row r="695">
      <c r="D695">
        <f>IF(C695="","",MIN(C695,Settings!$B$4))</f>
        <v/>
      </c>
      <c r="E695">
        <f>IF(C695="","",MAX(0,C695-D695))</f>
        <v/>
      </c>
    </row>
    <row r="696">
      <c r="D696">
        <f>IF(C696="","",MIN(C696,Settings!$B$4))</f>
        <v/>
      </c>
      <c r="E696">
        <f>IF(C696="","",MAX(0,C696-D696))</f>
        <v/>
      </c>
    </row>
    <row r="697">
      <c r="D697">
        <f>IF(C697="","",MIN(C697,Settings!$B$4))</f>
        <v/>
      </c>
      <c r="E697">
        <f>IF(C697="","",MAX(0,C697-D697))</f>
        <v/>
      </c>
    </row>
    <row r="698">
      <c r="D698">
        <f>IF(C698="","",MIN(C698,Settings!$B$4))</f>
        <v/>
      </c>
      <c r="E698">
        <f>IF(C698="","",MAX(0,C698-D698))</f>
        <v/>
      </c>
    </row>
    <row r="699">
      <c r="D699">
        <f>IF(C699="","",MIN(C699,Settings!$B$4))</f>
        <v/>
      </c>
      <c r="E699">
        <f>IF(C699="","",MAX(0,C699-D699))</f>
        <v/>
      </c>
    </row>
    <row r="700">
      <c r="D700">
        <f>IF(C700="","",MIN(C700,Settings!$B$4))</f>
        <v/>
      </c>
      <c r="E700">
        <f>IF(C700="","",MAX(0,C700-D700))</f>
        <v/>
      </c>
    </row>
    <row r="701">
      <c r="D701">
        <f>IF(C701="","",MIN(C701,Settings!$B$4))</f>
        <v/>
      </c>
      <c r="E701">
        <f>IF(C701="","",MAX(0,C701-D701))</f>
        <v/>
      </c>
    </row>
    <row r="702">
      <c r="D702">
        <f>IF(C702="","",MIN(C702,Settings!$B$4))</f>
        <v/>
      </c>
      <c r="E702">
        <f>IF(C702="","",MAX(0,C702-D702))</f>
        <v/>
      </c>
    </row>
    <row r="703">
      <c r="D703">
        <f>IF(C703="","",MIN(C703,Settings!$B$4))</f>
        <v/>
      </c>
      <c r="E703">
        <f>IF(C703="","",MAX(0,C703-D703))</f>
        <v/>
      </c>
    </row>
    <row r="704">
      <c r="D704">
        <f>IF(C704="","",MIN(C704,Settings!$B$4))</f>
        <v/>
      </c>
      <c r="E704">
        <f>IF(C704="","",MAX(0,C704-D704))</f>
        <v/>
      </c>
    </row>
    <row r="705">
      <c r="D705">
        <f>IF(C705="","",MIN(C705,Settings!$B$4))</f>
        <v/>
      </c>
      <c r="E705">
        <f>IF(C705="","",MAX(0,C705-D705))</f>
        <v/>
      </c>
    </row>
    <row r="706">
      <c r="D706">
        <f>IF(C706="","",MIN(C706,Settings!$B$4))</f>
        <v/>
      </c>
      <c r="E706">
        <f>IF(C706="","",MAX(0,C706-D706))</f>
        <v/>
      </c>
    </row>
    <row r="707">
      <c r="D707">
        <f>IF(C707="","",MIN(C707,Settings!$B$4))</f>
        <v/>
      </c>
      <c r="E707">
        <f>IF(C707="","",MAX(0,C707-D707))</f>
        <v/>
      </c>
    </row>
    <row r="708">
      <c r="D708">
        <f>IF(C708="","",MIN(C708,Settings!$B$4))</f>
        <v/>
      </c>
      <c r="E708">
        <f>IF(C708="","",MAX(0,C708-D708))</f>
        <v/>
      </c>
    </row>
    <row r="709">
      <c r="D709">
        <f>IF(C709="","",MIN(C709,Settings!$B$4))</f>
        <v/>
      </c>
      <c r="E709">
        <f>IF(C709="","",MAX(0,C709-D709))</f>
        <v/>
      </c>
    </row>
    <row r="710">
      <c r="D710">
        <f>IF(C710="","",MIN(C710,Settings!$B$4))</f>
        <v/>
      </c>
      <c r="E710">
        <f>IF(C710="","",MAX(0,C710-D710))</f>
        <v/>
      </c>
    </row>
    <row r="711">
      <c r="D711">
        <f>IF(C711="","",MIN(C711,Settings!$B$4))</f>
        <v/>
      </c>
      <c r="E711">
        <f>IF(C711="","",MAX(0,C711-D711))</f>
        <v/>
      </c>
    </row>
    <row r="712">
      <c r="D712">
        <f>IF(C712="","",MIN(C712,Settings!$B$4))</f>
        <v/>
      </c>
      <c r="E712">
        <f>IF(C712="","",MAX(0,C712-D712))</f>
        <v/>
      </c>
    </row>
    <row r="713">
      <c r="D713">
        <f>IF(C713="","",MIN(C713,Settings!$B$4))</f>
        <v/>
      </c>
      <c r="E713">
        <f>IF(C713="","",MAX(0,C713-D713))</f>
        <v/>
      </c>
    </row>
    <row r="714">
      <c r="D714">
        <f>IF(C714="","",MIN(C714,Settings!$B$4))</f>
        <v/>
      </c>
      <c r="E714">
        <f>IF(C714="","",MAX(0,C714-D714))</f>
        <v/>
      </c>
    </row>
    <row r="715">
      <c r="D715">
        <f>IF(C715="","",MIN(C715,Settings!$B$4))</f>
        <v/>
      </c>
      <c r="E715">
        <f>IF(C715="","",MAX(0,C715-D715))</f>
        <v/>
      </c>
    </row>
    <row r="716">
      <c r="D716">
        <f>IF(C716="","",MIN(C716,Settings!$B$4))</f>
        <v/>
      </c>
      <c r="E716">
        <f>IF(C716="","",MAX(0,C716-D716))</f>
        <v/>
      </c>
    </row>
    <row r="717">
      <c r="D717">
        <f>IF(C717="","",MIN(C717,Settings!$B$4))</f>
        <v/>
      </c>
      <c r="E717">
        <f>IF(C717="","",MAX(0,C717-D717))</f>
        <v/>
      </c>
    </row>
    <row r="718">
      <c r="D718">
        <f>IF(C718="","",MIN(C718,Settings!$B$4))</f>
        <v/>
      </c>
      <c r="E718">
        <f>IF(C718="","",MAX(0,C718-D718))</f>
        <v/>
      </c>
    </row>
    <row r="719">
      <c r="D719">
        <f>IF(C719="","",MIN(C719,Settings!$B$4))</f>
        <v/>
      </c>
      <c r="E719">
        <f>IF(C719="","",MAX(0,C719-D719))</f>
        <v/>
      </c>
    </row>
    <row r="720">
      <c r="D720">
        <f>IF(C720="","",MIN(C720,Settings!$B$4))</f>
        <v/>
      </c>
      <c r="E720">
        <f>IF(C720="","",MAX(0,C720-D720))</f>
        <v/>
      </c>
    </row>
    <row r="721">
      <c r="D721">
        <f>IF(C721="","",MIN(C721,Settings!$B$4))</f>
        <v/>
      </c>
      <c r="E721">
        <f>IF(C721="","",MAX(0,C721-D721))</f>
        <v/>
      </c>
    </row>
    <row r="722">
      <c r="D722">
        <f>IF(C722="","",MIN(C722,Settings!$B$4))</f>
        <v/>
      </c>
      <c r="E722">
        <f>IF(C722="","",MAX(0,C722-D722))</f>
        <v/>
      </c>
    </row>
    <row r="723">
      <c r="D723">
        <f>IF(C723="","",MIN(C723,Settings!$B$4))</f>
        <v/>
      </c>
      <c r="E723">
        <f>IF(C723="","",MAX(0,C723-D723))</f>
        <v/>
      </c>
    </row>
    <row r="724">
      <c r="D724">
        <f>IF(C724="","",MIN(C724,Settings!$B$4))</f>
        <v/>
      </c>
      <c r="E724">
        <f>IF(C724="","",MAX(0,C724-D724))</f>
        <v/>
      </c>
    </row>
    <row r="725">
      <c r="D725">
        <f>IF(C725="","",MIN(C725,Settings!$B$4))</f>
        <v/>
      </c>
      <c r="E725">
        <f>IF(C725="","",MAX(0,C725-D725))</f>
        <v/>
      </c>
    </row>
    <row r="726">
      <c r="D726">
        <f>IF(C726="","",MIN(C726,Settings!$B$4))</f>
        <v/>
      </c>
      <c r="E726">
        <f>IF(C726="","",MAX(0,C726-D726))</f>
        <v/>
      </c>
    </row>
    <row r="727">
      <c r="D727">
        <f>IF(C727="","",MIN(C727,Settings!$B$4))</f>
        <v/>
      </c>
      <c r="E727">
        <f>IF(C727="","",MAX(0,C727-D727))</f>
        <v/>
      </c>
    </row>
    <row r="728">
      <c r="D728">
        <f>IF(C728="","",MIN(C728,Settings!$B$4))</f>
        <v/>
      </c>
      <c r="E728">
        <f>IF(C728="","",MAX(0,C728-D728))</f>
        <v/>
      </c>
    </row>
    <row r="729">
      <c r="D729">
        <f>IF(C729="","",MIN(C729,Settings!$B$4))</f>
        <v/>
      </c>
      <c r="E729">
        <f>IF(C729="","",MAX(0,C729-D729))</f>
        <v/>
      </c>
    </row>
    <row r="730">
      <c r="D730">
        <f>IF(C730="","",MIN(C730,Settings!$B$4))</f>
        <v/>
      </c>
      <c r="E730">
        <f>IF(C730="","",MAX(0,C730-D730))</f>
        <v/>
      </c>
    </row>
    <row r="731">
      <c r="D731">
        <f>IF(C731="","",MIN(C731,Settings!$B$4))</f>
        <v/>
      </c>
      <c r="E731">
        <f>IF(C731="","",MAX(0,C731-D731))</f>
        <v/>
      </c>
    </row>
    <row r="732">
      <c r="D732">
        <f>IF(C732="","",MIN(C732,Settings!$B$4))</f>
        <v/>
      </c>
      <c r="E732">
        <f>IF(C732="","",MAX(0,C732-D732))</f>
        <v/>
      </c>
    </row>
    <row r="733">
      <c r="D733">
        <f>IF(C733="","",MIN(C733,Settings!$B$4))</f>
        <v/>
      </c>
      <c r="E733">
        <f>IF(C733="","",MAX(0,C733-D733))</f>
        <v/>
      </c>
    </row>
    <row r="734">
      <c r="D734">
        <f>IF(C734="","",MIN(C734,Settings!$B$4))</f>
        <v/>
      </c>
      <c r="E734">
        <f>IF(C734="","",MAX(0,C734-D734))</f>
        <v/>
      </c>
    </row>
    <row r="735">
      <c r="D735">
        <f>IF(C735="","",MIN(C735,Settings!$B$4))</f>
        <v/>
      </c>
      <c r="E735">
        <f>IF(C735="","",MAX(0,C735-D735))</f>
        <v/>
      </c>
    </row>
    <row r="736">
      <c r="D736">
        <f>IF(C736="","",MIN(C736,Settings!$B$4))</f>
        <v/>
      </c>
      <c r="E736">
        <f>IF(C736="","",MAX(0,C736-D736))</f>
        <v/>
      </c>
    </row>
    <row r="737">
      <c r="D737">
        <f>IF(C737="","",MIN(C737,Settings!$B$4))</f>
        <v/>
      </c>
      <c r="E737">
        <f>IF(C737="","",MAX(0,C737-D737))</f>
        <v/>
      </c>
    </row>
    <row r="738">
      <c r="D738">
        <f>IF(C738="","",MIN(C738,Settings!$B$4))</f>
        <v/>
      </c>
      <c r="E738">
        <f>IF(C738="","",MAX(0,C738-D738))</f>
        <v/>
      </c>
    </row>
    <row r="739">
      <c r="D739">
        <f>IF(C739="","",MIN(C739,Settings!$B$4))</f>
        <v/>
      </c>
      <c r="E739">
        <f>IF(C739="","",MAX(0,C739-D739))</f>
        <v/>
      </c>
    </row>
    <row r="740">
      <c r="D740">
        <f>IF(C740="","",MIN(C740,Settings!$B$4))</f>
        <v/>
      </c>
      <c r="E740">
        <f>IF(C740="","",MAX(0,C740-D740))</f>
        <v/>
      </c>
    </row>
    <row r="741">
      <c r="D741">
        <f>IF(C741="","",MIN(C741,Settings!$B$4))</f>
        <v/>
      </c>
      <c r="E741">
        <f>IF(C741="","",MAX(0,C741-D741))</f>
        <v/>
      </c>
    </row>
    <row r="742">
      <c r="D742">
        <f>IF(C742="","",MIN(C742,Settings!$B$4))</f>
        <v/>
      </c>
      <c r="E742">
        <f>IF(C742="","",MAX(0,C742-D742))</f>
        <v/>
      </c>
    </row>
    <row r="743">
      <c r="D743">
        <f>IF(C743="","",MIN(C743,Settings!$B$4))</f>
        <v/>
      </c>
      <c r="E743">
        <f>IF(C743="","",MAX(0,C743-D743))</f>
        <v/>
      </c>
    </row>
    <row r="744">
      <c r="D744">
        <f>IF(C744="","",MIN(C744,Settings!$B$4))</f>
        <v/>
      </c>
      <c r="E744">
        <f>IF(C744="","",MAX(0,C744-D744))</f>
        <v/>
      </c>
    </row>
    <row r="745">
      <c r="D745">
        <f>IF(C745="","",MIN(C745,Settings!$B$4))</f>
        <v/>
      </c>
      <c r="E745">
        <f>IF(C745="","",MAX(0,C745-D745))</f>
        <v/>
      </c>
    </row>
    <row r="746">
      <c r="D746">
        <f>IF(C746="","",MIN(C746,Settings!$B$4))</f>
        <v/>
      </c>
      <c r="E746">
        <f>IF(C746="","",MAX(0,C746-D746))</f>
        <v/>
      </c>
    </row>
    <row r="747">
      <c r="D747">
        <f>IF(C747="","",MIN(C747,Settings!$B$4))</f>
        <v/>
      </c>
      <c r="E747">
        <f>IF(C747="","",MAX(0,C747-D747))</f>
        <v/>
      </c>
    </row>
    <row r="748">
      <c r="D748">
        <f>IF(C748="","",MIN(C748,Settings!$B$4))</f>
        <v/>
      </c>
      <c r="E748">
        <f>IF(C748="","",MAX(0,C748-D748))</f>
        <v/>
      </c>
    </row>
    <row r="749">
      <c r="D749">
        <f>IF(C749="","",MIN(C749,Settings!$B$4))</f>
        <v/>
      </c>
      <c r="E749">
        <f>IF(C749="","",MAX(0,C749-D749))</f>
        <v/>
      </c>
    </row>
    <row r="750">
      <c r="D750">
        <f>IF(C750="","",MIN(C750,Settings!$B$4))</f>
        <v/>
      </c>
      <c r="E750">
        <f>IF(C750="","",MAX(0,C750-D750))</f>
        <v/>
      </c>
    </row>
    <row r="751">
      <c r="D751">
        <f>IF(C751="","",MIN(C751,Settings!$B$4))</f>
        <v/>
      </c>
      <c r="E751">
        <f>IF(C751="","",MAX(0,C751-D751))</f>
        <v/>
      </c>
    </row>
    <row r="752">
      <c r="D752">
        <f>IF(C752="","",MIN(C752,Settings!$B$4))</f>
        <v/>
      </c>
      <c r="E752">
        <f>IF(C752="","",MAX(0,C752-D752))</f>
        <v/>
      </c>
    </row>
    <row r="753">
      <c r="D753">
        <f>IF(C753="","",MIN(C753,Settings!$B$4))</f>
        <v/>
      </c>
      <c r="E753">
        <f>IF(C753="","",MAX(0,C753-D753))</f>
        <v/>
      </c>
    </row>
    <row r="754">
      <c r="D754">
        <f>IF(C754="","",MIN(C754,Settings!$B$4))</f>
        <v/>
      </c>
      <c r="E754">
        <f>IF(C754="","",MAX(0,C754-D754))</f>
        <v/>
      </c>
    </row>
    <row r="755">
      <c r="D755">
        <f>IF(C755="","",MIN(C755,Settings!$B$4))</f>
        <v/>
      </c>
      <c r="E755">
        <f>IF(C755="","",MAX(0,C755-D755))</f>
        <v/>
      </c>
    </row>
    <row r="756">
      <c r="D756">
        <f>IF(C756="","",MIN(C756,Settings!$B$4))</f>
        <v/>
      </c>
      <c r="E756">
        <f>IF(C756="","",MAX(0,C756-D756))</f>
        <v/>
      </c>
    </row>
    <row r="757">
      <c r="D757">
        <f>IF(C757="","",MIN(C757,Settings!$B$4))</f>
        <v/>
      </c>
      <c r="E757">
        <f>IF(C757="","",MAX(0,C757-D757))</f>
        <v/>
      </c>
    </row>
    <row r="758">
      <c r="D758">
        <f>IF(C758="","",MIN(C758,Settings!$B$4))</f>
        <v/>
      </c>
      <c r="E758">
        <f>IF(C758="","",MAX(0,C758-D758))</f>
        <v/>
      </c>
    </row>
    <row r="759">
      <c r="D759">
        <f>IF(C759="","",MIN(C759,Settings!$B$4))</f>
        <v/>
      </c>
      <c r="E759">
        <f>IF(C759="","",MAX(0,C759-D759))</f>
        <v/>
      </c>
    </row>
    <row r="760">
      <c r="D760">
        <f>IF(C760="","",MIN(C760,Settings!$B$4))</f>
        <v/>
      </c>
      <c r="E760">
        <f>IF(C760="","",MAX(0,C760-D760))</f>
        <v/>
      </c>
    </row>
    <row r="761">
      <c r="D761">
        <f>IF(C761="","",MIN(C761,Settings!$B$4))</f>
        <v/>
      </c>
      <c r="E761">
        <f>IF(C761="","",MAX(0,C761-D761))</f>
        <v/>
      </c>
    </row>
    <row r="762">
      <c r="D762">
        <f>IF(C762="","",MIN(C762,Settings!$B$4))</f>
        <v/>
      </c>
      <c r="E762">
        <f>IF(C762="","",MAX(0,C762-D762))</f>
        <v/>
      </c>
    </row>
    <row r="763">
      <c r="D763">
        <f>IF(C763="","",MIN(C763,Settings!$B$4))</f>
        <v/>
      </c>
      <c r="E763">
        <f>IF(C763="","",MAX(0,C763-D763))</f>
        <v/>
      </c>
    </row>
    <row r="764">
      <c r="D764">
        <f>IF(C764="","",MIN(C764,Settings!$B$4))</f>
        <v/>
      </c>
      <c r="E764">
        <f>IF(C764="","",MAX(0,C764-D764))</f>
        <v/>
      </c>
    </row>
    <row r="765">
      <c r="D765">
        <f>IF(C765="","",MIN(C765,Settings!$B$4))</f>
        <v/>
      </c>
      <c r="E765">
        <f>IF(C765="","",MAX(0,C765-D765))</f>
        <v/>
      </c>
    </row>
    <row r="766">
      <c r="D766">
        <f>IF(C766="","",MIN(C766,Settings!$B$4))</f>
        <v/>
      </c>
      <c r="E766">
        <f>IF(C766="","",MAX(0,C766-D766))</f>
        <v/>
      </c>
    </row>
    <row r="767">
      <c r="D767">
        <f>IF(C767="","",MIN(C767,Settings!$B$4))</f>
        <v/>
      </c>
      <c r="E767">
        <f>IF(C767="","",MAX(0,C767-D767))</f>
        <v/>
      </c>
    </row>
    <row r="768">
      <c r="D768">
        <f>IF(C768="","",MIN(C768,Settings!$B$4))</f>
        <v/>
      </c>
      <c r="E768">
        <f>IF(C768="","",MAX(0,C768-D768))</f>
        <v/>
      </c>
    </row>
    <row r="769">
      <c r="D769">
        <f>IF(C769="","",MIN(C769,Settings!$B$4))</f>
        <v/>
      </c>
      <c r="E769">
        <f>IF(C769="","",MAX(0,C769-D769))</f>
        <v/>
      </c>
    </row>
    <row r="770">
      <c r="D770">
        <f>IF(C770="","",MIN(C770,Settings!$B$4))</f>
        <v/>
      </c>
      <c r="E770">
        <f>IF(C770="","",MAX(0,C770-D770))</f>
        <v/>
      </c>
    </row>
    <row r="771">
      <c r="D771">
        <f>IF(C771="","",MIN(C771,Settings!$B$4))</f>
        <v/>
      </c>
      <c r="E771">
        <f>IF(C771="","",MAX(0,C771-D771))</f>
        <v/>
      </c>
    </row>
    <row r="772">
      <c r="D772">
        <f>IF(C772="","",MIN(C772,Settings!$B$4))</f>
        <v/>
      </c>
      <c r="E772">
        <f>IF(C772="","",MAX(0,C772-D772))</f>
        <v/>
      </c>
    </row>
    <row r="773">
      <c r="D773">
        <f>IF(C773="","",MIN(C773,Settings!$B$4))</f>
        <v/>
      </c>
      <c r="E773">
        <f>IF(C773="","",MAX(0,C773-D773))</f>
        <v/>
      </c>
    </row>
    <row r="774">
      <c r="D774">
        <f>IF(C774="","",MIN(C774,Settings!$B$4))</f>
        <v/>
      </c>
      <c r="E774">
        <f>IF(C774="","",MAX(0,C774-D774))</f>
        <v/>
      </c>
    </row>
    <row r="775">
      <c r="D775">
        <f>IF(C775="","",MIN(C775,Settings!$B$4))</f>
        <v/>
      </c>
      <c r="E775">
        <f>IF(C775="","",MAX(0,C775-D775))</f>
        <v/>
      </c>
    </row>
    <row r="776">
      <c r="D776">
        <f>IF(C776="","",MIN(C776,Settings!$B$4))</f>
        <v/>
      </c>
      <c r="E776">
        <f>IF(C776="","",MAX(0,C776-D776))</f>
        <v/>
      </c>
    </row>
    <row r="777">
      <c r="D777">
        <f>IF(C777="","",MIN(C777,Settings!$B$4))</f>
        <v/>
      </c>
      <c r="E777">
        <f>IF(C777="","",MAX(0,C777-D777))</f>
        <v/>
      </c>
    </row>
    <row r="778">
      <c r="D778">
        <f>IF(C778="","",MIN(C778,Settings!$B$4))</f>
        <v/>
      </c>
      <c r="E778">
        <f>IF(C778="","",MAX(0,C778-D778))</f>
        <v/>
      </c>
    </row>
    <row r="779">
      <c r="D779">
        <f>IF(C779="","",MIN(C779,Settings!$B$4))</f>
        <v/>
      </c>
      <c r="E779">
        <f>IF(C779="","",MAX(0,C779-D779))</f>
        <v/>
      </c>
    </row>
    <row r="780">
      <c r="D780">
        <f>IF(C780="","",MIN(C780,Settings!$B$4))</f>
        <v/>
      </c>
      <c r="E780">
        <f>IF(C780="","",MAX(0,C780-D780))</f>
        <v/>
      </c>
    </row>
    <row r="781">
      <c r="D781">
        <f>IF(C781="","",MIN(C781,Settings!$B$4))</f>
        <v/>
      </c>
      <c r="E781">
        <f>IF(C781="","",MAX(0,C781-D781))</f>
        <v/>
      </c>
    </row>
    <row r="782">
      <c r="D782">
        <f>IF(C782="","",MIN(C782,Settings!$B$4))</f>
        <v/>
      </c>
      <c r="E782">
        <f>IF(C782="","",MAX(0,C782-D782))</f>
        <v/>
      </c>
    </row>
    <row r="783">
      <c r="D783">
        <f>IF(C783="","",MIN(C783,Settings!$B$4))</f>
        <v/>
      </c>
      <c r="E783">
        <f>IF(C783="","",MAX(0,C783-D783))</f>
        <v/>
      </c>
    </row>
    <row r="784">
      <c r="D784">
        <f>IF(C784="","",MIN(C784,Settings!$B$4))</f>
        <v/>
      </c>
      <c r="E784">
        <f>IF(C784="","",MAX(0,C784-D784))</f>
        <v/>
      </c>
    </row>
    <row r="785">
      <c r="D785">
        <f>IF(C785="","",MIN(C785,Settings!$B$4))</f>
        <v/>
      </c>
      <c r="E785">
        <f>IF(C785="","",MAX(0,C785-D785))</f>
        <v/>
      </c>
    </row>
    <row r="786">
      <c r="D786">
        <f>IF(C786="","",MIN(C786,Settings!$B$4))</f>
        <v/>
      </c>
      <c r="E786">
        <f>IF(C786="","",MAX(0,C786-D786))</f>
        <v/>
      </c>
    </row>
    <row r="787">
      <c r="D787">
        <f>IF(C787="","",MIN(C787,Settings!$B$4))</f>
        <v/>
      </c>
      <c r="E787">
        <f>IF(C787="","",MAX(0,C787-D787))</f>
        <v/>
      </c>
    </row>
    <row r="788">
      <c r="D788">
        <f>IF(C788="","",MIN(C788,Settings!$B$4))</f>
        <v/>
      </c>
      <c r="E788">
        <f>IF(C788="","",MAX(0,C788-D788))</f>
        <v/>
      </c>
    </row>
    <row r="789">
      <c r="D789">
        <f>IF(C789="","",MIN(C789,Settings!$B$4))</f>
        <v/>
      </c>
      <c r="E789">
        <f>IF(C789="","",MAX(0,C789-D789))</f>
        <v/>
      </c>
    </row>
    <row r="790">
      <c r="D790">
        <f>IF(C790="","",MIN(C790,Settings!$B$4))</f>
        <v/>
      </c>
      <c r="E790">
        <f>IF(C790="","",MAX(0,C790-D790))</f>
        <v/>
      </c>
    </row>
    <row r="791">
      <c r="D791">
        <f>IF(C791="","",MIN(C791,Settings!$B$4))</f>
        <v/>
      </c>
      <c r="E791">
        <f>IF(C791="","",MAX(0,C791-D791))</f>
        <v/>
      </c>
    </row>
    <row r="792">
      <c r="D792">
        <f>IF(C792="","",MIN(C792,Settings!$B$4))</f>
        <v/>
      </c>
      <c r="E792">
        <f>IF(C792="","",MAX(0,C792-D792))</f>
        <v/>
      </c>
    </row>
    <row r="793">
      <c r="D793">
        <f>IF(C793="","",MIN(C793,Settings!$B$4))</f>
        <v/>
      </c>
      <c r="E793">
        <f>IF(C793="","",MAX(0,C793-D793))</f>
        <v/>
      </c>
    </row>
    <row r="794">
      <c r="D794">
        <f>IF(C794="","",MIN(C794,Settings!$B$4))</f>
        <v/>
      </c>
      <c r="E794">
        <f>IF(C794="","",MAX(0,C794-D794))</f>
        <v/>
      </c>
    </row>
    <row r="795">
      <c r="D795">
        <f>IF(C795="","",MIN(C795,Settings!$B$4))</f>
        <v/>
      </c>
      <c r="E795">
        <f>IF(C795="","",MAX(0,C795-D795))</f>
        <v/>
      </c>
    </row>
    <row r="796">
      <c r="D796">
        <f>IF(C796="","",MIN(C796,Settings!$B$4))</f>
        <v/>
      </c>
      <c r="E796">
        <f>IF(C796="","",MAX(0,C796-D796))</f>
        <v/>
      </c>
    </row>
    <row r="797">
      <c r="D797">
        <f>IF(C797="","",MIN(C797,Settings!$B$4))</f>
        <v/>
      </c>
      <c r="E797">
        <f>IF(C797="","",MAX(0,C797-D797))</f>
        <v/>
      </c>
    </row>
    <row r="798">
      <c r="D798">
        <f>IF(C798="","",MIN(C798,Settings!$B$4))</f>
        <v/>
      </c>
      <c r="E798">
        <f>IF(C798="","",MAX(0,C798-D798))</f>
        <v/>
      </c>
    </row>
    <row r="799">
      <c r="D799">
        <f>IF(C799="","",MIN(C799,Settings!$B$4))</f>
        <v/>
      </c>
      <c r="E799">
        <f>IF(C799="","",MAX(0,C799-D799))</f>
        <v/>
      </c>
    </row>
    <row r="800">
      <c r="D800">
        <f>IF(C800="","",MIN(C800,Settings!$B$4))</f>
        <v/>
      </c>
      <c r="E800">
        <f>IF(C800="","",MAX(0,C800-D800))</f>
        <v/>
      </c>
    </row>
    <row r="801">
      <c r="D801">
        <f>IF(C801="","",MIN(C801,Settings!$B$4))</f>
        <v/>
      </c>
      <c r="E801">
        <f>IF(C801="","",MAX(0,C801-D801))</f>
        <v/>
      </c>
    </row>
    <row r="802">
      <c r="D802">
        <f>IF(C802="","",MIN(C802,Settings!$B$4))</f>
        <v/>
      </c>
      <c r="E802">
        <f>IF(C802="","",MAX(0,C802-D802))</f>
        <v/>
      </c>
    </row>
    <row r="803">
      <c r="D803">
        <f>IF(C803="","",MIN(C803,Settings!$B$4))</f>
        <v/>
      </c>
      <c r="E803">
        <f>IF(C803="","",MAX(0,C803-D803))</f>
        <v/>
      </c>
    </row>
    <row r="804">
      <c r="D804">
        <f>IF(C804="","",MIN(C804,Settings!$B$4))</f>
        <v/>
      </c>
      <c r="E804">
        <f>IF(C804="","",MAX(0,C804-D804))</f>
        <v/>
      </c>
    </row>
    <row r="805">
      <c r="D805">
        <f>IF(C805="","",MIN(C805,Settings!$B$4))</f>
        <v/>
      </c>
      <c r="E805">
        <f>IF(C805="","",MAX(0,C805-D805))</f>
        <v/>
      </c>
    </row>
    <row r="806">
      <c r="D806">
        <f>IF(C806="","",MIN(C806,Settings!$B$4))</f>
        <v/>
      </c>
      <c r="E806">
        <f>IF(C806="","",MAX(0,C806-D806))</f>
        <v/>
      </c>
    </row>
    <row r="807">
      <c r="D807">
        <f>IF(C807="","",MIN(C807,Settings!$B$4))</f>
        <v/>
      </c>
      <c r="E807">
        <f>IF(C807="","",MAX(0,C807-D807))</f>
        <v/>
      </c>
    </row>
    <row r="808">
      <c r="D808">
        <f>IF(C808="","",MIN(C808,Settings!$B$4))</f>
        <v/>
      </c>
      <c r="E808">
        <f>IF(C808="","",MAX(0,C808-D808))</f>
        <v/>
      </c>
    </row>
    <row r="809">
      <c r="D809">
        <f>IF(C809="","",MIN(C809,Settings!$B$4))</f>
        <v/>
      </c>
      <c r="E809">
        <f>IF(C809="","",MAX(0,C809-D809))</f>
        <v/>
      </c>
    </row>
    <row r="810">
      <c r="D810">
        <f>IF(C810="","",MIN(C810,Settings!$B$4))</f>
        <v/>
      </c>
      <c r="E810">
        <f>IF(C810="","",MAX(0,C810-D810))</f>
        <v/>
      </c>
    </row>
    <row r="811">
      <c r="D811">
        <f>IF(C811="","",MIN(C811,Settings!$B$4))</f>
        <v/>
      </c>
      <c r="E811">
        <f>IF(C811="","",MAX(0,C811-D811))</f>
        <v/>
      </c>
    </row>
    <row r="812">
      <c r="D812">
        <f>IF(C812="","",MIN(C812,Settings!$B$4))</f>
        <v/>
      </c>
      <c r="E812">
        <f>IF(C812="","",MAX(0,C812-D812))</f>
        <v/>
      </c>
    </row>
    <row r="813">
      <c r="D813">
        <f>IF(C813="","",MIN(C813,Settings!$B$4))</f>
        <v/>
      </c>
      <c r="E813">
        <f>IF(C813="","",MAX(0,C813-D813))</f>
        <v/>
      </c>
    </row>
    <row r="814">
      <c r="D814">
        <f>IF(C814="","",MIN(C814,Settings!$B$4))</f>
        <v/>
      </c>
      <c r="E814">
        <f>IF(C814="","",MAX(0,C814-D814))</f>
        <v/>
      </c>
    </row>
    <row r="815">
      <c r="D815">
        <f>IF(C815="","",MIN(C815,Settings!$B$4))</f>
        <v/>
      </c>
      <c r="E815">
        <f>IF(C815="","",MAX(0,C815-D815))</f>
        <v/>
      </c>
    </row>
    <row r="816">
      <c r="D816">
        <f>IF(C816="","",MIN(C816,Settings!$B$4))</f>
        <v/>
      </c>
      <c r="E816">
        <f>IF(C816="","",MAX(0,C816-D816))</f>
        <v/>
      </c>
    </row>
    <row r="817">
      <c r="D817">
        <f>IF(C817="","",MIN(C817,Settings!$B$4))</f>
        <v/>
      </c>
      <c r="E817">
        <f>IF(C817="","",MAX(0,C817-D817))</f>
        <v/>
      </c>
    </row>
    <row r="818">
      <c r="D818">
        <f>IF(C818="","",MIN(C818,Settings!$B$4))</f>
        <v/>
      </c>
      <c r="E818">
        <f>IF(C818="","",MAX(0,C818-D818))</f>
        <v/>
      </c>
    </row>
    <row r="819">
      <c r="D819">
        <f>IF(C819="","",MIN(C819,Settings!$B$4))</f>
        <v/>
      </c>
      <c r="E819">
        <f>IF(C819="","",MAX(0,C819-D819))</f>
        <v/>
      </c>
    </row>
    <row r="820">
      <c r="D820">
        <f>IF(C820="","",MIN(C820,Settings!$B$4))</f>
        <v/>
      </c>
      <c r="E820">
        <f>IF(C820="","",MAX(0,C820-D820))</f>
        <v/>
      </c>
    </row>
    <row r="821">
      <c r="D821">
        <f>IF(C821="","",MIN(C821,Settings!$B$4))</f>
        <v/>
      </c>
      <c r="E821">
        <f>IF(C821="","",MAX(0,C821-D821))</f>
        <v/>
      </c>
    </row>
    <row r="822">
      <c r="D822">
        <f>IF(C822="","",MIN(C822,Settings!$B$4))</f>
        <v/>
      </c>
      <c r="E822">
        <f>IF(C822="","",MAX(0,C822-D822))</f>
        <v/>
      </c>
    </row>
    <row r="823">
      <c r="D823">
        <f>IF(C823="","",MIN(C823,Settings!$B$4))</f>
        <v/>
      </c>
      <c r="E823">
        <f>IF(C823="","",MAX(0,C823-D823))</f>
        <v/>
      </c>
    </row>
    <row r="824">
      <c r="D824">
        <f>IF(C824="","",MIN(C824,Settings!$B$4))</f>
        <v/>
      </c>
      <c r="E824">
        <f>IF(C824="","",MAX(0,C824-D824))</f>
        <v/>
      </c>
    </row>
    <row r="825">
      <c r="D825">
        <f>IF(C825="","",MIN(C825,Settings!$B$4))</f>
        <v/>
      </c>
      <c r="E825">
        <f>IF(C825="","",MAX(0,C825-D825))</f>
        <v/>
      </c>
    </row>
    <row r="826">
      <c r="D826">
        <f>IF(C826="","",MIN(C826,Settings!$B$4))</f>
        <v/>
      </c>
      <c r="E826">
        <f>IF(C826="","",MAX(0,C826-D826))</f>
        <v/>
      </c>
    </row>
    <row r="827">
      <c r="D827">
        <f>IF(C827="","",MIN(C827,Settings!$B$4))</f>
        <v/>
      </c>
      <c r="E827">
        <f>IF(C827="","",MAX(0,C827-D827))</f>
        <v/>
      </c>
    </row>
    <row r="828">
      <c r="D828">
        <f>IF(C828="","",MIN(C828,Settings!$B$4))</f>
        <v/>
      </c>
      <c r="E828">
        <f>IF(C828="","",MAX(0,C828-D828))</f>
        <v/>
      </c>
    </row>
    <row r="829">
      <c r="D829">
        <f>IF(C829="","",MIN(C829,Settings!$B$4))</f>
        <v/>
      </c>
      <c r="E829">
        <f>IF(C829="","",MAX(0,C829-D829))</f>
        <v/>
      </c>
    </row>
    <row r="830">
      <c r="D830">
        <f>IF(C830="","",MIN(C830,Settings!$B$4))</f>
        <v/>
      </c>
      <c r="E830">
        <f>IF(C830="","",MAX(0,C830-D830))</f>
        <v/>
      </c>
    </row>
    <row r="831">
      <c r="D831">
        <f>IF(C831="","",MIN(C831,Settings!$B$4))</f>
        <v/>
      </c>
      <c r="E831">
        <f>IF(C831="","",MAX(0,C831-D831))</f>
        <v/>
      </c>
    </row>
    <row r="832">
      <c r="D832">
        <f>IF(C832="","",MIN(C832,Settings!$B$4))</f>
        <v/>
      </c>
      <c r="E832">
        <f>IF(C832="","",MAX(0,C832-D832))</f>
        <v/>
      </c>
    </row>
    <row r="833">
      <c r="D833">
        <f>IF(C833="","",MIN(C833,Settings!$B$4))</f>
        <v/>
      </c>
      <c r="E833">
        <f>IF(C833="","",MAX(0,C833-D833))</f>
        <v/>
      </c>
    </row>
    <row r="834">
      <c r="D834">
        <f>IF(C834="","",MIN(C834,Settings!$B$4))</f>
        <v/>
      </c>
      <c r="E834">
        <f>IF(C834="","",MAX(0,C834-D834))</f>
        <v/>
      </c>
    </row>
    <row r="835">
      <c r="D835">
        <f>IF(C835="","",MIN(C835,Settings!$B$4))</f>
        <v/>
      </c>
      <c r="E835">
        <f>IF(C835="","",MAX(0,C835-D835))</f>
        <v/>
      </c>
    </row>
    <row r="836">
      <c r="D836">
        <f>IF(C836="","",MIN(C836,Settings!$B$4))</f>
        <v/>
      </c>
      <c r="E836">
        <f>IF(C836="","",MAX(0,C836-D836))</f>
        <v/>
      </c>
    </row>
    <row r="837">
      <c r="D837">
        <f>IF(C837="","",MIN(C837,Settings!$B$4))</f>
        <v/>
      </c>
      <c r="E837">
        <f>IF(C837="","",MAX(0,C837-D837))</f>
        <v/>
      </c>
    </row>
    <row r="838">
      <c r="D838">
        <f>IF(C838="","",MIN(C838,Settings!$B$4))</f>
        <v/>
      </c>
      <c r="E838">
        <f>IF(C838="","",MAX(0,C838-D838))</f>
        <v/>
      </c>
    </row>
    <row r="839">
      <c r="D839">
        <f>IF(C839="","",MIN(C839,Settings!$B$4))</f>
        <v/>
      </c>
      <c r="E839">
        <f>IF(C839="","",MAX(0,C839-D839))</f>
        <v/>
      </c>
    </row>
    <row r="840">
      <c r="D840">
        <f>IF(C840="","",MIN(C840,Settings!$B$4))</f>
        <v/>
      </c>
      <c r="E840">
        <f>IF(C840="","",MAX(0,C840-D840))</f>
        <v/>
      </c>
    </row>
    <row r="841">
      <c r="D841">
        <f>IF(C841="","",MIN(C841,Settings!$B$4))</f>
        <v/>
      </c>
      <c r="E841">
        <f>IF(C841="","",MAX(0,C841-D841))</f>
        <v/>
      </c>
    </row>
    <row r="842">
      <c r="D842">
        <f>IF(C842="","",MIN(C842,Settings!$B$4))</f>
        <v/>
      </c>
      <c r="E842">
        <f>IF(C842="","",MAX(0,C842-D842))</f>
        <v/>
      </c>
    </row>
    <row r="843">
      <c r="D843">
        <f>IF(C843="","",MIN(C843,Settings!$B$4))</f>
        <v/>
      </c>
      <c r="E843">
        <f>IF(C843="","",MAX(0,C843-D843))</f>
        <v/>
      </c>
    </row>
    <row r="844">
      <c r="D844">
        <f>IF(C844="","",MIN(C844,Settings!$B$4))</f>
        <v/>
      </c>
      <c r="E844">
        <f>IF(C844="","",MAX(0,C844-D844))</f>
        <v/>
      </c>
    </row>
    <row r="845">
      <c r="D845">
        <f>IF(C845="","",MIN(C845,Settings!$B$4))</f>
        <v/>
      </c>
      <c r="E845">
        <f>IF(C845="","",MAX(0,C845-D845))</f>
        <v/>
      </c>
    </row>
    <row r="846">
      <c r="D846">
        <f>IF(C846="","",MIN(C846,Settings!$B$4))</f>
        <v/>
      </c>
      <c r="E846">
        <f>IF(C846="","",MAX(0,C846-D846))</f>
        <v/>
      </c>
    </row>
    <row r="847">
      <c r="D847">
        <f>IF(C847="","",MIN(C847,Settings!$B$4))</f>
        <v/>
      </c>
      <c r="E847">
        <f>IF(C847="","",MAX(0,C847-D847))</f>
        <v/>
      </c>
    </row>
    <row r="848">
      <c r="D848">
        <f>IF(C848="","",MIN(C848,Settings!$B$4))</f>
        <v/>
      </c>
      <c r="E848">
        <f>IF(C848="","",MAX(0,C848-D848))</f>
        <v/>
      </c>
    </row>
    <row r="849">
      <c r="D849">
        <f>IF(C849="","",MIN(C849,Settings!$B$4))</f>
        <v/>
      </c>
      <c r="E849">
        <f>IF(C849="","",MAX(0,C849-D849))</f>
        <v/>
      </c>
    </row>
    <row r="850">
      <c r="D850">
        <f>IF(C850="","",MIN(C850,Settings!$B$4))</f>
        <v/>
      </c>
      <c r="E850">
        <f>IF(C850="","",MAX(0,C850-D850))</f>
        <v/>
      </c>
    </row>
    <row r="851">
      <c r="D851">
        <f>IF(C851="","",MIN(C851,Settings!$B$4))</f>
        <v/>
      </c>
      <c r="E851">
        <f>IF(C851="","",MAX(0,C851-D851))</f>
        <v/>
      </c>
    </row>
    <row r="852">
      <c r="D852">
        <f>IF(C852="","",MIN(C852,Settings!$B$4))</f>
        <v/>
      </c>
      <c r="E852">
        <f>IF(C852="","",MAX(0,C852-D852))</f>
        <v/>
      </c>
    </row>
    <row r="853">
      <c r="D853">
        <f>IF(C853="","",MIN(C853,Settings!$B$4))</f>
        <v/>
      </c>
      <c r="E853">
        <f>IF(C853="","",MAX(0,C853-D853))</f>
        <v/>
      </c>
    </row>
    <row r="854">
      <c r="D854">
        <f>IF(C854="","",MIN(C854,Settings!$B$4))</f>
        <v/>
      </c>
      <c r="E854">
        <f>IF(C854="","",MAX(0,C854-D854))</f>
        <v/>
      </c>
    </row>
    <row r="855">
      <c r="D855">
        <f>IF(C855="","",MIN(C855,Settings!$B$4))</f>
        <v/>
      </c>
      <c r="E855">
        <f>IF(C855="","",MAX(0,C855-D855))</f>
        <v/>
      </c>
    </row>
    <row r="856">
      <c r="D856">
        <f>IF(C856="","",MIN(C856,Settings!$B$4))</f>
        <v/>
      </c>
      <c r="E856">
        <f>IF(C856="","",MAX(0,C856-D856))</f>
        <v/>
      </c>
    </row>
    <row r="857">
      <c r="D857">
        <f>IF(C857="","",MIN(C857,Settings!$B$4))</f>
        <v/>
      </c>
      <c r="E857">
        <f>IF(C857="","",MAX(0,C857-D857))</f>
        <v/>
      </c>
    </row>
    <row r="858">
      <c r="D858">
        <f>IF(C858="","",MIN(C858,Settings!$B$4))</f>
        <v/>
      </c>
      <c r="E858">
        <f>IF(C858="","",MAX(0,C858-D858))</f>
        <v/>
      </c>
    </row>
    <row r="859">
      <c r="D859">
        <f>IF(C859="","",MIN(C859,Settings!$B$4))</f>
        <v/>
      </c>
      <c r="E859">
        <f>IF(C859="","",MAX(0,C859-D859))</f>
        <v/>
      </c>
    </row>
    <row r="860">
      <c r="D860">
        <f>IF(C860="","",MIN(C860,Settings!$B$4))</f>
        <v/>
      </c>
      <c r="E860">
        <f>IF(C860="","",MAX(0,C860-D860))</f>
        <v/>
      </c>
    </row>
    <row r="861">
      <c r="D861">
        <f>IF(C861="","",MIN(C861,Settings!$B$4))</f>
        <v/>
      </c>
      <c r="E861">
        <f>IF(C861="","",MAX(0,C861-D861))</f>
        <v/>
      </c>
    </row>
    <row r="862">
      <c r="D862">
        <f>IF(C862="","",MIN(C862,Settings!$B$4))</f>
        <v/>
      </c>
      <c r="E862">
        <f>IF(C862="","",MAX(0,C862-D862))</f>
        <v/>
      </c>
    </row>
    <row r="863">
      <c r="D863">
        <f>IF(C863="","",MIN(C863,Settings!$B$4))</f>
        <v/>
      </c>
      <c r="E863">
        <f>IF(C863="","",MAX(0,C863-D863))</f>
        <v/>
      </c>
    </row>
    <row r="864">
      <c r="D864">
        <f>IF(C864="","",MIN(C864,Settings!$B$4))</f>
        <v/>
      </c>
      <c r="E864">
        <f>IF(C864="","",MAX(0,C864-D864))</f>
        <v/>
      </c>
    </row>
    <row r="865">
      <c r="D865">
        <f>IF(C865="","",MIN(C865,Settings!$B$4))</f>
        <v/>
      </c>
      <c r="E865">
        <f>IF(C865="","",MAX(0,C865-D865))</f>
        <v/>
      </c>
    </row>
    <row r="866">
      <c r="D866">
        <f>IF(C866="","",MIN(C866,Settings!$B$4))</f>
        <v/>
      </c>
      <c r="E866">
        <f>IF(C866="","",MAX(0,C866-D866))</f>
        <v/>
      </c>
    </row>
    <row r="867">
      <c r="D867">
        <f>IF(C867="","",MIN(C867,Settings!$B$4))</f>
        <v/>
      </c>
      <c r="E867">
        <f>IF(C867="","",MAX(0,C867-D867))</f>
        <v/>
      </c>
    </row>
    <row r="868">
      <c r="D868">
        <f>IF(C868="","",MIN(C868,Settings!$B$4))</f>
        <v/>
      </c>
      <c r="E868">
        <f>IF(C868="","",MAX(0,C868-D868))</f>
        <v/>
      </c>
    </row>
    <row r="869">
      <c r="D869">
        <f>IF(C869="","",MIN(C869,Settings!$B$4))</f>
        <v/>
      </c>
      <c r="E869">
        <f>IF(C869="","",MAX(0,C869-D869))</f>
        <v/>
      </c>
    </row>
    <row r="870">
      <c r="D870">
        <f>IF(C870="","",MIN(C870,Settings!$B$4))</f>
        <v/>
      </c>
      <c r="E870">
        <f>IF(C870="","",MAX(0,C870-D870))</f>
        <v/>
      </c>
    </row>
    <row r="871">
      <c r="D871">
        <f>IF(C871="","",MIN(C871,Settings!$B$4))</f>
        <v/>
      </c>
      <c r="E871">
        <f>IF(C871="","",MAX(0,C871-D871))</f>
        <v/>
      </c>
    </row>
    <row r="872">
      <c r="D872">
        <f>IF(C872="","",MIN(C872,Settings!$B$4))</f>
        <v/>
      </c>
      <c r="E872">
        <f>IF(C872="","",MAX(0,C872-D872))</f>
        <v/>
      </c>
    </row>
    <row r="873">
      <c r="D873">
        <f>IF(C873="","",MIN(C873,Settings!$B$4))</f>
        <v/>
      </c>
      <c r="E873">
        <f>IF(C873="","",MAX(0,C873-D873))</f>
        <v/>
      </c>
    </row>
    <row r="874">
      <c r="D874">
        <f>IF(C874="","",MIN(C874,Settings!$B$4))</f>
        <v/>
      </c>
      <c r="E874">
        <f>IF(C874="","",MAX(0,C874-D874))</f>
        <v/>
      </c>
    </row>
    <row r="875">
      <c r="D875">
        <f>IF(C875="","",MIN(C875,Settings!$B$4))</f>
        <v/>
      </c>
      <c r="E875">
        <f>IF(C875="","",MAX(0,C875-D875))</f>
        <v/>
      </c>
    </row>
    <row r="876">
      <c r="D876">
        <f>IF(C876="","",MIN(C876,Settings!$B$4))</f>
        <v/>
      </c>
      <c r="E876">
        <f>IF(C876="","",MAX(0,C876-D876))</f>
        <v/>
      </c>
    </row>
    <row r="877">
      <c r="D877">
        <f>IF(C877="","",MIN(C877,Settings!$B$4))</f>
        <v/>
      </c>
      <c r="E877">
        <f>IF(C877="","",MAX(0,C877-D877))</f>
        <v/>
      </c>
    </row>
    <row r="878">
      <c r="D878">
        <f>IF(C878="","",MIN(C878,Settings!$B$4))</f>
        <v/>
      </c>
      <c r="E878">
        <f>IF(C878="","",MAX(0,C878-D878))</f>
        <v/>
      </c>
    </row>
    <row r="879">
      <c r="D879">
        <f>IF(C879="","",MIN(C879,Settings!$B$4))</f>
        <v/>
      </c>
      <c r="E879">
        <f>IF(C879="","",MAX(0,C879-D879))</f>
        <v/>
      </c>
    </row>
    <row r="880">
      <c r="D880">
        <f>IF(C880="","",MIN(C880,Settings!$B$4))</f>
        <v/>
      </c>
      <c r="E880">
        <f>IF(C880="","",MAX(0,C880-D880))</f>
        <v/>
      </c>
    </row>
    <row r="881">
      <c r="D881">
        <f>IF(C881="","",MIN(C881,Settings!$B$4))</f>
        <v/>
      </c>
      <c r="E881">
        <f>IF(C881="","",MAX(0,C881-D881))</f>
        <v/>
      </c>
    </row>
    <row r="882">
      <c r="D882">
        <f>IF(C882="","",MIN(C882,Settings!$B$4))</f>
        <v/>
      </c>
      <c r="E882">
        <f>IF(C882="","",MAX(0,C882-D882))</f>
        <v/>
      </c>
    </row>
    <row r="883">
      <c r="D883">
        <f>IF(C883="","",MIN(C883,Settings!$B$4))</f>
        <v/>
      </c>
      <c r="E883">
        <f>IF(C883="","",MAX(0,C883-D883))</f>
        <v/>
      </c>
    </row>
    <row r="884">
      <c r="D884">
        <f>IF(C884="","",MIN(C884,Settings!$B$4))</f>
        <v/>
      </c>
      <c r="E884">
        <f>IF(C884="","",MAX(0,C884-D884))</f>
        <v/>
      </c>
    </row>
    <row r="885">
      <c r="D885">
        <f>IF(C885="","",MIN(C885,Settings!$B$4))</f>
        <v/>
      </c>
      <c r="E885">
        <f>IF(C885="","",MAX(0,C885-D885))</f>
        <v/>
      </c>
    </row>
    <row r="886">
      <c r="D886">
        <f>IF(C886="","",MIN(C886,Settings!$B$4))</f>
        <v/>
      </c>
      <c r="E886">
        <f>IF(C886="","",MAX(0,C886-D886))</f>
        <v/>
      </c>
    </row>
    <row r="887">
      <c r="D887">
        <f>IF(C887="","",MIN(C887,Settings!$B$4))</f>
        <v/>
      </c>
      <c r="E887">
        <f>IF(C887="","",MAX(0,C887-D887))</f>
        <v/>
      </c>
    </row>
    <row r="888">
      <c r="D888">
        <f>IF(C888="","",MIN(C888,Settings!$B$4))</f>
        <v/>
      </c>
      <c r="E888">
        <f>IF(C888="","",MAX(0,C888-D888))</f>
        <v/>
      </c>
    </row>
    <row r="889">
      <c r="D889">
        <f>IF(C889="","",MIN(C889,Settings!$B$4))</f>
        <v/>
      </c>
      <c r="E889">
        <f>IF(C889="","",MAX(0,C889-D889))</f>
        <v/>
      </c>
    </row>
    <row r="890">
      <c r="D890">
        <f>IF(C890="","",MIN(C890,Settings!$B$4))</f>
        <v/>
      </c>
      <c r="E890">
        <f>IF(C890="","",MAX(0,C890-D890))</f>
        <v/>
      </c>
    </row>
    <row r="891">
      <c r="D891">
        <f>IF(C891="","",MIN(C891,Settings!$B$4))</f>
        <v/>
      </c>
      <c r="E891">
        <f>IF(C891="","",MAX(0,C891-D891))</f>
        <v/>
      </c>
    </row>
    <row r="892">
      <c r="D892">
        <f>IF(C892="","",MIN(C892,Settings!$B$4))</f>
        <v/>
      </c>
      <c r="E892">
        <f>IF(C892="","",MAX(0,C892-D892))</f>
        <v/>
      </c>
    </row>
    <row r="893">
      <c r="D893">
        <f>IF(C893="","",MIN(C893,Settings!$B$4))</f>
        <v/>
      </c>
      <c r="E893">
        <f>IF(C893="","",MAX(0,C893-D893))</f>
        <v/>
      </c>
    </row>
    <row r="894">
      <c r="D894">
        <f>IF(C894="","",MIN(C894,Settings!$B$4))</f>
        <v/>
      </c>
      <c r="E894">
        <f>IF(C894="","",MAX(0,C894-D894))</f>
        <v/>
      </c>
    </row>
    <row r="895">
      <c r="D895">
        <f>IF(C895="","",MIN(C895,Settings!$B$4))</f>
        <v/>
      </c>
      <c r="E895">
        <f>IF(C895="","",MAX(0,C895-D895))</f>
        <v/>
      </c>
    </row>
    <row r="896">
      <c r="D896">
        <f>IF(C896="","",MIN(C896,Settings!$B$4))</f>
        <v/>
      </c>
      <c r="E896">
        <f>IF(C896="","",MAX(0,C896-D896))</f>
        <v/>
      </c>
    </row>
    <row r="897">
      <c r="D897">
        <f>IF(C897="","",MIN(C897,Settings!$B$4))</f>
        <v/>
      </c>
      <c r="E897">
        <f>IF(C897="","",MAX(0,C897-D897))</f>
        <v/>
      </c>
    </row>
    <row r="898">
      <c r="D898">
        <f>IF(C898="","",MIN(C898,Settings!$B$4))</f>
        <v/>
      </c>
      <c r="E898">
        <f>IF(C898="","",MAX(0,C898-D898))</f>
        <v/>
      </c>
    </row>
    <row r="899">
      <c r="D899">
        <f>IF(C899="","",MIN(C899,Settings!$B$4))</f>
        <v/>
      </c>
      <c r="E899">
        <f>IF(C899="","",MAX(0,C899-D899))</f>
        <v/>
      </c>
    </row>
    <row r="900">
      <c r="D900">
        <f>IF(C900="","",MIN(C900,Settings!$B$4))</f>
        <v/>
      </c>
      <c r="E900">
        <f>IF(C900="","",MAX(0,C900-D900))</f>
        <v/>
      </c>
    </row>
    <row r="901">
      <c r="D901">
        <f>IF(C901="","",MIN(C901,Settings!$B$4))</f>
        <v/>
      </c>
      <c r="E901">
        <f>IF(C901="","",MAX(0,C901-D901))</f>
        <v/>
      </c>
    </row>
    <row r="902">
      <c r="D902">
        <f>IF(C902="","",MIN(C902,Settings!$B$4))</f>
        <v/>
      </c>
      <c r="E902">
        <f>IF(C902="","",MAX(0,C902-D902))</f>
        <v/>
      </c>
    </row>
    <row r="903">
      <c r="D903">
        <f>IF(C903="","",MIN(C903,Settings!$B$4))</f>
        <v/>
      </c>
      <c r="E903">
        <f>IF(C903="","",MAX(0,C903-D903))</f>
        <v/>
      </c>
    </row>
    <row r="904">
      <c r="D904">
        <f>IF(C904="","",MIN(C904,Settings!$B$4))</f>
        <v/>
      </c>
      <c r="E904">
        <f>IF(C904="","",MAX(0,C904-D904))</f>
        <v/>
      </c>
    </row>
    <row r="905">
      <c r="D905">
        <f>IF(C905="","",MIN(C905,Settings!$B$4))</f>
        <v/>
      </c>
      <c r="E905">
        <f>IF(C905="","",MAX(0,C905-D905))</f>
        <v/>
      </c>
    </row>
    <row r="906">
      <c r="D906">
        <f>IF(C906="","",MIN(C906,Settings!$B$4))</f>
        <v/>
      </c>
      <c r="E906">
        <f>IF(C906="","",MAX(0,C906-D906))</f>
        <v/>
      </c>
    </row>
    <row r="907">
      <c r="D907">
        <f>IF(C907="","",MIN(C907,Settings!$B$4))</f>
        <v/>
      </c>
      <c r="E907">
        <f>IF(C907="","",MAX(0,C907-D907))</f>
        <v/>
      </c>
    </row>
    <row r="908">
      <c r="D908">
        <f>IF(C908="","",MIN(C908,Settings!$B$4))</f>
        <v/>
      </c>
      <c r="E908">
        <f>IF(C908="","",MAX(0,C908-D908))</f>
        <v/>
      </c>
    </row>
    <row r="909">
      <c r="D909">
        <f>IF(C909="","",MIN(C909,Settings!$B$4))</f>
        <v/>
      </c>
      <c r="E909">
        <f>IF(C909="","",MAX(0,C909-D909))</f>
        <v/>
      </c>
    </row>
    <row r="910">
      <c r="D910">
        <f>IF(C910="","",MIN(C910,Settings!$B$4))</f>
        <v/>
      </c>
      <c r="E910">
        <f>IF(C910="","",MAX(0,C910-D910))</f>
        <v/>
      </c>
    </row>
    <row r="911">
      <c r="D911">
        <f>IF(C911="","",MIN(C911,Settings!$B$4))</f>
        <v/>
      </c>
      <c r="E911">
        <f>IF(C911="","",MAX(0,C911-D911))</f>
        <v/>
      </c>
    </row>
    <row r="912">
      <c r="D912">
        <f>IF(C912="","",MIN(C912,Settings!$B$4))</f>
        <v/>
      </c>
      <c r="E912">
        <f>IF(C912="","",MAX(0,C912-D912))</f>
        <v/>
      </c>
    </row>
    <row r="913">
      <c r="D913">
        <f>IF(C913="","",MIN(C913,Settings!$B$4))</f>
        <v/>
      </c>
      <c r="E913">
        <f>IF(C913="","",MAX(0,C913-D913))</f>
        <v/>
      </c>
    </row>
    <row r="914">
      <c r="D914">
        <f>IF(C914="","",MIN(C914,Settings!$B$4))</f>
        <v/>
      </c>
      <c r="E914">
        <f>IF(C914="","",MAX(0,C914-D914))</f>
        <v/>
      </c>
    </row>
    <row r="915">
      <c r="D915">
        <f>IF(C915="","",MIN(C915,Settings!$B$4))</f>
        <v/>
      </c>
      <c r="E915">
        <f>IF(C915="","",MAX(0,C915-D915))</f>
        <v/>
      </c>
    </row>
    <row r="916">
      <c r="D916">
        <f>IF(C916="","",MIN(C916,Settings!$B$4))</f>
        <v/>
      </c>
      <c r="E916">
        <f>IF(C916="","",MAX(0,C916-D916))</f>
        <v/>
      </c>
    </row>
    <row r="917">
      <c r="D917">
        <f>IF(C917="","",MIN(C917,Settings!$B$4))</f>
        <v/>
      </c>
      <c r="E917">
        <f>IF(C917="","",MAX(0,C917-D917))</f>
        <v/>
      </c>
    </row>
    <row r="918">
      <c r="D918">
        <f>IF(C918="","",MIN(C918,Settings!$B$4))</f>
        <v/>
      </c>
      <c r="E918">
        <f>IF(C918="","",MAX(0,C918-D918))</f>
        <v/>
      </c>
    </row>
    <row r="919">
      <c r="D919">
        <f>IF(C919="","",MIN(C919,Settings!$B$4))</f>
        <v/>
      </c>
      <c r="E919">
        <f>IF(C919="","",MAX(0,C919-D919))</f>
        <v/>
      </c>
    </row>
    <row r="920">
      <c r="D920">
        <f>IF(C920="","",MIN(C920,Settings!$B$4))</f>
        <v/>
      </c>
      <c r="E920">
        <f>IF(C920="","",MAX(0,C920-D920))</f>
        <v/>
      </c>
    </row>
    <row r="921">
      <c r="D921">
        <f>IF(C921="","",MIN(C921,Settings!$B$4))</f>
        <v/>
      </c>
      <c r="E921">
        <f>IF(C921="","",MAX(0,C921-D921))</f>
        <v/>
      </c>
    </row>
    <row r="922">
      <c r="D922">
        <f>IF(C922="","",MIN(C922,Settings!$B$4))</f>
        <v/>
      </c>
      <c r="E922">
        <f>IF(C922="","",MAX(0,C922-D922))</f>
        <v/>
      </c>
    </row>
    <row r="923">
      <c r="D923">
        <f>IF(C923="","",MIN(C923,Settings!$B$4))</f>
        <v/>
      </c>
      <c r="E923">
        <f>IF(C923="","",MAX(0,C923-D923))</f>
        <v/>
      </c>
    </row>
    <row r="924">
      <c r="D924">
        <f>IF(C924="","",MIN(C924,Settings!$B$4))</f>
        <v/>
      </c>
      <c r="E924">
        <f>IF(C924="","",MAX(0,C924-D924))</f>
        <v/>
      </c>
    </row>
    <row r="925">
      <c r="D925">
        <f>IF(C925="","",MIN(C925,Settings!$B$4))</f>
        <v/>
      </c>
      <c r="E925">
        <f>IF(C925="","",MAX(0,C925-D925))</f>
        <v/>
      </c>
    </row>
    <row r="926">
      <c r="D926">
        <f>IF(C926="","",MIN(C926,Settings!$B$4))</f>
        <v/>
      </c>
      <c r="E926">
        <f>IF(C926="","",MAX(0,C926-D926))</f>
        <v/>
      </c>
    </row>
    <row r="927">
      <c r="D927">
        <f>IF(C927="","",MIN(C927,Settings!$B$4))</f>
        <v/>
      </c>
      <c r="E927">
        <f>IF(C927="","",MAX(0,C927-D927))</f>
        <v/>
      </c>
    </row>
    <row r="928">
      <c r="D928">
        <f>IF(C928="","",MIN(C928,Settings!$B$4))</f>
        <v/>
      </c>
      <c r="E928">
        <f>IF(C928="","",MAX(0,C928-D928))</f>
        <v/>
      </c>
    </row>
    <row r="929">
      <c r="D929">
        <f>IF(C929="","",MIN(C929,Settings!$B$4))</f>
        <v/>
      </c>
      <c r="E929">
        <f>IF(C929="","",MAX(0,C929-D929))</f>
        <v/>
      </c>
    </row>
    <row r="930">
      <c r="D930">
        <f>IF(C930="","",MIN(C930,Settings!$B$4))</f>
        <v/>
      </c>
      <c r="E930">
        <f>IF(C930="","",MAX(0,C930-D930))</f>
        <v/>
      </c>
    </row>
    <row r="931">
      <c r="D931">
        <f>IF(C931="","",MIN(C931,Settings!$B$4))</f>
        <v/>
      </c>
      <c r="E931">
        <f>IF(C931="","",MAX(0,C931-D931))</f>
        <v/>
      </c>
    </row>
    <row r="932">
      <c r="D932">
        <f>IF(C932="","",MIN(C932,Settings!$B$4))</f>
        <v/>
      </c>
      <c r="E932">
        <f>IF(C932="","",MAX(0,C932-D932))</f>
        <v/>
      </c>
    </row>
    <row r="933">
      <c r="D933">
        <f>IF(C933="","",MIN(C933,Settings!$B$4))</f>
        <v/>
      </c>
      <c r="E933">
        <f>IF(C933="","",MAX(0,C933-D933))</f>
        <v/>
      </c>
    </row>
    <row r="934">
      <c r="D934">
        <f>IF(C934="","",MIN(C934,Settings!$B$4))</f>
        <v/>
      </c>
      <c r="E934">
        <f>IF(C934="","",MAX(0,C934-D934))</f>
        <v/>
      </c>
    </row>
    <row r="935">
      <c r="D935">
        <f>IF(C935="","",MIN(C935,Settings!$B$4))</f>
        <v/>
      </c>
      <c r="E935">
        <f>IF(C935="","",MAX(0,C935-D935))</f>
        <v/>
      </c>
    </row>
    <row r="936">
      <c r="D936">
        <f>IF(C936="","",MIN(C936,Settings!$B$4))</f>
        <v/>
      </c>
      <c r="E936">
        <f>IF(C936="","",MAX(0,C936-D936))</f>
        <v/>
      </c>
    </row>
    <row r="937">
      <c r="D937">
        <f>IF(C937="","",MIN(C937,Settings!$B$4))</f>
        <v/>
      </c>
      <c r="E937">
        <f>IF(C937="","",MAX(0,C937-D937))</f>
        <v/>
      </c>
    </row>
    <row r="938">
      <c r="D938">
        <f>IF(C938="","",MIN(C938,Settings!$B$4))</f>
        <v/>
      </c>
      <c r="E938">
        <f>IF(C938="","",MAX(0,C938-D938))</f>
        <v/>
      </c>
    </row>
    <row r="939">
      <c r="D939">
        <f>IF(C939="","",MIN(C939,Settings!$B$4))</f>
        <v/>
      </c>
      <c r="E939">
        <f>IF(C939="","",MAX(0,C939-D939))</f>
        <v/>
      </c>
    </row>
    <row r="940">
      <c r="D940">
        <f>IF(C940="","",MIN(C940,Settings!$B$4))</f>
        <v/>
      </c>
      <c r="E940">
        <f>IF(C940="","",MAX(0,C940-D940))</f>
        <v/>
      </c>
    </row>
    <row r="941">
      <c r="D941">
        <f>IF(C941="","",MIN(C941,Settings!$B$4))</f>
        <v/>
      </c>
      <c r="E941">
        <f>IF(C941="","",MAX(0,C941-D941))</f>
        <v/>
      </c>
    </row>
    <row r="942">
      <c r="D942">
        <f>IF(C942="","",MIN(C942,Settings!$B$4))</f>
        <v/>
      </c>
      <c r="E942">
        <f>IF(C942="","",MAX(0,C942-D942))</f>
        <v/>
      </c>
    </row>
    <row r="943">
      <c r="D943">
        <f>IF(C943="","",MIN(C943,Settings!$B$4))</f>
        <v/>
      </c>
      <c r="E943">
        <f>IF(C943="","",MAX(0,C943-D943))</f>
        <v/>
      </c>
    </row>
    <row r="944">
      <c r="D944">
        <f>IF(C944="","",MIN(C944,Settings!$B$4))</f>
        <v/>
      </c>
      <c r="E944">
        <f>IF(C944="","",MAX(0,C944-D944))</f>
        <v/>
      </c>
    </row>
    <row r="945">
      <c r="D945">
        <f>IF(C945="","",MIN(C945,Settings!$B$4))</f>
        <v/>
      </c>
      <c r="E945">
        <f>IF(C945="","",MAX(0,C945-D945))</f>
        <v/>
      </c>
    </row>
    <row r="946">
      <c r="D946">
        <f>IF(C946="","",MIN(C946,Settings!$B$4))</f>
        <v/>
      </c>
      <c r="E946">
        <f>IF(C946="","",MAX(0,C946-D946))</f>
        <v/>
      </c>
    </row>
    <row r="947">
      <c r="D947">
        <f>IF(C947="","",MIN(C947,Settings!$B$4))</f>
        <v/>
      </c>
      <c r="E947">
        <f>IF(C947="","",MAX(0,C947-D947))</f>
        <v/>
      </c>
    </row>
    <row r="948">
      <c r="D948">
        <f>IF(C948="","",MIN(C948,Settings!$B$4))</f>
        <v/>
      </c>
      <c r="E948">
        <f>IF(C948="","",MAX(0,C948-D948))</f>
        <v/>
      </c>
    </row>
    <row r="949">
      <c r="D949">
        <f>IF(C949="","",MIN(C949,Settings!$B$4))</f>
        <v/>
      </c>
      <c r="E949">
        <f>IF(C949="","",MAX(0,C949-D949))</f>
        <v/>
      </c>
    </row>
    <row r="950">
      <c r="D950">
        <f>IF(C950="","",MIN(C950,Settings!$B$4))</f>
        <v/>
      </c>
      <c r="E950">
        <f>IF(C950="","",MAX(0,C950-D950))</f>
        <v/>
      </c>
    </row>
    <row r="951">
      <c r="D951">
        <f>IF(C951="","",MIN(C951,Settings!$B$4))</f>
        <v/>
      </c>
      <c r="E951">
        <f>IF(C951="","",MAX(0,C951-D951))</f>
        <v/>
      </c>
    </row>
    <row r="952">
      <c r="D952">
        <f>IF(C952="","",MIN(C952,Settings!$B$4))</f>
        <v/>
      </c>
      <c r="E952">
        <f>IF(C952="","",MAX(0,C952-D952))</f>
        <v/>
      </c>
    </row>
    <row r="953">
      <c r="D953">
        <f>IF(C953="","",MIN(C953,Settings!$B$4))</f>
        <v/>
      </c>
      <c r="E953">
        <f>IF(C953="","",MAX(0,C953-D953))</f>
        <v/>
      </c>
    </row>
    <row r="954">
      <c r="D954">
        <f>IF(C954="","",MIN(C954,Settings!$B$4))</f>
        <v/>
      </c>
      <c r="E954">
        <f>IF(C954="","",MAX(0,C954-D954))</f>
        <v/>
      </c>
    </row>
    <row r="955">
      <c r="D955">
        <f>IF(C955="","",MIN(C955,Settings!$B$4))</f>
        <v/>
      </c>
      <c r="E955">
        <f>IF(C955="","",MAX(0,C955-D955))</f>
        <v/>
      </c>
    </row>
    <row r="956">
      <c r="D956">
        <f>IF(C956="","",MIN(C956,Settings!$B$4))</f>
        <v/>
      </c>
      <c r="E956">
        <f>IF(C956="","",MAX(0,C956-D956))</f>
        <v/>
      </c>
    </row>
    <row r="957">
      <c r="D957">
        <f>IF(C957="","",MIN(C957,Settings!$B$4))</f>
        <v/>
      </c>
      <c r="E957">
        <f>IF(C957="","",MAX(0,C957-D957))</f>
        <v/>
      </c>
    </row>
    <row r="958">
      <c r="D958">
        <f>IF(C958="","",MIN(C958,Settings!$B$4))</f>
        <v/>
      </c>
      <c r="E958">
        <f>IF(C958="","",MAX(0,C958-D958))</f>
        <v/>
      </c>
    </row>
    <row r="959">
      <c r="D959">
        <f>IF(C959="","",MIN(C959,Settings!$B$4))</f>
        <v/>
      </c>
      <c r="E959">
        <f>IF(C959="","",MAX(0,C959-D959))</f>
        <v/>
      </c>
    </row>
    <row r="960">
      <c r="D960">
        <f>IF(C960="","",MIN(C960,Settings!$B$4))</f>
        <v/>
      </c>
      <c r="E960">
        <f>IF(C960="","",MAX(0,C960-D960))</f>
        <v/>
      </c>
    </row>
    <row r="961">
      <c r="D961">
        <f>IF(C961="","",MIN(C961,Settings!$B$4))</f>
        <v/>
      </c>
      <c r="E961">
        <f>IF(C961="","",MAX(0,C961-D961))</f>
        <v/>
      </c>
    </row>
    <row r="962">
      <c r="D962">
        <f>IF(C962="","",MIN(C962,Settings!$B$4))</f>
        <v/>
      </c>
      <c r="E962">
        <f>IF(C962="","",MAX(0,C962-D962))</f>
        <v/>
      </c>
    </row>
    <row r="963">
      <c r="D963">
        <f>IF(C963="","",MIN(C963,Settings!$B$4))</f>
        <v/>
      </c>
      <c r="E963">
        <f>IF(C963="","",MAX(0,C963-D963))</f>
        <v/>
      </c>
    </row>
    <row r="964">
      <c r="D964">
        <f>IF(C964="","",MIN(C964,Settings!$B$4))</f>
        <v/>
      </c>
      <c r="E964">
        <f>IF(C964="","",MAX(0,C964-D964))</f>
        <v/>
      </c>
    </row>
    <row r="965">
      <c r="D965">
        <f>IF(C965="","",MIN(C965,Settings!$B$4))</f>
        <v/>
      </c>
      <c r="E965">
        <f>IF(C965="","",MAX(0,C965-D965))</f>
        <v/>
      </c>
    </row>
    <row r="966">
      <c r="D966">
        <f>IF(C966="","",MIN(C966,Settings!$B$4))</f>
        <v/>
      </c>
      <c r="E966">
        <f>IF(C966="","",MAX(0,C966-D966))</f>
        <v/>
      </c>
    </row>
    <row r="967">
      <c r="D967">
        <f>IF(C967="","",MIN(C967,Settings!$B$4))</f>
        <v/>
      </c>
      <c r="E967">
        <f>IF(C967="","",MAX(0,C967-D967))</f>
        <v/>
      </c>
    </row>
    <row r="968">
      <c r="D968">
        <f>IF(C968="","",MIN(C968,Settings!$B$4))</f>
        <v/>
      </c>
      <c r="E968">
        <f>IF(C968="","",MAX(0,C968-D968))</f>
        <v/>
      </c>
    </row>
    <row r="969">
      <c r="D969">
        <f>IF(C969="","",MIN(C969,Settings!$B$4))</f>
        <v/>
      </c>
      <c r="E969">
        <f>IF(C969="","",MAX(0,C969-D969))</f>
        <v/>
      </c>
    </row>
    <row r="970">
      <c r="D970">
        <f>IF(C970="","",MIN(C970,Settings!$B$4))</f>
        <v/>
      </c>
      <c r="E970">
        <f>IF(C970="","",MAX(0,C970-D970))</f>
        <v/>
      </c>
    </row>
    <row r="971">
      <c r="D971">
        <f>IF(C971="","",MIN(C971,Settings!$B$4))</f>
        <v/>
      </c>
      <c r="E971">
        <f>IF(C971="","",MAX(0,C971-D971))</f>
        <v/>
      </c>
    </row>
    <row r="972">
      <c r="D972">
        <f>IF(C972="","",MIN(C972,Settings!$B$4))</f>
        <v/>
      </c>
      <c r="E972">
        <f>IF(C972="","",MAX(0,C972-D972))</f>
        <v/>
      </c>
    </row>
    <row r="973">
      <c r="D973">
        <f>IF(C973="","",MIN(C973,Settings!$B$4))</f>
        <v/>
      </c>
      <c r="E973">
        <f>IF(C973="","",MAX(0,C973-D973))</f>
        <v/>
      </c>
    </row>
    <row r="974">
      <c r="D974">
        <f>IF(C974="","",MIN(C974,Settings!$B$4))</f>
        <v/>
      </c>
      <c r="E974">
        <f>IF(C974="","",MAX(0,C974-D974))</f>
        <v/>
      </c>
    </row>
    <row r="975">
      <c r="D975">
        <f>IF(C975="","",MIN(C975,Settings!$B$4))</f>
        <v/>
      </c>
      <c r="E975">
        <f>IF(C975="","",MAX(0,C975-D975))</f>
        <v/>
      </c>
    </row>
    <row r="976">
      <c r="D976">
        <f>IF(C976="","",MIN(C976,Settings!$B$4))</f>
        <v/>
      </c>
      <c r="E976">
        <f>IF(C976="","",MAX(0,C976-D976))</f>
        <v/>
      </c>
    </row>
    <row r="977">
      <c r="D977">
        <f>IF(C977="","",MIN(C977,Settings!$B$4))</f>
        <v/>
      </c>
      <c r="E977">
        <f>IF(C977="","",MAX(0,C977-D977))</f>
        <v/>
      </c>
    </row>
    <row r="978">
      <c r="D978">
        <f>IF(C978="","",MIN(C978,Settings!$B$4))</f>
        <v/>
      </c>
      <c r="E978">
        <f>IF(C978="","",MAX(0,C978-D978))</f>
        <v/>
      </c>
    </row>
    <row r="979">
      <c r="D979">
        <f>IF(C979="","",MIN(C979,Settings!$B$4))</f>
        <v/>
      </c>
      <c r="E979">
        <f>IF(C979="","",MAX(0,C979-D979))</f>
        <v/>
      </c>
    </row>
    <row r="980">
      <c r="D980">
        <f>IF(C980="","",MIN(C980,Settings!$B$4))</f>
        <v/>
      </c>
      <c r="E980">
        <f>IF(C980="","",MAX(0,C980-D980))</f>
        <v/>
      </c>
    </row>
    <row r="981">
      <c r="D981">
        <f>IF(C981="","",MIN(C981,Settings!$B$4))</f>
        <v/>
      </c>
      <c r="E981">
        <f>IF(C981="","",MAX(0,C981-D981))</f>
        <v/>
      </c>
    </row>
    <row r="982">
      <c r="D982">
        <f>IF(C982="","",MIN(C982,Settings!$B$4))</f>
        <v/>
      </c>
      <c r="E982">
        <f>IF(C982="","",MAX(0,C982-D982))</f>
        <v/>
      </c>
    </row>
    <row r="983">
      <c r="D983">
        <f>IF(C983="","",MIN(C983,Settings!$B$4))</f>
        <v/>
      </c>
      <c r="E983">
        <f>IF(C983="","",MAX(0,C983-D983))</f>
        <v/>
      </c>
    </row>
    <row r="984">
      <c r="D984">
        <f>IF(C984="","",MIN(C984,Settings!$B$4))</f>
        <v/>
      </c>
      <c r="E984">
        <f>IF(C984="","",MAX(0,C984-D984))</f>
        <v/>
      </c>
    </row>
    <row r="985">
      <c r="D985">
        <f>IF(C985="","",MIN(C985,Settings!$B$4))</f>
        <v/>
      </c>
      <c r="E985">
        <f>IF(C985="","",MAX(0,C985-D985))</f>
        <v/>
      </c>
    </row>
    <row r="986">
      <c r="D986">
        <f>IF(C986="","",MIN(C986,Settings!$B$4))</f>
        <v/>
      </c>
      <c r="E986">
        <f>IF(C986="","",MAX(0,C986-D986))</f>
        <v/>
      </c>
    </row>
    <row r="987">
      <c r="D987">
        <f>IF(C987="","",MIN(C987,Settings!$B$4))</f>
        <v/>
      </c>
      <c r="E987">
        <f>IF(C987="","",MAX(0,C987-D987))</f>
        <v/>
      </c>
    </row>
    <row r="988">
      <c r="D988">
        <f>IF(C988="","",MIN(C988,Settings!$B$4))</f>
        <v/>
      </c>
      <c r="E988">
        <f>IF(C988="","",MAX(0,C988-D988))</f>
        <v/>
      </c>
    </row>
    <row r="989">
      <c r="D989">
        <f>IF(C989="","",MIN(C989,Settings!$B$4))</f>
        <v/>
      </c>
      <c r="E989">
        <f>IF(C989="","",MAX(0,C989-D989))</f>
        <v/>
      </c>
    </row>
    <row r="990">
      <c r="D990">
        <f>IF(C990="","",MIN(C990,Settings!$B$4))</f>
        <v/>
      </c>
      <c r="E990">
        <f>IF(C990="","",MAX(0,C990-D990))</f>
        <v/>
      </c>
    </row>
    <row r="991">
      <c r="D991">
        <f>IF(C991="","",MIN(C991,Settings!$B$4))</f>
        <v/>
      </c>
      <c r="E991">
        <f>IF(C991="","",MAX(0,C991-D991))</f>
        <v/>
      </c>
    </row>
    <row r="992">
      <c r="D992">
        <f>IF(C992="","",MIN(C992,Settings!$B$4))</f>
        <v/>
      </c>
      <c r="E992">
        <f>IF(C992="","",MAX(0,C992-D992))</f>
        <v/>
      </c>
    </row>
    <row r="993">
      <c r="D993">
        <f>IF(C993="","",MIN(C993,Settings!$B$4))</f>
        <v/>
      </c>
      <c r="E993">
        <f>IF(C993="","",MAX(0,C993-D993))</f>
        <v/>
      </c>
    </row>
    <row r="994">
      <c r="D994">
        <f>IF(C994="","",MIN(C994,Settings!$B$4))</f>
        <v/>
      </c>
      <c r="E994">
        <f>IF(C994="","",MAX(0,C994-D994))</f>
        <v/>
      </c>
    </row>
    <row r="995">
      <c r="D995">
        <f>IF(C995="","",MIN(C995,Settings!$B$4))</f>
        <v/>
      </c>
      <c r="E995">
        <f>IF(C995="","",MAX(0,C995-D995))</f>
        <v/>
      </c>
    </row>
    <row r="996">
      <c r="D996">
        <f>IF(C996="","",MIN(C996,Settings!$B$4))</f>
        <v/>
      </c>
      <c r="E996">
        <f>IF(C996="","",MAX(0,C996-D996))</f>
        <v/>
      </c>
    </row>
    <row r="997">
      <c r="D997">
        <f>IF(C997="","",MIN(C997,Settings!$B$4))</f>
        <v/>
      </c>
      <c r="E997">
        <f>IF(C997="","",MAX(0,C997-D997))</f>
        <v/>
      </c>
    </row>
    <row r="998">
      <c r="D998">
        <f>IF(C998="","",MIN(C998,Settings!$B$4))</f>
        <v/>
      </c>
      <c r="E998">
        <f>IF(C998="","",MAX(0,C998-D998))</f>
        <v/>
      </c>
    </row>
    <row r="999">
      <c r="D999">
        <f>IF(C999="","",MIN(C999,Settings!$B$4))</f>
        <v/>
      </c>
      <c r="E999">
        <f>IF(C999="","",MAX(0,C999-D999))</f>
        <v/>
      </c>
    </row>
    <row r="1000">
      <c r="D1000">
        <f>IF(C1000="","",MIN(C1000,Settings!$B$4))</f>
        <v/>
      </c>
      <c r="E1000">
        <f>IF(C1000="","",MAX(0,C1000-D1000))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12" customWidth="1" style="38" min="2" max="2"/>
    <col width="15" customWidth="1" style="38" min="3" max="3"/>
    <col width="39" customWidth="1" style="38" min="4" max="4"/>
    <col width="31" customWidth="1" style="38" min="5" max="5"/>
  </cols>
  <sheetData>
    <row r="1">
      <c r="A1" s="39" t="inlineStr">
        <is>
          <t>MonthKey</t>
        </is>
      </c>
      <c r="B1" s="39" t="inlineStr">
        <is>
          <t>CoachID</t>
        </is>
      </c>
      <c r="C1" s="39" t="inlineStr">
        <is>
          <t>MentorshipRaw</t>
        </is>
      </c>
      <c r="D1" s="39" t="inlineStr">
        <is>
          <t>MentorshipCounted</t>
        </is>
      </c>
      <c r="E1" s="39" t="inlineStr">
        <is>
          <t>OverCap</t>
        </is>
      </c>
    </row>
    <row r="2">
      <c r="A2" s="23">
        <f>IFERROR(QUERY(XPLog!A2:P1000,"select Col15,Col2,sum(Col13) where Col10 matches 'Mentorship|Reputation' and Col13 is not null group by Col15,Col2 label sum(Col13) ''",0),"")</f>
        <v/>
      </c>
      <c r="D2" s="23">
        <f>IF(C2="","",MIN(C2,Settings!$B$5))</f>
        <v/>
      </c>
      <c r="E2" s="23">
        <f>IF(C2="","",MAX(0,C2-D2))</f>
        <v/>
      </c>
    </row>
    <row r="3">
      <c r="D3">
        <f>IF(C3="","",MIN(C3,Settings!$B$5))</f>
        <v/>
      </c>
      <c r="E3">
        <f>IF(C3="","",MAX(0,C3-D3))</f>
        <v/>
      </c>
    </row>
    <row r="4">
      <c r="D4">
        <f>IF(C4="","",MIN(C4,Settings!$B$5))</f>
        <v/>
      </c>
      <c r="E4">
        <f>IF(C4="","",MAX(0,C4-D4))</f>
        <v/>
      </c>
    </row>
    <row r="5">
      <c r="D5">
        <f>IF(C5="","",MIN(C5,Settings!$B$5))</f>
        <v/>
      </c>
      <c r="E5">
        <f>IF(C5="","",MAX(0,C5-D5))</f>
        <v/>
      </c>
    </row>
    <row r="6">
      <c r="D6">
        <f>IF(C6="","",MIN(C6,Settings!$B$5))</f>
        <v/>
      </c>
      <c r="E6">
        <f>IF(C6="","",MAX(0,C6-D6))</f>
        <v/>
      </c>
    </row>
    <row r="7">
      <c r="D7">
        <f>IF(C7="","",MIN(C7,Settings!$B$5))</f>
        <v/>
      </c>
      <c r="E7">
        <f>IF(C7="","",MAX(0,C7-D7))</f>
        <v/>
      </c>
    </row>
    <row r="8">
      <c r="D8">
        <f>IF(C8="","",MIN(C8,Settings!$B$5))</f>
        <v/>
      </c>
      <c r="E8">
        <f>IF(C8="","",MAX(0,C8-D8))</f>
        <v/>
      </c>
    </row>
    <row r="9">
      <c r="D9">
        <f>IF(C9="","",MIN(C9,Settings!$B$5))</f>
        <v/>
      </c>
      <c r="E9">
        <f>IF(C9="","",MAX(0,C9-D9))</f>
        <v/>
      </c>
    </row>
    <row r="10">
      <c r="D10">
        <f>IF(C10="","",MIN(C10,Settings!$B$5))</f>
        <v/>
      </c>
      <c r="E10">
        <f>IF(C10="","",MAX(0,C10-D10))</f>
        <v/>
      </c>
    </row>
    <row r="11">
      <c r="D11">
        <f>IF(C11="","",MIN(C11,Settings!$B$5))</f>
        <v/>
      </c>
      <c r="E11">
        <f>IF(C11="","",MAX(0,C11-D11))</f>
        <v/>
      </c>
    </row>
    <row r="12">
      <c r="D12">
        <f>IF(C12="","",MIN(C12,Settings!$B$5))</f>
        <v/>
      </c>
      <c r="E12">
        <f>IF(C12="","",MAX(0,C12-D12))</f>
        <v/>
      </c>
    </row>
    <row r="13">
      <c r="D13">
        <f>IF(C13="","",MIN(C13,Settings!$B$5))</f>
        <v/>
      </c>
      <c r="E13">
        <f>IF(C13="","",MAX(0,C13-D13))</f>
        <v/>
      </c>
    </row>
    <row r="14">
      <c r="D14">
        <f>IF(C14="","",MIN(C14,Settings!$B$5))</f>
        <v/>
      </c>
      <c r="E14">
        <f>IF(C14="","",MAX(0,C14-D14))</f>
        <v/>
      </c>
    </row>
    <row r="15">
      <c r="D15">
        <f>IF(C15="","",MIN(C15,Settings!$B$5))</f>
        <v/>
      </c>
      <c r="E15">
        <f>IF(C15="","",MAX(0,C15-D15))</f>
        <v/>
      </c>
    </row>
    <row r="16">
      <c r="D16">
        <f>IF(C16="","",MIN(C16,Settings!$B$5))</f>
        <v/>
      </c>
      <c r="E16">
        <f>IF(C16="","",MAX(0,C16-D16))</f>
        <v/>
      </c>
    </row>
    <row r="17">
      <c r="D17">
        <f>IF(C17="","",MIN(C17,Settings!$B$5))</f>
        <v/>
      </c>
      <c r="E17">
        <f>IF(C17="","",MAX(0,C17-D17))</f>
        <v/>
      </c>
    </row>
    <row r="18">
      <c r="D18">
        <f>IF(C18="","",MIN(C18,Settings!$B$5))</f>
        <v/>
      </c>
      <c r="E18">
        <f>IF(C18="","",MAX(0,C18-D18))</f>
        <v/>
      </c>
    </row>
    <row r="19">
      <c r="D19">
        <f>IF(C19="","",MIN(C19,Settings!$B$5))</f>
        <v/>
      </c>
      <c r="E19">
        <f>IF(C19="","",MAX(0,C19-D19))</f>
        <v/>
      </c>
    </row>
    <row r="20">
      <c r="D20">
        <f>IF(C20="","",MIN(C20,Settings!$B$5))</f>
        <v/>
      </c>
      <c r="E20">
        <f>IF(C20="","",MAX(0,C20-D20))</f>
        <v/>
      </c>
    </row>
    <row r="21">
      <c r="D21">
        <f>IF(C21="","",MIN(C21,Settings!$B$5))</f>
        <v/>
      </c>
      <c r="E21">
        <f>IF(C21="","",MAX(0,C21-D21))</f>
        <v/>
      </c>
    </row>
    <row r="22">
      <c r="D22">
        <f>IF(C22="","",MIN(C22,Settings!$B$5))</f>
        <v/>
      </c>
      <c r="E22">
        <f>IF(C22="","",MAX(0,C22-D22))</f>
        <v/>
      </c>
    </row>
    <row r="23">
      <c r="D23">
        <f>IF(C23="","",MIN(C23,Settings!$B$5))</f>
        <v/>
      </c>
      <c r="E23">
        <f>IF(C23="","",MAX(0,C23-D23))</f>
        <v/>
      </c>
    </row>
    <row r="24">
      <c r="D24">
        <f>IF(C24="","",MIN(C24,Settings!$B$5))</f>
        <v/>
      </c>
      <c r="E24">
        <f>IF(C24="","",MAX(0,C24-D24))</f>
        <v/>
      </c>
    </row>
    <row r="25">
      <c r="D25">
        <f>IF(C25="","",MIN(C25,Settings!$B$5))</f>
        <v/>
      </c>
      <c r="E25">
        <f>IF(C25="","",MAX(0,C25-D25))</f>
        <v/>
      </c>
    </row>
    <row r="26">
      <c r="D26">
        <f>IF(C26="","",MIN(C26,Settings!$B$5))</f>
        <v/>
      </c>
      <c r="E26">
        <f>IF(C26="","",MAX(0,C26-D26))</f>
        <v/>
      </c>
    </row>
    <row r="27">
      <c r="D27">
        <f>IF(C27="","",MIN(C27,Settings!$B$5))</f>
        <v/>
      </c>
      <c r="E27">
        <f>IF(C27="","",MAX(0,C27-D27))</f>
        <v/>
      </c>
    </row>
    <row r="28">
      <c r="D28">
        <f>IF(C28="","",MIN(C28,Settings!$B$5))</f>
        <v/>
      </c>
      <c r="E28">
        <f>IF(C28="","",MAX(0,C28-D28))</f>
        <v/>
      </c>
    </row>
    <row r="29">
      <c r="D29">
        <f>IF(C29="","",MIN(C29,Settings!$B$5))</f>
        <v/>
      </c>
      <c r="E29">
        <f>IF(C29="","",MAX(0,C29-D29))</f>
        <v/>
      </c>
    </row>
    <row r="30">
      <c r="D30">
        <f>IF(C30="","",MIN(C30,Settings!$B$5))</f>
        <v/>
      </c>
      <c r="E30">
        <f>IF(C30="","",MAX(0,C30-D30))</f>
        <v/>
      </c>
    </row>
    <row r="31">
      <c r="D31">
        <f>IF(C31="","",MIN(C31,Settings!$B$5))</f>
        <v/>
      </c>
      <c r="E31">
        <f>IF(C31="","",MAX(0,C31-D31))</f>
        <v/>
      </c>
    </row>
    <row r="32">
      <c r="D32">
        <f>IF(C32="","",MIN(C32,Settings!$B$5))</f>
        <v/>
      </c>
      <c r="E32">
        <f>IF(C32="","",MAX(0,C32-D32))</f>
        <v/>
      </c>
    </row>
    <row r="33">
      <c r="D33">
        <f>IF(C33="","",MIN(C33,Settings!$B$5))</f>
        <v/>
      </c>
      <c r="E33">
        <f>IF(C33="","",MAX(0,C33-D33))</f>
        <v/>
      </c>
    </row>
    <row r="34">
      <c r="D34">
        <f>IF(C34="","",MIN(C34,Settings!$B$5))</f>
        <v/>
      </c>
      <c r="E34">
        <f>IF(C34="","",MAX(0,C34-D34))</f>
        <v/>
      </c>
    </row>
    <row r="35">
      <c r="D35">
        <f>IF(C35="","",MIN(C35,Settings!$B$5))</f>
        <v/>
      </c>
      <c r="E35">
        <f>IF(C35="","",MAX(0,C35-D35))</f>
        <v/>
      </c>
    </row>
    <row r="36">
      <c r="D36">
        <f>IF(C36="","",MIN(C36,Settings!$B$5))</f>
        <v/>
      </c>
      <c r="E36">
        <f>IF(C36="","",MAX(0,C36-D36))</f>
        <v/>
      </c>
    </row>
    <row r="37">
      <c r="D37">
        <f>IF(C37="","",MIN(C37,Settings!$B$5))</f>
        <v/>
      </c>
      <c r="E37">
        <f>IF(C37="","",MAX(0,C37-D37))</f>
        <v/>
      </c>
    </row>
    <row r="38">
      <c r="D38">
        <f>IF(C38="","",MIN(C38,Settings!$B$5))</f>
        <v/>
      </c>
      <c r="E38">
        <f>IF(C38="","",MAX(0,C38-D38))</f>
        <v/>
      </c>
    </row>
    <row r="39">
      <c r="D39">
        <f>IF(C39="","",MIN(C39,Settings!$B$5))</f>
        <v/>
      </c>
      <c r="E39">
        <f>IF(C39="","",MAX(0,C39-D39))</f>
        <v/>
      </c>
    </row>
    <row r="40">
      <c r="D40">
        <f>IF(C40="","",MIN(C40,Settings!$B$5))</f>
        <v/>
      </c>
      <c r="E40">
        <f>IF(C40="","",MAX(0,C40-D40))</f>
        <v/>
      </c>
    </row>
    <row r="41">
      <c r="D41">
        <f>IF(C41="","",MIN(C41,Settings!$B$5))</f>
        <v/>
      </c>
      <c r="E41">
        <f>IF(C41="","",MAX(0,C41-D41))</f>
        <v/>
      </c>
    </row>
    <row r="42">
      <c r="D42">
        <f>IF(C42="","",MIN(C42,Settings!$B$5))</f>
        <v/>
      </c>
      <c r="E42">
        <f>IF(C42="","",MAX(0,C42-D42))</f>
        <v/>
      </c>
    </row>
    <row r="43">
      <c r="D43">
        <f>IF(C43="","",MIN(C43,Settings!$B$5))</f>
        <v/>
      </c>
      <c r="E43">
        <f>IF(C43="","",MAX(0,C43-D43))</f>
        <v/>
      </c>
    </row>
    <row r="44">
      <c r="D44">
        <f>IF(C44="","",MIN(C44,Settings!$B$5))</f>
        <v/>
      </c>
      <c r="E44">
        <f>IF(C44="","",MAX(0,C44-D44))</f>
        <v/>
      </c>
    </row>
    <row r="45">
      <c r="D45">
        <f>IF(C45="","",MIN(C45,Settings!$B$5))</f>
        <v/>
      </c>
      <c r="E45">
        <f>IF(C45="","",MAX(0,C45-D45))</f>
        <v/>
      </c>
    </row>
    <row r="46">
      <c r="D46">
        <f>IF(C46="","",MIN(C46,Settings!$B$5))</f>
        <v/>
      </c>
      <c r="E46">
        <f>IF(C46="","",MAX(0,C46-D46))</f>
        <v/>
      </c>
    </row>
    <row r="47">
      <c r="D47">
        <f>IF(C47="","",MIN(C47,Settings!$B$5))</f>
        <v/>
      </c>
      <c r="E47">
        <f>IF(C47="","",MAX(0,C47-D47))</f>
        <v/>
      </c>
    </row>
    <row r="48">
      <c r="D48">
        <f>IF(C48="","",MIN(C48,Settings!$B$5))</f>
        <v/>
      </c>
      <c r="E48">
        <f>IF(C48="","",MAX(0,C48-D48))</f>
        <v/>
      </c>
    </row>
    <row r="49">
      <c r="D49">
        <f>IF(C49="","",MIN(C49,Settings!$B$5))</f>
        <v/>
      </c>
      <c r="E49">
        <f>IF(C49="","",MAX(0,C49-D49))</f>
        <v/>
      </c>
    </row>
    <row r="50">
      <c r="D50">
        <f>IF(C50="","",MIN(C50,Settings!$B$5))</f>
        <v/>
      </c>
      <c r="E50">
        <f>IF(C50="","",MAX(0,C50-D50))</f>
        <v/>
      </c>
    </row>
    <row r="51">
      <c r="D51">
        <f>IF(C51="","",MIN(C51,Settings!$B$5))</f>
        <v/>
      </c>
      <c r="E51">
        <f>IF(C51="","",MAX(0,C51-D51))</f>
        <v/>
      </c>
    </row>
    <row r="52">
      <c r="D52">
        <f>IF(C52="","",MIN(C52,Settings!$B$5))</f>
        <v/>
      </c>
      <c r="E52">
        <f>IF(C52="","",MAX(0,C52-D52))</f>
        <v/>
      </c>
    </row>
    <row r="53">
      <c r="D53">
        <f>IF(C53="","",MIN(C53,Settings!$B$5))</f>
        <v/>
      </c>
      <c r="E53">
        <f>IF(C53="","",MAX(0,C53-D53))</f>
        <v/>
      </c>
    </row>
    <row r="54">
      <c r="D54">
        <f>IF(C54="","",MIN(C54,Settings!$B$5))</f>
        <v/>
      </c>
      <c r="E54">
        <f>IF(C54="","",MAX(0,C54-D54))</f>
        <v/>
      </c>
    </row>
    <row r="55">
      <c r="D55">
        <f>IF(C55="","",MIN(C55,Settings!$B$5))</f>
        <v/>
      </c>
      <c r="E55">
        <f>IF(C55="","",MAX(0,C55-D55))</f>
        <v/>
      </c>
    </row>
    <row r="56">
      <c r="D56">
        <f>IF(C56="","",MIN(C56,Settings!$B$5))</f>
        <v/>
      </c>
      <c r="E56">
        <f>IF(C56="","",MAX(0,C56-D56))</f>
        <v/>
      </c>
    </row>
    <row r="57">
      <c r="D57">
        <f>IF(C57="","",MIN(C57,Settings!$B$5))</f>
        <v/>
      </c>
      <c r="E57">
        <f>IF(C57="","",MAX(0,C57-D57))</f>
        <v/>
      </c>
    </row>
    <row r="58">
      <c r="D58">
        <f>IF(C58="","",MIN(C58,Settings!$B$5))</f>
        <v/>
      </c>
      <c r="E58">
        <f>IF(C58="","",MAX(0,C58-D58))</f>
        <v/>
      </c>
    </row>
    <row r="59">
      <c r="D59">
        <f>IF(C59="","",MIN(C59,Settings!$B$5))</f>
        <v/>
      </c>
      <c r="E59">
        <f>IF(C59="","",MAX(0,C59-D59))</f>
        <v/>
      </c>
    </row>
    <row r="60">
      <c r="D60">
        <f>IF(C60="","",MIN(C60,Settings!$B$5))</f>
        <v/>
      </c>
      <c r="E60">
        <f>IF(C60="","",MAX(0,C60-D60))</f>
        <v/>
      </c>
    </row>
    <row r="61">
      <c r="D61">
        <f>IF(C61="","",MIN(C61,Settings!$B$5))</f>
        <v/>
      </c>
      <c r="E61">
        <f>IF(C61="","",MAX(0,C61-D61))</f>
        <v/>
      </c>
    </row>
    <row r="62">
      <c r="D62">
        <f>IF(C62="","",MIN(C62,Settings!$B$5))</f>
        <v/>
      </c>
      <c r="E62">
        <f>IF(C62="","",MAX(0,C62-D62))</f>
        <v/>
      </c>
    </row>
    <row r="63">
      <c r="D63">
        <f>IF(C63="","",MIN(C63,Settings!$B$5))</f>
        <v/>
      </c>
      <c r="E63">
        <f>IF(C63="","",MAX(0,C63-D63))</f>
        <v/>
      </c>
    </row>
    <row r="64">
      <c r="D64">
        <f>IF(C64="","",MIN(C64,Settings!$B$5))</f>
        <v/>
      </c>
      <c r="E64">
        <f>IF(C64="","",MAX(0,C64-D64))</f>
        <v/>
      </c>
    </row>
    <row r="65">
      <c r="D65">
        <f>IF(C65="","",MIN(C65,Settings!$B$5))</f>
        <v/>
      </c>
      <c r="E65">
        <f>IF(C65="","",MAX(0,C65-D65))</f>
        <v/>
      </c>
    </row>
    <row r="66">
      <c r="D66">
        <f>IF(C66="","",MIN(C66,Settings!$B$5))</f>
        <v/>
      </c>
      <c r="E66">
        <f>IF(C66="","",MAX(0,C66-D66))</f>
        <v/>
      </c>
    </row>
    <row r="67">
      <c r="D67">
        <f>IF(C67="","",MIN(C67,Settings!$B$5))</f>
        <v/>
      </c>
      <c r="E67">
        <f>IF(C67="","",MAX(0,C67-D67))</f>
        <v/>
      </c>
    </row>
    <row r="68">
      <c r="D68">
        <f>IF(C68="","",MIN(C68,Settings!$B$5))</f>
        <v/>
      </c>
      <c r="E68">
        <f>IF(C68="","",MAX(0,C68-D68))</f>
        <v/>
      </c>
    </row>
    <row r="69">
      <c r="D69">
        <f>IF(C69="","",MIN(C69,Settings!$B$5))</f>
        <v/>
      </c>
      <c r="E69">
        <f>IF(C69="","",MAX(0,C69-D69))</f>
        <v/>
      </c>
    </row>
    <row r="70">
      <c r="D70">
        <f>IF(C70="","",MIN(C70,Settings!$B$5))</f>
        <v/>
      </c>
      <c r="E70">
        <f>IF(C70="","",MAX(0,C70-D70))</f>
        <v/>
      </c>
    </row>
    <row r="71">
      <c r="D71">
        <f>IF(C71="","",MIN(C71,Settings!$B$5))</f>
        <v/>
      </c>
      <c r="E71">
        <f>IF(C71="","",MAX(0,C71-D71))</f>
        <v/>
      </c>
    </row>
    <row r="72">
      <c r="D72">
        <f>IF(C72="","",MIN(C72,Settings!$B$5))</f>
        <v/>
      </c>
      <c r="E72">
        <f>IF(C72="","",MAX(0,C72-D72))</f>
        <v/>
      </c>
    </row>
    <row r="73">
      <c r="D73">
        <f>IF(C73="","",MIN(C73,Settings!$B$5))</f>
        <v/>
      </c>
      <c r="E73">
        <f>IF(C73="","",MAX(0,C73-D73))</f>
        <v/>
      </c>
    </row>
    <row r="74">
      <c r="D74">
        <f>IF(C74="","",MIN(C74,Settings!$B$5))</f>
        <v/>
      </c>
      <c r="E74">
        <f>IF(C74="","",MAX(0,C74-D74))</f>
        <v/>
      </c>
    </row>
    <row r="75">
      <c r="D75">
        <f>IF(C75="","",MIN(C75,Settings!$B$5))</f>
        <v/>
      </c>
      <c r="E75">
        <f>IF(C75="","",MAX(0,C75-D75))</f>
        <v/>
      </c>
    </row>
    <row r="76">
      <c r="D76">
        <f>IF(C76="","",MIN(C76,Settings!$B$5))</f>
        <v/>
      </c>
      <c r="E76">
        <f>IF(C76="","",MAX(0,C76-D76))</f>
        <v/>
      </c>
    </row>
    <row r="77">
      <c r="D77">
        <f>IF(C77="","",MIN(C77,Settings!$B$5))</f>
        <v/>
      </c>
      <c r="E77">
        <f>IF(C77="","",MAX(0,C77-D77))</f>
        <v/>
      </c>
    </row>
    <row r="78">
      <c r="D78">
        <f>IF(C78="","",MIN(C78,Settings!$B$5))</f>
        <v/>
      </c>
      <c r="E78">
        <f>IF(C78="","",MAX(0,C78-D78))</f>
        <v/>
      </c>
    </row>
    <row r="79">
      <c r="D79">
        <f>IF(C79="","",MIN(C79,Settings!$B$5))</f>
        <v/>
      </c>
      <c r="E79">
        <f>IF(C79="","",MAX(0,C79-D79))</f>
        <v/>
      </c>
    </row>
    <row r="80">
      <c r="D80">
        <f>IF(C80="","",MIN(C80,Settings!$B$5))</f>
        <v/>
      </c>
      <c r="E80">
        <f>IF(C80="","",MAX(0,C80-D80))</f>
        <v/>
      </c>
    </row>
    <row r="81">
      <c r="D81">
        <f>IF(C81="","",MIN(C81,Settings!$B$5))</f>
        <v/>
      </c>
      <c r="E81">
        <f>IF(C81="","",MAX(0,C81-D81))</f>
        <v/>
      </c>
    </row>
    <row r="82">
      <c r="D82">
        <f>IF(C82="","",MIN(C82,Settings!$B$5))</f>
        <v/>
      </c>
      <c r="E82">
        <f>IF(C82="","",MAX(0,C82-D82))</f>
        <v/>
      </c>
    </row>
    <row r="83">
      <c r="D83">
        <f>IF(C83="","",MIN(C83,Settings!$B$5))</f>
        <v/>
      </c>
      <c r="E83">
        <f>IF(C83="","",MAX(0,C83-D83))</f>
        <v/>
      </c>
    </row>
    <row r="84">
      <c r="D84">
        <f>IF(C84="","",MIN(C84,Settings!$B$5))</f>
        <v/>
      </c>
      <c r="E84">
        <f>IF(C84="","",MAX(0,C84-D84))</f>
        <v/>
      </c>
    </row>
    <row r="85">
      <c r="D85">
        <f>IF(C85="","",MIN(C85,Settings!$B$5))</f>
        <v/>
      </c>
      <c r="E85">
        <f>IF(C85="","",MAX(0,C85-D85))</f>
        <v/>
      </c>
    </row>
    <row r="86">
      <c r="D86">
        <f>IF(C86="","",MIN(C86,Settings!$B$5))</f>
        <v/>
      </c>
      <c r="E86">
        <f>IF(C86="","",MAX(0,C86-D86))</f>
        <v/>
      </c>
    </row>
    <row r="87">
      <c r="D87">
        <f>IF(C87="","",MIN(C87,Settings!$B$5))</f>
        <v/>
      </c>
      <c r="E87">
        <f>IF(C87="","",MAX(0,C87-D87))</f>
        <v/>
      </c>
    </row>
    <row r="88">
      <c r="D88">
        <f>IF(C88="","",MIN(C88,Settings!$B$5))</f>
        <v/>
      </c>
      <c r="E88">
        <f>IF(C88="","",MAX(0,C88-D88))</f>
        <v/>
      </c>
    </row>
    <row r="89">
      <c r="D89">
        <f>IF(C89="","",MIN(C89,Settings!$B$5))</f>
        <v/>
      </c>
      <c r="E89">
        <f>IF(C89="","",MAX(0,C89-D89))</f>
        <v/>
      </c>
    </row>
    <row r="90">
      <c r="D90">
        <f>IF(C90="","",MIN(C90,Settings!$B$5))</f>
        <v/>
      </c>
      <c r="E90">
        <f>IF(C90="","",MAX(0,C90-D90))</f>
        <v/>
      </c>
    </row>
    <row r="91">
      <c r="D91">
        <f>IF(C91="","",MIN(C91,Settings!$B$5))</f>
        <v/>
      </c>
      <c r="E91">
        <f>IF(C91="","",MAX(0,C91-D91))</f>
        <v/>
      </c>
    </row>
    <row r="92">
      <c r="D92">
        <f>IF(C92="","",MIN(C92,Settings!$B$5))</f>
        <v/>
      </c>
      <c r="E92">
        <f>IF(C92="","",MAX(0,C92-D92))</f>
        <v/>
      </c>
    </row>
    <row r="93">
      <c r="D93">
        <f>IF(C93="","",MIN(C93,Settings!$B$5))</f>
        <v/>
      </c>
      <c r="E93">
        <f>IF(C93="","",MAX(0,C93-D93))</f>
        <v/>
      </c>
    </row>
    <row r="94">
      <c r="D94">
        <f>IF(C94="","",MIN(C94,Settings!$B$5))</f>
        <v/>
      </c>
      <c r="E94">
        <f>IF(C94="","",MAX(0,C94-D94))</f>
        <v/>
      </c>
    </row>
    <row r="95">
      <c r="D95">
        <f>IF(C95="","",MIN(C95,Settings!$B$5))</f>
        <v/>
      </c>
      <c r="E95">
        <f>IF(C95="","",MAX(0,C95-D95))</f>
        <v/>
      </c>
    </row>
    <row r="96">
      <c r="D96">
        <f>IF(C96="","",MIN(C96,Settings!$B$5))</f>
        <v/>
      </c>
      <c r="E96">
        <f>IF(C96="","",MAX(0,C96-D96))</f>
        <v/>
      </c>
    </row>
    <row r="97">
      <c r="D97">
        <f>IF(C97="","",MIN(C97,Settings!$B$5))</f>
        <v/>
      </c>
      <c r="E97">
        <f>IF(C97="","",MAX(0,C97-D97))</f>
        <v/>
      </c>
    </row>
    <row r="98">
      <c r="D98">
        <f>IF(C98="","",MIN(C98,Settings!$B$5))</f>
        <v/>
      </c>
      <c r="E98">
        <f>IF(C98="","",MAX(0,C98-D98))</f>
        <v/>
      </c>
    </row>
    <row r="99">
      <c r="D99">
        <f>IF(C99="","",MIN(C99,Settings!$B$5))</f>
        <v/>
      </c>
      <c r="E99">
        <f>IF(C99="","",MAX(0,C99-D99))</f>
        <v/>
      </c>
    </row>
    <row r="100">
      <c r="D100">
        <f>IF(C100="","",MIN(C100,Settings!$B$5))</f>
        <v/>
      </c>
      <c r="E100">
        <f>IF(C100="","",MAX(0,C100-D100))</f>
        <v/>
      </c>
    </row>
    <row r="101">
      <c r="D101">
        <f>IF(C101="","",MIN(C101,Settings!$B$5))</f>
        <v/>
      </c>
      <c r="E101">
        <f>IF(C101="","",MAX(0,C101-D101))</f>
        <v/>
      </c>
    </row>
    <row r="102">
      <c r="D102">
        <f>IF(C102="","",MIN(C102,Settings!$B$5))</f>
        <v/>
      </c>
      <c r="E102">
        <f>IF(C102="","",MAX(0,C102-D102))</f>
        <v/>
      </c>
    </row>
    <row r="103">
      <c r="D103">
        <f>IF(C103="","",MIN(C103,Settings!$B$5))</f>
        <v/>
      </c>
      <c r="E103">
        <f>IF(C103="","",MAX(0,C103-D103))</f>
        <v/>
      </c>
    </row>
    <row r="104">
      <c r="D104">
        <f>IF(C104="","",MIN(C104,Settings!$B$5))</f>
        <v/>
      </c>
      <c r="E104">
        <f>IF(C104="","",MAX(0,C104-D104))</f>
        <v/>
      </c>
    </row>
    <row r="105">
      <c r="D105">
        <f>IF(C105="","",MIN(C105,Settings!$B$5))</f>
        <v/>
      </c>
      <c r="E105">
        <f>IF(C105="","",MAX(0,C105-D105))</f>
        <v/>
      </c>
    </row>
    <row r="106">
      <c r="D106">
        <f>IF(C106="","",MIN(C106,Settings!$B$5))</f>
        <v/>
      </c>
      <c r="E106">
        <f>IF(C106="","",MAX(0,C106-D106))</f>
        <v/>
      </c>
    </row>
    <row r="107">
      <c r="D107">
        <f>IF(C107="","",MIN(C107,Settings!$B$5))</f>
        <v/>
      </c>
      <c r="E107">
        <f>IF(C107="","",MAX(0,C107-D107))</f>
        <v/>
      </c>
    </row>
    <row r="108">
      <c r="D108">
        <f>IF(C108="","",MIN(C108,Settings!$B$5))</f>
        <v/>
      </c>
      <c r="E108">
        <f>IF(C108="","",MAX(0,C108-D108))</f>
        <v/>
      </c>
    </row>
    <row r="109">
      <c r="D109">
        <f>IF(C109="","",MIN(C109,Settings!$B$5))</f>
        <v/>
      </c>
      <c r="E109">
        <f>IF(C109="","",MAX(0,C109-D109))</f>
        <v/>
      </c>
    </row>
    <row r="110">
      <c r="D110">
        <f>IF(C110="","",MIN(C110,Settings!$B$5))</f>
        <v/>
      </c>
      <c r="E110">
        <f>IF(C110="","",MAX(0,C110-D110))</f>
        <v/>
      </c>
    </row>
    <row r="111">
      <c r="D111">
        <f>IF(C111="","",MIN(C111,Settings!$B$5))</f>
        <v/>
      </c>
      <c r="E111">
        <f>IF(C111="","",MAX(0,C111-D111))</f>
        <v/>
      </c>
    </row>
    <row r="112">
      <c r="D112">
        <f>IF(C112="","",MIN(C112,Settings!$B$5))</f>
        <v/>
      </c>
      <c r="E112">
        <f>IF(C112="","",MAX(0,C112-D112))</f>
        <v/>
      </c>
    </row>
    <row r="113">
      <c r="D113">
        <f>IF(C113="","",MIN(C113,Settings!$B$5))</f>
        <v/>
      </c>
      <c r="E113">
        <f>IF(C113="","",MAX(0,C113-D113))</f>
        <v/>
      </c>
    </row>
    <row r="114">
      <c r="D114">
        <f>IF(C114="","",MIN(C114,Settings!$B$5))</f>
        <v/>
      </c>
      <c r="E114">
        <f>IF(C114="","",MAX(0,C114-D114))</f>
        <v/>
      </c>
    </row>
    <row r="115">
      <c r="D115">
        <f>IF(C115="","",MIN(C115,Settings!$B$5))</f>
        <v/>
      </c>
      <c r="E115">
        <f>IF(C115="","",MAX(0,C115-D115))</f>
        <v/>
      </c>
    </row>
    <row r="116">
      <c r="D116">
        <f>IF(C116="","",MIN(C116,Settings!$B$5))</f>
        <v/>
      </c>
      <c r="E116">
        <f>IF(C116="","",MAX(0,C116-D116))</f>
        <v/>
      </c>
    </row>
    <row r="117">
      <c r="D117">
        <f>IF(C117="","",MIN(C117,Settings!$B$5))</f>
        <v/>
      </c>
      <c r="E117">
        <f>IF(C117="","",MAX(0,C117-D117))</f>
        <v/>
      </c>
    </row>
    <row r="118">
      <c r="D118">
        <f>IF(C118="","",MIN(C118,Settings!$B$5))</f>
        <v/>
      </c>
      <c r="E118">
        <f>IF(C118="","",MAX(0,C118-D118))</f>
        <v/>
      </c>
    </row>
    <row r="119">
      <c r="D119">
        <f>IF(C119="","",MIN(C119,Settings!$B$5))</f>
        <v/>
      </c>
      <c r="E119">
        <f>IF(C119="","",MAX(0,C119-D119))</f>
        <v/>
      </c>
    </row>
    <row r="120">
      <c r="D120">
        <f>IF(C120="","",MIN(C120,Settings!$B$5))</f>
        <v/>
      </c>
      <c r="E120">
        <f>IF(C120="","",MAX(0,C120-D120))</f>
        <v/>
      </c>
    </row>
    <row r="121">
      <c r="D121">
        <f>IF(C121="","",MIN(C121,Settings!$B$5))</f>
        <v/>
      </c>
      <c r="E121">
        <f>IF(C121="","",MAX(0,C121-D121))</f>
        <v/>
      </c>
    </row>
    <row r="122">
      <c r="D122">
        <f>IF(C122="","",MIN(C122,Settings!$B$5))</f>
        <v/>
      </c>
      <c r="E122">
        <f>IF(C122="","",MAX(0,C122-D122))</f>
        <v/>
      </c>
    </row>
    <row r="123">
      <c r="D123">
        <f>IF(C123="","",MIN(C123,Settings!$B$5))</f>
        <v/>
      </c>
      <c r="E123">
        <f>IF(C123="","",MAX(0,C123-D123))</f>
        <v/>
      </c>
    </row>
    <row r="124">
      <c r="D124">
        <f>IF(C124="","",MIN(C124,Settings!$B$5))</f>
        <v/>
      </c>
      <c r="E124">
        <f>IF(C124="","",MAX(0,C124-D124))</f>
        <v/>
      </c>
    </row>
    <row r="125">
      <c r="D125">
        <f>IF(C125="","",MIN(C125,Settings!$B$5))</f>
        <v/>
      </c>
      <c r="E125">
        <f>IF(C125="","",MAX(0,C125-D125))</f>
        <v/>
      </c>
    </row>
    <row r="126">
      <c r="D126">
        <f>IF(C126="","",MIN(C126,Settings!$B$5))</f>
        <v/>
      </c>
      <c r="E126">
        <f>IF(C126="","",MAX(0,C126-D126))</f>
        <v/>
      </c>
    </row>
    <row r="127">
      <c r="D127">
        <f>IF(C127="","",MIN(C127,Settings!$B$5))</f>
        <v/>
      </c>
      <c r="E127">
        <f>IF(C127="","",MAX(0,C127-D127))</f>
        <v/>
      </c>
    </row>
    <row r="128">
      <c r="D128">
        <f>IF(C128="","",MIN(C128,Settings!$B$5))</f>
        <v/>
      </c>
      <c r="E128">
        <f>IF(C128="","",MAX(0,C128-D128))</f>
        <v/>
      </c>
    </row>
    <row r="129">
      <c r="D129">
        <f>IF(C129="","",MIN(C129,Settings!$B$5))</f>
        <v/>
      </c>
      <c r="E129">
        <f>IF(C129="","",MAX(0,C129-D129))</f>
        <v/>
      </c>
    </row>
    <row r="130">
      <c r="D130">
        <f>IF(C130="","",MIN(C130,Settings!$B$5))</f>
        <v/>
      </c>
      <c r="E130">
        <f>IF(C130="","",MAX(0,C130-D130))</f>
        <v/>
      </c>
    </row>
    <row r="131">
      <c r="D131">
        <f>IF(C131="","",MIN(C131,Settings!$B$5))</f>
        <v/>
      </c>
      <c r="E131">
        <f>IF(C131="","",MAX(0,C131-D131))</f>
        <v/>
      </c>
    </row>
    <row r="132">
      <c r="D132">
        <f>IF(C132="","",MIN(C132,Settings!$B$5))</f>
        <v/>
      </c>
      <c r="E132">
        <f>IF(C132="","",MAX(0,C132-D132))</f>
        <v/>
      </c>
    </row>
    <row r="133">
      <c r="D133">
        <f>IF(C133="","",MIN(C133,Settings!$B$5))</f>
        <v/>
      </c>
      <c r="E133">
        <f>IF(C133="","",MAX(0,C133-D133))</f>
        <v/>
      </c>
    </row>
    <row r="134">
      <c r="D134">
        <f>IF(C134="","",MIN(C134,Settings!$B$5))</f>
        <v/>
      </c>
      <c r="E134">
        <f>IF(C134="","",MAX(0,C134-D134))</f>
        <v/>
      </c>
    </row>
    <row r="135">
      <c r="D135">
        <f>IF(C135="","",MIN(C135,Settings!$B$5))</f>
        <v/>
      </c>
      <c r="E135">
        <f>IF(C135="","",MAX(0,C135-D135))</f>
        <v/>
      </c>
    </row>
    <row r="136">
      <c r="D136">
        <f>IF(C136="","",MIN(C136,Settings!$B$5))</f>
        <v/>
      </c>
      <c r="E136">
        <f>IF(C136="","",MAX(0,C136-D136))</f>
        <v/>
      </c>
    </row>
    <row r="137">
      <c r="D137">
        <f>IF(C137="","",MIN(C137,Settings!$B$5))</f>
        <v/>
      </c>
      <c r="E137">
        <f>IF(C137="","",MAX(0,C137-D137))</f>
        <v/>
      </c>
    </row>
    <row r="138">
      <c r="D138">
        <f>IF(C138="","",MIN(C138,Settings!$B$5))</f>
        <v/>
      </c>
      <c r="E138">
        <f>IF(C138="","",MAX(0,C138-D138))</f>
        <v/>
      </c>
    </row>
    <row r="139">
      <c r="D139">
        <f>IF(C139="","",MIN(C139,Settings!$B$5))</f>
        <v/>
      </c>
      <c r="E139">
        <f>IF(C139="","",MAX(0,C139-D139))</f>
        <v/>
      </c>
    </row>
    <row r="140">
      <c r="D140">
        <f>IF(C140="","",MIN(C140,Settings!$B$5))</f>
        <v/>
      </c>
      <c r="E140">
        <f>IF(C140="","",MAX(0,C140-D140))</f>
        <v/>
      </c>
    </row>
    <row r="141">
      <c r="D141">
        <f>IF(C141="","",MIN(C141,Settings!$B$5))</f>
        <v/>
      </c>
      <c r="E141">
        <f>IF(C141="","",MAX(0,C141-D141))</f>
        <v/>
      </c>
    </row>
    <row r="142">
      <c r="D142">
        <f>IF(C142="","",MIN(C142,Settings!$B$5))</f>
        <v/>
      </c>
      <c r="E142">
        <f>IF(C142="","",MAX(0,C142-D142))</f>
        <v/>
      </c>
    </row>
    <row r="143">
      <c r="D143">
        <f>IF(C143="","",MIN(C143,Settings!$B$5))</f>
        <v/>
      </c>
      <c r="E143">
        <f>IF(C143="","",MAX(0,C143-D143))</f>
        <v/>
      </c>
    </row>
    <row r="144">
      <c r="D144">
        <f>IF(C144="","",MIN(C144,Settings!$B$5))</f>
        <v/>
      </c>
      <c r="E144">
        <f>IF(C144="","",MAX(0,C144-D144))</f>
        <v/>
      </c>
    </row>
    <row r="145">
      <c r="D145">
        <f>IF(C145="","",MIN(C145,Settings!$B$5))</f>
        <v/>
      </c>
      <c r="E145">
        <f>IF(C145="","",MAX(0,C145-D145))</f>
        <v/>
      </c>
    </row>
    <row r="146">
      <c r="D146">
        <f>IF(C146="","",MIN(C146,Settings!$B$5))</f>
        <v/>
      </c>
      <c r="E146">
        <f>IF(C146="","",MAX(0,C146-D146))</f>
        <v/>
      </c>
    </row>
    <row r="147">
      <c r="D147">
        <f>IF(C147="","",MIN(C147,Settings!$B$5))</f>
        <v/>
      </c>
      <c r="E147">
        <f>IF(C147="","",MAX(0,C147-D147))</f>
        <v/>
      </c>
    </row>
    <row r="148">
      <c r="D148">
        <f>IF(C148="","",MIN(C148,Settings!$B$5))</f>
        <v/>
      </c>
      <c r="E148">
        <f>IF(C148="","",MAX(0,C148-D148))</f>
        <v/>
      </c>
    </row>
    <row r="149">
      <c r="D149">
        <f>IF(C149="","",MIN(C149,Settings!$B$5))</f>
        <v/>
      </c>
      <c r="E149">
        <f>IF(C149="","",MAX(0,C149-D149))</f>
        <v/>
      </c>
    </row>
    <row r="150">
      <c r="D150">
        <f>IF(C150="","",MIN(C150,Settings!$B$5))</f>
        <v/>
      </c>
      <c r="E150">
        <f>IF(C150="","",MAX(0,C150-D150))</f>
        <v/>
      </c>
    </row>
    <row r="151">
      <c r="D151">
        <f>IF(C151="","",MIN(C151,Settings!$B$5))</f>
        <v/>
      </c>
      <c r="E151">
        <f>IF(C151="","",MAX(0,C151-D151))</f>
        <v/>
      </c>
    </row>
    <row r="152">
      <c r="D152">
        <f>IF(C152="","",MIN(C152,Settings!$B$5))</f>
        <v/>
      </c>
      <c r="E152">
        <f>IF(C152="","",MAX(0,C152-D152))</f>
        <v/>
      </c>
    </row>
    <row r="153">
      <c r="D153">
        <f>IF(C153="","",MIN(C153,Settings!$B$5))</f>
        <v/>
      </c>
      <c r="E153">
        <f>IF(C153="","",MAX(0,C153-D153))</f>
        <v/>
      </c>
    </row>
    <row r="154">
      <c r="D154">
        <f>IF(C154="","",MIN(C154,Settings!$B$5))</f>
        <v/>
      </c>
      <c r="E154">
        <f>IF(C154="","",MAX(0,C154-D154))</f>
        <v/>
      </c>
    </row>
    <row r="155">
      <c r="D155">
        <f>IF(C155="","",MIN(C155,Settings!$B$5))</f>
        <v/>
      </c>
      <c r="E155">
        <f>IF(C155="","",MAX(0,C155-D155))</f>
        <v/>
      </c>
    </row>
    <row r="156">
      <c r="D156">
        <f>IF(C156="","",MIN(C156,Settings!$B$5))</f>
        <v/>
      </c>
      <c r="E156">
        <f>IF(C156="","",MAX(0,C156-D156))</f>
        <v/>
      </c>
    </row>
    <row r="157">
      <c r="D157">
        <f>IF(C157="","",MIN(C157,Settings!$B$5))</f>
        <v/>
      </c>
      <c r="E157">
        <f>IF(C157="","",MAX(0,C157-D157))</f>
        <v/>
      </c>
    </row>
    <row r="158">
      <c r="D158">
        <f>IF(C158="","",MIN(C158,Settings!$B$5))</f>
        <v/>
      </c>
      <c r="E158">
        <f>IF(C158="","",MAX(0,C158-D158))</f>
        <v/>
      </c>
    </row>
    <row r="159">
      <c r="D159">
        <f>IF(C159="","",MIN(C159,Settings!$B$5))</f>
        <v/>
      </c>
      <c r="E159">
        <f>IF(C159="","",MAX(0,C159-D159))</f>
        <v/>
      </c>
    </row>
    <row r="160">
      <c r="D160">
        <f>IF(C160="","",MIN(C160,Settings!$B$5))</f>
        <v/>
      </c>
      <c r="E160">
        <f>IF(C160="","",MAX(0,C160-D160))</f>
        <v/>
      </c>
    </row>
    <row r="161">
      <c r="D161">
        <f>IF(C161="","",MIN(C161,Settings!$B$5))</f>
        <v/>
      </c>
      <c r="E161">
        <f>IF(C161="","",MAX(0,C161-D161))</f>
        <v/>
      </c>
    </row>
    <row r="162">
      <c r="D162">
        <f>IF(C162="","",MIN(C162,Settings!$B$5))</f>
        <v/>
      </c>
      <c r="E162">
        <f>IF(C162="","",MAX(0,C162-D162))</f>
        <v/>
      </c>
    </row>
    <row r="163">
      <c r="D163">
        <f>IF(C163="","",MIN(C163,Settings!$B$5))</f>
        <v/>
      </c>
      <c r="E163">
        <f>IF(C163="","",MAX(0,C163-D163))</f>
        <v/>
      </c>
    </row>
    <row r="164">
      <c r="D164">
        <f>IF(C164="","",MIN(C164,Settings!$B$5))</f>
        <v/>
      </c>
      <c r="E164">
        <f>IF(C164="","",MAX(0,C164-D164))</f>
        <v/>
      </c>
    </row>
    <row r="165">
      <c r="D165">
        <f>IF(C165="","",MIN(C165,Settings!$B$5))</f>
        <v/>
      </c>
      <c r="E165">
        <f>IF(C165="","",MAX(0,C165-D165))</f>
        <v/>
      </c>
    </row>
    <row r="166">
      <c r="D166">
        <f>IF(C166="","",MIN(C166,Settings!$B$5))</f>
        <v/>
      </c>
      <c r="E166">
        <f>IF(C166="","",MAX(0,C166-D166))</f>
        <v/>
      </c>
    </row>
    <row r="167">
      <c r="D167">
        <f>IF(C167="","",MIN(C167,Settings!$B$5))</f>
        <v/>
      </c>
      <c r="E167">
        <f>IF(C167="","",MAX(0,C167-D167))</f>
        <v/>
      </c>
    </row>
    <row r="168">
      <c r="D168">
        <f>IF(C168="","",MIN(C168,Settings!$B$5))</f>
        <v/>
      </c>
      <c r="E168">
        <f>IF(C168="","",MAX(0,C168-D168))</f>
        <v/>
      </c>
    </row>
    <row r="169">
      <c r="D169">
        <f>IF(C169="","",MIN(C169,Settings!$B$5))</f>
        <v/>
      </c>
      <c r="E169">
        <f>IF(C169="","",MAX(0,C169-D169))</f>
        <v/>
      </c>
    </row>
    <row r="170">
      <c r="D170">
        <f>IF(C170="","",MIN(C170,Settings!$B$5))</f>
        <v/>
      </c>
      <c r="E170">
        <f>IF(C170="","",MAX(0,C170-D170))</f>
        <v/>
      </c>
    </row>
    <row r="171">
      <c r="D171">
        <f>IF(C171="","",MIN(C171,Settings!$B$5))</f>
        <v/>
      </c>
      <c r="E171">
        <f>IF(C171="","",MAX(0,C171-D171))</f>
        <v/>
      </c>
    </row>
    <row r="172">
      <c r="D172">
        <f>IF(C172="","",MIN(C172,Settings!$B$5))</f>
        <v/>
      </c>
      <c r="E172">
        <f>IF(C172="","",MAX(0,C172-D172))</f>
        <v/>
      </c>
    </row>
    <row r="173">
      <c r="D173">
        <f>IF(C173="","",MIN(C173,Settings!$B$5))</f>
        <v/>
      </c>
      <c r="E173">
        <f>IF(C173="","",MAX(0,C173-D173))</f>
        <v/>
      </c>
    </row>
    <row r="174">
      <c r="D174">
        <f>IF(C174="","",MIN(C174,Settings!$B$5))</f>
        <v/>
      </c>
      <c r="E174">
        <f>IF(C174="","",MAX(0,C174-D174))</f>
        <v/>
      </c>
    </row>
    <row r="175">
      <c r="D175">
        <f>IF(C175="","",MIN(C175,Settings!$B$5))</f>
        <v/>
      </c>
      <c r="E175">
        <f>IF(C175="","",MAX(0,C175-D175))</f>
        <v/>
      </c>
    </row>
    <row r="176">
      <c r="D176">
        <f>IF(C176="","",MIN(C176,Settings!$B$5))</f>
        <v/>
      </c>
      <c r="E176">
        <f>IF(C176="","",MAX(0,C176-D176))</f>
        <v/>
      </c>
    </row>
    <row r="177">
      <c r="D177">
        <f>IF(C177="","",MIN(C177,Settings!$B$5))</f>
        <v/>
      </c>
      <c r="E177">
        <f>IF(C177="","",MAX(0,C177-D177))</f>
        <v/>
      </c>
    </row>
    <row r="178">
      <c r="D178">
        <f>IF(C178="","",MIN(C178,Settings!$B$5))</f>
        <v/>
      </c>
      <c r="E178">
        <f>IF(C178="","",MAX(0,C178-D178))</f>
        <v/>
      </c>
    </row>
    <row r="179">
      <c r="D179">
        <f>IF(C179="","",MIN(C179,Settings!$B$5))</f>
        <v/>
      </c>
      <c r="E179">
        <f>IF(C179="","",MAX(0,C179-D179))</f>
        <v/>
      </c>
    </row>
    <row r="180">
      <c r="D180">
        <f>IF(C180="","",MIN(C180,Settings!$B$5))</f>
        <v/>
      </c>
      <c r="E180">
        <f>IF(C180="","",MAX(0,C180-D180))</f>
        <v/>
      </c>
    </row>
    <row r="181">
      <c r="D181">
        <f>IF(C181="","",MIN(C181,Settings!$B$5))</f>
        <v/>
      </c>
      <c r="E181">
        <f>IF(C181="","",MAX(0,C181-D181))</f>
        <v/>
      </c>
    </row>
    <row r="182">
      <c r="D182">
        <f>IF(C182="","",MIN(C182,Settings!$B$5))</f>
        <v/>
      </c>
      <c r="E182">
        <f>IF(C182="","",MAX(0,C182-D182))</f>
        <v/>
      </c>
    </row>
    <row r="183">
      <c r="D183">
        <f>IF(C183="","",MIN(C183,Settings!$B$5))</f>
        <v/>
      </c>
      <c r="E183">
        <f>IF(C183="","",MAX(0,C183-D183))</f>
        <v/>
      </c>
    </row>
    <row r="184">
      <c r="D184">
        <f>IF(C184="","",MIN(C184,Settings!$B$5))</f>
        <v/>
      </c>
      <c r="E184">
        <f>IF(C184="","",MAX(0,C184-D184))</f>
        <v/>
      </c>
    </row>
    <row r="185">
      <c r="D185">
        <f>IF(C185="","",MIN(C185,Settings!$B$5))</f>
        <v/>
      </c>
      <c r="E185">
        <f>IF(C185="","",MAX(0,C185-D185))</f>
        <v/>
      </c>
    </row>
    <row r="186">
      <c r="D186">
        <f>IF(C186="","",MIN(C186,Settings!$B$5))</f>
        <v/>
      </c>
      <c r="E186">
        <f>IF(C186="","",MAX(0,C186-D186))</f>
        <v/>
      </c>
    </row>
    <row r="187">
      <c r="D187">
        <f>IF(C187="","",MIN(C187,Settings!$B$5))</f>
        <v/>
      </c>
      <c r="E187">
        <f>IF(C187="","",MAX(0,C187-D187))</f>
        <v/>
      </c>
    </row>
    <row r="188">
      <c r="D188">
        <f>IF(C188="","",MIN(C188,Settings!$B$5))</f>
        <v/>
      </c>
      <c r="E188">
        <f>IF(C188="","",MAX(0,C188-D188))</f>
        <v/>
      </c>
    </row>
    <row r="189">
      <c r="D189">
        <f>IF(C189="","",MIN(C189,Settings!$B$5))</f>
        <v/>
      </c>
      <c r="E189">
        <f>IF(C189="","",MAX(0,C189-D189))</f>
        <v/>
      </c>
    </row>
    <row r="190">
      <c r="D190">
        <f>IF(C190="","",MIN(C190,Settings!$B$5))</f>
        <v/>
      </c>
      <c r="E190">
        <f>IF(C190="","",MAX(0,C190-D190))</f>
        <v/>
      </c>
    </row>
    <row r="191">
      <c r="D191">
        <f>IF(C191="","",MIN(C191,Settings!$B$5))</f>
        <v/>
      </c>
      <c r="E191">
        <f>IF(C191="","",MAX(0,C191-D191))</f>
        <v/>
      </c>
    </row>
    <row r="192">
      <c r="D192">
        <f>IF(C192="","",MIN(C192,Settings!$B$5))</f>
        <v/>
      </c>
      <c r="E192">
        <f>IF(C192="","",MAX(0,C192-D192))</f>
        <v/>
      </c>
    </row>
    <row r="193">
      <c r="D193">
        <f>IF(C193="","",MIN(C193,Settings!$B$5))</f>
        <v/>
      </c>
      <c r="E193">
        <f>IF(C193="","",MAX(0,C193-D193))</f>
        <v/>
      </c>
    </row>
    <row r="194">
      <c r="D194">
        <f>IF(C194="","",MIN(C194,Settings!$B$5))</f>
        <v/>
      </c>
      <c r="E194">
        <f>IF(C194="","",MAX(0,C194-D194))</f>
        <v/>
      </c>
    </row>
    <row r="195">
      <c r="D195">
        <f>IF(C195="","",MIN(C195,Settings!$B$5))</f>
        <v/>
      </c>
      <c r="E195">
        <f>IF(C195="","",MAX(0,C195-D195))</f>
        <v/>
      </c>
    </row>
    <row r="196">
      <c r="D196">
        <f>IF(C196="","",MIN(C196,Settings!$B$5))</f>
        <v/>
      </c>
      <c r="E196">
        <f>IF(C196="","",MAX(0,C196-D196))</f>
        <v/>
      </c>
    </row>
    <row r="197">
      <c r="D197">
        <f>IF(C197="","",MIN(C197,Settings!$B$5))</f>
        <v/>
      </c>
      <c r="E197">
        <f>IF(C197="","",MAX(0,C197-D197))</f>
        <v/>
      </c>
    </row>
    <row r="198">
      <c r="D198">
        <f>IF(C198="","",MIN(C198,Settings!$B$5))</f>
        <v/>
      </c>
      <c r="E198">
        <f>IF(C198="","",MAX(0,C198-D198))</f>
        <v/>
      </c>
    </row>
    <row r="199">
      <c r="D199">
        <f>IF(C199="","",MIN(C199,Settings!$B$5))</f>
        <v/>
      </c>
      <c r="E199">
        <f>IF(C199="","",MAX(0,C199-D199))</f>
        <v/>
      </c>
    </row>
    <row r="200">
      <c r="D200">
        <f>IF(C200="","",MIN(C200,Settings!$B$5))</f>
        <v/>
      </c>
      <c r="E200">
        <f>IF(C200="","",MAX(0,C200-D200))</f>
        <v/>
      </c>
    </row>
    <row r="201">
      <c r="D201">
        <f>IF(C201="","",MIN(C201,Settings!$B$5))</f>
        <v/>
      </c>
      <c r="E201">
        <f>IF(C201="","",MAX(0,C201-D201))</f>
        <v/>
      </c>
    </row>
    <row r="202">
      <c r="D202">
        <f>IF(C202="","",MIN(C202,Settings!$B$5))</f>
        <v/>
      </c>
      <c r="E202">
        <f>IF(C202="","",MAX(0,C202-D202))</f>
        <v/>
      </c>
    </row>
    <row r="203">
      <c r="D203">
        <f>IF(C203="","",MIN(C203,Settings!$B$5))</f>
        <v/>
      </c>
      <c r="E203">
        <f>IF(C203="","",MAX(0,C203-D203))</f>
        <v/>
      </c>
    </row>
    <row r="204">
      <c r="D204">
        <f>IF(C204="","",MIN(C204,Settings!$B$5))</f>
        <v/>
      </c>
      <c r="E204">
        <f>IF(C204="","",MAX(0,C204-D204))</f>
        <v/>
      </c>
    </row>
    <row r="205">
      <c r="D205">
        <f>IF(C205="","",MIN(C205,Settings!$B$5))</f>
        <v/>
      </c>
      <c r="E205">
        <f>IF(C205="","",MAX(0,C205-D205))</f>
        <v/>
      </c>
    </row>
    <row r="206">
      <c r="D206">
        <f>IF(C206="","",MIN(C206,Settings!$B$5))</f>
        <v/>
      </c>
      <c r="E206">
        <f>IF(C206="","",MAX(0,C206-D206))</f>
        <v/>
      </c>
    </row>
    <row r="207">
      <c r="D207">
        <f>IF(C207="","",MIN(C207,Settings!$B$5))</f>
        <v/>
      </c>
      <c r="E207">
        <f>IF(C207="","",MAX(0,C207-D207))</f>
        <v/>
      </c>
    </row>
    <row r="208">
      <c r="D208">
        <f>IF(C208="","",MIN(C208,Settings!$B$5))</f>
        <v/>
      </c>
      <c r="E208">
        <f>IF(C208="","",MAX(0,C208-D208))</f>
        <v/>
      </c>
    </row>
    <row r="209">
      <c r="D209">
        <f>IF(C209="","",MIN(C209,Settings!$B$5))</f>
        <v/>
      </c>
      <c r="E209">
        <f>IF(C209="","",MAX(0,C209-D209))</f>
        <v/>
      </c>
    </row>
    <row r="210">
      <c r="D210">
        <f>IF(C210="","",MIN(C210,Settings!$B$5))</f>
        <v/>
      </c>
      <c r="E210">
        <f>IF(C210="","",MAX(0,C210-D210))</f>
        <v/>
      </c>
    </row>
    <row r="211">
      <c r="D211">
        <f>IF(C211="","",MIN(C211,Settings!$B$5))</f>
        <v/>
      </c>
      <c r="E211">
        <f>IF(C211="","",MAX(0,C211-D211))</f>
        <v/>
      </c>
    </row>
    <row r="212">
      <c r="D212">
        <f>IF(C212="","",MIN(C212,Settings!$B$5))</f>
        <v/>
      </c>
      <c r="E212">
        <f>IF(C212="","",MAX(0,C212-D212))</f>
        <v/>
      </c>
    </row>
    <row r="213">
      <c r="D213">
        <f>IF(C213="","",MIN(C213,Settings!$B$5))</f>
        <v/>
      </c>
      <c r="E213">
        <f>IF(C213="","",MAX(0,C213-D213))</f>
        <v/>
      </c>
    </row>
    <row r="214">
      <c r="D214">
        <f>IF(C214="","",MIN(C214,Settings!$B$5))</f>
        <v/>
      </c>
      <c r="E214">
        <f>IF(C214="","",MAX(0,C214-D214))</f>
        <v/>
      </c>
    </row>
    <row r="215">
      <c r="D215">
        <f>IF(C215="","",MIN(C215,Settings!$B$5))</f>
        <v/>
      </c>
      <c r="E215">
        <f>IF(C215="","",MAX(0,C215-D215))</f>
        <v/>
      </c>
    </row>
    <row r="216">
      <c r="D216">
        <f>IF(C216="","",MIN(C216,Settings!$B$5))</f>
        <v/>
      </c>
      <c r="E216">
        <f>IF(C216="","",MAX(0,C216-D216))</f>
        <v/>
      </c>
    </row>
    <row r="217">
      <c r="D217">
        <f>IF(C217="","",MIN(C217,Settings!$B$5))</f>
        <v/>
      </c>
      <c r="E217">
        <f>IF(C217="","",MAX(0,C217-D217))</f>
        <v/>
      </c>
    </row>
    <row r="218">
      <c r="D218">
        <f>IF(C218="","",MIN(C218,Settings!$B$5))</f>
        <v/>
      </c>
      <c r="E218">
        <f>IF(C218="","",MAX(0,C218-D218))</f>
        <v/>
      </c>
    </row>
    <row r="219">
      <c r="D219">
        <f>IF(C219="","",MIN(C219,Settings!$B$5))</f>
        <v/>
      </c>
      <c r="E219">
        <f>IF(C219="","",MAX(0,C219-D219))</f>
        <v/>
      </c>
    </row>
    <row r="220">
      <c r="D220">
        <f>IF(C220="","",MIN(C220,Settings!$B$5))</f>
        <v/>
      </c>
      <c r="E220">
        <f>IF(C220="","",MAX(0,C220-D220))</f>
        <v/>
      </c>
    </row>
    <row r="221">
      <c r="D221">
        <f>IF(C221="","",MIN(C221,Settings!$B$5))</f>
        <v/>
      </c>
      <c r="E221">
        <f>IF(C221="","",MAX(0,C221-D221))</f>
        <v/>
      </c>
    </row>
    <row r="222">
      <c r="D222">
        <f>IF(C222="","",MIN(C222,Settings!$B$5))</f>
        <v/>
      </c>
      <c r="E222">
        <f>IF(C222="","",MAX(0,C222-D222))</f>
        <v/>
      </c>
    </row>
    <row r="223">
      <c r="D223">
        <f>IF(C223="","",MIN(C223,Settings!$B$5))</f>
        <v/>
      </c>
      <c r="E223">
        <f>IF(C223="","",MAX(0,C223-D223))</f>
        <v/>
      </c>
    </row>
    <row r="224">
      <c r="D224">
        <f>IF(C224="","",MIN(C224,Settings!$B$5))</f>
        <v/>
      </c>
      <c r="E224">
        <f>IF(C224="","",MAX(0,C224-D224))</f>
        <v/>
      </c>
    </row>
    <row r="225">
      <c r="D225">
        <f>IF(C225="","",MIN(C225,Settings!$B$5))</f>
        <v/>
      </c>
      <c r="E225">
        <f>IF(C225="","",MAX(0,C225-D225))</f>
        <v/>
      </c>
    </row>
    <row r="226">
      <c r="D226">
        <f>IF(C226="","",MIN(C226,Settings!$B$5))</f>
        <v/>
      </c>
      <c r="E226">
        <f>IF(C226="","",MAX(0,C226-D226))</f>
        <v/>
      </c>
    </row>
    <row r="227">
      <c r="D227">
        <f>IF(C227="","",MIN(C227,Settings!$B$5))</f>
        <v/>
      </c>
      <c r="E227">
        <f>IF(C227="","",MAX(0,C227-D227))</f>
        <v/>
      </c>
    </row>
    <row r="228">
      <c r="D228">
        <f>IF(C228="","",MIN(C228,Settings!$B$5))</f>
        <v/>
      </c>
      <c r="E228">
        <f>IF(C228="","",MAX(0,C228-D228))</f>
        <v/>
      </c>
    </row>
    <row r="229">
      <c r="D229">
        <f>IF(C229="","",MIN(C229,Settings!$B$5))</f>
        <v/>
      </c>
      <c r="E229">
        <f>IF(C229="","",MAX(0,C229-D229))</f>
        <v/>
      </c>
    </row>
    <row r="230">
      <c r="D230">
        <f>IF(C230="","",MIN(C230,Settings!$B$5))</f>
        <v/>
      </c>
      <c r="E230">
        <f>IF(C230="","",MAX(0,C230-D230))</f>
        <v/>
      </c>
    </row>
    <row r="231">
      <c r="D231">
        <f>IF(C231="","",MIN(C231,Settings!$B$5))</f>
        <v/>
      </c>
      <c r="E231">
        <f>IF(C231="","",MAX(0,C231-D231))</f>
        <v/>
      </c>
    </row>
    <row r="232">
      <c r="D232">
        <f>IF(C232="","",MIN(C232,Settings!$B$5))</f>
        <v/>
      </c>
      <c r="E232">
        <f>IF(C232="","",MAX(0,C232-D232))</f>
        <v/>
      </c>
    </row>
    <row r="233">
      <c r="D233">
        <f>IF(C233="","",MIN(C233,Settings!$B$5))</f>
        <v/>
      </c>
      <c r="E233">
        <f>IF(C233="","",MAX(0,C233-D233))</f>
        <v/>
      </c>
    </row>
    <row r="234">
      <c r="D234">
        <f>IF(C234="","",MIN(C234,Settings!$B$5))</f>
        <v/>
      </c>
      <c r="E234">
        <f>IF(C234="","",MAX(0,C234-D234))</f>
        <v/>
      </c>
    </row>
    <row r="235">
      <c r="D235">
        <f>IF(C235="","",MIN(C235,Settings!$B$5))</f>
        <v/>
      </c>
      <c r="E235">
        <f>IF(C235="","",MAX(0,C235-D235))</f>
        <v/>
      </c>
    </row>
    <row r="236">
      <c r="D236">
        <f>IF(C236="","",MIN(C236,Settings!$B$5))</f>
        <v/>
      </c>
      <c r="E236">
        <f>IF(C236="","",MAX(0,C236-D236))</f>
        <v/>
      </c>
    </row>
    <row r="237">
      <c r="D237">
        <f>IF(C237="","",MIN(C237,Settings!$B$5))</f>
        <v/>
      </c>
      <c r="E237">
        <f>IF(C237="","",MAX(0,C237-D237))</f>
        <v/>
      </c>
    </row>
    <row r="238">
      <c r="D238">
        <f>IF(C238="","",MIN(C238,Settings!$B$5))</f>
        <v/>
      </c>
      <c r="E238">
        <f>IF(C238="","",MAX(0,C238-D238))</f>
        <v/>
      </c>
    </row>
    <row r="239">
      <c r="D239">
        <f>IF(C239="","",MIN(C239,Settings!$B$5))</f>
        <v/>
      </c>
      <c r="E239">
        <f>IF(C239="","",MAX(0,C239-D239))</f>
        <v/>
      </c>
    </row>
    <row r="240">
      <c r="D240">
        <f>IF(C240="","",MIN(C240,Settings!$B$5))</f>
        <v/>
      </c>
      <c r="E240">
        <f>IF(C240="","",MAX(0,C240-D240))</f>
        <v/>
      </c>
    </row>
    <row r="241">
      <c r="D241">
        <f>IF(C241="","",MIN(C241,Settings!$B$5))</f>
        <v/>
      </c>
      <c r="E241">
        <f>IF(C241="","",MAX(0,C241-D241))</f>
        <v/>
      </c>
    </row>
    <row r="242">
      <c r="D242">
        <f>IF(C242="","",MIN(C242,Settings!$B$5))</f>
        <v/>
      </c>
      <c r="E242">
        <f>IF(C242="","",MAX(0,C242-D242))</f>
        <v/>
      </c>
    </row>
    <row r="243">
      <c r="D243">
        <f>IF(C243="","",MIN(C243,Settings!$B$5))</f>
        <v/>
      </c>
      <c r="E243">
        <f>IF(C243="","",MAX(0,C243-D243))</f>
        <v/>
      </c>
    </row>
    <row r="244">
      <c r="D244">
        <f>IF(C244="","",MIN(C244,Settings!$B$5))</f>
        <v/>
      </c>
      <c r="E244">
        <f>IF(C244="","",MAX(0,C244-D244))</f>
        <v/>
      </c>
    </row>
    <row r="245">
      <c r="D245">
        <f>IF(C245="","",MIN(C245,Settings!$B$5))</f>
        <v/>
      </c>
      <c r="E245">
        <f>IF(C245="","",MAX(0,C245-D245))</f>
        <v/>
      </c>
    </row>
    <row r="246">
      <c r="D246">
        <f>IF(C246="","",MIN(C246,Settings!$B$5))</f>
        <v/>
      </c>
      <c r="E246">
        <f>IF(C246="","",MAX(0,C246-D246))</f>
        <v/>
      </c>
    </row>
    <row r="247">
      <c r="D247">
        <f>IF(C247="","",MIN(C247,Settings!$B$5))</f>
        <v/>
      </c>
      <c r="E247">
        <f>IF(C247="","",MAX(0,C247-D247))</f>
        <v/>
      </c>
    </row>
    <row r="248">
      <c r="D248">
        <f>IF(C248="","",MIN(C248,Settings!$B$5))</f>
        <v/>
      </c>
      <c r="E248">
        <f>IF(C248="","",MAX(0,C248-D248))</f>
        <v/>
      </c>
    </row>
    <row r="249">
      <c r="D249">
        <f>IF(C249="","",MIN(C249,Settings!$B$5))</f>
        <v/>
      </c>
      <c r="E249">
        <f>IF(C249="","",MAX(0,C249-D249))</f>
        <v/>
      </c>
    </row>
    <row r="250">
      <c r="D250">
        <f>IF(C250="","",MIN(C250,Settings!$B$5))</f>
        <v/>
      </c>
      <c r="E250">
        <f>IF(C250="","",MAX(0,C250-D250))</f>
        <v/>
      </c>
    </row>
    <row r="251">
      <c r="D251">
        <f>IF(C251="","",MIN(C251,Settings!$B$5))</f>
        <v/>
      </c>
      <c r="E251">
        <f>IF(C251="","",MAX(0,C251-D251))</f>
        <v/>
      </c>
    </row>
    <row r="252">
      <c r="D252">
        <f>IF(C252="","",MIN(C252,Settings!$B$5))</f>
        <v/>
      </c>
      <c r="E252">
        <f>IF(C252="","",MAX(0,C252-D252))</f>
        <v/>
      </c>
    </row>
    <row r="253">
      <c r="D253">
        <f>IF(C253="","",MIN(C253,Settings!$B$5))</f>
        <v/>
      </c>
      <c r="E253">
        <f>IF(C253="","",MAX(0,C253-D253))</f>
        <v/>
      </c>
    </row>
    <row r="254">
      <c r="D254">
        <f>IF(C254="","",MIN(C254,Settings!$B$5))</f>
        <v/>
      </c>
      <c r="E254">
        <f>IF(C254="","",MAX(0,C254-D254))</f>
        <v/>
      </c>
    </row>
    <row r="255">
      <c r="D255">
        <f>IF(C255="","",MIN(C255,Settings!$B$5))</f>
        <v/>
      </c>
      <c r="E255">
        <f>IF(C255="","",MAX(0,C255-D255))</f>
        <v/>
      </c>
    </row>
    <row r="256">
      <c r="D256">
        <f>IF(C256="","",MIN(C256,Settings!$B$5))</f>
        <v/>
      </c>
      <c r="E256">
        <f>IF(C256="","",MAX(0,C256-D256))</f>
        <v/>
      </c>
    </row>
    <row r="257">
      <c r="D257">
        <f>IF(C257="","",MIN(C257,Settings!$B$5))</f>
        <v/>
      </c>
      <c r="E257">
        <f>IF(C257="","",MAX(0,C257-D257))</f>
        <v/>
      </c>
    </row>
    <row r="258">
      <c r="D258">
        <f>IF(C258="","",MIN(C258,Settings!$B$5))</f>
        <v/>
      </c>
      <c r="E258">
        <f>IF(C258="","",MAX(0,C258-D258))</f>
        <v/>
      </c>
    </row>
    <row r="259">
      <c r="D259">
        <f>IF(C259="","",MIN(C259,Settings!$B$5))</f>
        <v/>
      </c>
      <c r="E259">
        <f>IF(C259="","",MAX(0,C259-D259))</f>
        <v/>
      </c>
    </row>
    <row r="260">
      <c r="D260">
        <f>IF(C260="","",MIN(C260,Settings!$B$5))</f>
        <v/>
      </c>
      <c r="E260">
        <f>IF(C260="","",MAX(0,C260-D260))</f>
        <v/>
      </c>
    </row>
    <row r="261">
      <c r="D261">
        <f>IF(C261="","",MIN(C261,Settings!$B$5))</f>
        <v/>
      </c>
      <c r="E261">
        <f>IF(C261="","",MAX(0,C261-D261))</f>
        <v/>
      </c>
    </row>
    <row r="262">
      <c r="D262">
        <f>IF(C262="","",MIN(C262,Settings!$B$5))</f>
        <v/>
      </c>
      <c r="E262">
        <f>IF(C262="","",MAX(0,C262-D262))</f>
        <v/>
      </c>
    </row>
    <row r="263">
      <c r="D263">
        <f>IF(C263="","",MIN(C263,Settings!$B$5))</f>
        <v/>
      </c>
      <c r="E263">
        <f>IF(C263="","",MAX(0,C263-D263))</f>
        <v/>
      </c>
    </row>
    <row r="264">
      <c r="D264">
        <f>IF(C264="","",MIN(C264,Settings!$B$5))</f>
        <v/>
      </c>
      <c r="E264">
        <f>IF(C264="","",MAX(0,C264-D264))</f>
        <v/>
      </c>
    </row>
    <row r="265">
      <c r="D265">
        <f>IF(C265="","",MIN(C265,Settings!$B$5))</f>
        <v/>
      </c>
      <c r="E265">
        <f>IF(C265="","",MAX(0,C265-D265))</f>
        <v/>
      </c>
    </row>
    <row r="266">
      <c r="D266">
        <f>IF(C266="","",MIN(C266,Settings!$B$5))</f>
        <v/>
      </c>
      <c r="E266">
        <f>IF(C266="","",MAX(0,C266-D266))</f>
        <v/>
      </c>
    </row>
    <row r="267">
      <c r="D267">
        <f>IF(C267="","",MIN(C267,Settings!$B$5))</f>
        <v/>
      </c>
      <c r="E267">
        <f>IF(C267="","",MAX(0,C267-D267))</f>
        <v/>
      </c>
    </row>
    <row r="268">
      <c r="D268">
        <f>IF(C268="","",MIN(C268,Settings!$B$5))</f>
        <v/>
      </c>
      <c r="E268">
        <f>IF(C268="","",MAX(0,C268-D268))</f>
        <v/>
      </c>
    </row>
    <row r="269">
      <c r="D269">
        <f>IF(C269="","",MIN(C269,Settings!$B$5))</f>
        <v/>
      </c>
      <c r="E269">
        <f>IF(C269="","",MAX(0,C269-D269))</f>
        <v/>
      </c>
    </row>
    <row r="270">
      <c r="D270">
        <f>IF(C270="","",MIN(C270,Settings!$B$5))</f>
        <v/>
      </c>
      <c r="E270">
        <f>IF(C270="","",MAX(0,C270-D270))</f>
        <v/>
      </c>
    </row>
    <row r="271">
      <c r="D271">
        <f>IF(C271="","",MIN(C271,Settings!$B$5))</f>
        <v/>
      </c>
      <c r="E271">
        <f>IF(C271="","",MAX(0,C271-D271))</f>
        <v/>
      </c>
    </row>
    <row r="272">
      <c r="D272">
        <f>IF(C272="","",MIN(C272,Settings!$B$5))</f>
        <v/>
      </c>
      <c r="E272">
        <f>IF(C272="","",MAX(0,C272-D272))</f>
        <v/>
      </c>
    </row>
    <row r="273">
      <c r="D273">
        <f>IF(C273="","",MIN(C273,Settings!$B$5))</f>
        <v/>
      </c>
      <c r="E273">
        <f>IF(C273="","",MAX(0,C273-D273))</f>
        <v/>
      </c>
    </row>
    <row r="274">
      <c r="D274">
        <f>IF(C274="","",MIN(C274,Settings!$B$5))</f>
        <v/>
      </c>
      <c r="E274">
        <f>IF(C274="","",MAX(0,C274-D274))</f>
        <v/>
      </c>
    </row>
    <row r="275">
      <c r="D275">
        <f>IF(C275="","",MIN(C275,Settings!$B$5))</f>
        <v/>
      </c>
      <c r="E275">
        <f>IF(C275="","",MAX(0,C275-D275))</f>
        <v/>
      </c>
    </row>
    <row r="276">
      <c r="D276">
        <f>IF(C276="","",MIN(C276,Settings!$B$5))</f>
        <v/>
      </c>
      <c r="E276">
        <f>IF(C276="","",MAX(0,C276-D276))</f>
        <v/>
      </c>
    </row>
    <row r="277">
      <c r="D277">
        <f>IF(C277="","",MIN(C277,Settings!$B$5))</f>
        <v/>
      </c>
      <c r="E277">
        <f>IF(C277="","",MAX(0,C277-D277))</f>
        <v/>
      </c>
    </row>
    <row r="278">
      <c r="D278">
        <f>IF(C278="","",MIN(C278,Settings!$B$5))</f>
        <v/>
      </c>
      <c r="E278">
        <f>IF(C278="","",MAX(0,C278-D278))</f>
        <v/>
      </c>
    </row>
    <row r="279">
      <c r="D279">
        <f>IF(C279="","",MIN(C279,Settings!$B$5))</f>
        <v/>
      </c>
      <c r="E279">
        <f>IF(C279="","",MAX(0,C279-D279))</f>
        <v/>
      </c>
    </row>
    <row r="280">
      <c r="D280">
        <f>IF(C280="","",MIN(C280,Settings!$B$5))</f>
        <v/>
      </c>
      <c r="E280">
        <f>IF(C280="","",MAX(0,C280-D280))</f>
        <v/>
      </c>
    </row>
    <row r="281">
      <c r="D281">
        <f>IF(C281="","",MIN(C281,Settings!$B$5))</f>
        <v/>
      </c>
      <c r="E281">
        <f>IF(C281="","",MAX(0,C281-D281))</f>
        <v/>
      </c>
    </row>
    <row r="282">
      <c r="D282">
        <f>IF(C282="","",MIN(C282,Settings!$B$5))</f>
        <v/>
      </c>
      <c r="E282">
        <f>IF(C282="","",MAX(0,C282-D282))</f>
        <v/>
      </c>
    </row>
    <row r="283">
      <c r="D283">
        <f>IF(C283="","",MIN(C283,Settings!$B$5))</f>
        <v/>
      </c>
      <c r="E283">
        <f>IF(C283="","",MAX(0,C283-D283))</f>
        <v/>
      </c>
    </row>
    <row r="284">
      <c r="D284">
        <f>IF(C284="","",MIN(C284,Settings!$B$5))</f>
        <v/>
      </c>
      <c r="E284">
        <f>IF(C284="","",MAX(0,C284-D284))</f>
        <v/>
      </c>
    </row>
    <row r="285">
      <c r="D285">
        <f>IF(C285="","",MIN(C285,Settings!$B$5))</f>
        <v/>
      </c>
      <c r="E285">
        <f>IF(C285="","",MAX(0,C285-D285))</f>
        <v/>
      </c>
    </row>
    <row r="286">
      <c r="D286">
        <f>IF(C286="","",MIN(C286,Settings!$B$5))</f>
        <v/>
      </c>
      <c r="E286">
        <f>IF(C286="","",MAX(0,C286-D286))</f>
        <v/>
      </c>
    </row>
    <row r="287">
      <c r="D287">
        <f>IF(C287="","",MIN(C287,Settings!$B$5))</f>
        <v/>
      </c>
      <c r="E287">
        <f>IF(C287="","",MAX(0,C287-D287))</f>
        <v/>
      </c>
    </row>
    <row r="288">
      <c r="D288">
        <f>IF(C288="","",MIN(C288,Settings!$B$5))</f>
        <v/>
      </c>
      <c r="E288">
        <f>IF(C288="","",MAX(0,C288-D288))</f>
        <v/>
      </c>
    </row>
    <row r="289">
      <c r="D289">
        <f>IF(C289="","",MIN(C289,Settings!$B$5))</f>
        <v/>
      </c>
      <c r="E289">
        <f>IF(C289="","",MAX(0,C289-D289))</f>
        <v/>
      </c>
    </row>
    <row r="290">
      <c r="D290">
        <f>IF(C290="","",MIN(C290,Settings!$B$5))</f>
        <v/>
      </c>
      <c r="E290">
        <f>IF(C290="","",MAX(0,C290-D290))</f>
        <v/>
      </c>
    </row>
    <row r="291">
      <c r="D291">
        <f>IF(C291="","",MIN(C291,Settings!$B$5))</f>
        <v/>
      </c>
      <c r="E291">
        <f>IF(C291="","",MAX(0,C291-D291))</f>
        <v/>
      </c>
    </row>
    <row r="292">
      <c r="D292">
        <f>IF(C292="","",MIN(C292,Settings!$B$5))</f>
        <v/>
      </c>
      <c r="E292">
        <f>IF(C292="","",MAX(0,C292-D292))</f>
        <v/>
      </c>
    </row>
    <row r="293">
      <c r="D293">
        <f>IF(C293="","",MIN(C293,Settings!$B$5))</f>
        <v/>
      </c>
      <c r="E293">
        <f>IF(C293="","",MAX(0,C293-D293))</f>
        <v/>
      </c>
    </row>
    <row r="294">
      <c r="D294">
        <f>IF(C294="","",MIN(C294,Settings!$B$5))</f>
        <v/>
      </c>
      <c r="E294">
        <f>IF(C294="","",MAX(0,C294-D294))</f>
        <v/>
      </c>
    </row>
    <row r="295">
      <c r="D295">
        <f>IF(C295="","",MIN(C295,Settings!$B$5))</f>
        <v/>
      </c>
      <c r="E295">
        <f>IF(C295="","",MAX(0,C295-D295))</f>
        <v/>
      </c>
    </row>
    <row r="296">
      <c r="D296">
        <f>IF(C296="","",MIN(C296,Settings!$B$5))</f>
        <v/>
      </c>
      <c r="E296">
        <f>IF(C296="","",MAX(0,C296-D296))</f>
        <v/>
      </c>
    </row>
    <row r="297">
      <c r="D297">
        <f>IF(C297="","",MIN(C297,Settings!$B$5))</f>
        <v/>
      </c>
      <c r="E297">
        <f>IF(C297="","",MAX(0,C297-D297))</f>
        <v/>
      </c>
    </row>
    <row r="298">
      <c r="D298">
        <f>IF(C298="","",MIN(C298,Settings!$B$5))</f>
        <v/>
      </c>
      <c r="E298">
        <f>IF(C298="","",MAX(0,C298-D298))</f>
        <v/>
      </c>
    </row>
    <row r="299">
      <c r="D299">
        <f>IF(C299="","",MIN(C299,Settings!$B$5))</f>
        <v/>
      </c>
      <c r="E299">
        <f>IF(C299="","",MAX(0,C299-D299))</f>
        <v/>
      </c>
    </row>
    <row r="300">
      <c r="D300">
        <f>IF(C300="","",MIN(C300,Settings!$B$5))</f>
        <v/>
      </c>
      <c r="E300">
        <f>IF(C300="","",MAX(0,C300-D300))</f>
        <v/>
      </c>
    </row>
    <row r="301">
      <c r="D301">
        <f>IF(C301="","",MIN(C301,Settings!$B$5))</f>
        <v/>
      </c>
      <c r="E301">
        <f>IF(C301="","",MAX(0,C301-D301))</f>
        <v/>
      </c>
    </row>
    <row r="302">
      <c r="D302">
        <f>IF(C302="","",MIN(C302,Settings!$B$5))</f>
        <v/>
      </c>
      <c r="E302">
        <f>IF(C302="","",MAX(0,C302-D302))</f>
        <v/>
      </c>
    </row>
    <row r="303">
      <c r="D303">
        <f>IF(C303="","",MIN(C303,Settings!$B$5))</f>
        <v/>
      </c>
      <c r="E303">
        <f>IF(C303="","",MAX(0,C303-D303))</f>
        <v/>
      </c>
    </row>
    <row r="304">
      <c r="D304">
        <f>IF(C304="","",MIN(C304,Settings!$B$5))</f>
        <v/>
      </c>
      <c r="E304">
        <f>IF(C304="","",MAX(0,C304-D304))</f>
        <v/>
      </c>
    </row>
    <row r="305">
      <c r="D305">
        <f>IF(C305="","",MIN(C305,Settings!$B$5))</f>
        <v/>
      </c>
      <c r="E305">
        <f>IF(C305="","",MAX(0,C305-D305))</f>
        <v/>
      </c>
    </row>
    <row r="306">
      <c r="D306">
        <f>IF(C306="","",MIN(C306,Settings!$B$5))</f>
        <v/>
      </c>
      <c r="E306">
        <f>IF(C306="","",MAX(0,C306-D306))</f>
        <v/>
      </c>
    </row>
    <row r="307">
      <c r="D307">
        <f>IF(C307="","",MIN(C307,Settings!$B$5))</f>
        <v/>
      </c>
      <c r="E307">
        <f>IF(C307="","",MAX(0,C307-D307))</f>
        <v/>
      </c>
    </row>
    <row r="308">
      <c r="D308">
        <f>IF(C308="","",MIN(C308,Settings!$B$5))</f>
        <v/>
      </c>
      <c r="E308">
        <f>IF(C308="","",MAX(0,C308-D308))</f>
        <v/>
      </c>
    </row>
    <row r="309">
      <c r="D309">
        <f>IF(C309="","",MIN(C309,Settings!$B$5))</f>
        <v/>
      </c>
      <c r="E309">
        <f>IF(C309="","",MAX(0,C309-D309))</f>
        <v/>
      </c>
    </row>
    <row r="310">
      <c r="D310">
        <f>IF(C310="","",MIN(C310,Settings!$B$5))</f>
        <v/>
      </c>
      <c r="E310">
        <f>IF(C310="","",MAX(0,C310-D310))</f>
        <v/>
      </c>
    </row>
    <row r="311">
      <c r="D311">
        <f>IF(C311="","",MIN(C311,Settings!$B$5))</f>
        <v/>
      </c>
      <c r="E311">
        <f>IF(C311="","",MAX(0,C311-D311))</f>
        <v/>
      </c>
    </row>
    <row r="312">
      <c r="D312">
        <f>IF(C312="","",MIN(C312,Settings!$B$5))</f>
        <v/>
      </c>
      <c r="E312">
        <f>IF(C312="","",MAX(0,C312-D312))</f>
        <v/>
      </c>
    </row>
    <row r="313">
      <c r="D313">
        <f>IF(C313="","",MIN(C313,Settings!$B$5))</f>
        <v/>
      </c>
      <c r="E313">
        <f>IF(C313="","",MAX(0,C313-D313))</f>
        <v/>
      </c>
    </row>
    <row r="314">
      <c r="D314">
        <f>IF(C314="","",MIN(C314,Settings!$B$5))</f>
        <v/>
      </c>
      <c r="E314">
        <f>IF(C314="","",MAX(0,C314-D314))</f>
        <v/>
      </c>
    </row>
    <row r="315">
      <c r="D315">
        <f>IF(C315="","",MIN(C315,Settings!$B$5))</f>
        <v/>
      </c>
      <c r="E315">
        <f>IF(C315="","",MAX(0,C315-D315))</f>
        <v/>
      </c>
    </row>
    <row r="316">
      <c r="D316">
        <f>IF(C316="","",MIN(C316,Settings!$B$5))</f>
        <v/>
      </c>
      <c r="E316">
        <f>IF(C316="","",MAX(0,C316-D316))</f>
        <v/>
      </c>
    </row>
    <row r="317">
      <c r="D317">
        <f>IF(C317="","",MIN(C317,Settings!$B$5))</f>
        <v/>
      </c>
      <c r="E317">
        <f>IF(C317="","",MAX(0,C317-D317))</f>
        <v/>
      </c>
    </row>
    <row r="318">
      <c r="D318">
        <f>IF(C318="","",MIN(C318,Settings!$B$5))</f>
        <v/>
      </c>
      <c r="E318">
        <f>IF(C318="","",MAX(0,C318-D318))</f>
        <v/>
      </c>
    </row>
    <row r="319">
      <c r="D319">
        <f>IF(C319="","",MIN(C319,Settings!$B$5))</f>
        <v/>
      </c>
      <c r="E319">
        <f>IF(C319="","",MAX(0,C319-D319))</f>
        <v/>
      </c>
    </row>
    <row r="320">
      <c r="D320">
        <f>IF(C320="","",MIN(C320,Settings!$B$5))</f>
        <v/>
      </c>
      <c r="E320">
        <f>IF(C320="","",MAX(0,C320-D320))</f>
        <v/>
      </c>
    </row>
    <row r="321">
      <c r="D321">
        <f>IF(C321="","",MIN(C321,Settings!$B$5))</f>
        <v/>
      </c>
      <c r="E321">
        <f>IF(C321="","",MAX(0,C321-D321))</f>
        <v/>
      </c>
    </row>
    <row r="322">
      <c r="D322">
        <f>IF(C322="","",MIN(C322,Settings!$B$5))</f>
        <v/>
      </c>
      <c r="E322">
        <f>IF(C322="","",MAX(0,C322-D322))</f>
        <v/>
      </c>
    </row>
    <row r="323">
      <c r="D323">
        <f>IF(C323="","",MIN(C323,Settings!$B$5))</f>
        <v/>
      </c>
      <c r="E323">
        <f>IF(C323="","",MAX(0,C323-D323))</f>
        <v/>
      </c>
    </row>
    <row r="324">
      <c r="D324">
        <f>IF(C324="","",MIN(C324,Settings!$B$5))</f>
        <v/>
      </c>
      <c r="E324">
        <f>IF(C324="","",MAX(0,C324-D324))</f>
        <v/>
      </c>
    </row>
    <row r="325">
      <c r="D325">
        <f>IF(C325="","",MIN(C325,Settings!$B$5))</f>
        <v/>
      </c>
      <c r="E325">
        <f>IF(C325="","",MAX(0,C325-D325))</f>
        <v/>
      </c>
    </row>
    <row r="326">
      <c r="D326">
        <f>IF(C326="","",MIN(C326,Settings!$B$5))</f>
        <v/>
      </c>
      <c r="E326">
        <f>IF(C326="","",MAX(0,C326-D326))</f>
        <v/>
      </c>
    </row>
    <row r="327">
      <c r="D327">
        <f>IF(C327="","",MIN(C327,Settings!$B$5))</f>
        <v/>
      </c>
      <c r="E327">
        <f>IF(C327="","",MAX(0,C327-D327))</f>
        <v/>
      </c>
    </row>
    <row r="328">
      <c r="D328">
        <f>IF(C328="","",MIN(C328,Settings!$B$5))</f>
        <v/>
      </c>
      <c r="E328">
        <f>IF(C328="","",MAX(0,C328-D328))</f>
        <v/>
      </c>
    </row>
    <row r="329">
      <c r="D329">
        <f>IF(C329="","",MIN(C329,Settings!$B$5))</f>
        <v/>
      </c>
      <c r="E329">
        <f>IF(C329="","",MAX(0,C329-D329))</f>
        <v/>
      </c>
    </row>
    <row r="330">
      <c r="D330">
        <f>IF(C330="","",MIN(C330,Settings!$B$5))</f>
        <v/>
      </c>
      <c r="E330">
        <f>IF(C330="","",MAX(0,C330-D330))</f>
        <v/>
      </c>
    </row>
    <row r="331">
      <c r="D331">
        <f>IF(C331="","",MIN(C331,Settings!$B$5))</f>
        <v/>
      </c>
      <c r="E331">
        <f>IF(C331="","",MAX(0,C331-D331))</f>
        <v/>
      </c>
    </row>
    <row r="332">
      <c r="D332">
        <f>IF(C332="","",MIN(C332,Settings!$B$5))</f>
        <v/>
      </c>
      <c r="E332">
        <f>IF(C332="","",MAX(0,C332-D332))</f>
        <v/>
      </c>
    </row>
    <row r="333">
      <c r="D333">
        <f>IF(C333="","",MIN(C333,Settings!$B$5))</f>
        <v/>
      </c>
      <c r="E333">
        <f>IF(C333="","",MAX(0,C333-D333))</f>
        <v/>
      </c>
    </row>
    <row r="334">
      <c r="D334">
        <f>IF(C334="","",MIN(C334,Settings!$B$5))</f>
        <v/>
      </c>
      <c r="E334">
        <f>IF(C334="","",MAX(0,C334-D334))</f>
        <v/>
      </c>
    </row>
    <row r="335">
      <c r="D335">
        <f>IF(C335="","",MIN(C335,Settings!$B$5))</f>
        <v/>
      </c>
      <c r="E335">
        <f>IF(C335="","",MAX(0,C335-D335))</f>
        <v/>
      </c>
    </row>
    <row r="336">
      <c r="D336">
        <f>IF(C336="","",MIN(C336,Settings!$B$5))</f>
        <v/>
      </c>
      <c r="E336">
        <f>IF(C336="","",MAX(0,C336-D336))</f>
        <v/>
      </c>
    </row>
    <row r="337">
      <c r="D337">
        <f>IF(C337="","",MIN(C337,Settings!$B$5))</f>
        <v/>
      </c>
      <c r="E337">
        <f>IF(C337="","",MAX(0,C337-D337))</f>
        <v/>
      </c>
    </row>
    <row r="338">
      <c r="D338">
        <f>IF(C338="","",MIN(C338,Settings!$B$5))</f>
        <v/>
      </c>
      <c r="E338">
        <f>IF(C338="","",MAX(0,C338-D338))</f>
        <v/>
      </c>
    </row>
    <row r="339">
      <c r="D339">
        <f>IF(C339="","",MIN(C339,Settings!$B$5))</f>
        <v/>
      </c>
      <c r="E339">
        <f>IF(C339="","",MAX(0,C339-D339))</f>
        <v/>
      </c>
    </row>
    <row r="340">
      <c r="D340">
        <f>IF(C340="","",MIN(C340,Settings!$B$5))</f>
        <v/>
      </c>
      <c r="E340">
        <f>IF(C340="","",MAX(0,C340-D340))</f>
        <v/>
      </c>
    </row>
    <row r="341">
      <c r="D341">
        <f>IF(C341="","",MIN(C341,Settings!$B$5))</f>
        <v/>
      </c>
      <c r="E341">
        <f>IF(C341="","",MAX(0,C341-D341))</f>
        <v/>
      </c>
    </row>
    <row r="342">
      <c r="D342">
        <f>IF(C342="","",MIN(C342,Settings!$B$5))</f>
        <v/>
      </c>
      <c r="E342">
        <f>IF(C342="","",MAX(0,C342-D342))</f>
        <v/>
      </c>
    </row>
    <row r="343">
      <c r="D343">
        <f>IF(C343="","",MIN(C343,Settings!$B$5))</f>
        <v/>
      </c>
      <c r="E343">
        <f>IF(C343="","",MAX(0,C343-D343))</f>
        <v/>
      </c>
    </row>
    <row r="344">
      <c r="D344">
        <f>IF(C344="","",MIN(C344,Settings!$B$5))</f>
        <v/>
      </c>
      <c r="E344">
        <f>IF(C344="","",MAX(0,C344-D344))</f>
        <v/>
      </c>
    </row>
    <row r="345">
      <c r="D345">
        <f>IF(C345="","",MIN(C345,Settings!$B$5))</f>
        <v/>
      </c>
      <c r="E345">
        <f>IF(C345="","",MAX(0,C345-D345))</f>
        <v/>
      </c>
    </row>
    <row r="346">
      <c r="D346">
        <f>IF(C346="","",MIN(C346,Settings!$B$5))</f>
        <v/>
      </c>
      <c r="E346">
        <f>IF(C346="","",MAX(0,C346-D346))</f>
        <v/>
      </c>
    </row>
    <row r="347">
      <c r="D347">
        <f>IF(C347="","",MIN(C347,Settings!$B$5))</f>
        <v/>
      </c>
      <c r="E347">
        <f>IF(C347="","",MAX(0,C347-D347))</f>
        <v/>
      </c>
    </row>
    <row r="348">
      <c r="D348">
        <f>IF(C348="","",MIN(C348,Settings!$B$5))</f>
        <v/>
      </c>
      <c r="E348">
        <f>IF(C348="","",MAX(0,C348-D348))</f>
        <v/>
      </c>
    </row>
    <row r="349">
      <c r="D349">
        <f>IF(C349="","",MIN(C349,Settings!$B$5))</f>
        <v/>
      </c>
      <c r="E349">
        <f>IF(C349="","",MAX(0,C349-D349))</f>
        <v/>
      </c>
    </row>
    <row r="350">
      <c r="D350">
        <f>IF(C350="","",MIN(C350,Settings!$B$5))</f>
        <v/>
      </c>
      <c r="E350">
        <f>IF(C350="","",MAX(0,C350-D350))</f>
        <v/>
      </c>
    </row>
    <row r="351">
      <c r="D351">
        <f>IF(C351="","",MIN(C351,Settings!$B$5))</f>
        <v/>
      </c>
      <c r="E351">
        <f>IF(C351="","",MAX(0,C351-D351))</f>
        <v/>
      </c>
    </row>
    <row r="352">
      <c r="D352">
        <f>IF(C352="","",MIN(C352,Settings!$B$5))</f>
        <v/>
      </c>
      <c r="E352">
        <f>IF(C352="","",MAX(0,C352-D352))</f>
        <v/>
      </c>
    </row>
    <row r="353">
      <c r="D353">
        <f>IF(C353="","",MIN(C353,Settings!$B$5))</f>
        <v/>
      </c>
      <c r="E353">
        <f>IF(C353="","",MAX(0,C353-D353))</f>
        <v/>
      </c>
    </row>
    <row r="354">
      <c r="D354">
        <f>IF(C354="","",MIN(C354,Settings!$B$5))</f>
        <v/>
      </c>
      <c r="E354">
        <f>IF(C354="","",MAX(0,C354-D354))</f>
        <v/>
      </c>
    </row>
    <row r="355">
      <c r="D355">
        <f>IF(C355="","",MIN(C355,Settings!$B$5))</f>
        <v/>
      </c>
      <c r="E355">
        <f>IF(C355="","",MAX(0,C355-D355))</f>
        <v/>
      </c>
    </row>
    <row r="356">
      <c r="D356">
        <f>IF(C356="","",MIN(C356,Settings!$B$5))</f>
        <v/>
      </c>
      <c r="E356">
        <f>IF(C356="","",MAX(0,C356-D356))</f>
        <v/>
      </c>
    </row>
    <row r="357">
      <c r="D357">
        <f>IF(C357="","",MIN(C357,Settings!$B$5))</f>
        <v/>
      </c>
      <c r="E357">
        <f>IF(C357="","",MAX(0,C357-D357))</f>
        <v/>
      </c>
    </row>
    <row r="358">
      <c r="D358">
        <f>IF(C358="","",MIN(C358,Settings!$B$5))</f>
        <v/>
      </c>
      <c r="E358">
        <f>IF(C358="","",MAX(0,C358-D358))</f>
        <v/>
      </c>
    </row>
    <row r="359">
      <c r="D359">
        <f>IF(C359="","",MIN(C359,Settings!$B$5))</f>
        <v/>
      </c>
      <c r="E359">
        <f>IF(C359="","",MAX(0,C359-D359))</f>
        <v/>
      </c>
    </row>
    <row r="360">
      <c r="D360">
        <f>IF(C360="","",MIN(C360,Settings!$B$5))</f>
        <v/>
      </c>
      <c r="E360">
        <f>IF(C360="","",MAX(0,C360-D360))</f>
        <v/>
      </c>
    </row>
    <row r="361">
      <c r="D361">
        <f>IF(C361="","",MIN(C361,Settings!$B$5))</f>
        <v/>
      </c>
      <c r="E361">
        <f>IF(C361="","",MAX(0,C361-D361))</f>
        <v/>
      </c>
    </row>
    <row r="362">
      <c r="D362">
        <f>IF(C362="","",MIN(C362,Settings!$B$5))</f>
        <v/>
      </c>
      <c r="E362">
        <f>IF(C362="","",MAX(0,C362-D362))</f>
        <v/>
      </c>
    </row>
    <row r="363">
      <c r="D363">
        <f>IF(C363="","",MIN(C363,Settings!$B$5))</f>
        <v/>
      </c>
      <c r="E363">
        <f>IF(C363="","",MAX(0,C363-D363))</f>
        <v/>
      </c>
    </row>
    <row r="364">
      <c r="D364">
        <f>IF(C364="","",MIN(C364,Settings!$B$5))</f>
        <v/>
      </c>
      <c r="E364">
        <f>IF(C364="","",MAX(0,C364-D364))</f>
        <v/>
      </c>
    </row>
    <row r="365">
      <c r="D365">
        <f>IF(C365="","",MIN(C365,Settings!$B$5))</f>
        <v/>
      </c>
      <c r="E365">
        <f>IF(C365="","",MAX(0,C365-D365))</f>
        <v/>
      </c>
    </row>
    <row r="366">
      <c r="D366">
        <f>IF(C366="","",MIN(C366,Settings!$B$5))</f>
        <v/>
      </c>
      <c r="E366">
        <f>IF(C366="","",MAX(0,C366-D366))</f>
        <v/>
      </c>
    </row>
    <row r="367">
      <c r="D367">
        <f>IF(C367="","",MIN(C367,Settings!$B$5))</f>
        <v/>
      </c>
      <c r="E367">
        <f>IF(C367="","",MAX(0,C367-D367))</f>
        <v/>
      </c>
    </row>
    <row r="368">
      <c r="D368">
        <f>IF(C368="","",MIN(C368,Settings!$B$5))</f>
        <v/>
      </c>
      <c r="E368">
        <f>IF(C368="","",MAX(0,C368-D368))</f>
        <v/>
      </c>
    </row>
    <row r="369">
      <c r="D369">
        <f>IF(C369="","",MIN(C369,Settings!$B$5))</f>
        <v/>
      </c>
      <c r="E369">
        <f>IF(C369="","",MAX(0,C369-D369))</f>
        <v/>
      </c>
    </row>
    <row r="370">
      <c r="D370">
        <f>IF(C370="","",MIN(C370,Settings!$B$5))</f>
        <v/>
      </c>
      <c r="E370">
        <f>IF(C370="","",MAX(0,C370-D370))</f>
        <v/>
      </c>
    </row>
    <row r="371">
      <c r="D371">
        <f>IF(C371="","",MIN(C371,Settings!$B$5))</f>
        <v/>
      </c>
      <c r="E371">
        <f>IF(C371="","",MAX(0,C371-D371))</f>
        <v/>
      </c>
    </row>
    <row r="372">
      <c r="D372">
        <f>IF(C372="","",MIN(C372,Settings!$B$5))</f>
        <v/>
      </c>
      <c r="E372">
        <f>IF(C372="","",MAX(0,C372-D372))</f>
        <v/>
      </c>
    </row>
    <row r="373">
      <c r="D373">
        <f>IF(C373="","",MIN(C373,Settings!$B$5))</f>
        <v/>
      </c>
      <c r="E373">
        <f>IF(C373="","",MAX(0,C373-D373))</f>
        <v/>
      </c>
    </row>
    <row r="374">
      <c r="D374">
        <f>IF(C374="","",MIN(C374,Settings!$B$5))</f>
        <v/>
      </c>
      <c r="E374">
        <f>IF(C374="","",MAX(0,C374-D374))</f>
        <v/>
      </c>
    </row>
    <row r="375">
      <c r="D375">
        <f>IF(C375="","",MIN(C375,Settings!$B$5))</f>
        <v/>
      </c>
      <c r="E375">
        <f>IF(C375="","",MAX(0,C375-D375))</f>
        <v/>
      </c>
    </row>
    <row r="376">
      <c r="D376">
        <f>IF(C376="","",MIN(C376,Settings!$B$5))</f>
        <v/>
      </c>
      <c r="E376">
        <f>IF(C376="","",MAX(0,C376-D376))</f>
        <v/>
      </c>
    </row>
    <row r="377">
      <c r="D377">
        <f>IF(C377="","",MIN(C377,Settings!$B$5))</f>
        <v/>
      </c>
      <c r="E377">
        <f>IF(C377="","",MAX(0,C377-D377))</f>
        <v/>
      </c>
    </row>
    <row r="378">
      <c r="D378">
        <f>IF(C378="","",MIN(C378,Settings!$B$5))</f>
        <v/>
      </c>
      <c r="E378">
        <f>IF(C378="","",MAX(0,C378-D378))</f>
        <v/>
      </c>
    </row>
    <row r="379">
      <c r="D379">
        <f>IF(C379="","",MIN(C379,Settings!$B$5))</f>
        <v/>
      </c>
      <c r="E379">
        <f>IF(C379="","",MAX(0,C379-D379))</f>
        <v/>
      </c>
    </row>
    <row r="380">
      <c r="D380">
        <f>IF(C380="","",MIN(C380,Settings!$B$5))</f>
        <v/>
      </c>
      <c r="E380">
        <f>IF(C380="","",MAX(0,C380-D380))</f>
        <v/>
      </c>
    </row>
    <row r="381">
      <c r="D381">
        <f>IF(C381="","",MIN(C381,Settings!$B$5))</f>
        <v/>
      </c>
      <c r="E381">
        <f>IF(C381="","",MAX(0,C381-D381))</f>
        <v/>
      </c>
    </row>
    <row r="382">
      <c r="D382">
        <f>IF(C382="","",MIN(C382,Settings!$B$5))</f>
        <v/>
      </c>
      <c r="E382">
        <f>IF(C382="","",MAX(0,C382-D382))</f>
        <v/>
      </c>
    </row>
    <row r="383">
      <c r="D383">
        <f>IF(C383="","",MIN(C383,Settings!$B$5))</f>
        <v/>
      </c>
      <c r="E383">
        <f>IF(C383="","",MAX(0,C383-D383))</f>
        <v/>
      </c>
    </row>
    <row r="384">
      <c r="D384">
        <f>IF(C384="","",MIN(C384,Settings!$B$5))</f>
        <v/>
      </c>
      <c r="E384">
        <f>IF(C384="","",MAX(0,C384-D384))</f>
        <v/>
      </c>
    </row>
    <row r="385">
      <c r="D385">
        <f>IF(C385="","",MIN(C385,Settings!$B$5))</f>
        <v/>
      </c>
      <c r="E385">
        <f>IF(C385="","",MAX(0,C385-D385))</f>
        <v/>
      </c>
    </row>
    <row r="386">
      <c r="D386">
        <f>IF(C386="","",MIN(C386,Settings!$B$5))</f>
        <v/>
      </c>
      <c r="E386">
        <f>IF(C386="","",MAX(0,C386-D386))</f>
        <v/>
      </c>
    </row>
    <row r="387">
      <c r="D387">
        <f>IF(C387="","",MIN(C387,Settings!$B$5))</f>
        <v/>
      </c>
      <c r="E387">
        <f>IF(C387="","",MAX(0,C387-D387))</f>
        <v/>
      </c>
    </row>
    <row r="388">
      <c r="D388">
        <f>IF(C388="","",MIN(C388,Settings!$B$5))</f>
        <v/>
      </c>
      <c r="E388">
        <f>IF(C388="","",MAX(0,C388-D388))</f>
        <v/>
      </c>
    </row>
    <row r="389">
      <c r="D389">
        <f>IF(C389="","",MIN(C389,Settings!$B$5))</f>
        <v/>
      </c>
      <c r="E389">
        <f>IF(C389="","",MAX(0,C389-D389))</f>
        <v/>
      </c>
    </row>
    <row r="390">
      <c r="D390">
        <f>IF(C390="","",MIN(C390,Settings!$B$5))</f>
        <v/>
      </c>
      <c r="E390">
        <f>IF(C390="","",MAX(0,C390-D390))</f>
        <v/>
      </c>
    </row>
    <row r="391">
      <c r="D391">
        <f>IF(C391="","",MIN(C391,Settings!$B$5))</f>
        <v/>
      </c>
      <c r="E391">
        <f>IF(C391="","",MAX(0,C391-D391))</f>
        <v/>
      </c>
    </row>
    <row r="392">
      <c r="D392">
        <f>IF(C392="","",MIN(C392,Settings!$B$5))</f>
        <v/>
      </c>
      <c r="E392">
        <f>IF(C392="","",MAX(0,C392-D392))</f>
        <v/>
      </c>
    </row>
    <row r="393">
      <c r="D393">
        <f>IF(C393="","",MIN(C393,Settings!$B$5))</f>
        <v/>
      </c>
      <c r="E393">
        <f>IF(C393="","",MAX(0,C393-D393))</f>
        <v/>
      </c>
    </row>
    <row r="394">
      <c r="D394">
        <f>IF(C394="","",MIN(C394,Settings!$B$5))</f>
        <v/>
      </c>
      <c r="E394">
        <f>IF(C394="","",MAX(0,C394-D394))</f>
        <v/>
      </c>
    </row>
    <row r="395">
      <c r="D395">
        <f>IF(C395="","",MIN(C395,Settings!$B$5))</f>
        <v/>
      </c>
      <c r="E395">
        <f>IF(C395="","",MAX(0,C395-D395))</f>
        <v/>
      </c>
    </row>
    <row r="396">
      <c r="D396">
        <f>IF(C396="","",MIN(C396,Settings!$B$5))</f>
        <v/>
      </c>
      <c r="E396">
        <f>IF(C396="","",MAX(0,C396-D396))</f>
        <v/>
      </c>
    </row>
    <row r="397">
      <c r="D397">
        <f>IF(C397="","",MIN(C397,Settings!$B$5))</f>
        <v/>
      </c>
      <c r="E397">
        <f>IF(C397="","",MAX(0,C397-D397))</f>
        <v/>
      </c>
    </row>
    <row r="398">
      <c r="D398">
        <f>IF(C398="","",MIN(C398,Settings!$B$5))</f>
        <v/>
      </c>
      <c r="E398">
        <f>IF(C398="","",MAX(0,C398-D398))</f>
        <v/>
      </c>
    </row>
    <row r="399">
      <c r="D399">
        <f>IF(C399="","",MIN(C399,Settings!$B$5))</f>
        <v/>
      </c>
      <c r="E399">
        <f>IF(C399="","",MAX(0,C399-D399))</f>
        <v/>
      </c>
    </row>
    <row r="400">
      <c r="D400">
        <f>IF(C400="","",MIN(C400,Settings!$B$5))</f>
        <v/>
      </c>
      <c r="E400">
        <f>IF(C400="","",MAX(0,C400-D400))</f>
        <v/>
      </c>
    </row>
    <row r="401">
      <c r="D401">
        <f>IF(C401="","",MIN(C401,Settings!$B$5))</f>
        <v/>
      </c>
      <c r="E401">
        <f>IF(C401="","",MAX(0,C401-D401))</f>
        <v/>
      </c>
    </row>
    <row r="402">
      <c r="D402">
        <f>IF(C402="","",MIN(C402,Settings!$B$5))</f>
        <v/>
      </c>
      <c r="E402">
        <f>IF(C402="","",MAX(0,C402-D402))</f>
        <v/>
      </c>
    </row>
    <row r="403">
      <c r="D403">
        <f>IF(C403="","",MIN(C403,Settings!$B$5))</f>
        <v/>
      </c>
      <c r="E403">
        <f>IF(C403="","",MAX(0,C403-D403))</f>
        <v/>
      </c>
    </row>
    <row r="404">
      <c r="D404">
        <f>IF(C404="","",MIN(C404,Settings!$B$5))</f>
        <v/>
      </c>
      <c r="E404">
        <f>IF(C404="","",MAX(0,C404-D404))</f>
        <v/>
      </c>
    </row>
    <row r="405">
      <c r="D405">
        <f>IF(C405="","",MIN(C405,Settings!$B$5))</f>
        <v/>
      </c>
      <c r="E405">
        <f>IF(C405="","",MAX(0,C405-D405))</f>
        <v/>
      </c>
    </row>
    <row r="406">
      <c r="D406">
        <f>IF(C406="","",MIN(C406,Settings!$B$5))</f>
        <v/>
      </c>
      <c r="E406">
        <f>IF(C406="","",MAX(0,C406-D406))</f>
        <v/>
      </c>
    </row>
    <row r="407">
      <c r="D407">
        <f>IF(C407="","",MIN(C407,Settings!$B$5))</f>
        <v/>
      </c>
      <c r="E407">
        <f>IF(C407="","",MAX(0,C407-D407))</f>
        <v/>
      </c>
    </row>
    <row r="408">
      <c r="D408">
        <f>IF(C408="","",MIN(C408,Settings!$B$5))</f>
        <v/>
      </c>
      <c r="E408">
        <f>IF(C408="","",MAX(0,C408-D408))</f>
        <v/>
      </c>
    </row>
    <row r="409">
      <c r="D409">
        <f>IF(C409="","",MIN(C409,Settings!$B$5))</f>
        <v/>
      </c>
      <c r="E409">
        <f>IF(C409="","",MAX(0,C409-D409))</f>
        <v/>
      </c>
    </row>
    <row r="410">
      <c r="D410">
        <f>IF(C410="","",MIN(C410,Settings!$B$5))</f>
        <v/>
      </c>
      <c r="E410">
        <f>IF(C410="","",MAX(0,C410-D410))</f>
        <v/>
      </c>
    </row>
    <row r="411">
      <c r="D411">
        <f>IF(C411="","",MIN(C411,Settings!$B$5))</f>
        <v/>
      </c>
      <c r="E411">
        <f>IF(C411="","",MAX(0,C411-D411))</f>
        <v/>
      </c>
    </row>
    <row r="412">
      <c r="D412">
        <f>IF(C412="","",MIN(C412,Settings!$B$5))</f>
        <v/>
      </c>
      <c r="E412">
        <f>IF(C412="","",MAX(0,C412-D412))</f>
        <v/>
      </c>
    </row>
    <row r="413">
      <c r="D413">
        <f>IF(C413="","",MIN(C413,Settings!$B$5))</f>
        <v/>
      </c>
      <c r="E413">
        <f>IF(C413="","",MAX(0,C413-D413))</f>
        <v/>
      </c>
    </row>
    <row r="414">
      <c r="D414">
        <f>IF(C414="","",MIN(C414,Settings!$B$5))</f>
        <v/>
      </c>
      <c r="E414">
        <f>IF(C414="","",MAX(0,C414-D414))</f>
        <v/>
      </c>
    </row>
    <row r="415">
      <c r="D415">
        <f>IF(C415="","",MIN(C415,Settings!$B$5))</f>
        <v/>
      </c>
      <c r="E415">
        <f>IF(C415="","",MAX(0,C415-D415))</f>
        <v/>
      </c>
    </row>
    <row r="416">
      <c r="D416">
        <f>IF(C416="","",MIN(C416,Settings!$B$5))</f>
        <v/>
      </c>
      <c r="E416">
        <f>IF(C416="","",MAX(0,C416-D416))</f>
        <v/>
      </c>
    </row>
    <row r="417">
      <c r="D417">
        <f>IF(C417="","",MIN(C417,Settings!$B$5))</f>
        <v/>
      </c>
      <c r="E417">
        <f>IF(C417="","",MAX(0,C417-D417))</f>
        <v/>
      </c>
    </row>
    <row r="418">
      <c r="D418">
        <f>IF(C418="","",MIN(C418,Settings!$B$5))</f>
        <v/>
      </c>
      <c r="E418">
        <f>IF(C418="","",MAX(0,C418-D418))</f>
        <v/>
      </c>
    </row>
    <row r="419">
      <c r="D419">
        <f>IF(C419="","",MIN(C419,Settings!$B$5))</f>
        <v/>
      </c>
      <c r="E419">
        <f>IF(C419="","",MAX(0,C419-D419))</f>
        <v/>
      </c>
    </row>
    <row r="420">
      <c r="D420">
        <f>IF(C420="","",MIN(C420,Settings!$B$5))</f>
        <v/>
      </c>
      <c r="E420">
        <f>IF(C420="","",MAX(0,C420-D420))</f>
        <v/>
      </c>
    </row>
    <row r="421">
      <c r="D421">
        <f>IF(C421="","",MIN(C421,Settings!$B$5))</f>
        <v/>
      </c>
      <c r="E421">
        <f>IF(C421="","",MAX(0,C421-D421))</f>
        <v/>
      </c>
    </row>
    <row r="422">
      <c r="D422">
        <f>IF(C422="","",MIN(C422,Settings!$B$5))</f>
        <v/>
      </c>
      <c r="E422">
        <f>IF(C422="","",MAX(0,C422-D422))</f>
        <v/>
      </c>
    </row>
    <row r="423">
      <c r="D423">
        <f>IF(C423="","",MIN(C423,Settings!$B$5))</f>
        <v/>
      </c>
      <c r="E423">
        <f>IF(C423="","",MAX(0,C423-D423))</f>
        <v/>
      </c>
    </row>
    <row r="424">
      <c r="D424">
        <f>IF(C424="","",MIN(C424,Settings!$B$5))</f>
        <v/>
      </c>
      <c r="E424">
        <f>IF(C424="","",MAX(0,C424-D424))</f>
        <v/>
      </c>
    </row>
    <row r="425">
      <c r="D425">
        <f>IF(C425="","",MIN(C425,Settings!$B$5))</f>
        <v/>
      </c>
      <c r="E425">
        <f>IF(C425="","",MAX(0,C425-D425))</f>
        <v/>
      </c>
    </row>
    <row r="426">
      <c r="D426">
        <f>IF(C426="","",MIN(C426,Settings!$B$5))</f>
        <v/>
      </c>
      <c r="E426">
        <f>IF(C426="","",MAX(0,C426-D426))</f>
        <v/>
      </c>
    </row>
    <row r="427">
      <c r="D427">
        <f>IF(C427="","",MIN(C427,Settings!$B$5))</f>
        <v/>
      </c>
      <c r="E427">
        <f>IF(C427="","",MAX(0,C427-D427))</f>
        <v/>
      </c>
    </row>
    <row r="428">
      <c r="D428">
        <f>IF(C428="","",MIN(C428,Settings!$B$5))</f>
        <v/>
      </c>
      <c r="E428">
        <f>IF(C428="","",MAX(0,C428-D428))</f>
        <v/>
      </c>
    </row>
    <row r="429">
      <c r="D429">
        <f>IF(C429="","",MIN(C429,Settings!$B$5))</f>
        <v/>
      </c>
      <c r="E429">
        <f>IF(C429="","",MAX(0,C429-D429))</f>
        <v/>
      </c>
    </row>
    <row r="430">
      <c r="D430">
        <f>IF(C430="","",MIN(C430,Settings!$B$5))</f>
        <v/>
      </c>
      <c r="E430">
        <f>IF(C430="","",MAX(0,C430-D430))</f>
        <v/>
      </c>
    </row>
    <row r="431">
      <c r="D431">
        <f>IF(C431="","",MIN(C431,Settings!$B$5))</f>
        <v/>
      </c>
      <c r="E431">
        <f>IF(C431="","",MAX(0,C431-D431))</f>
        <v/>
      </c>
    </row>
    <row r="432">
      <c r="D432">
        <f>IF(C432="","",MIN(C432,Settings!$B$5))</f>
        <v/>
      </c>
      <c r="E432">
        <f>IF(C432="","",MAX(0,C432-D432))</f>
        <v/>
      </c>
    </row>
    <row r="433">
      <c r="D433">
        <f>IF(C433="","",MIN(C433,Settings!$B$5))</f>
        <v/>
      </c>
      <c r="E433">
        <f>IF(C433="","",MAX(0,C433-D433))</f>
        <v/>
      </c>
    </row>
    <row r="434">
      <c r="D434">
        <f>IF(C434="","",MIN(C434,Settings!$B$5))</f>
        <v/>
      </c>
      <c r="E434">
        <f>IF(C434="","",MAX(0,C434-D434))</f>
        <v/>
      </c>
    </row>
    <row r="435">
      <c r="D435">
        <f>IF(C435="","",MIN(C435,Settings!$B$5))</f>
        <v/>
      </c>
      <c r="E435">
        <f>IF(C435="","",MAX(0,C435-D435))</f>
        <v/>
      </c>
    </row>
    <row r="436">
      <c r="D436">
        <f>IF(C436="","",MIN(C436,Settings!$B$5))</f>
        <v/>
      </c>
      <c r="E436">
        <f>IF(C436="","",MAX(0,C436-D436))</f>
        <v/>
      </c>
    </row>
    <row r="437">
      <c r="D437">
        <f>IF(C437="","",MIN(C437,Settings!$B$5))</f>
        <v/>
      </c>
      <c r="E437">
        <f>IF(C437="","",MAX(0,C437-D437))</f>
        <v/>
      </c>
    </row>
    <row r="438">
      <c r="D438">
        <f>IF(C438="","",MIN(C438,Settings!$B$5))</f>
        <v/>
      </c>
      <c r="E438">
        <f>IF(C438="","",MAX(0,C438-D438))</f>
        <v/>
      </c>
    </row>
    <row r="439">
      <c r="D439">
        <f>IF(C439="","",MIN(C439,Settings!$B$5))</f>
        <v/>
      </c>
      <c r="E439">
        <f>IF(C439="","",MAX(0,C439-D439))</f>
        <v/>
      </c>
    </row>
    <row r="440">
      <c r="D440">
        <f>IF(C440="","",MIN(C440,Settings!$B$5))</f>
        <v/>
      </c>
      <c r="E440">
        <f>IF(C440="","",MAX(0,C440-D440))</f>
        <v/>
      </c>
    </row>
    <row r="441">
      <c r="D441">
        <f>IF(C441="","",MIN(C441,Settings!$B$5))</f>
        <v/>
      </c>
      <c r="E441">
        <f>IF(C441="","",MAX(0,C441-D441))</f>
        <v/>
      </c>
    </row>
    <row r="442">
      <c r="D442">
        <f>IF(C442="","",MIN(C442,Settings!$B$5))</f>
        <v/>
      </c>
      <c r="E442">
        <f>IF(C442="","",MAX(0,C442-D442))</f>
        <v/>
      </c>
    </row>
    <row r="443">
      <c r="D443">
        <f>IF(C443="","",MIN(C443,Settings!$B$5))</f>
        <v/>
      </c>
      <c r="E443">
        <f>IF(C443="","",MAX(0,C443-D443))</f>
        <v/>
      </c>
    </row>
    <row r="444">
      <c r="D444">
        <f>IF(C444="","",MIN(C444,Settings!$B$5))</f>
        <v/>
      </c>
      <c r="E444">
        <f>IF(C444="","",MAX(0,C444-D444))</f>
        <v/>
      </c>
    </row>
    <row r="445">
      <c r="D445">
        <f>IF(C445="","",MIN(C445,Settings!$B$5))</f>
        <v/>
      </c>
      <c r="E445">
        <f>IF(C445="","",MAX(0,C445-D445))</f>
        <v/>
      </c>
    </row>
    <row r="446">
      <c r="D446">
        <f>IF(C446="","",MIN(C446,Settings!$B$5))</f>
        <v/>
      </c>
      <c r="E446">
        <f>IF(C446="","",MAX(0,C446-D446))</f>
        <v/>
      </c>
    </row>
    <row r="447">
      <c r="D447">
        <f>IF(C447="","",MIN(C447,Settings!$B$5))</f>
        <v/>
      </c>
      <c r="E447">
        <f>IF(C447="","",MAX(0,C447-D447))</f>
        <v/>
      </c>
    </row>
    <row r="448">
      <c r="D448">
        <f>IF(C448="","",MIN(C448,Settings!$B$5))</f>
        <v/>
      </c>
      <c r="E448">
        <f>IF(C448="","",MAX(0,C448-D448))</f>
        <v/>
      </c>
    </row>
    <row r="449">
      <c r="D449">
        <f>IF(C449="","",MIN(C449,Settings!$B$5))</f>
        <v/>
      </c>
      <c r="E449">
        <f>IF(C449="","",MAX(0,C449-D449))</f>
        <v/>
      </c>
    </row>
    <row r="450">
      <c r="D450">
        <f>IF(C450="","",MIN(C450,Settings!$B$5))</f>
        <v/>
      </c>
      <c r="E450">
        <f>IF(C450="","",MAX(0,C450-D450))</f>
        <v/>
      </c>
    </row>
    <row r="451">
      <c r="D451">
        <f>IF(C451="","",MIN(C451,Settings!$B$5))</f>
        <v/>
      </c>
      <c r="E451">
        <f>IF(C451="","",MAX(0,C451-D451))</f>
        <v/>
      </c>
    </row>
    <row r="452">
      <c r="D452">
        <f>IF(C452="","",MIN(C452,Settings!$B$5))</f>
        <v/>
      </c>
      <c r="E452">
        <f>IF(C452="","",MAX(0,C452-D452))</f>
        <v/>
      </c>
    </row>
    <row r="453">
      <c r="D453">
        <f>IF(C453="","",MIN(C453,Settings!$B$5))</f>
        <v/>
      </c>
      <c r="E453">
        <f>IF(C453="","",MAX(0,C453-D453))</f>
        <v/>
      </c>
    </row>
    <row r="454">
      <c r="D454">
        <f>IF(C454="","",MIN(C454,Settings!$B$5))</f>
        <v/>
      </c>
      <c r="E454">
        <f>IF(C454="","",MAX(0,C454-D454))</f>
        <v/>
      </c>
    </row>
    <row r="455">
      <c r="D455">
        <f>IF(C455="","",MIN(C455,Settings!$B$5))</f>
        <v/>
      </c>
      <c r="E455">
        <f>IF(C455="","",MAX(0,C455-D455))</f>
        <v/>
      </c>
    </row>
    <row r="456">
      <c r="D456">
        <f>IF(C456="","",MIN(C456,Settings!$B$5))</f>
        <v/>
      </c>
      <c r="E456">
        <f>IF(C456="","",MAX(0,C456-D456))</f>
        <v/>
      </c>
    </row>
    <row r="457">
      <c r="D457">
        <f>IF(C457="","",MIN(C457,Settings!$B$5))</f>
        <v/>
      </c>
      <c r="E457">
        <f>IF(C457="","",MAX(0,C457-D457))</f>
        <v/>
      </c>
    </row>
    <row r="458">
      <c r="D458">
        <f>IF(C458="","",MIN(C458,Settings!$B$5))</f>
        <v/>
      </c>
      <c r="E458">
        <f>IF(C458="","",MAX(0,C458-D458))</f>
        <v/>
      </c>
    </row>
    <row r="459">
      <c r="D459">
        <f>IF(C459="","",MIN(C459,Settings!$B$5))</f>
        <v/>
      </c>
      <c r="E459">
        <f>IF(C459="","",MAX(0,C459-D459))</f>
        <v/>
      </c>
    </row>
    <row r="460">
      <c r="D460">
        <f>IF(C460="","",MIN(C460,Settings!$B$5))</f>
        <v/>
      </c>
      <c r="E460">
        <f>IF(C460="","",MAX(0,C460-D460))</f>
        <v/>
      </c>
    </row>
    <row r="461">
      <c r="D461">
        <f>IF(C461="","",MIN(C461,Settings!$B$5))</f>
        <v/>
      </c>
      <c r="E461">
        <f>IF(C461="","",MAX(0,C461-D461))</f>
        <v/>
      </c>
    </row>
    <row r="462">
      <c r="D462">
        <f>IF(C462="","",MIN(C462,Settings!$B$5))</f>
        <v/>
      </c>
      <c r="E462">
        <f>IF(C462="","",MAX(0,C462-D462))</f>
        <v/>
      </c>
    </row>
    <row r="463">
      <c r="D463">
        <f>IF(C463="","",MIN(C463,Settings!$B$5))</f>
        <v/>
      </c>
      <c r="E463">
        <f>IF(C463="","",MAX(0,C463-D463))</f>
        <v/>
      </c>
    </row>
    <row r="464">
      <c r="D464">
        <f>IF(C464="","",MIN(C464,Settings!$B$5))</f>
        <v/>
      </c>
      <c r="E464">
        <f>IF(C464="","",MAX(0,C464-D464))</f>
        <v/>
      </c>
    </row>
    <row r="465">
      <c r="D465">
        <f>IF(C465="","",MIN(C465,Settings!$B$5))</f>
        <v/>
      </c>
      <c r="E465">
        <f>IF(C465="","",MAX(0,C465-D465))</f>
        <v/>
      </c>
    </row>
    <row r="466">
      <c r="D466">
        <f>IF(C466="","",MIN(C466,Settings!$B$5))</f>
        <v/>
      </c>
      <c r="E466">
        <f>IF(C466="","",MAX(0,C466-D466))</f>
        <v/>
      </c>
    </row>
    <row r="467">
      <c r="D467">
        <f>IF(C467="","",MIN(C467,Settings!$B$5))</f>
        <v/>
      </c>
      <c r="E467">
        <f>IF(C467="","",MAX(0,C467-D467))</f>
        <v/>
      </c>
    </row>
    <row r="468">
      <c r="D468">
        <f>IF(C468="","",MIN(C468,Settings!$B$5))</f>
        <v/>
      </c>
      <c r="E468">
        <f>IF(C468="","",MAX(0,C468-D468))</f>
        <v/>
      </c>
    </row>
    <row r="469">
      <c r="D469">
        <f>IF(C469="","",MIN(C469,Settings!$B$5))</f>
        <v/>
      </c>
      <c r="E469">
        <f>IF(C469="","",MAX(0,C469-D469))</f>
        <v/>
      </c>
    </row>
    <row r="470">
      <c r="D470">
        <f>IF(C470="","",MIN(C470,Settings!$B$5))</f>
        <v/>
      </c>
      <c r="E470">
        <f>IF(C470="","",MAX(0,C470-D470))</f>
        <v/>
      </c>
    </row>
    <row r="471">
      <c r="D471">
        <f>IF(C471="","",MIN(C471,Settings!$B$5))</f>
        <v/>
      </c>
      <c r="E471">
        <f>IF(C471="","",MAX(0,C471-D471))</f>
        <v/>
      </c>
    </row>
    <row r="472">
      <c r="D472">
        <f>IF(C472="","",MIN(C472,Settings!$B$5))</f>
        <v/>
      </c>
      <c r="E472">
        <f>IF(C472="","",MAX(0,C472-D472))</f>
        <v/>
      </c>
    </row>
    <row r="473">
      <c r="D473">
        <f>IF(C473="","",MIN(C473,Settings!$B$5))</f>
        <v/>
      </c>
      <c r="E473">
        <f>IF(C473="","",MAX(0,C473-D473))</f>
        <v/>
      </c>
    </row>
    <row r="474">
      <c r="D474">
        <f>IF(C474="","",MIN(C474,Settings!$B$5))</f>
        <v/>
      </c>
      <c r="E474">
        <f>IF(C474="","",MAX(0,C474-D474))</f>
        <v/>
      </c>
    </row>
    <row r="475">
      <c r="D475">
        <f>IF(C475="","",MIN(C475,Settings!$B$5))</f>
        <v/>
      </c>
      <c r="E475">
        <f>IF(C475="","",MAX(0,C475-D475))</f>
        <v/>
      </c>
    </row>
    <row r="476">
      <c r="D476">
        <f>IF(C476="","",MIN(C476,Settings!$B$5))</f>
        <v/>
      </c>
      <c r="E476">
        <f>IF(C476="","",MAX(0,C476-D476))</f>
        <v/>
      </c>
    </row>
    <row r="477">
      <c r="D477">
        <f>IF(C477="","",MIN(C477,Settings!$B$5))</f>
        <v/>
      </c>
      <c r="E477">
        <f>IF(C477="","",MAX(0,C477-D477))</f>
        <v/>
      </c>
    </row>
    <row r="478">
      <c r="D478">
        <f>IF(C478="","",MIN(C478,Settings!$B$5))</f>
        <v/>
      </c>
      <c r="E478">
        <f>IF(C478="","",MAX(0,C478-D478))</f>
        <v/>
      </c>
    </row>
    <row r="479">
      <c r="D479">
        <f>IF(C479="","",MIN(C479,Settings!$B$5))</f>
        <v/>
      </c>
      <c r="E479">
        <f>IF(C479="","",MAX(0,C479-D479))</f>
        <v/>
      </c>
    </row>
    <row r="480">
      <c r="D480">
        <f>IF(C480="","",MIN(C480,Settings!$B$5))</f>
        <v/>
      </c>
      <c r="E480">
        <f>IF(C480="","",MAX(0,C480-D480))</f>
        <v/>
      </c>
    </row>
    <row r="481">
      <c r="D481">
        <f>IF(C481="","",MIN(C481,Settings!$B$5))</f>
        <v/>
      </c>
      <c r="E481">
        <f>IF(C481="","",MAX(0,C481-D481))</f>
        <v/>
      </c>
    </row>
    <row r="482">
      <c r="D482">
        <f>IF(C482="","",MIN(C482,Settings!$B$5))</f>
        <v/>
      </c>
      <c r="E482">
        <f>IF(C482="","",MAX(0,C482-D482))</f>
        <v/>
      </c>
    </row>
    <row r="483">
      <c r="D483">
        <f>IF(C483="","",MIN(C483,Settings!$B$5))</f>
        <v/>
      </c>
      <c r="E483">
        <f>IF(C483="","",MAX(0,C483-D483))</f>
        <v/>
      </c>
    </row>
    <row r="484">
      <c r="D484">
        <f>IF(C484="","",MIN(C484,Settings!$B$5))</f>
        <v/>
      </c>
      <c r="E484">
        <f>IF(C484="","",MAX(0,C484-D484))</f>
        <v/>
      </c>
    </row>
    <row r="485">
      <c r="D485">
        <f>IF(C485="","",MIN(C485,Settings!$B$5))</f>
        <v/>
      </c>
      <c r="E485">
        <f>IF(C485="","",MAX(0,C485-D485))</f>
        <v/>
      </c>
    </row>
    <row r="486">
      <c r="D486">
        <f>IF(C486="","",MIN(C486,Settings!$B$5))</f>
        <v/>
      </c>
      <c r="E486">
        <f>IF(C486="","",MAX(0,C486-D486))</f>
        <v/>
      </c>
    </row>
    <row r="487">
      <c r="D487">
        <f>IF(C487="","",MIN(C487,Settings!$B$5))</f>
        <v/>
      </c>
      <c r="E487">
        <f>IF(C487="","",MAX(0,C487-D487))</f>
        <v/>
      </c>
    </row>
    <row r="488">
      <c r="D488">
        <f>IF(C488="","",MIN(C488,Settings!$B$5))</f>
        <v/>
      </c>
      <c r="E488">
        <f>IF(C488="","",MAX(0,C488-D488))</f>
        <v/>
      </c>
    </row>
    <row r="489">
      <c r="D489">
        <f>IF(C489="","",MIN(C489,Settings!$B$5))</f>
        <v/>
      </c>
      <c r="E489">
        <f>IF(C489="","",MAX(0,C489-D489))</f>
        <v/>
      </c>
    </row>
    <row r="490">
      <c r="D490">
        <f>IF(C490="","",MIN(C490,Settings!$B$5))</f>
        <v/>
      </c>
      <c r="E490">
        <f>IF(C490="","",MAX(0,C490-D490))</f>
        <v/>
      </c>
    </row>
    <row r="491">
      <c r="D491">
        <f>IF(C491="","",MIN(C491,Settings!$B$5))</f>
        <v/>
      </c>
      <c r="E491">
        <f>IF(C491="","",MAX(0,C491-D491))</f>
        <v/>
      </c>
    </row>
    <row r="492">
      <c r="D492">
        <f>IF(C492="","",MIN(C492,Settings!$B$5))</f>
        <v/>
      </c>
      <c r="E492">
        <f>IF(C492="","",MAX(0,C492-D492))</f>
        <v/>
      </c>
    </row>
    <row r="493">
      <c r="D493">
        <f>IF(C493="","",MIN(C493,Settings!$B$5))</f>
        <v/>
      </c>
      <c r="E493">
        <f>IF(C493="","",MAX(0,C493-D493))</f>
        <v/>
      </c>
    </row>
    <row r="494">
      <c r="D494">
        <f>IF(C494="","",MIN(C494,Settings!$B$5))</f>
        <v/>
      </c>
      <c r="E494">
        <f>IF(C494="","",MAX(0,C494-D494))</f>
        <v/>
      </c>
    </row>
    <row r="495">
      <c r="D495">
        <f>IF(C495="","",MIN(C495,Settings!$B$5))</f>
        <v/>
      </c>
      <c r="E495">
        <f>IF(C495="","",MAX(0,C495-D495))</f>
        <v/>
      </c>
    </row>
    <row r="496">
      <c r="D496">
        <f>IF(C496="","",MIN(C496,Settings!$B$5))</f>
        <v/>
      </c>
      <c r="E496">
        <f>IF(C496="","",MAX(0,C496-D496))</f>
        <v/>
      </c>
    </row>
    <row r="497">
      <c r="D497">
        <f>IF(C497="","",MIN(C497,Settings!$B$5))</f>
        <v/>
      </c>
      <c r="E497">
        <f>IF(C497="","",MAX(0,C497-D497))</f>
        <v/>
      </c>
    </row>
    <row r="498">
      <c r="D498">
        <f>IF(C498="","",MIN(C498,Settings!$B$5))</f>
        <v/>
      </c>
      <c r="E498">
        <f>IF(C498="","",MAX(0,C498-D498))</f>
        <v/>
      </c>
    </row>
    <row r="499">
      <c r="D499">
        <f>IF(C499="","",MIN(C499,Settings!$B$5))</f>
        <v/>
      </c>
      <c r="E499">
        <f>IF(C499="","",MAX(0,C499-D499))</f>
        <v/>
      </c>
    </row>
    <row r="500">
      <c r="D500">
        <f>IF(C500="","",MIN(C500,Settings!$B$5))</f>
        <v/>
      </c>
      <c r="E500">
        <f>IF(C500="","",MAX(0,C500-D500))</f>
        <v/>
      </c>
    </row>
    <row r="501">
      <c r="D501">
        <f>IF(C501="","",MIN(C501,Settings!$B$5))</f>
        <v/>
      </c>
      <c r="E501">
        <f>IF(C501="","",MAX(0,C501-D501))</f>
        <v/>
      </c>
    </row>
    <row r="502">
      <c r="D502">
        <f>IF(C502="","",MIN(C502,Settings!$B$5))</f>
        <v/>
      </c>
      <c r="E502">
        <f>IF(C502="","",MAX(0,C502-D502))</f>
        <v/>
      </c>
    </row>
    <row r="503">
      <c r="D503">
        <f>IF(C503="","",MIN(C503,Settings!$B$5))</f>
        <v/>
      </c>
      <c r="E503">
        <f>IF(C503="","",MAX(0,C503-D503))</f>
        <v/>
      </c>
    </row>
    <row r="504">
      <c r="D504">
        <f>IF(C504="","",MIN(C504,Settings!$B$5))</f>
        <v/>
      </c>
      <c r="E504">
        <f>IF(C504="","",MAX(0,C504-D504))</f>
        <v/>
      </c>
    </row>
    <row r="505">
      <c r="D505">
        <f>IF(C505="","",MIN(C505,Settings!$B$5))</f>
        <v/>
      </c>
      <c r="E505">
        <f>IF(C505="","",MAX(0,C505-D505))</f>
        <v/>
      </c>
    </row>
    <row r="506">
      <c r="D506">
        <f>IF(C506="","",MIN(C506,Settings!$B$5))</f>
        <v/>
      </c>
      <c r="E506">
        <f>IF(C506="","",MAX(0,C506-D506))</f>
        <v/>
      </c>
    </row>
    <row r="507">
      <c r="D507">
        <f>IF(C507="","",MIN(C507,Settings!$B$5))</f>
        <v/>
      </c>
      <c r="E507">
        <f>IF(C507="","",MAX(0,C507-D507))</f>
        <v/>
      </c>
    </row>
    <row r="508">
      <c r="D508">
        <f>IF(C508="","",MIN(C508,Settings!$B$5))</f>
        <v/>
      </c>
      <c r="E508">
        <f>IF(C508="","",MAX(0,C508-D508))</f>
        <v/>
      </c>
    </row>
    <row r="509">
      <c r="D509">
        <f>IF(C509="","",MIN(C509,Settings!$B$5))</f>
        <v/>
      </c>
      <c r="E509">
        <f>IF(C509="","",MAX(0,C509-D509))</f>
        <v/>
      </c>
    </row>
    <row r="510">
      <c r="D510">
        <f>IF(C510="","",MIN(C510,Settings!$B$5))</f>
        <v/>
      </c>
      <c r="E510">
        <f>IF(C510="","",MAX(0,C510-D510))</f>
        <v/>
      </c>
    </row>
    <row r="511">
      <c r="D511">
        <f>IF(C511="","",MIN(C511,Settings!$B$5))</f>
        <v/>
      </c>
      <c r="E511">
        <f>IF(C511="","",MAX(0,C511-D511))</f>
        <v/>
      </c>
    </row>
    <row r="512">
      <c r="D512">
        <f>IF(C512="","",MIN(C512,Settings!$B$5))</f>
        <v/>
      </c>
      <c r="E512">
        <f>IF(C512="","",MAX(0,C512-D512))</f>
        <v/>
      </c>
    </row>
    <row r="513">
      <c r="D513">
        <f>IF(C513="","",MIN(C513,Settings!$B$5))</f>
        <v/>
      </c>
      <c r="E513">
        <f>IF(C513="","",MAX(0,C513-D513))</f>
        <v/>
      </c>
    </row>
    <row r="514">
      <c r="D514">
        <f>IF(C514="","",MIN(C514,Settings!$B$5))</f>
        <v/>
      </c>
      <c r="E514">
        <f>IF(C514="","",MAX(0,C514-D514))</f>
        <v/>
      </c>
    </row>
    <row r="515">
      <c r="D515">
        <f>IF(C515="","",MIN(C515,Settings!$B$5))</f>
        <v/>
      </c>
      <c r="E515">
        <f>IF(C515="","",MAX(0,C515-D515))</f>
        <v/>
      </c>
    </row>
    <row r="516">
      <c r="D516">
        <f>IF(C516="","",MIN(C516,Settings!$B$5))</f>
        <v/>
      </c>
      <c r="E516">
        <f>IF(C516="","",MAX(0,C516-D516))</f>
        <v/>
      </c>
    </row>
    <row r="517">
      <c r="D517">
        <f>IF(C517="","",MIN(C517,Settings!$B$5))</f>
        <v/>
      </c>
      <c r="E517">
        <f>IF(C517="","",MAX(0,C517-D517))</f>
        <v/>
      </c>
    </row>
    <row r="518">
      <c r="D518">
        <f>IF(C518="","",MIN(C518,Settings!$B$5))</f>
        <v/>
      </c>
      <c r="E518">
        <f>IF(C518="","",MAX(0,C518-D518))</f>
        <v/>
      </c>
    </row>
    <row r="519">
      <c r="D519">
        <f>IF(C519="","",MIN(C519,Settings!$B$5))</f>
        <v/>
      </c>
      <c r="E519">
        <f>IF(C519="","",MAX(0,C519-D519))</f>
        <v/>
      </c>
    </row>
    <row r="520">
      <c r="D520">
        <f>IF(C520="","",MIN(C520,Settings!$B$5))</f>
        <v/>
      </c>
      <c r="E520">
        <f>IF(C520="","",MAX(0,C520-D520))</f>
        <v/>
      </c>
    </row>
    <row r="521">
      <c r="D521">
        <f>IF(C521="","",MIN(C521,Settings!$B$5))</f>
        <v/>
      </c>
      <c r="E521">
        <f>IF(C521="","",MAX(0,C521-D521))</f>
        <v/>
      </c>
    </row>
    <row r="522">
      <c r="D522">
        <f>IF(C522="","",MIN(C522,Settings!$B$5))</f>
        <v/>
      </c>
      <c r="E522">
        <f>IF(C522="","",MAX(0,C522-D522))</f>
        <v/>
      </c>
    </row>
    <row r="523">
      <c r="D523">
        <f>IF(C523="","",MIN(C523,Settings!$B$5))</f>
        <v/>
      </c>
      <c r="E523">
        <f>IF(C523="","",MAX(0,C523-D523))</f>
        <v/>
      </c>
    </row>
    <row r="524">
      <c r="D524">
        <f>IF(C524="","",MIN(C524,Settings!$B$5))</f>
        <v/>
      </c>
      <c r="E524">
        <f>IF(C524="","",MAX(0,C524-D524))</f>
        <v/>
      </c>
    </row>
    <row r="525">
      <c r="D525">
        <f>IF(C525="","",MIN(C525,Settings!$B$5))</f>
        <v/>
      </c>
      <c r="E525">
        <f>IF(C525="","",MAX(0,C525-D525))</f>
        <v/>
      </c>
    </row>
    <row r="526">
      <c r="D526">
        <f>IF(C526="","",MIN(C526,Settings!$B$5))</f>
        <v/>
      </c>
      <c r="E526">
        <f>IF(C526="","",MAX(0,C526-D526))</f>
        <v/>
      </c>
    </row>
    <row r="527">
      <c r="D527">
        <f>IF(C527="","",MIN(C527,Settings!$B$5))</f>
        <v/>
      </c>
      <c r="E527">
        <f>IF(C527="","",MAX(0,C527-D527))</f>
        <v/>
      </c>
    </row>
    <row r="528">
      <c r="D528">
        <f>IF(C528="","",MIN(C528,Settings!$B$5))</f>
        <v/>
      </c>
      <c r="E528">
        <f>IF(C528="","",MAX(0,C528-D528))</f>
        <v/>
      </c>
    </row>
    <row r="529">
      <c r="D529">
        <f>IF(C529="","",MIN(C529,Settings!$B$5))</f>
        <v/>
      </c>
      <c r="E529">
        <f>IF(C529="","",MAX(0,C529-D529))</f>
        <v/>
      </c>
    </row>
    <row r="530">
      <c r="D530">
        <f>IF(C530="","",MIN(C530,Settings!$B$5))</f>
        <v/>
      </c>
      <c r="E530">
        <f>IF(C530="","",MAX(0,C530-D530))</f>
        <v/>
      </c>
    </row>
    <row r="531">
      <c r="D531">
        <f>IF(C531="","",MIN(C531,Settings!$B$5))</f>
        <v/>
      </c>
      <c r="E531">
        <f>IF(C531="","",MAX(0,C531-D531))</f>
        <v/>
      </c>
    </row>
    <row r="532">
      <c r="D532">
        <f>IF(C532="","",MIN(C532,Settings!$B$5))</f>
        <v/>
      </c>
      <c r="E532">
        <f>IF(C532="","",MAX(0,C532-D532))</f>
        <v/>
      </c>
    </row>
    <row r="533">
      <c r="D533">
        <f>IF(C533="","",MIN(C533,Settings!$B$5))</f>
        <v/>
      </c>
      <c r="E533">
        <f>IF(C533="","",MAX(0,C533-D533))</f>
        <v/>
      </c>
    </row>
    <row r="534">
      <c r="D534">
        <f>IF(C534="","",MIN(C534,Settings!$B$5))</f>
        <v/>
      </c>
      <c r="E534">
        <f>IF(C534="","",MAX(0,C534-D534))</f>
        <v/>
      </c>
    </row>
    <row r="535">
      <c r="D535">
        <f>IF(C535="","",MIN(C535,Settings!$B$5))</f>
        <v/>
      </c>
      <c r="E535">
        <f>IF(C535="","",MAX(0,C535-D535))</f>
        <v/>
      </c>
    </row>
    <row r="536">
      <c r="D536">
        <f>IF(C536="","",MIN(C536,Settings!$B$5))</f>
        <v/>
      </c>
      <c r="E536">
        <f>IF(C536="","",MAX(0,C536-D536))</f>
        <v/>
      </c>
    </row>
    <row r="537">
      <c r="D537">
        <f>IF(C537="","",MIN(C537,Settings!$B$5))</f>
        <v/>
      </c>
      <c r="E537">
        <f>IF(C537="","",MAX(0,C537-D537))</f>
        <v/>
      </c>
    </row>
    <row r="538">
      <c r="D538">
        <f>IF(C538="","",MIN(C538,Settings!$B$5))</f>
        <v/>
      </c>
      <c r="E538">
        <f>IF(C538="","",MAX(0,C538-D538))</f>
        <v/>
      </c>
    </row>
    <row r="539">
      <c r="D539">
        <f>IF(C539="","",MIN(C539,Settings!$B$5))</f>
        <v/>
      </c>
      <c r="E539">
        <f>IF(C539="","",MAX(0,C539-D539))</f>
        <v/>
      </c>
    </row>
    <row r="540">
      <c r="D540">
        <f>IF(C540="","",MIN(C540,Settings!$B$5))</f>
        <v/>
      </c>
      <c r="E540">
        <f>IF(C540="","",MAX(0,C540-D540))</f>
        <v/>
      </c>
    </row>
    <row r="541">
      <c r="D541">
        <f>IF(C541="","",MIN(C541,Settings!$B$5))</f>
        <v/>
      </c>
      <c r="E541">
        <f>IF(C541="","",MAX(0,C541-D541))</f>
        <v/>
      </c>
    </row>
    <row r="542">
      <c r="D542">
        <f>IF(C542="","",MIN(C542,Settings!$B$5))</f>
        <v/>
      </c>
      <c r="E542">
        <f>IF(C542="","",MAX(0,C542-D542))</f>
        <v/>
      </c>
    </row>
    <row r="543">
      <c r="D543">
        <f>IF(C543="","",MIN(C543,Settings!$B$5))</f>
        <v/>
      </c>
      <c r="E543">
        <f>IF(C543="","",MAX(0,C543-D543))</f>
        <v/>
      </c>
    </row>
    <row r="544">
      <c r="D544">
        <f>IF(C544="","",MIN(C544,Settings!$B$5))</f>
        <v/>
      </c>
      <c r="E544">
        <f>IF(C544="","",MAX(0,C544-D544))</f>
        <v/>
      </c>
    </row>
    <row r="545">
      <c r="D545">
        <f>IF(C545="","",MIN(C545,Settings!$B$5))</f>
        <v/>
      </c>
      <c r="E545">
        <f>IF(C545="","",MAX(0,C545-D545))</f>
        <v/>
      </c>
    </row>
    <row r="546">
      <c r="D546">
        <f>IF(C546="","",MIN(C546,Settings!$B$5))</f>
        <v/>
      </c>
      <c r="E546">
        <f>IF(C546="","",MAX(0,C546-D546))</f>
        <v/>
      </c>
    </row>
    <row r="547">
      <c r="D547">
        <f>IF(C547="","",MIN(C547,Settings!$B$5))</f>
        <v/>
      </c>
      <c r="E547">
        <f>IF(C547="","",MAX(0,C547-D547))</f>
        <v/>
      </c>
    </row>
    <row r="548">
      <c r="D548">
        <f>IF(C548="","",MIN(C548,Settings!$B$5))</f>
        <v/>
      </c>
      <c r="E548">
        <f>IF(C548="","",MAX(0,C548-D548))</f>
        <v/>
      </c>
    </row>
    <row r="549">
      <c r="D549">
        <f>IF(C549="","",MIN(C549,Settings!$B$5))</f>
        <v/>
      </c>
      <c r="E549">
        <f>IF(C549="","",MAX(0,C549-D549))</f>
        <v/>
      </c>
    </row>
    <row r="550">
      <c r="D550">
        <f>IF(C550="","",MIN(C550,Settings!$B$5))</f>
        <v/>
      </c>
      <c r="E550">
        <f>IF(C550="","",MAX(0,C550-D550))</f>
        <v/>
      </c>
    </row>
    <row r="551">
      <c r="D551">
        <f>IF(C551="","",MIN(C551,Settings!$B$5))</f>
        <v/>
      </c>
      <c r="E551">
        <f>IF(C551="","",MAX(0,C551-D551))</f>
        <v/>
      </c>
    </row>
    <row r="552">
      <c r="D552">
        <f>IF(C552="","",MIN(C552,Settings!$B$5))</f>
        <v/>
      </c>
      <c r="E552">
        <f>IF(C552="","",MAX(0,C552-D552))</f>
        <v/>
      </c>
    </row>
    <row r="553">
      <c r="D553">
        <f>IF(C553="","",MIN(C553,Settings!$B$5))</f>
        <v/>
      </c>
      <c r="E553">
        <f>IF(C553="","",MAX(0,C553-D553))</f>
        <v/>
      </c>
    </row>
    <row r="554">
      <c r="D554">
        <f>IF(C554="","",MIN(C554,Settings!$B$5))</f>
        <v/>
      </c>
      <c r="E554">
        <f>IF(C554="","",MAX(0,C554-D554))</f>
        <v/>
      </c>
    </row>
    <row r="555">
      <c r="D555">
        <f>IF(C555="","",MIN(C555,Settings!$B$5))</f>
        <v/>
      </c>
      <c r="E555">
        <f>IF(C555="","",MAX(0,C555-D555))</f>
        <v/>
      </c>
    </row>
    <row r="556">
      <c r="D556">
        <f>IF(C556="","",MIN(C556,Settings!$B$5))</f>
        <v/>
      </c>
      <c r="E556">
        <f>IF(C556="","",MAX(0,C556-D556))</f>
        <v/>
      </c>
    </row>
    <row r="557">
      <c r="D557">
        <f>IF(C557="","",MIN(C557,Settings!$B$5))</f>
        <v/>
      </c>
      <c r="E557">
        <f>IF(C557="","",MAX(0,C557-D557))</f>
        <v/>
      </c>
    </row>
    <row r="558">
      <c r="D558">
        <f>IF(C558="","",MIN(C558,Settings!$B$5))</f>
        <v/>
      </c>
      <c r="E558">
        <f>IF(C558="","",MAX(0,C558-D558))</f>
        <v/>
      </c>
    </row>
    <row r="559">
      <c r="D559">
        <f>IF(C559="","",MIN(C559,Settings!$B$5))</f>
        <v/>
      </c>
      <c r="E559">
        <f>IF(C559="","",MAX(0,C559-D559))</f>
        <v/>
      </c>
    </row>
    <row r="560">
      <c r="D560">
        <f>IF(C560="","",MIN(C560,Settings!$B$5))</f>
        <v/>
      </c>
      <c r="E560">
        <f>IF(C560="","",MAX(0,C560-D560))</f>
        <v/>
      </c>
    </row>
    <row r="561">
      <c r="D561">
        <f>IF(C561="","",MIN(C561,Settings!$B$5))</f>
        <v/>
      </c>
      <c r="E561">
        <f>IF(C561="","",MAX(0,C561-D561))</f>
        <v/>
      </c>
    </row>
    <row r="562">
      <c r="D562">
        <f>IF(C562="","",MIN(C562,Settings!$B$5))</f>
        <v/>
      </c>
      <c r="E562">
        <f>IF(C562="","",MAX(0,C562-D562))</f>
        <v/>
      </c>
    </row>
    <row r="563">
      <c r="D563">
        <f>IF(C563="","",MIN(C563,Settings!$B$5))</f>
        <v/>
      </c>
      <c r="E563">
        <f>IF(C563="","",MAX(0,C563-D563))</f>
        <v/>
      </c>
    </row>
    <row r="564">
      <c r="D564">
        <f>IF(C564="","",MIN(C564,Settings!$B$5))</f>
        <v/>
      </c>
      <c r="E564">
        <f>IF(C564="","",MAX(0,C564-D564))</f>
        <v/>
      </c>
    </row>
    <row r="565">
      <c r="D565">
        <f>IF(C565="","",MIN(C565,Settings!$B$5))</f>
        <v/>
      </c>
      <c r="E565">
        <f>IF(C565="","",MAX(0,C565-D565))</f>
        <v/>
      </c>
    </row>
    <row r="566">
      <c r="D566">
        <f>IF(C566="","",MIN(C566,Settings!$B$5))</f>
        <v/>
      </c>
      <c r="E566">
        <f>IF(C566="","",MAX(0,C566-D566))</f>
        <v/>
      </c>
    </row>
    <row r="567">
      <c r="D567">
        <f>IF(C567="","",MIN(C567,Settings!$B$5))</f>
        <v/>
      </c>
      <c r="E567">
        <f>IF(C567="","",MAX(0,C567-D567))</f>
        <v/>
      </c>
    </row>
    <row r="568">
      <c r="D568">
        <f>IF(C568="","",MIN(C568,Settings!$B$5))</f>
        <v/>
      </c>
      <c r="E568">
        <f>IF(C568="","",MAX(0,C568-D568))</f>
        <v/>
      </c>
    </row>
    <row r="569">
      <c r="D569">
        <f>IF(C569="","",MIN(C569,Settings!$B$5))</f>
        <v/>
      </c>
      <c r="E569">
        <f>IF(C569="","",MAX(0,C569-D569))</f>
        <v/>
      </c>
    </row>
    <row r="570">
      <c r="D570">
        <f>IF(C570="","",MIN(C570,Settings!$B$5))</f>
        <v/>
      </c>
      <c r="E570">
        <f>IF(C570="","",MAX(0,C570-D570))</f>
        <v/>
      </c>
    </row>
    <row r="571">
      <c r="D571">
        <f>IF(C571="","",MIN(C571,Settings!$B$5))</f>
        <v/>
      </c>
      <c r="E571">
        <f>IF(C571="","",MAX(0,C571-D571))</f>
        <v/>
      </c>
    </row>
    <row r="572">
      <c r="D572">
        <f>IF(C572="","",MIN(C572,Settings!$B$5))</f>
        <v/>
      </c>
      <c r="E572">
        <f>IF(C572="","",MAX(0,C572-D572))</f>
        <v/>
      </c>
    </row>
    <row r="573">
      <c r="D573">
        <f>IF(C573="","",MIN(C573,Settings!$B$5))</f>
        <v/>
      </c>
      <c r="E573">
        <f>IF(C573="","",MAX(0,C573-D573))</f>
        <v/>
      </c>
    </row>
    <row r="574">
      <c r="D574">
        <f>IF(C574="","",MIN(C574,Settings!$B$5))</f>
        <v/>
      </c>
      <c r="E574">
        <f>IF(C574="","",MAX(0,C574-D574))</f>
        <v/>
      </c>
    </row>
    <row r="575">
      <c r="D575">
        <f>IF(C575="","",MIN(C575,Settings!$B$5))</f>
        <v/>
      </c>
      <c r="E575">
        <f>IF(C575="","",MAX(0,C575-D575))</f>
        <v/>
      </c>
    </row>
    <row r="576">
      <c r="D576">
        <f>IF(C576="","",MIN(C576,Settings!$B$5))</f>
        <v/>
      </c>
      <c r="E576">
        <f>IF(C576="","",MAX(0,C576-D576))</f>
        <v/>
      </c>
    </row>
    <row r="577">
      <c r="D577">
        <f>IF(C577="","",MIN(C577,Settings!$B$5))</f>
        <v/>
      </c>
      <c r="E577">
        <f>IF(C577="","",MAX(0,C577-D577))</f>
        <v/>
      </c>
    </row>
    <row r="578">
      <c r="D578">
        <f>IF(C578="","",MIN(C578,Settings!$B$5))</f>
        <v/>
      </c>
      <c r="E578">
        <f>IF(C578="","",MAX(0,C578-D578))</f>
        <v/>
      </c>
    </row>
    <row r="579">
      <c r="D579">
        <f>IF(C579="","",MIN(C579,Settings!$B$5))</f>
        <v/>
      </c>
      <c r="E579">
        <f>IF(C579="","",MAX(0,C579-D579))</f>
        <v/>
      </c>
    </row>
    <row r="580">
      <c r="D580">
        <f>IF(C580="","",MIN(C580,Settings!$B$5))</f>
        <v/>
      </c>
      <c r="E580">
        <f>IF(C580="","",MAX(0,C580-D580))</f>
        <v/>
      </c>
    </row>
    <row r="581">
      <c r="D581">
        <f>IF(C581="","",MIN(C581,Settings!$B$5))</f>
        <v/>
      </c>
      <c r="E581">
        <f>IF(C581="","",MAX(0,C581-D581))</f>
        <v/>
      </c>
    </row>
    <row r="582">
      <c r="D582">
        <f>IF(C582="","",MIN(C582,Settings!$B$5))</f>
        <v/>
      </c>
      <c r="E582">
        <f>IF(C582="","",MAX(0,C582-D582))</f>
        <v/>
      </c>
    </row>
    <row r="583">
      <c r="D583">
        <f>IF(C583="","",MIN(C583,Settings!$B$5))</f>
        <v/>
      </c>
      <c r="E583">
        <f>IF(C583="","",MAX(0,C583-D583))</f>
        <v/>
      </c>
    </row>
    <row r="584">
      <c r="D584">
        <f>IF(C584="","",MIN(C584,Settings!$B$5))</f>
        <v/>
      </c>
      <c r="E584">
        <f>IF(C584="","",MAX(0,C584-D584))</f>
        <v/>
      </c>
    </row>
    <row r="585">
      <c r="D585">
        <f>IF(C585="","",MIN(C585,Settings!$B$5))</f>
        <v/>
      </c>
      <c r="E585">
        <f>IF(C585="","",MAX(0,C585-D585))</f>
        <v/>
      </c>
    </row>
    <row r="586">
      <c r="D586">
        <f>IF(C586="","",MIN(C586,Settings!$B$5))</f>
        <v/>
      </c>
      <c r="E586">
        <f>IF(C586="","",MAX(0,C586-D586))</f>
        <v/>
      </c>
    </row>
    <row r="587">
      <c r="D587">
        <f>IF(C587="","",MIN(C587,Settings!$B$5))</f>
        <v/>
      </c>
      <c r="E587">
        <f>IF(C587="","",MAX(0,C587-D587))</f>
        <v/>
      </c>
    </row>
    <row r="588">
      <c r="D588">
        <f>IF(C588="","",MIN(C588,Settings!$B$5))</f>
        <v/>
      </c>
      <c r="E588">
        <f>IF(C588="","",MAX(0,C588-D588))</f>
        <v/>
      </c>
    </row>
    <row r="589">
      <c r="D589">
        <f>IF(C589="","",MIN(C589,Settings!$B$5))</f>
        <v/>
      </c>
      <c r="E589">
        <f>IF(C589="","",MAX(0,C589-D589))</f>
        <v/>
      </c>
    </row>
    <row r="590">
      <c r="D590">
        <f>IF(C590="","",MIN(C590,Settings!$B$5))</f>
        <v/>
      </c>
      <c r="E590">
        <f>IF(C590="","",MAX(0,C590-D590))</f>
        <v/>
      </c>
    </row>
    <row r="591">
      <c r="D591">
        <f>IF(C591="","",MIN(C591,Settings!$B$5))</f>
        <v/>
      </c>
      <c r="E591">
        <f>IF(C591="","",MAX(0,C591-D591))</f>
        <v/>
      </c>
    </row>
    <row r="592">
      <c r="D592">
        <f>IF(C592="","",MIN(C592,Settings!$B$5))</f>
        <v/>
      </c>
      <c r="E592">
        <f>IF(C592="","",MAX(0,C592-D592))</f>
        <v/>
      </c>
    </row>
    <row r="593">
      <c r="D593">
        <f>IF(C593="","",MIN(C593,Settings!$B$5))</f>
        <v/>
      </c>
      <c r="E593">
        <f>IF(C593="","",MAX(0,C593-D593))</f>
        <v/>
      </c>
    </row>
    <row r="594">
      <c r="D594">
        <f>IF(C594="","",MIN(C594,Settings!$B$5))</f>
        <v/>
      </c>
      <c r="E594">
        <f>IF(C594="","",MAX(0,C594-D594))</f>
        <v/>
      </c>
    </row>
    <row r="595">
      <c r="D595">
        <f>IF(C595="","",MIN(C595,Settings!$B$5))</f>
        <v/>
      </c>
      <c r="E595">
        <f>IF(C595="","",MAX(0,C595-D595))</f>
        <v/>
      </c>
    </row>
    <row r="596">
      <c r="D596">
        <f>IF(C596="","",MIN(C596,Settings!$B$5))</f>
        <v/>
      </c>
      <c r="E596">
        <f>IF(C596="","",MAX(0,C596-D596))</f>
        <v/>
      </c>
    </row>
    <row r="597">
      <c r="D597">
        <f>IF(C597="","",MIN(C597,Settings!$B$5))</f>
        <v/>
      </c>
      <c r="E597">
        <f>IF(C597="","",MAX(0,C597-D597))</f>
        <v/>
      </c>
    </row>
    <row r="598">
      <c r="D598">
        <f>IF(C598="","",MIN(C598,Settings!$B$5))</f>
        <v/>
      </c>
      <c r="E598">
        <f>IF(C598="","",MAX(0,C598-D598))</f>
        <v/>
      </c>
    </row>
    <row r="599">
      <c r="D599">
        <f>IF(C599="","",MIN(C599,Settings!$B$5))</f>
        <v/>
      </c>
      <c r="E599">
        <f>IF(C599="","",MAX(0,C599-D599))</f>
        <v/>
      </c>
    </row>
    <row r="600">
      <c r="D600">
        <f>IF(C600="","",MIN(C600,Settings!$B$5))</f>
        <v/>
      </c>
      <c r="E600">
        <f>IF(C600="","",MAX(0,C600-D600))</f>
        <v/>
      </c>
    </row>
    <row r="601">
      <c r="D601">
        <f>IF(C601="","",MIN(C601,Settings!$B$5))</f>
        <v/>
      </c>
      <c r="E601">
        <f>IF(C601="","",MAX(0,C601-D601))</f>
        <v/>
      </c>
    </row>
    <row r="602">
      <c r="D602">
        <f>IF(C602="","",MIN(C602,Settings!$B$5))</f>
        <v/>
      </c>
      <c r="E602">
        <f>IF(C602="","",MAX(0,C602-D602))</f>
        <v/>
      </c>
    </row>
    <row r="603">
      <c r="D603">
        <f>IF(C603="","",MIN(C603,Settings!$B$5))</f>
        <v/>
      </c>
      <c r="E603">
        <f>IF(C603="","",MAX(0,C603-D603))</f>
        <v/>
      </c>
    </row>
    <row r="604">
      <c r="D604">
        <f>IF(C604="","",MIN(C604,Settings!$B$5))</f>
        <v/>
      </c>
      <c r="E604">
        <f>IF(C604="","",MAX(0,C604-D604))</f>
        <v/>
      </c>
    </row>
    <row r="605">
      <c r="D605">
        <f>IF(C605="","",MIN(C605,Settings!$B$5))</f>
        <v/>
      </c>
      <c r="E605">
        <f>IF(C605="","",MAX(0,C605-D605))</f>
        <v/>
      </c>
    </row>
    <row r="606">
      <c r="D606">
        <f>IF(C606="","",MIN(C606,Settings!$B$5))</f>
        <v/>
      </c>
      <c r="E606">
        <f>IF(C606="","",MAX(0,C606-D606))</f>
        <v/>
      </c>
    </row>
    <row r="607">
      <c r="D607">
        <f>IF(C607="","",MIN(C607,Settings!$B$5))</f>
        <v/>
      </c>
      <c r="E607">
        <f>IF(C607="","",MAX(0,C607-D607))</f>
        <v/>
      </c>
    </row>
    <row r="608">
      <c r="D608">
        <f>IF(C608="","",MIN(C608,Settings!$B$5))</f>
        <v/>
      </c>
      <c r="E608">
        <f>IF(C608="","",MAX(0,C608-D608))</f>
        <v/>
      </c>
    </row>
    <row r="609">
      <c r="D609">
        <f>IF(C609="","",MIN(C609,Settings!$B$5))</f>
        <v/>
      </c>
      <c r="E609">
        <f>IF(C609="","",MAX(0,C609-D609))</f>
        <v/>
      </c>
    </row>
    <row r="610">
      <c r="D610">
        <f>IF(C610="","",MIN(C610,Settings!$B$5))</f>
        <v/>
      </c>
      <c r="E610">
        <f>IF(C610="","",MAX(0,C610-D610))</f>
        <v/>
      </c>
    </row>
    <row r="611">
      <c r="D611">
        <f>IF(C611="","",MIN(C611,Settings!$B$5))</f>
        <v/>
      </c>
      <c r="E611">
        <f>IF(C611="","",MAX(0,C611-D611))</f>
        <v/>
      </c>
    </row>
    <row r="612">
      <c r="D612">
        <f>IF(C612="","",MIN(C612,Settings!$B$5))</f>
        <v/>
      </c>
      <c r="E612">
        <f>IF(C612="","",MAX(0,C612-D612))</f>
        <v/>
      </c>
    </row>
    <row r="613">
      <c r="D613">
        <f>IF(C613="","",MIN(C613,Settings!$B$5))</f>
        <v/>
      </c>
      <c r="E613">
        <f>IF(C613="","",MAX(0,C613-D613))</f>
        <v/>
      </c>
    </row>
    <row r="614">
      <c r="D614">
        <f>IF(C614="","",MIN(C614,Settings!$B$5))</f>
        <v/>
      </c>
      <c r="E614">
        <f>IF(C614="","",MAX(0,C614-D614))</f>
        <v/>
      </c>
    </row>
    <row r="615">
      <c r="D615">
        <f>IF(C615="","",MIN(C615,Settings!$B$5))</f>
        <v/>
      </c>
      <c r="E615">
        <f>IF(C615="","",MAX(0,C615-D615))</f>
        <v/>
      </c>
    </row>
    <row r="616">
      <c r="D616">
        <f>IF(C616="","",MIN(C616,Settings!$B$5))</f>
        <v/>
      </c>
      <c r="E616">
        <f>IF(C616="","",MAX(0,C616-D616))</f>
        <v/>
      </c>
    </row>
    <row r="617">
      <c r="D617">
        <f>IF(C617="","",MIN(C617,Settings!$B$5))</f>
        <v/>
      </c>
      <c r="E617">
        <f>IF(C617="","",MAX(0,C617-D617))</f>
        <v/>
      </c>
    </row>
    <row r="618">
      <c r="D618">
        <f>IF(C618="","",MIN(C618,Settings!$B$5))</f>
        <v/>
      </c>
      <c r="E618">
        <f>IF(C618="","",MAX(0,C618-D618))</f>
        <v/>
      </c>
    </row>
    <row r="619">
      <c r="D619">
        <f>IF(C619="","",MIN(C619,Settings!$B$5))</f>
        <v/>
      </c>
      <c r="E619">
        <f>IF(C619="","",MAX(0,C619-D619))</f>
        <v/>
      </c>
    </row>
    <row r="620">
      <c r="D620">
        <f>IF(C620="","",MIN(C620,Settings!$B$5))</f>
        <v/>
      </c>
      <c r="E620">
        <f>IF(C620="","",MAX(0,C620-D620))</f>
        <v/>
      </c>
    </row>
    <row r="621">
      <c r="D621">
        <f>IF(C621="","",MIN(C621,Settings!$B$5))</f>
        <v/>
      </c>
      <c r="E621">
        <f>IF(C621="","",MAX(0,C621-D621))</f>
        <v/>
      </c>
    </row>
    <row r="622">
      <c r="D622">
        <f>IF(C622="","",MIN(C622,Settings!$B$5))</f>
        <v/>
      </c>
      <c r="E622">
        <f>IF(C622="","",MAX(0,C622-D622))</f>
        <v/>
      </c>
    </row>
    <row r="623">
      <c r="D623">
        <f>IF(C623="","",MIN(C623,Settings!$B$5))</f>
        <v/>
      </c>
      <c r="E623">
        <f>IF(C623="","",MAX(0,C623-D623))</f>
        <v/>
      </c>
    </row>
    <row r="624">
      <c r="D624">
        <f>IF(C624="","",MIN(C624,Settings!$B$5))</f>
        <v/>
      </c>
      <c r="E624">
        <f>IF(C624="","",MAX(0,C624-D624))</f>
        <v/>
      </c>
    </row>
    <row r="625">
      <c r="D625">
        <f>IF(C625="","",MIN(C625,Settings!$B$5))</f>
        <v/>
      </c>
      <c r="E625">
        <f>IF(C625="","",MAX(0,C625-D625))</f>
        <v/>
      </c>
    </row>
    <row r="626">
      <c r="D626">
        <f>IF(C626="","",MIN(C626,Settings!$B$5))</f>
        <v/>
      </c>
      <c r="E626">
        <f>IF(C626="","",MAX(0,C626-D626))</f>
        <v/>
      </c>
    </row>
    <row r="627">
      <c r="D627">
        <f>IF(C627="","",MIN(C627,Settings!$B$5))</f>
        <v/>
      </c>
      <c r="E627">
        <f>IF(C627="","",MAX(0,C627-D627))</f>
        <v/>
      </c>
    </row>
    <row r="628">
      <c r="D628">
        <f>IF(C628="","",MIN(C628,Settings!$B$5))</f>
        <v/>
      </c>
      <c r="E628">
        <f>IF(C628="","",MAX(0,C628-D628))</f>
        <v/>
      </c>
    </row>
    <row r="629">
      <c r="D629">
        <f>IF(C629="","",MIN(C629,Settings!$B$5))</f>
        <v/>
      </c>
      <c r="E629">
        <f>IF(C629="","",MAX(0,C629-D629))</f>
        <v/>
      </c>
    </row>
    <row r="630">
      <c r="D630">
        <f>IF(C630="","",MIN(C630,Settings!$B$5))</f>
        <v/>
      </c>
      <c r="E630">
        <f>IF(C630="","",MAX(0,C630-D630))</f>
        <v/>
      </c>
    </row>
    <row r="631">
      <c r="D631">
        <f>IF(C631="","",MIN(C631,Settings!$B$5))</f>
        <v/>
      </c>
      <c r="E631">
        <f>IF(C631="","",MAX(0,C631-D631))</f>
        <v/>
      </c>
    </row>
    <row r="632">
      <c r="D632">
        <f>IF(C632="","",MIN(C632,Settings!$B$5))</f>
        <v/>
      </c>
      <c r="E632">
        <f>IF(C632="","",MAX(0,C632-D632))</f>
        <v/>
      </c>
    </row>
    <row r="633">
      <c r="D633">
        <f>IF(C633="","",MIN(C633,Settings!$B$5))</f>
        <v/>
      </c>
      <c r="E633">
        <f>IF(C633="","",MAX(0,C633-D633))</f>
        <v/>
      </c>
    </row>
    <row r="634">
      <c r="D634">
        <f>IF(C634="","",MIN(C634,Settings!$B$5))</f>
        <v/>
      </c>
      <c r="E634">
        <f>IF(C634="","",MAX(0,C634-D634))</f>
        <v/>
      </c>
    </row>
    <row r="635">
      <c r="D635">
        <f>IF(C635="","",MIN(C635,Settings!$B$5))</f>
        <v/>
      </c>
      <c r="E635">
        <f>IF(C635="","",MAX(0,C635-D635))</f>
        <v/>
      </c>
    </row>
    <row r="636">
      <c r="D636">
        <f>IF(C636="","",MIN(C636,Settings!$B$5))</f>
        <v/>
      </c>
      <c r="E636">
        <f>IF(C636="","",MAX(0,C636-D636))</f>
        <v/>
      </c>
    </row>
    <row r="637">
      <c r="D637">
        <f>IF(C637="","",MIN(C637,Settings!$B$5))</f>
        <v/>
      </c>
      <c r="E637">
        <f>IF(C637="","",MAX(0,C637-D637))</f>
        <v/>
      </c>
    </row>
    <row r="638">
      <c r="D638">
        <f>IF(C638="","",MIN(C638,Settings!$B$5))</f>
        <v/>
      </c>
      <c r="E638">
        <f>IF(C638="","",MAX(0,C638-D638))</f>
        <v/>
      </c>
    </row>
    <row r="639">
      <c r="D639">
        <f>IF(C639="","",MIN(C639,Settings!$B$5))</f>
        <v/>
      </c>
      <c r="E639">
        <f>IF(C639="","",MAX(0,C639-D639))</f>
        <v/>
      </c>
    </row>
    <row r="640">
      <c r="D640">
        <f>IF(C640="","",MIN(C640,Settings!$B$5))</f>
        <v/>
      </c>
      <c r="E640">
        <f>IF(C640="","",MAX(0,C640-D640))</f>
        <v/>
      </c>
    </row>
    <row r="641">
      <c r="D641">
        <f>IF(C641="","",MIN(C641,Settings!$B$5))</f>
        <v/>
      </c>
      <c r="E641">
        <f>IF(C641="","",MAX(0,C641-D641))</f>
        <v/>
      </c>
    </row>
    <row r="642">
      <c r="D642">
        <f>IF(C642="","",MIN(C642,Settings!$B$5))</f>
        <v/>
      </c>
      <c r="E642">
        <f>IF(C642="","",MAX(0,C642-D642))</f>
        <v/>
      </c>
    </row>
    <row r="643">
      <c r="D643">
        <f>IF(C643="","",MIN(C643,Settings!$B$5))</f>
        <v/>
      </c>
      <c r="E643">
        <f>IF(C643="","",MAX(0,C643-D643))</f>
        <v/>
      </c>
    </row>
    <row r="644">
      <c r="D644">
        <f>IF(C644="","",MIN(C644,Settings!$B$5))</f>
        <v/>
      </c>
      <c r="E644">
        <f>IF(C644="","",MAX(0,C644-D644))</f>
        <v/>
      </c>
    </row>
    <row r="645">
      <c r="D645">
        <f>IF(C645="","",MIN(C645,Settings!$B$5))</f>
        <v/>
      </c>
      <c r="E645">
        <f>IF(C645="","",MAX(0,C645-D645))</f>
        <v/>
      </c>
    </row>
    <row r="646">
      <c r="D646">
        <f>IF(C646="","",MIN(C646,Settings!$B$5))</f>
        <v/>
      </c>
      <c r="E646">
        <f>IF(C646="","",MAX(0,C646-D646))</f>
        <v/>
      </c>
    </row>
    <row r="647">
      <c r="D647">
        <f>IF(C647="","",MIN(C647,Settings!$B$5))</f>
        <v/>
      </c>
      <c r="E647">
        <f>IF(C647="","",MAX(0,C647-D647))</f>
        <v/>
      </c>
    </row>
    <row r="648">
      <c r="D648">
        <f>IF(C648="","",MIN(C648,Settings!$B$5))</f>
        <v/>
      </c>
      <c r="E648">
        <f>IF(C648="","",MAX(0,C648-D648))</f>
        <v/>
      </c>
    </row>
    <row r="649">
      <c r="D649">
        <f>IF(C649="","",MIN(C649,Settings!$B$5))</f>
        <v/>
      </c>
      <c r="E649">
        <f>IF(C649="","",MAX(0,C649-D649))</f>
        <v/>
      </c>
    </row>
    <row r="650">
      <c r="D650">
        <f>IF(C650="","",MIN(C650,Settings!$B$5))</f>
        <v/>
      </c>
      <c r="E650">
        <f>IF(C650="","",MAX(0,C650-D650))</f>
        <v/>
      </c>
    </row>
    <row r="651">
      <c r="D651">
        <f>IF(C651="","",MIN(C651,Settings!$B$5))</f>
        <v/>
      </c>
      <c r="E651">
        <f>IF(C651="","",MAX(0,C651-D651))</f>
        <v/>
      </c>
    </row>
    <row r="652">
      <c r="D652">
        <f>IF(C652="","",MIN(C652,Settings!$B$5))</f>
        <v/>
      </c>
      <c r="E652">
        <f>IF(C652="","",MAX(0,C652-D652))</f>
        <v/>
      </c>
    </row>
    <row r="653">
      <c r="D653">
        <f>IF(C653="","",MIN(C653,Settings!$B$5))</f>
        <v/>
      </c>
      <c r="E653">
        <f>IF(C653="","",MAX(0,C653-D653))</f>
        <v/>
      </c>
    </row>
    <row r="654">
      <c r="D654">
        <f>IF(C654="","",MIN(C654,Settings!$B$5))</f>
        <v/>
      </c>
      <c r="E654">
        <f>IF(C654="","",MAX(0,C654-D654))</f>
        <v/>
      </c>
    </row>
    <row r="655">
      <c r="D655">
        <f>IF(C655="","",MIN(C655,Settings!$B$5))</f>
        <v/>
      </c>
      <c r="E655">
        <f>IF(C655="","",MAX(0,C655-D655))</f>
        <v/>
      </c>
    </row>
    <row r="656">
      <c r="D656">
        <f>IF(C656="","",MIN(C656,Settings!$B$5))</f>
        <v/>
      </c>
      <c r="E656">
        <f>IF(C656="","",MAX(0,C656-D656))</f>
        <v/>
      </c>
    </row>
    <row r="657">
      <c r="D657">
        <f>IF(C657="","",MIN(C657,Settings!$B$5))</f>
        <v/>
      </c>
      <c r="E657">
        <f>IF(C657="","",MAX(0,C657-D657))</f>
        <v/>
      </c>
    </row>
    <row r="658">
      <c r="D658">
        <f>IF(C658="","",MIN(C658,Settings!$B$5))</f>
        <v/>
      </c>
      <c r="E658">
        <f>IF(C658="","",MAX(0,C658-D658))</f>
        <v/>
      </c>
    </row>
    <row r="659">
      <c r="D659">
        <f>IF(C659="","",MIN(C659,Settings!$B$5))</f>
        <v/>
      </c>
      <c r="E659">
        <f>IF(C659="","",MAX(0,C659-D659))</f>
        <v/>
      </c>
    </row>
    <row r="660">
      <c r="D660">
        <f>IF(C660="","",MIN(C660,Settings!$B$5))</f>
        <v/>
      </c>
      <c r="E660">
        <f>IF(C660="","",MAX(0,C660-D660))</f>
        <v/>
      </c>
    </row>
    <row r="661">
      <c r="D661">
        <f>IF(C661="","",MIN(C661,Settings!$B$5))</f>
        <v/>
      </c>
      <c r="E661">
        <f>IF(C661="","",MAX(0,C661-D661))</f>
        <v/>
      </c>
    </row>
    <row r="662">
      <c r="D662">
        <f>IF(C662="","",MIN(C662,Settings!$B$5))</f>
        <v/>
      </c>
      <c r="E662">
        <f>IF(C662="","",MAX(0,C662-D662))</f>
        <v/>
      </c>
    </row>
    <row r="663">
      <c r="D663">
        <f>IF(C663="","",MIN(C663,Settings!$B$5))</f>
        <v/>
      </c>
      <c r="E663">
        <f>IF(C663="","",MAX(0,C663-D663))</f>
        <v/>
      </c>
    </row>
    <row r="664">
      <c r="D664">
        <f>IF(C664="","",MIN(C664,Settings!$B$5))</f>
        <v/>
      </c>
      <c r="E664">
        <f>IF(C664="","",MAX(0,C664-D664))</f>
        <v/>
      </c>
    </row>
    <row r="665">
      <c r="D665">
        <f>IF(C665="","",MIN(C665,Settings!$B$5))</f>
        <v/>
      </c>
      <c r="E665">
        <f>IF(C665="","",MAX(0,C665-D665))</f>
        <v/>
      </c>
    </row>
    <row r="666">
      <c r="D666">
        <f>IF(C666="","",MIN(C666,Settings!$B$5))</f>
        <v/>
      </c>
      <c r="E666">
        <f>IF(C666="","",MAX(0,C666-D666))</f>
        <v/>
      </c>
    </row>
    <row r="667">
      <c r="D667">
        <f>IF(C667="","",MIN(C667,Settings!$B$5))</f>
        <v/>
      </c>
      <c r="E667">
        <f>IF(C667="","",MAX(0,C667-D667))</f>
        <v/>
      </c>
    </row>
    <row r="668">
      <c r="D668">
        <f>IF(C668="","",MIN(C668,Settings!$B$5))</f>
        <v/>
      </c>
      <c r="E668">
        <f>IF(C668="","",MAX(0,C668-D668))</f>
        <v/>
      </c>
    </row>
    <row r="669">
      <c r="D669">
        <f>IF(C669="","",MIN(C669,Settings!$B$5))</f>
        <v/>
      </c>
      <c r="E669">
        <f>IF(C669="","",MAX(0,C669-D669))</f>
        <v/>
      </c>
    </row>
    <row r="670">
      <c r="D670">
        <f>IF(C670="","",MIN(C670,Settings!$B$5))</f>
        <v/>
      </c>
      <c r="E670">
        <f>IF(C670="","",MAX(0,C670-D670))</f>
        <v/>
      </c>
    </row>
    <row r="671">
      <c r="D671">
        <f>IF(C671="","",MIN(C671,Settings!$B$5))</f>
        <v/>
      </c>
      <c r="E671">
        <f>IF(C671="","",MAX(0,C671-D671))</f>
        <v/>
      </c>
    </row>
    <row r="672">
      <c r="D672">
        <f>IF(C672="","",MIN(C672,Settings!$B$5))</f>
        <v/>
      </c>
      <c r="E672">
        <f>IF(C672="","",MAX(0,C672-D672))</f>
        <v/>
      </c>
    </row>
    <row r="673">
      <c r="D673">
        <f>IF(C673="","",MIN(C673,Settings!$B$5))</f>
        <v/>
      </c>
      <c r="E673">
        <f>IF(C673="","",MAX(0,C673-D673))</f>
        <v/>
      </c>
    </row>
    <row r="674">
      <c r="D674">
        <f>IF(C674="","",MIN(C674,Settings!$B$5))</f>
        <v/>
      </c>
      <c r="E674">
        <f>IF(C674="","",MAX(0,C674-D674))</f>
        <v/>
      </c>
    </row>
    <row r="675">
      <c r="D675">
        <f>IF(C675="","",MIN(C675,Settings!$B$5))</f>
        <v/>
      </c>
      <c r="E675">
        <f>IF(C675="","",MAX(0,C675-D675))</f>
        <v/>
      </c>
    </row>
    <row r="676">
      <c r="D676">
        <f>IF(C676="","",MIN(C676,Settings!$B$5))</f>
        <v/>
      </c>
      <c r="E676">
        <f>IF(C676="","",MAX(0,C676-D676))</f>
        <v/>
      </c>
    </row>
    <row r="677">
      <c r="D677">
        <f>IF(C677="","",MIN(C677,Settings!$B$5))</f>
        <v/>
      </c>
      <c r="E677">
        <f>IF(C677="","",MAX(0,C677-D677))</f>
        <v/>
      </c>
    </row>
    <row r="678">
      <c r="D678">
        <f>IF(C678="","",MIN(C678,Settings!$B$5))</f>
        <v/>
      </c>
      <c r="E678">
        <f>IF(C678="","",MAX(0,C678-D678))</f>
        <v/>
      </c>
    </row>
    <row r="679">
      <c r="D679">
        <f>IF(C679="","",MIN(C679,Settings!$B$5))</f>
        <v/>
      </c>
      <c r="E679">
        <f>IF(C679="","",MAX(0,C679-D679))</f>
        <v/>
      </c>
    </row>
    <row r="680">
      <c r="D680">
        <f>IF(C680="","",MIN(C680,Settings!$B$5))</f>
        <v/>
      </c>
      <c r="E680">
        <f>IF(C680="","",MAX(0,C680-D680))</f>
        <v/>
      </c>
    </row>
    <row r="681">
      <c r="D681">
        <f>IF(C681="","",MIN(C681,Settings!$B$5))</f>
        <v/>
      </c>
      <c r="E681">
        <f>IF(C681="","",MAX(0,C681-D681))</f>
        <v/>
      </c>
    </row>
    <row r="682">
      <c r="D682">
        <f>IF(C682="","",MIN(C682,Settings!$B$5))</f>
        <v/>
      </c>
      <c r="E682">
        <f>IF(C682="","",MAX(0,C682-D682))</f>
        <v/>
      </c>
    </row>
    <row r="683">
      <c r="D683">
        <f>IF(C683="","",MIN(C683,Settings!$B$5))</f>
        <v/>
      </c>
      <c r="E683">
        <f>IF(C683="","",MAX(0,C683-D683))</f>
        <v/>
      </c>
    </row>
    <row r="684">
      <c r="D684">
        <f>IF(C684="","",MIN(C684,Settings!$B$5))</f>
        <v/>
      </c>
      <c r="E684">
        <f>IF(C684="","",MAX(0,C684-D684))</f>
        <v/>
      </c>
    </row>
    <row r="685">
      <c r="D685">
        <f>IF(C685="","",MIN(C685,Settings!$B$5))</f>
        <v/>
      </c>
      <c r="E685">
        <f>IF(C685="","",MAX(0,C685-D685))</f>
        <v/>
      </c>
    </row>
    <row r="686">
      <c r="D686">
        <f>IF(C686="","",MIN(C686,Settings!$B$5))</f>
        <v/>
      </c>
      <c r="E686">
        <f>IF(C686="","",MAX(0,C686-D686))</f>
        <v/>
      </c>
    </row>
    <row r="687">
      <c r="D687">
        <f>IF(C687="","",MIN(C687,Settings!$B$5))</f>
        <v/>
      </c>
      <c r="E687">
        <f>IF(C687="","",MAX(0,C687-D687))</f>
        <v/>
      </c>
    </row>
    <row r="688">
      <c r="D688">
        <f>IF(C688="","",MIN(C688,Settings!$B$5))</f>
        <v/>
      </c>
      <c r="E688">
        <f>IF(C688="","",MAX(0,C688-D688))</f>
        <v/>
      </c>
    </row>
    <row r="689">
      <c r="D689">
        <f>IF(C689="","",MIN(C689,Settings!$B$5))</f>
        <v/>
      </c>
      <c r="E689">
        <f>IF(C689="","",MAX(0,C689-D689))</f>
        <v/>
      </c>
    </row>
    <row r="690">
      <c r="D690">
        <f>IF(C690="","",MIN(C690,Settings!$B$5))</f>
        <v/>
      </c>
      <c r="E690">
        <f>IF(C690="","",MAX(0,C690-D690))</f>
        <v/>
      </c>
    </row>
    <row r="691">
      <c r="D691">
        <f>IF(C691="","",MIN(C691,Settings!$B$5))</f>
        <v/>
      </c>
      <c r="E691">
        <f>IF(C691="","",MAX(0,C691-D691))</f>
        <v/>
      </c>
    </row>
    <row r="692">
      <c r="D692">
        <f>IF(C692="","",MIN(C692,Settings!$B$5))</f>
        <v/>
      </c>
      <c r="E692">
        <f>IF(C692="","",MAX(0,C692-D692))</f>
        <v/>
      </c>
    </row>
    <row r="693">
      <c r="D693">
        <f>IF(C693="","",MIN(C693,Settings!$B$5))</f>
        <v/>
      </c>
      <c r="E693">
        <f>IF(C693="","",MAX(0,C693-D693))</f>
        <v/>
      </c>
    </row>
    <row r="694">
      <c r="D694">
        <f>IF(C694="","",MIN(C694,Settings!$B$5))</f>
        <v/>
      </c>
      <c r="E694">
        <f>IF(C694="","",MAX(0,C694-D694))</f>
        <v/>
      </c>
    </row>
    <row r="695">
      <c r="D695">
        <f>IF(C695="","",MIN(C695,Settings!$B$5))</f>
        <v/>
      </c>
      <c r="E695">
        <f>IF(C695="","",MAX(0,C695-D695))</f>
        <v/>
      </c>
    </row>
    <row r="696">
      <c r="D696">
        <f>IF(C696="","",MIN(C696,Settings!$B$5))</f>
        <v/>
      </c>
      <c r="E696">
        <f>IF(C696="","",MAX(0,C696-D696))</f>
        <v/>
      </c>
    </row>
    <row r="697">
      <c r="D697">
        <f>IF(C697="","",MIN(C697,Settings!$B$5))</f>
        <v/>
      </c>
      <c r="E697">
        <f>IF(C697="","",MAX(0,C697-D697))</f>
        <v/>
      </c>
    </row>
    <row r="698">
      <c r="D698">
        <f>IF(C698="","",MIN(C698,Settings!$B$5))</f>
        <v/>
      </c>
      <c r="E698">
        <f>IF(C698="","",MAX(0,C698-D698))</f>
        <v/>
      </c>
    </row>
    <row r="699">
      <c r="D699">
        <f>IF(C699="","",MIN(C699,Settings!$B$5))</f>
        <v/>
      </c>
      <c r="E699">
        <f>IF(C699="","",MAX(0,C699-D699))</f>
        <v/>
      </c>
    </row>
    <row r="700">
      <c r="D700">
        <f>IF(C700="","",MIN(C700,Settings!$B$5))</f>
        <v/>
      </c>
      <c r="E700">
        <f>IF(C700="","",MAX(0,C700-D700))</f>
        <v/>
      </c>
    </row>
    <row r="701">
      <c r="D701">
        <f>IF(C701="","",MIN(C701,Settings!$B$5))</f>
        <v/>
      </c>
      <c r="E701">
        <f>IF(C701="","",MAX(0,C701-D701))</f>
        <v/>
      </c>
    </row>
    <row r="702">
      <c r="D702">
        <f>IF(C702="","",MIN(C702,Settings!$B$5))</f>
        <v/>
      </c>
      <c r="E702">
        <f>IF(C702="","",MAX(0,C702-D702))</f>
        <v/>
      </c>
    </row>
    <row r="703">
      <c r="D703">
        <f>IF(C703="","",MIN(C703,Settings!$B$5))</f>
        <v/>
      </c>
      <c r="E703">
        <f>IF(C703="","",MAX(0,C703-D703))</f>
        <v/>
      </c>
    </row>
    <row r="704">
      <c r="D704">
        <f>IF(C704="","",MIN(C704,Settings!$B$5))</f>
        <v/>
      </c>
      <c r="E704">
        <f>IF(C704="","",MAX(0,C704-D704))</f>
        <v/>
      </c>
    </row>
    <row r="705">
      <c r="D705">
        <f>IF(C705="","",MIN(C705,Settings!$B$5))</f>
        <v/>
      </c>
      <c r="E705">
        <f>IF(C705="","",MAX(0,C705-D705))</f>
        <v/>
      </c>
    </row>
    <row r="706">
      <c r="D706">
        <f>IF(C706="","",MIN(C706,Settings!$B$5))</f>
        <v/>
      </c>
      <c r="E706">
        <f>IF(C706="","",MAX(0,C706-D706))</f>
        <v/>
      </c>
    </row>
    <row r="707">
      <c r="D707">
        <f>IF(C707="","",MIN(C707,Settings!$B$5))</f>
        <v/>
      </c>
      <c r="E707">
        <f>IF(C707="","",MAX(0,C707-D707))</f>
        <v/>
      </c>
    </row>
    <row r="708">
      <c r="D708">
        <f>IF(C708="","",MIN(C708,Settings!$B$5))</f>
        <v/>
      </c>
      <c r="E708">
        <f>IF(C708="","",MAX(0,C708-D708))</f>
        <v/>
      </c>
    </row>
    <row r="709">
      <c r="D709">
        <f>IF(C709="","",MIN(C709,Settings!$B$5))</f>
        <v/>
      </c>
      <c r="E709">
        <f>IF(C709="","",MAX(0,C709-D709))</f>
        <v/>
      </c>
    </row>
    <row r="710">
      <c r="D710">
        <f>IF(C710="","",MIN(C710,Settings!$B$5))</f>
        <v/>
      </c>
      <c r="E710">
        <f>IF(C710="","",MAX(0,C710-D710))</f>
        <v/>
      </c>
    </row>
    <row r="711">
      <c r="D711">
        <f>IF(C711="","",MIN(C711,Settings!$B$5))</f>
        <v/>
      </c>
      <c r="E711">
        <f>IF(C711="","",MAX(0,C711-D711))</f>
        <v/>
      </c>
    </row>
    <row r="712">
      <c r="D712">
        <f>IF(C712="","",MIN(C712,Settings!$B$5))</f>
        <v/>
      </c>
      <c r="E712">
        <f>IF(C712="","",MAX(0,C712-D712))</f>
        <v/>
      </c>
    </row>
    <row r="713">
      <c r="D713">
        <f>IF(C713="","",MIN(C713,Settings!$B$5))</f>
        <v/>
      </c>
      <c r="E713">
        <f>IF(C713="","",MAX(0,C713-D713))</f>
        <v/>
      </c>
    </row>
    <row r="714">
      <c r="D714">
        <f>IF(C714="","",MIN(C714,Settings!$B$5))</f>
        <v/>
      </c>
      <c r="E714">
        <f>IF(C714="","",MAX(0,C714-D714))</f>
        <v/>
      </c>
    </row>
    <row r="715">
      <c r="D715">
        <f>IF(C715="","",MIN(C715,Settings!$B$5))</f>
        <v/>
      </c>
      <c r="E715">
        <f>IF(C715="","",MAX(0,C715-D715))</f>
        <v/>
      </c>
    </row>
    <row r="716">
      <c r="D716">
        <f>IF(C716="","",MIN(C716,Settings!$B$5))</f>
        <v/>
      </c>
      <c r="E716">
        <f>IF(C716="","",MAX(0,C716-D716))</f>
        <v/>
      </c>
    </row>
    <row r="717">
      <c r="D717">
        <f>IF(C717="","",MIN(C717,Settings!$B$5))</f>
        <v/>
      </c>
      <c r="E717">
        <f>IF(C717="","",MAX(0,C717-D717))</f>
        <v/>
      </c>
    </row>
    <row r="718">
      <c r="D718">
        <f>IF(C718="","",MIN(C718,Settings!$B$5))</f>
        <v/>
      </c>
      <c r="E718">
        <f>IF(C718="","",MAX(0,C718-D718))</f>
        <v/>
      </c>
    </row>
    <row r="719">
      <c r="D719">
        <f>IF(C719="","",MIN(C719,Settings!$B$5))</f>
        <v/>
      </c>
      <c r="E719">
        <f>IF(C719="","",MAX(0,C719-D719))</f>
        <v/>
      </c>
    </row>
    <row r="720">
      <c r="D720">
        <f>IF(C720="","",MIN(C720,Settings!$B$5))</f>
        <v/>
      </c>
      <c r="E720">
        <f>IF(C720="","",MAX(0,C720-D720))</f>
        <v/>
      </c>
    </row>
    <row r="721">
      <c r="D721">
        <f>IF(C721="","",MIN(C721,Settings!$B$5))</f>
        <v/>
      </c>
      <c r="E721">
        <f>IF(C721="","",MAX(0,C721-D721))</f>
        <v/>
      </c>
    </row>
    <row r="722">
      <c r="D722">
        <f>IF(C722="","",MIN(C722,Settings!$B$5))</f>
        <v/>
      </c>
      <c r="E722">
        <f>IF(C722="","",MAX(0,C722-D722))</f>
        <v/>
      </c>
    </row>
    <row r="723">
      <c r="D723">
        <f>IF(C723="","",MIN(C723,Settings!$B$5))</f>
        <v/>
      </c>
      <c r="E723">
        <f>IF(C723="","",MAX(0,C723-D723))</f>
        <v/>
      </c>
    </row>
    <row r="724">
      <c r="D724">
        <f>IF(C724="","",MIN(C724,Settings!$B$5))</f>
        <v/>
      </c>
      <c r="E724">
        <f>IF(C724="","",MAX(0,C724-D724))</f>
        <v/>
      </c>
    </row>
    <row r="725">
      <c r="D725">
        <f>IF(C725="","",MIN(C725,Settings!$B$5))</f>
        <v/>
      </c>
      <c r="E725">
        <f>IF(C725="","",MAX(0,C725-D725))</f>
        <v/>
      </c>
    </row>
    <row r="726">
      <c r="D726">
        <f>IF(C726="","",MIN(C726,Settings!$B$5))</f>
        <v/>
      </c>
      <c r="E726">
        <f>IF(C726="","",MAX(0,C726-D726))</f>
        <v/>
      </c>
    </row>
    <row r="727">
      <c r="D727">
        <f>IF(C727="","",MIN(C727,Settings!$B$5))</f>
        <v/>
      </c>
      <c r="E727">
        <f>IF(C727="","",MAX(0,C727-D727))</f>
        <v/>
      </c>
    </row>
    <row r="728">
      <c r="D728">
        <f>IF(C728="","",MIN(C728,Settings!$B$5))</f>
        <v/>
      </c>
      <c r="E728">
        <f>IF(C728="","",MAX(0,C728-D728))</f>
        <v/>
      </c>
    </row>
    <row r="729">
      <c r="D729">
        <f>IF(C729="","",MIN(C729,Settings!$B$5))</f>
        <v/>
      </c>
      <c r="E729">
        <f>IF(C729="","",MAX(0,C729-D729))</f>
        <v/>
      </c>
    </row>
    <row r="730">
      <c r="D730">
        <f>IF(C730="","",MIN(C730,Settings!$B$5))</f>
        <v/>
      </c>
      <c r="E730">
        <f>IF(C730="","",MAX(0,C730-D730))</f>
        <v/>
      </c>
    </row>
    <row r="731">
      <c r="D731">
        <f>IF(C731="","",MIN(C731,Settings!$B$5))</f>
        <v/>
      </c>
      <c r="E731">
        <f>IF(C731="","",MAX(0,C731-D731))</f>
        <v/>
      </c>
    </row>
    <row r="732">
      <c r="D732">
        <f>IF(C732="","",MIN(C732,Settings!$B$5))</f>
        <v/>
      </c>
      <c r="E732">
        <f>IF(C732="","",MAX(0,C732-D732))</f>
        <v/>
      </c>
    </row>
    <row r="733">
      <c r="D733">
        <f>IF(C733="","",MIN(C733,Settings!$B$5))</f>
        <v/>
      </c>
      <c r="E733">
        <f>IF(C733="","",MAX(0,C733-D733))</f>
        <v/>
      </c>
    </row>
    <row r="734">
      <c r="D734">
        <f>IF(C734="","",MIN(C734,Settings!$B$5))</f>
        <v/>
      </c>
      <c r="E734">
        <f>IF(C734="","",MAX(0,C734-D734))</f>
        <v/>
      </c>
    </row>
    <row r="735">
      <c r="D735">
        <f>IF(C735="","",MIN(C735,Settings!$B$5))</f>
        <v/>
      </c>
      <c r="E735">
        <f>IF(C735="","",MAX(0,C735-D735))</f>
        <v/>
      </c>
    </row>
    <row r="736">
      <c r="D736">
        <f>IF(C736="","",MIN(C736,Settings!$B$5))</f>
        <v/>
      </c>
      <c r="E736">
        <f>IF(C736="","",MAX(0,C736-D736))</f>
        <v/>
      </c>
    </row>
    <row r="737">
      <c r="D737">
        <f>IF(C737="","",MIN(C737,Settings!$B$5))</f>
        <v/>
      </c>
      <c r="E737">
        <f>IF(C737="","",MAX(0,C737-D737))</f>
        <v/>
      </c>
    </row>
    <row r="738">
      <c r="D738">
        <f>IF(C738="","",MIN(C738,Settings!$B$5))</f>
        <v/>
      </c>
      <c r="E738">
        <f>IF(C738="","",MAX(0,C738-D738))</f>
        <v/>
      </c>
    </row>
    <row r="739">
      <c r="D739">
        <f>IF(C739="","",MIN(C739,Settings!$B$5))</f>
        <v/>
      </c>
      <c r="E739">
        <f>IF(C739="","",MAX(0,C739-D739))</f>
        <v/>
      </c>
    </row>
    <row r="740">
      <c r="D740">
        <f>IF(C740="","",MIN(C740,Settings!$B$5))</f>
        <v/>
      </c>
      <c r="E740">
        <f>IF(C740="","",MAX(0,C740-D740))</f>
        <v/>
      </c>
    </row>
    <row r="741">
      <c r="D741">
        <f>IF(C741="","",MIN(C741,Settings!$B$5))</f>
        <v/>
      </c>
      <c r="E741">
        <f>IF(C741="","",MAX(0,C741-D741))</f>
        <v/>
      </c>
    </row>
    <row r="742">
      <c r="D742">
        <f>IF(C742="","",MIN(C742,Settings!$B$5))</f>
        <v/>
      </c>
      <c r="E742">
        <f>IF(C742="","",MAX(0,C742-D742))</f>
        <v/>
      </c>
    </row>
    <row r="743">
      <c r="D743">
        <f>IF(C743="","",MIN(C743,Settings!$B$5))</f>
        <v/>
      </c>
      <c r="E743">
        <f>IF(C743="","",MAX(0,C743-D743))</f>
        <v/>
      </c>
    </row>
    <row r="744">
      <c r="D744">
        <f>IF(C744="","",MIN(C744,Settings!$B$5))</f>
        <v/>
      </c>
      <c r="E744">
        <f>IF(C744="","",MAX(0,C744-D744))</f>
        <v/>
      </c>
    </row>
    <row r="745">
      <c r="D745">
        <f>IF(C745="","",MIN(C745,Settings!$B$5))</f>
        <v/>
      </c>
      <c r="E745">
        <f>IF(C745="","",MAX(0,C745-D745))</f>
        <v/>
      </c>
    </row>
    <row r="746">
      <c r="D746">
        <f>IF(C746="","",MIN(C746,Settings!$B$5))</f>
        <v/>
      </c>
      <c r="E746">
        <f>IF(C746="","",MAX(0,C746-D746))</f>
        <v/>
      </c>
    </row>
    <row r="747">
      <c r="D747">
        <f>IF(C747="","",MIN(C747,Settings!$B$5))</f>
        <v/>
      </c>
      <c r="E747">
        <f>IF(C747="","",MAX(0,C747-D747))</f>
        <v/>
      </c>
    </row>
    <row r="748">
      <c r="D748">
        <f>IF(C748="","",MIN(C748,Settings!$B$5))</f>
        <v/>
      </c>
      <c r="E748">
        <f>IF(C748="","",MAX(0,C748-D748))</f>
        <v/>
      </c>
    </row>
    <row r="749">
      <c r="D749">
        <f>IF(C749="","",MIN(C749,Settings!$B$5))</f>
        <v/>
      </c>
      <c r="E749">
        <f>IF(C749="","",MAX(0,C749-D749))</f>
        <v/>
      </c>
    </row>
    <row r="750">
      <c r="D750">
        <f>IF(C750="","",MIN(C750,Settings!$B$5))</f>
        <v/>
      </c>
      <c r="E750">
        <f>IF(C750="","",MAX(0,C750-D750))</f>
        <v/>
      </c>
    </row>
    <row r="751">
      <c r="D751">
        <f>IF(C751="","",MIN(C751,Settings!$B$5))</f>
        <v/>
      </c>
      <c r="E751">
        <f>IF(C751="","",MAX(0,C751-D751))</f>
        <v/>
      </c>
    </row>
    <row r="752">
      <c r="D752">
        <f>IF(C752="","",MIN(C752,Settings!$B$5))</f>
        <v/>
      </c>
      <c r="E752">
        <f>IF(C752="","",MAX(0,C752-D752))</f>
        <v/>
      </c>
    </row>
    <row r="753">
      <c r="D753">
        <f>IF(C753="","",MIN(C753,Settings!$B$5))</f>
        <v/>
      </c>
      <c r="E753">
        <f>IF(C753="","",MAX(0,C753-D753))</f>
        <v/>
      </c>
    </row>
    <row r="754">
      <c r="D754">
        <f>IF(C754="","",MIN(C754,Settings!$B$5))</f>
        <v/>
      </c>
      <c r="E754">
        <f>IF(C754="","",MAX(0,C754-D754))</f>
        <v/>
      </c>
    </row>
    <row r="755">
      <c r="D755">
        <f>IF(C755="","",MIN(C755,Settings!$B$5))</f>
        <v/>
      </c>
      <c r="E755">
        <f>IF(C755="","",MAX(0,C755-D755))</f>
        <v/>
      </c>
    </row>
    <row r="756">
      <c r="D756">
        <f>IF(C756="","",MIN(C756,Settings!$B$5))</f>
        <v/>
      </c>
      <c r="E756">
        <f>IF(C756="","",MAX(0,C756-D756))</f>
        <v/>
      </c>
    </row>
    <row r="757">
      <c r="D757">
        <f>IF(C757="","",MIN(C757,Settings!$B$5))</f>
        <v/>
      </c>
      <c r="E757">
        <f>IF(C757="","",MAX(0,C757-D757))</f>
        <v/>
      </c>
    </row>
    <row r="758">
      <c r="D758">
        <f>IF(C758="","",MIN(C758,Settings!$B$5))</f>
        <v/>
      </c>
      <c r="E758">
        <f>IF(C758="","",MAX(0,C758-D758))</f>
        <v/>
      </c>
    </row>
    <row r="759">
      <c r="D759">
        <f>IF(C759="","",MIN(C759,Settings!$B$5))</f>
        <v/>
      </c>
      <c r="E759">
        <f>IF(C759="","",MAX(0,C759-D759))</f>
        <v/>
      </c>
    </row>
    <row r="760">
      <c r="D760">
        <f>IF(C760="","",MIN(C760,Settings!$B$5))</f>
        <v/>
      </c>
      <c r="E760">
        <f>IF(C760="","",MAX(0,C760-D760))</f>
        <v/>
      </c>
    </row>
    <row r="761">
      <c r="D761">
        <f>IF(C761="","",MIN(C761,Settings!$B$5))</f>
        <v/>
      </c>
      <c r="E761">
        <f>IF(C761="","",MAX(0,C761-D761))</f>
        <v/>
      </c>
    </row>
    <row r="762">
      <c r="D762">
        <f>IF(C762="","",MIN(C762,Settings!$B$5))</f>
        <v/>
      </c>
      <c r="E762">
        <f>IF(C762="","",MAX(0,C762-D762))</f>
        <v/>
      </c>
    </row>
    <row r="763">
      <c r="D763">
        <f>IF(C763="","",MIN(C763,Settings!$B$5))</f>
        <v/>
      </c>
      <c r="E763">
        <f>IF(C763="","",MAX(0,C763-D763))</f>
        <v/>
      </c>
    </row>
    <row r="764">
      <c r="D764">
        <f>IF(C764="","",MIN(C764,Settings!$B$5))</f>
        <v/>
      </c>
      <c r="E764">
        <f>IF(C764="","",MAX(0,C764-D764))</f>
        <v/>
      </c>
    </row>
    <row r="765">
      <c r="D765">
        <f>IF(C765="","",MIN(C765,Settings!$B$5))</f>
        <v/>
      </c>
      <c r="E765">
        <f>IF(C765="","",MAX(0,C765-D765))</f>
        <v/>
      </c>
    </row>
    <row r="766">
      <c r="D766">
        <f>IF(C766="","",MIN(C766,Settings!$B$5))</f>
        <v/>
      </c>
      <c r="E766">
        <f>IF(C766="","",MAX(0,C766-D766))</f>
        <v/>
      </c>
    </row>
    <row r="767">
      <c r="D767">
        <f>IF(C767="","",MIN(C767,Settings!$B$5))</f>
        <v/>
      </c>
      <c r="E767">
        <f>IF(C767="","",MAX(0,C767-D767))</f>
        <v/>
      </c>
    </row>
    <row r="768">
      <c r="D768">
        <f>IF(C768="","",MIN(C768,Settings!$B$5))</f>
        <v/>
      </c>
      <c r="E768">
        <f>IF(C768="","",MAX(0,C768-D768))</f>
        <v/>
      </c>
    </row>
    <row r="769">
      <c r="D769">
        <f>IF(C769="","",MIN(C769,Settings!$B$5))</f>
        <v/>
      </c>
      <c r="E769">
        <f>IF(C769="","",MAX(0,C769-D769))</f>
        <v/>
      </c>
    </row>
    <row r="770">
      <c r="D770">
        <f>IF(C770="","",MIN(C770,Settings!$B$5))</f>
        <v/>
      </c>
      <c r="E770">
        <f>IF(C770="","",MAX(0,C770-D770))</f>
        <v/>
      </c>
    </row>
    <row r="771">
      <c r="D771">
        <f>IF(C771="","",MIN(C771,Settings!$B$5))</f>
        <v/>
      </c>
      <c r="E771">
        <f>IF(C771="","",MAX(0,C771-D771))</f>
        <v/>
      </c>
    </row>
    <row r="772">
      <c r="D772">
        <f>IF(C772="","",MIN(C772,Settings!$B$5))</f>
        <v/>
      </c>
      <c r="E772">
        <f>IF(C772="","",MAX(0,C772-D772))</f>
        <v/>
      </c>
    </row>
    <row r="773">
      <c r="D773">
        <f>IF(C773="","",MIN(C773,Settings!$B$5))</f>
        <v/>
      </c>
      <c r="E773">
        <f>IF(C773="","",MAX(0,C773-D773))</f>
        <v/>
      </c>
    </row>
    <row r="774">
      <c r="D774">
        <f>IF(C774="","",MIN(C774,Settings!$B$5))</f>
        <v/>
      </c>
      <c r="E774">
        <f>IF(C774="","",MAX(0,C774-D774))</f>
        <v/>
      </c>
    </row>
    <row r="775">
      <c r="D775">
        <f>IF(C775="","",MIN(C775,Settings!$B$5))</f>
        <v/>
      </c>
      <c r="E775">
        <f>IF(C775="","",MAX(0,C775-D775))</f>
        <v/>
      </c>
    </row>
    <row r="776">
      <c r="D776">
        <f>IF(C776="","",MIN(C776,Settings!$B$5))</f>
        <v/>
      </c>
      <c r="E776">
        <f>IF(C776="","",MAX(0,C776-D776))</f>
        <v/>
      </c>
    </row>
    <row r="777">
      <c r="D777">
        <f>IF(C777="","",MIN(C777,Settings!$B$5))</f>
        <v/>
      </c>
      <c r="E777">
        <f>IF(C777="","",MAX(0,C777-D777))</f>
        <v/>
      </c>
    </row>
    <row r="778">
      <c r="D778">
        <f>IF(C778="","",MIN(C778,Settings!$B$5))</f>
        <v/>
      </c>
      <c r="E778">
        <f>IF(C778="","",MAX(0,C778-D778))</f>
        <v/>
      </c>
    </row>
    <row r="779">
      <c r="D779">
        <f>IF(C779="","",MIN(C779,Settings!$B$5))</f>
        <v/>
      </c>
      <c r="E779">
        <f>IF(C779="","",MAX(0,C779-D779))</f>
        <v/>
      </c>
    </row>
    <row r="780">
      <c r="D780">
        <f>IF(C780="","",MIN(C780,Settings!$B$5))</f>
        <v/>
      </c>
      <c r="E780">
        <f>IF(C780="","",MAX(0,C780-D780))</f>
        <v/>
      </c>
    </row>
    <row r="781">
      <c r="D781">
        <f>IF(C781="","",MIN(C781,Settings!$B$5))</f>
        <v/>
      </c>
      <c r="E781">
        <f>IF(C781="","",MAX(0,C781-D781))</f>
        <v/>
      </c>
    </row>
    <row r="782">
      <c r="D782">
        <f>IF(C782="","",MIN(C782,Settings!$B$5))</f>
        <v/>
      </c>
      <c r="E782">
        <f>IF(C782="","",MAX(0,C782-D782))</f>
        <v/>
      </c>
    </row>
    <row r="783">
      <c r="D783">
        <f>IF(C783="","",MIN(C783,Settings!$B$5))</f>
        <v/>
      </c>
      <c r="E783">
        <f>IF(C783="","",MAX(0,C783-D783))</f>
        <v/>
      </c>
    </row>
    <row r="784">
      <c r="D784">
        <f>IF(C784="","",MIN(C784,Settings!$B$5))</f>
        <v/>
      </c>
      <c r="E784">
        <f>IF(C784="","",MAX(0,C784-D784))</f>
        <v/>
      </c>
    </row>
    <row r="785">
      <c r="D785">
        <f>IF(C785="","",MIN(C785,Settings!$B$5))</f>
        <v/>
      </c>
      <c r="E785">
        <f>IF(C785="","",MAX(0,C785-D785))</f>
        <v/>
      </c>
    </row>
    <row r="786">
      <c r="D786">
        <f>IF(C786="","",MIN(C786,Settings!$B$5))</f>
        <v/>
      </c>
      <c r="E786">
        <f>IF(C786="","",MAX(0,C786-D786))</f>
        <v/>
      </c>
    </row>
    <row r="787">
      <c r="D787">
        <f>IF(C787="","",MIN(C787,Settings!$B$5))</f>
        <v/>
      </c>
      <c r="E787">
        <f>IF(C787="","",MAX(0,C787-D787))</f>
        <v/>
      </c>
    </row>
    <row r="788">
      <c r="D788">
        <f>IF(C788="","",MIN(C788,Settings!$B$5))</f>
        <v/>
      </c>
      <c r="E788">
        <f>IF(C788="","",MAX(0,C788-D788))</f>
        <v/>
      </c>
    </row>
    <row r="789">
      <c r="D789">
        <f>IF(C789="","",MIN(C789,Settings!$B$5))</f>
        <v/>
      </c>
      <c r="E789">
        <f>IF(C789="","",MAX(0,C789-D789))</f>
        <v/>
      </c>
    </row>
    <row r="790">
      <c r="D790">
        <f>IF(C790="","",MIN(C790,Settings!$B$5))</f>
        <v/>
      </c>
      <c r="E790">
        <f>IF(C790="","",MAX(0,C790-D790))</f>
        <v/>
      </c>
    </row>
    <row r="791">
      <c r="D791">
        <f>IF(C791="","",MIN(C791,Settings!$B$5))</f>
        <v/>
      </c>
      <c r="E791">
        <f>IF(C791="","",MAX(0,C791-D791))</f>
        <v/>
      </c>
    </row>
    <row r="792">
      <c r="D792">
        <f>IF(C792="","",MIN(C792,Settings!$B$5))</f>
        <v/>
      </c>
      <c r="E792">
        <f>IF(C792="","",MAX(0,C792-D792))</f>
        <v/>
      </c>
    </row>
    <row r="793">
      <c r="D793">
        <f>IF(C793="","",MIN(C793,Settings!$B$5))</f>
        <v/>
      </c>
      <c r="E793">
        <f>IF(C793="","",MAX(0,C793-D793))</f>
        <v/>
      </c>
    </row>
    <row r="794">
      <c r="D794">
        <f>IF(C794="","",MIN(C794,Settings!$B$5))</f>
        <v/>
      </c>
      <c r="E794">
        <f>IF(C794="","",MAX(0,C794-D794))</f>
        <v/>
      </c>
    </row>
    <row r="795">
      <c r="D795">
        <f>IF(C795="","",MIN(C795,Settings!$B$5))</f>
        <v/>
      </c>
      <c r="E795">
        <f>IF(C795="","",MAX(0,C795-D795))</f>
        <v/>
      </c>
    </row>
    <row r="796">
      <c r="D796">
        <f>IF(C796="","",MIN(C796,Settings!$B$5))</f>
        <v/>
      </c>
      <c r="E796">
        <f>IF(C796="","",MAX(0,C796-D796))</f>
        <v/>
      </c>
    </row>
    <row r="797">
      <c r="D797">
        <f>IF(C797="","",MIN(C797,Settings!$B$5))</f>
        <v/>
      </c>
      <c r="E797">
        <f>IF(C797="","",MAX(0,C797-D797))</f>
        <v/>
      </c>
    </row>
    <row r="798">
      <c r="D798">
        <f>IF(C798="","",MIN(C798,Settings!$B$5))</f>
        <v/>
      </c>
      <c r="E798">
        <f>IF(C798="","",MAX(0,C798-D798))</f>
        <v/>
      </c>
    </row>
    <row r="799">
      <c r="D799">
        <f>IF(C799="","",MIN(C799,Settings!$B$5))</f>
        <v/>
      </c>
      <c r="E799">
        <f>IF(C799="","",MAX(0,C799-D799))</f>
        <v/>
      </c>
    </row>
    <row r="800">
      <c r="D800">
        <f>IF(C800="","",MIN(C800,Settings!$B$5))</f>
        <v/>
      </c>
      <c r="E800">
        <f>IF(C800="","",MAX(0,C800-D800))</f>
        <v/>
      </c>
    </row>
    <row r="801">
      <c r="D801">
        <f>IF(C801="","",MIN(C801,Settings!$B$5))</f>
        <v/>
      </c>
      <c r="E801">
        <f>IF(C801="","",MAX(0,C801-D801))</f>
        <v/>
      </c>
    </row>
    <row r="802">
      <c r="D802">
        <f>IF(C802="","",MIN(C802,Settings!$B$5))</f>
        <v/>
      </c>
      <c r="E802">
        <f>IF(C802="","",MAX(0,C802-D802))</f>
        <v/>
      </c>
    </row>
    <row r="803">
      <c r="D803">
        <f>IF(C803="","",MIN(C803,Settings!$B$5))</f>
        <v/>
      </c>
      <c r="E803">
        <f>IF(C803="","",MAX(0,C803-D803))</f>
        <v/>
      </c>
    </row>
    <row r="804">
      <c r="D804">
        <f>IF(C804="","",MIN(C804,Settings!$B$5))</f>
        <v/>
      </c>
      <c r="E804">
        <f>IF(C804="","",MAX(0,C804-D804))</f>
        <v/>
      </c>
    </row>
    <row r="805">
      <c r="D805">
        <f>IF(C805="","",MIN(C805,Settings!$B$5))</f>
        <v/>
      </c>
      <c r="E805">
        <f>IF(C805="","",MAX(0,C805-D805))</f>
        <v/>
      </c>
    </row>
    <row r="806">
      <c r="D806">
        <f>IF(C806="","",MIN(C806,Settings!$B$5))</f>
        <v/>
      </c>
      <c r="E806">
        <f>IF(C806="","",MAX(0,C806-D806))</f>
        <v/>
      </c>
    </row>
    <row r="807">
      <c r="D807">
        <f>IF(C807="","",MIN(C807,Settings!$B$5))</f>
        <v/>
      </c>
      <c r="E807">
        <f>IF(C807="","",MAX(0,C807-D807))</f>
        <v/>
      </c>
    </row>
    <row r="808">
      <c r="D808">
        <f>IF(C808="","",MIN(C808,Settings!$B$5))</f>
        <v/>
      </c>
      <c r="E808">
        <f>IF(C808="","",MAX(0,C808-D808))</f>
        <v/>
      </c>
    </row>
    <row r="809">
      <c r="D809">
        <f>IF(C809="","",MIN(C809,Settings!$B$5))</f>
        <v/>
      </c>
      <c r="E809">
        <f>IF(C809="","",MAX(0,C809-D809))</f>
        <v/>
      </c>
    </row>
    <row r="810">
      <c r="D810">
        <f>IF(C810="","",MIN(C810,Settings!$B$5))</f>
        <v/>
      </c>
      <c r="E810">
        <f>IF(C810="","",MAX(0,C810-D810))</f>
        <v/>
      </c>
    </row>
    <row r="811">
      <c r="D811">
        <f>IF(C811="","",MIN(C811,Settings!$B$5))</f>
        <v/>
      </c>
      <c r="E811">
        <f>IF(C811="","",MAX(0,C811-D811))</f>
        <v/>
      </c>
    </row>
    <row r="812">
      <c r="D812">
        <f>IF(C812="","",MIN(C812,Settings!$B$5))</f>
        <v/>
      </c>
      <c r="E812">
        <f>IF(C812="","",MAX(0,C812-D812))</f>
        <v/>
      </c>
    </row>
    <row r="813">
      <c r="D813">
        <f>IF(C813="","",MIN(C813,Settings!$B$5))</f>
        <v/>
      </c>
      <c r="E813">
        <f>IF(C813="","",MAX(0,C813-D813))</f>
        <v/>
      </c>
    </row>
    <row r="814">
      <c r="D814">
        <f>IF(C814="","",MIN(C814,Settings!$B$5))</f>
        <v/>
      </c>
      <c r="E814">
        <f>IF(C814="","",MAX(0,C814-D814))</f>
        <v/>
      </c>
    </row>
    <row r="815">
      <c r="D815">
        <f>IF(C815="","",MIN(C815,Settings!$B$5))</f>
        <v/>
      </c>
      <c r="E815">
        <f>IF(C815="","",MAX(0,C815-D815))</f>
        <v/>
      </c>
    </row>
    <row r="816">
      <c r="D816">
        <f>IF(C816="","",MIN(C816,Settings!$B$5))</f>
        <v/>
      </c>
      <c r="E816">
        <f>IF(C816="","",MAX(0,C816-D816))</f>
        <v/>
      </c>
    </row>
    <row r="817">
      <c r="D817">
        <f>IF(C817="","",MIN(C817,Settings!$B$5))</f>
        <v/>
      </c>
      <c r="E817">
        <f>IF(C817="","",MAX(0,C817-D817))</f>
        <v/>
      </c>
    </row>
    <row r="818">
      <c r="D818">
        <f>IF(C818="","",MIN(C818,Settings!$B$5))</f>
        <v/>
      </c>
      <c r="E818">
        <f>IF(C818="","",MAX(0,C818-D818))</f>
        <v/>
      </c>
    </row>
    <row r="819">
      <c r="D819">
        <f>IF(C819="","",MIN(C819,Settings!$B$5))</f>
        <v/>
      </c>
      <c r="E819">
        <f>IF(C819="","",MAX(0,C819-D819))</f>
        <v/>
      </c>
    </row>
    <row r="820">
      <c r="D820">
        <f>IF(C820="","",MIN(C820,Settings!$B$5))</f>
        <v/>
      </c>
      <c r="E820">
        <f>IF(C820="","",MAX(0,C820-D820))</f>
        <v/>
      </c>
    </row>
    <row r="821">
      <c r="D821">
        <f>IF(C821="","",MIN(C821,Settings!$B$5))</f>
        <v/>
      </c>
      <c r="E821">
        <f>IF(C821="","",MAX(0,C821-D821))</f>
        <v/>
      </c>
    </row>
    <row r="822">
      <c r="D822">
        <f>IF(C822="","",MIN(C822,Settings!$B$5))</f>
        <v/>
      </c>
      <c r="E822">
        <f>IF(C822="","",MAX(0,C822-D822))</f>
        <v/>
      </c>
    </row>
    <row r="823">
      <c r="D823">
        <f>IF(C823="","",MIN(C823,Settings!$B$5))</f>
        <v/>
      </c>
      <c r="E823">
        <f>IF(C823="","",MAX(0,C823-D823))</f>
        <v/>
      </c>
    </row>
    <row r="824">
      <c r="D824">
        <f>IF(C824="","",MIN(C824,Settings!$B$5))</f>
        <v/>
      </c>
      <c r="E824">
        <f>IF(C824="","",MAX(0,C824-D824))</f>
        <v/>
      </c>
    </row>
    <row r="825">
      <c r="D825">
        <f>IF(C825="","",MIN(C825,Settings!$B$5))</f>
        <v/>
      </c>
      <c r="E825">
        <f>IF(C825="","",MAX(0,C825-D825))</f>
        <v/>
      </c>
    </row>
    <row r="826">
      <c r="D826">
        <f>IF(C826="","",MIN(C826,Settings!$B$5))</f>
        <v/>
      </c>
      <c r="E826">
        <f>IF(C826="","",MAX(0,C826-D826))</f>
        <v/>
      </c>
    </row>
    <row r="827">
      <c r="D827">
        <f>IF(C827="","",MIN(C827,Settings!$B$5))</f>
        <v/>
      </c>
      <c r="E827">
        <f>IF(C827="","",MAX(0,C827-D827))</f>
        <v/>
      </c>
    </row>
    <row r="828">
      <c r="D828">
        <f>IF(C828="","",MIN(C828,Settings!$B$5))</f>
        <v/>
      </c>
      <c r="E828">
        <f>IF(C828="","",MAX(0,C828-D828))</f>
        <v/>
      </c>
    </row>
    <row r="829">
      <c r="D829">
        <f>IF(C829="","",MIN(C829,Settings!$B$5))</f>
        <v/>
      </c>
      <c r="E829">
        <f>IF(C829="","",MAX(0,C829-D829))</f>
        <v/>
      </c>
    </row>
    <row r="830">
      <c r="D830">
        <f>IF(C830="","",MIN(C830,Settings!$B$5))</f>
        <v/>
      </c>
      <c r="E830">
        <f>IF(C830="","",MAX(0,C830-D830))</f>
        <v/>
      </c>
    </row>
    <row r="831">
      <c r="D831">
        <f>IF(C831="","",MIN(C831,Settings!$B$5))</f>
        <v/>
      </c>
      <c r="E831">
        <f>IF(C831="","",MAX(0,C831-D831))</f>
        <v/>
      </c>
    </row>
    <row r="832">
      <c r="D832">
        <f>IF(C832="","",MIN(C832,Settings!$B$5))</f>
        <v/>
      </c>
      <c r="E832">
        <f>IF(C832="","",MAX(0,C832-D832))</f>
        <v/>
      </c>
    </row>
    <row r="833">
      <c r="D833">
        <f>IF(C833="","",MIN(C833,Settings!$B$5))</f>
        <v/>
      </c>
      <c r="E833">
        <f>IF(C833="","",MAX(0,C833-D833))</f>
        <v/>
      </c>
    </row>
    <row r="834">
      <c r="D834">
        <f>IF(C834="","",MIN(C834,Settings!$B$5))</f>
        <v/>
      </c>
      <c r="E834">
        <f>IF(C834="","",MAX(0,C834-D834))</f>
        <v/>
      </c>
    </row>
    <row r="835">
      <c r="D835">
        <f>IF(C835="","",MIN(C835,Settings!$B$5))</f>
        <v/>
      </c>
      <c r="E835">
        <f>IF(C835="","",MAX(0,C835-D835))</f>
        <v/>
      </c>
    </row>
    <row r="836">
      <c r="D836">
        <f>IF(C836="","",MIN(C836,Settings!$B$5))</f>
        <v/>
      </c>
      <c r="E836">
        <f>IF(C836="","",MAX(0,C836-D836))</f>
        <v/>
      </c>
    </row>
    <row r="837">
      <c r="D837">
        <f>IF(C837="","",MIN(C837,Settings!$B$5))</f>
        <v/>
      </c>
      <c r="E837">
        <f>IF(C837="","",MAX(0,C837-D837))</f>
        <v/>
      </c>
    </row>
    <row r="838">
      <c r="D838">
        <f>IF(C838="","",MIN(C838,Settings!$B$5))</f>
        <v/>
      </c>
      <c r="E838">
        <f>IF(C838="","",MAX(0,C838-D838))</f>
        <v/>
      </c>
    </row>
    <row r="839">
      <c r="D839">
        <f>IF(C839="","",MIN(C839,Settings!$B$5))</f>
        <v/>
      </c>
      <c r="E839">
        <f>IF(C839="","",MAX(0,C839-D839))</f>
        <v/>
      </c>
    </row>
    <row r="840">
      <c r="D840">
        <f>IF(C840="","",MIN(C840,Settings!$B$5))</f>
        <v/>
      </c>
      <c r="E840">
        <f>IF(C840="","",MAX(0,C840-D840))</f>
        <v/>
      </c>
    </row>
    <row r="841">
      <c r="D841">
        <f>IF(C841="","",MIN(C841,Settings!$B$5))</f>
        <v/>
      </c>
      <c r="E841">
        <f>IF(C841="","",MAX(0,C841-D841))</f>
        <v/>
      </c>
    </row>
    <row r="842">
      <c r="D842">
        <f>IF(C842="","",MIN(C842,Settings!$B$5))</f>
        <v/>
      </c>
      <c r="E842">
        <f>IF(C842="","",MAX(0,C842-D842))</f>
        <v/>
      </c>
    </row>
    <row r="843">
      <c r="D843">
        <f>IF(C843="","",MIN(C843,Settings!$B$5))</f>
        <v/>
      </c>
      <c r="E843">
        <f>IF(C843="","",MAX(0,C843-D843))</f>
        <v/>
      </c>
    </row>
    <row r="844">
      <c r="D844">
        <f>IF(C844="","",MIN(C844,Settings!$B$5))</f>
        <v/>
      </c>
      <c r="E844">
        <f>IF(C844="","",MAX(0,C844-D844))</f>
        <v/>
      </c>
    </row>
    <row r="845">
      <c r="D845">
        <f>IF(C845="","",MIN(C845,Settings!$B$5))</f>
        <v/>
      </c>
      <c r="E845">
        <f>IF(C845="","",MAX(0,C845-D845))</f>
        <v/>
      </c>
    </row>
    <row r="846">
      <c r="D846">
        <f>IF(C846="","",MIN(C846,Settings!$B$5))</f>
        <v/>
      </c>
      <c r="E846">
        <f>IF(C846="","",MAX(0,C846-D846))</f>
        <v/>
      </c>
    </row>
    <row r="847">
      <c r="D847">
        <f>IF(C847="","",MIN(C847,Settings!$B$5))</f>
        <v/>
      </c>
      <c r="E847">
        <f>IF(C847="","",MAX(0,C847-D847))</f>
        <v/>
      </c>
    </row>
    <row r="848">
      <c r="D848">
        <f>IF(C848="","",MIN(C848,Settings!$B$5))</f>
        <v/>
      </c>
      <c r="E848">
        <f>IF(C848="","",MAX(0,C848-D848))</f>
        <v/>
      </c>
    </row>
    <row r="849">
      <c r="D849">
        <f>IF(C849="","",MIN(C849,Settings!$B$5))</f>
        <v/>
      </c>
      <c r="E849">
        <f>IF(C849="","",MAX(0,C849-D849))</f>
        <v/>
      </c>
    </row>
    <row r="850">
      <c r="D850">
        <f>IF(C850="","",MIN(C850,Settings!$B$5))</f>
        <v/>
      </c>
      <c r="E850">
        <f>IF(C850="","",MAX(0,C850-D850))</f>
        <v/>
      </c>
    </row>
    <row r="851">
      <c r="D851">
        <f>IF(C851="","",MIN(C851,Settings!$B$5))</f>
        <v/>
      </c>
      <c r="E851">
        <f>IF(C851="","",MAX(0,C851-D851))</f>
        <v/>
      </c>
    </row>
    <row r="852">
      <c r="D852">
        <f>IF(C852="","",MIN(C852,Settings!$B$5))</f>
        <v/>
      </c>
      <c r="E852">
        <f>IF(C852="","",MAX(0,C852-D852))</f>
        <v/>
      </c>
    </row>
    <row r="853">
      <c r="D853">
        <f>IF(C853="","",MIN(C853,Settings!$B$5))</f>
        <v/>
      </c>
      <c r="E853">
        <f>IF(C853="","",MAX(0,C853-D853))</f>
        <v/>
      </c>
    </row>
    <row r="854">
      <c r="D854">
        <f>IF(C854="","",MIN(C854,Settings!$B$5))</f>
        <v/>
      </c>
      <c r="E854">
        <f>IF(C854="","",MAX(0,C854-D854))</f>
        <v/>
      </c>
    </row>
    <row r="855">
      <c r="D855">
        <f>IF(C855="","",MIN(C855,Settings!$B$5))</f>
        <v/>
      </c>
      <c r="E855">
        <f>IF(C855="","",MAX(0,C855-D855))</f>
        <v/>
      </c>
    </row>
    <row r="856">
      <c r="D856">
        <f>IF(C856="","",MIN(C856,Settings!$B$5))</f>
        <v/>
      </c>
      <c r="E856">
        <f>IF(C856="","",MAX(0,C856-D856))</f>
        <v/>
      </c>
    </row>
    <row r="857">
      <c r="D857">
        <f>IF(C857="","",MIN(C857,Settings!$B$5))</f>
        <v/>
      </c>
      <c r="E857">
        <f>IF(C857="","",MAX(0,C857-D857))</f>
        <v/>
      </c>
    </row>
    <row r="858">
      <c r="D858">
        <f>IF(C858="","",MIN(C858,Settings!$B$5))</f>
        <v/>
      </c>
      <c r="E858">
        <f>IF(C858="","",MAX(0,C858-D858))</f>
        <v/>
      </c>
    </row>
    <row r="859">
      <c r="D859">
        <f>IF(C859="","",MIN(C859,Settings!$B$5))</f>
        <v/>
      </c>
      <c r="E859">
        <f>IF(C859="","",MAX(0,C859-D859))</f>
        <v/>
      </c>
    </row>
    <row r="860">
      <c r="D860">
        <f>IF(C860="","",MIN(C860,Settings!$B$5))</f>
        <v/>
      </c>
      <c r="E860">
        <f>IF(C860="","",MAX(0,C860-D860))</f>
        <v/>
      </c>
    </row>
    <row r="861">
      <c r="D861">
        <f>IF(C861="","",MIN(C861,Settings!$B$5))</f>
        <v/>
      </c>
      <c r="E861">
        <f>IF(C861="","",MAX(0,C861-D861))</f>
        <v/>
      </c>
    </row>
    <row r="862">
      <c r="D862">
        <f>IF(C862="","",MIN(C862,Settings!$B$5))</f>
        <v/>
      </c>
      <c r="E862">
        <f>IF(C862="","",MAX(0,C862-D862))</f>
        <v/>
      </c>
    </row>
    <row r="863">
      <c r="D863">
        <f>IF(C863="","",MIN(C863,Settings!$B$5))</f>
        <v/>
      </c>
      <c r="E863">
        <f>IF(C863="","",MAX(0,C863-D863))</f>
        <v/>
      </c>
    </row>
    <row r="864">
      <c r="D864">
        <f>IF(C864="","",MIN(C864,Settings!$B$5))</f>
        <v/>
      </c>
      <c r="E864">
        <f>IF(C864="","",MAX(0,C864-D864))</f>
        <v/>
      </c>
    </row>
    <row r="865">
      <c r="D865">
        <f>IF(C865="","",MIN(C865,Settings!$B$5))</f>
        <v/>
      </c>
      <c r="E865">
        <f>IF(C865="","",MAX(0,C865-D865))</f>
        <v/>
      </c>
    </row>
    <row r="866">
      <c r="D866">
        <f>IF(C866="","",MIN(C866,Settings!$B$5))</f>
        <v/>
      </c>
      <c r="E866">
        <f>IF(C866="","",MAX(0,C866-D866))</f>
        <v/>
      </c>
    </row>
    <row r="867">
      <c r="D867">
        <f>IF(C867="","",MIN(C867,Settings!$B$5))</f>
        <v/>
      </c>
      <c r="E867">
        <f>IF(C867="","",MAX(0,C867-D867))</f>
        <v/>
      </c>
    </row>
    <row r="868">
      <c r="D868">
        <f>IF(C868="","",MIN(C868,Settings!$B$5))</f>
        <v/>
      </c>
      <c r="E868">
        <f>IF(C868="","",MAX(0,C868-D868))</f>
        <v/>
      </c>
    </row>
    <row r="869">
      <c r="D869">
        <f>IF(C869="","",MIN(C869,Settings!$B$5))</f>
        <v/>
      </c>
      <c r="E869">
        <f>IF(C869="","",MAX(0,C869-D869))</f>
        <v/>
      </c>
    </row>
    <row r="870">
      <c r="D870">
        <f>IF(C870="","",MIN(C870,Settings!$B$5))</f>
        <v/>
      </c>
      <c r="E870">
        <f>IF(C870="","",MAX(0,C870-D870))</f>
        <v/>
      </c>
    </row>
    <row r="871">
      <c r="D871">
        <f>IF(C871="","",MIN(C871,Settings!$B$5))</f>
        <v/>
      </c>
      <c r="E871">
        <f>IF(C871="","",MAX(0,C871-D871))</f>
        <v/>
      </c>
    </row>
    <row r="872">
      <c r="D872">
        <f>IF(C872="","",MIN(C872,Settings!$B$5))</f>
        <v/>
      </c>
      <c r="E872">
        <f>IF(C872="","",MAX(0,C872-D872))</f>
        <v/>
      </c>
    </row>
    <row r="873">
      <c r="D873">
        <f>IF(C873="","",MIN(C873,Settings!$B$5))</f>
        <v/>
      </c>
      <c r="E873">
        <f>IF(C873="","",MAX(0,C873-D873))</f>
        <v/>
      </c>
    </row>
    <row r="874">
      <c r="D874">
        <f>IF(C874="","",MIN(C874,Settings!$B$5))</f>
        <v/>
      </c>
      <c r="E874">
        <f>IF(C874="","",MAX(0,C874-D874))</f>
        <v/>
      </c>
    </row>
    <row r="875">
      <c r="D875">
        <f>IF(C875="","",MIN(C875,Settings!$B$5))</f>
        <v/>
      </c>
      <c r="E875">
        <f>IF(C875="","",MAX(0,C875-D875))</f>
        <v/>
      </c>
    </row>
    <row r="876">
      <c r="D876">
        <f>IF(C876="","",MIN(C876,Settings!$B$5))</f>
        <v/>
      </c>
      <c r="E876">
        <f>IF(C876="","",MAX(0,C876-D876))</f>
        <v/>
      </c>
    </row>
    <row r="877">
      <c r="D877">
        <f>IF(C877="","",MIN(C877,Settings!$B$5))</f>
        <v/>
      </c>
      <c r="E877">
        <f>IF(C877="","",MAX(0,C877-D877))</f>
        <v/>
      </c>
    </row>
    <row r="878">
      <c r="D878">
        <f>IF(C878="","",MIN(C878,Settings!$B$5))</f>
        <v/>
      </c>
      <c r="E878">
        <f>IF(C878="","",MAX(0,C878-D878))</f>
        <v/>
      </c>
    </row>
    <row r="879">
      <c r="D879">
        <f>IF(C879="","",MIN(C879,Settings!$B$5))</f>
        <v/>
      </c>
      <c r="E879">
        <f>IF(C879="","",MAX(0,C879-D879))</f>
        <v/>
      </c>
    </row>
    <row r="880">
      <c r="D880">
        <f>IF(C880="","",MIN(C880,Settings!$B$5))</f>
        <v/>
      </c>
      <c r="E880">
        <f>IF(C880="","",MAX(0,C880-D880))</f>
        <v/>
      </c>
    </row>
    <row r="881">
      <c r="D881">
        <f>IF(C881="","",MIN(C881,Settings!$B$5))</f>
        <v/>
      </c>
      <c r="E881">
        <f>IF(C881="","",MAX(0,C881-D881))</f>
        <v/>
      </c>
    </row>
    <row r="882">
      <c r="D882">
        <f>IF(C882="","",MIN(C882,Settings!$B$5))</f>
        <v/>
      </c>
      <c r="E882">
        <f>IF(C882="","",MAX(0,C882-D882))</f>
        <v/>
      </c>
    </row>
    <row r="883">
      <c r="D883">
        <f>IF(C883="","",MIN(C883,Settings!$B$5))</f>
        <v/>
      </c>
      <c r="E883">
        <f>IF(C883="","",MAX(0,C883-D883))</f>
        <v/>
      </c>
    </row>
    <row r="884">
      <c r="D884">
        <f>IF(C884="","",MIN(C884,Settings!$B$5))</f>
        <v/>
      </c>
      <c r="E884">
        <f>IF(C884="","",MAX(0,C884-D884))</f>
        <v/>
      </c>
    </row>
    <row r="885">
      <c r="D885">
        <f>IF(C885="","",MIN(C885,Settings!$B$5))</f>
        <v/>
      </c>
      <c r="E885">
        <f>IF(C885="","",MAX(0,C885-D885))</f>
        <v/>
      </c>
    </row>
    <row r="886">
      <c r="D886">
        <f>IF(C886="","",MIN(C886,Settings!$B$5))</f>
        <v/>
      </c>
      <c r="E886">
        <f>IF(C886="","",MAX(0,C886-D886))</f>
        <v/>
      </c>
    </row>
    <row r="887">
      <c r="D887">
        <f>IF(C887="","",MIN(C887,Settings!$B$5))</f>
        <v/>
      </c>
      <c r="E887">
        <f>IF(C887="","",MAX(0,C887-D887))</f>
        <v/>
      </c>
    </row>
    <row r="888">
      <c r="D888">
        <f>IF(C888="","",MIN(C888,Settings!$B$5))</f>
        <v/>
      </c>
      <c r="E888">
        <f>IF(C888="","",MAX(0,C888-D888))</f>
        <v/>
      </c>
    </row>
    <row r="889">
      <c r="D889">
        <f>IF(C889="","",MIN(C889,Settings!$B$5))</f>
        <v/>
      </c>
      <c r="E889">
        <f>IF(C889="","",MAX(0,C889-D889))</f>
        <v/>
      </c>
    </row>
    <row r="890">
      <c r="D890">
        <f>IF(C890="","",MIN(C890,Settings!$B$5))</f>
        <v/>
      </c>
      <c r="E890">
        <f>IF(C890="","",MAX(0,C890-D890))</f>
        <v/>
      </c>
    </row>
    <row r="891">
      <c r="D891">
        <f>IF(C891="","",MIN(C891,Settings!$B$5))</f>
        <v/>
      </c>
      <c r="E891">
        <f>IF(C891="","",MAX(0,C891-D891))</f>
        <v/>
      </c>
    </row>
    <row r="892">
      <c r="D892">
        <f>IF(C892="","",MIN(C892,Settings!$B$5))</f>
        <v/>
      </c>
      <c r="E892">
        <f>IF(C892="","",MAX(0,C892-D892))</f>
        <v/>
      </c>
    </row>
    <row r="893">
      <c r="D893">
        <f>IF(C893="","",MIN(C893,Settings!$B$5))</f>
        <v/>
      </c>
      <c r="E893">
        <f>IF(C893="","",MAX(0,C893-D893))</f>
        <v/>
      </c>
    </row>
    <row r="894">
      <c r="D894">
        <f>IF(C894="","",MIN(C894,Settings!$B$5))</f>
        <v/>
      </c>
      <c r="E894">
        <f>IF(C894="","",MAX(0,C894-D894))</f>
        <v/>
      </c>
    </row>
    <row r="895">
      <c r="D895">
        <f>IF(C895="","",MIN(C895,Settings!$B$5))</f>
        <v/>
      </c>
      <c r="E895">
        <f>IF(C895="","",MAX(0,C895-D895))</f>
        <v/>
      </c>
    </row>
    <row r="896">
      <c r="D896">
        <f>IF(C896="","",MIN(C896,Settings!$B$5))</f>
        <v/>
      </c>
      <c r="E896">
        <f>IF(C896="","",MAX(0,C896-D896))</f>
        <v/>
      </c>
    </row>
    <row r="897">
      <c r="D897">
        <f>IF(C897="","",MIN(C897,Settings!$B$5))</f>
        <v/>
      </c>
      <c r="E897">
        <f>IF(C897="","",MAX(0,C897-D897))</f>
        <v/>
      </c>
    </row>
    <row r="898">
      <c r="D898">
        <f>IF(C898="","",MIN(C898,Settings!$B$5))</f>
        <v/>
      </c>
      <c r="E898">
        <f>IF(C898="","",MAX(0,C898-D898))</f>
        <v/>
      </c>
    </row>
    <row r="899">
      <c r="D899">
        <f>IF(C899="","",MIN(C899,Settings!$B$5))</f>
        <v/>
      </c>
      <c r="E899">
        <f>IF(C899="","",MAX(0,C899-D899))</f>
        <v/>
      </c>
    </row>
    <row r="900">
      <c r="D900">
        <f>IF(C900="","",MIN(C900,Settings!$B$5))</f>
        <v/>
      </c>
      <c r="E900">
        <f>IF(C900="","",MAX(0,C900-D900))</f>
        <v/>
      </c>
    </row>
    <row r="901">
      <c r="D901">
        <f>IF(C901="","",MIN(C901,Settings!$B$5))</f>
        <v/>
      </c>
      <c r="E901">
        <f>IF(C901="","",MAX(0,C901-D901))</f>
        <v/>
      </c>
    </row>
    <row r="902">
      <c r="D902">
        <f>IF(C902="","",MIN(C902,Settings!$B$5))</f>
        <v/>
      </c>
      <c r="E902">
        <f>IF(C902="","",MAX(0,C902-D902))</f>
        <v/>
      </c>
    </row>
    <row r="903">
      <c r="D903">
        <f>IF(C903="","",MIN(C903,Settings!$B$5))</f>
        <v/>
      </c>
      <c r="E903">
        <f>IF(C903="","",MAX(0,C903-D903))</f>
        <v/>
      </c>
    </row>
    <row r="904">
      <c r="D904">
        <f>IF(C904="","",MIN(C904,Settings!$B$5))</f>
        <v/>
      </c>
      <c r="E904">
        <f>IF(C904="","",MAX(0,C904-D904))</f>
        <v/>
      </c>
    </row>
    <row r="905">
      <c r="D905">
        <f>IF(C905="","",MIN(C905,Settings!$B$5))</f>
        <v/>
      </c>
      <c r="E905">
        <f>IF(C905="","",MAX(0,C905-D905))</f>
        <v/>
      </c>
    </row>
    <row r="906">
      <c r="D906">
        <f>IF(C906="","",MIN(C906,Settings!$B$5))</f>
        <v/>
      </c>
      <c r="E906">
        <f>IF(C906="","",MAX(0,C906-D906))</f>
        <v/>
      </c>
    </row>
    <row r="907">
      <c r="D907">
        <f>IF(C907="","",MIN(C907,Settings!$B$5))</f>
        <v/>
      </c>
      <c r="E907">
        <f>IF(C907="","",MAX(0,C907-D907))</f>
        <v/>
      </c>
    </row>
    <row r="908">
      <c r="D908">
        <f>IF(C908="","",MIN(C908,Settings!$B$5))</f>
        <v/>
      </c>
      <c r="E908">
        <f>IF(C908="","",MAX(0,C908-D908))</f>
        <v/>
      </c>
    </row>
    <row r="909">
      <c r="D909">
        <f>IF(C909="","",MIN(C909,Settings!$B$5))</f>
        <v/>
      </c>
      <c r="E909">
        <f>IF(C909="","",MAX(0,C909-D909))</f>
        <v/>
      </c>
    </row>
    <row r="910">
      <c r="D910">
        <f>IF(C910="","",MIN(C910,Settings!$B$5))</f>
        <v/>
      </c>
      <c r="E910">
        <f>IF(C910="","",MAX(0,C910-D910))</f>
        <v/>
      </c>
    </row>
    <row r="911">
      <c r="D911">
        <f>IF(C911="","",MIN(C911,Settings!$B$5))</f>
        <v/>
      </c>
      <c r="E911">
        <f>IF(C911="","",MAX(0,C911-D911))</f>
        <v/>
      </c>
    </row>
    <row r="912">
      <c r="D912">
        <f>IF(C912="","",MIN(C912,Settings!$B$5))</f>
        <v/>
      </c>
      <c r="E912">
        <f>IF(C912="","",MAX(0,C912-D912))</f>
        <v/>
      </c>
    </row>
    <row r="913">
      <c r="D913">
        <f>IF(C913="","",MIN(C913,Settings!$B$5))</f>
        <v/>
      </c>
      <c r="E913">
        <f>IF(C913="","",MAX(0,C913-D913))</f>
        <v/>
      </c>
    </row>
    <row r="914">
      <c r="D914">
        <f>IF(C914="","",MIN(C914,Settings!$B$5))</f>
        <v/>
      </c>
      <c r="E914">
        <f>IF(C914="","",MAX(0,C914-D914))</f>
        <v/>
      </c>
    </row>
    <row r="915">
      <c r="D915">
        <f>IF(C915="","",MIN(C915,Settings!$B$5))</f>
        <v/>
      </c>
      <c r="E915">
        <f>IF(C915="","",MAX(0,C915-D915))</f>
        <v/>
      </c>
    </row>
    <row r="916">
      <c r="D916">
        <f>IF(C916="","",MIN(C916,Settings!$B$5))</f>
        <v/>
      </c>
      <c r="E916">
        <f>IF(C916="","",MAX(0,C916-D916))</f>
        <v/>
      </c>
    </row>
    <row r="917">
      <c r="D917">
        <f>IF(C917="","",MIN(C917,Settings!$B$5))</f>
        <v/>
      </c>
      <c r="E917">
        <f>IF(C917="","",MAX(0,C917-D917))</f>
        <v/>
      </c>
    </row>
    <row r="918">
      <c r="D918">
        <f>IF(C918="","",MIN(C918,Settings!$B$5))</f>
        <v/>
      </c>
      <c r="E918">
        <f>IF(C918="","",MAX(0,C918-D918))</f>
        <v/>
      </c>
    </row>
    <row r="919">
      <c r="D919">
        <f>IF(C919="","",MIN(C919,Settings!$B$5))</f>
        <v/>
      </c>
      <c r="E919">
        <f>IF(C919="","",MAX(0,C919-D919))</f>
        <v/>
      </c>
    </row>
    <row r="920">
      <c r="D920">
        <f>IF(C920="","",MIN(C920,Settings!$B$5))</f>
        <v/>
      </c>
      <c r="E920">
        <f>IF(C920="","",MAX(0,C920-D920))</f>
        <v/>
      </c>
    </row>
    <row r="921">
      <c r="D921">
        <f>IF(C921="","",MIN(C921,Settings!$B$5))</f>
        <v/>
      </c>
      <c r="E921">
        <f>IF(C921="","",MAX(0,C921-D921))</f>
        <v/>
      </c>
    </row>
    <row r="922">
      <c r="D922">
        <f>IF(C922="","",MIN(C922,Settings!$B$5))</f>
        <v/>
      </c>
      <c r="E922">
        <f>IF(C922="","",MAX(0,C922-D922))</f>
        <v/>
      </c>
    </row>
    <row r="923">
      <c r="D923">
        <f>IF(C923="","",MIN(C923,Settings!$B$5))</f>
        <v/>
      </c>
      <c r="E923">
        <f>IF(C923="","",MAX(0,C923-D923))</f>
        <v/>
      </c>
    </row>
    <row r="924">
      <c r="D924">
        <f>IF(C924="","",MIN(C924,Settings!$B$5))</f>
        <v/>
      </c>
      <c r="E924">
        <f>IF(C924="","",MAX(0,C924-D924))</f>
        <v/>
      </c>
    </row>
    <row r="925">
      <c r="D925">
        <f>IF(C925="","",MIN(C925,Settings!$B$5))</f>
        <v/>
      </c>
      <c r="E925">
        <f>IF(C925="","",MAX(0,C925-D925))</f>
        <v/>
      </c>
    </row>
    <row r="926">
      <c r="D926">
        <f>IF(C926="","",MIN(C926,Settings!$B$5))</f>
        <v/>
      </c>
      <c r="E926">
        <f>IF(C926="","",MAX(0,C926-D926))</f>
        <v/>
      </c>
    </row>
    <row r="927">
      <c r="D927">
        <f>IF(C927="","",MIN(C927,Settings!$B$5))</f>
        <v/>
      </c>
      <c r="E927">
        <f>IF(C927="","",MAX(0,C927-D927))</f>
        <v/>
      </c>
    </row>
    <row r="928">
      <c r="D928">
        <f>IF(C928="","",MIN(C928,Settings!$B$5))</f>
        <v/>
      </c>
      <c r="E928">
        <f>IF(C928="","",MAX(0,C928-D928))</f>
        <v/>
      </c>
    </row>
    <row r="929">
      <c r="D929">
        <f>IF(C929="","",MIN(C929,Settings!$B$5))</f>
        <v/>
      </c>
      <c r="E929">
        <f>IF(C929="","",MAX(0,C929-D929))</f>
        <v/>
      </c>
    </row>
    <row r="930">
      <c r="D930">
        <f>IF(C930="","",MIN(C930,Settings!$B$5))</f>
        <v/>
      </c>
      <c r="E930">
        <f>IF(C930="","",MAX(0,C930-D930))</f>
        <v/>
      </c>
    </row>
    <row r="931">
      <c r="D931">
        <f>IF(C931="","",MIN(C931,Settings!$B$5))</f>
        <v/>
      </c>
      <c r="E931">
        <f>IF(C931="","",MAX(0,C931-D931))</f>
        <v/>
      </c>
    </row>
    <row r="932">
      <c r="D932">
        <f>IF(C932="","",MIN(C932,Settings!$B$5))</f>
        <v/>
      </c>
      <c r="E932">
        <f>IF(C932="","",MAX(0,C932-D932))</f>
        <v/>
      </c>
    </row>
    <row r="933">
      <c r="D933">
        <f>IF(C933="","",MIN(C933,Settings!$B$5))</f>
        <v/>
      </c>
      <c r="E933">
        <f>IF(C933="","",MAX(0,C933-D933))</f>
        <v/>
      </c>
    </row>
    <row r="934">
      <c r="D934">
        <f>IF(C934="","",MIN(C934,Settings!$B$5))</f>
        <v/>
      </c>
      <c r="E934">
        <f>IF(C934="","",MAX(0,C934-D934))</f>
        <v/>
      </c>
    </row>
    <row r="935">
      <c r="D935">
        <f>IF(C935="","",MIN(C935,Settings!$B$5))</f>
        <v/>
      </c>
      <c r="E935">
        <f>IF(C935="","",MAX(0,C935-D935))</f>
        <v/>
      </c>
    </row>
    <row r="936">
      <c r="D936">
        <f>IF(C936="","",MIN(C936,Settings!$B$5))</f>
        <v/>
      </c>
      <c r="E936">
        <f>IF(C936="","",MAX(0,C936-D936))</f>
        <v/>
      </c>
    </row>
    <row r="937">
      <c r="D937">
        <f>IF(C937="","",MIN(C937,Settings!$B$5))</f>
        <v/>
      </c>
      <c r="E937">
        <f>IF(C937="","",MAX(0,C937-D937))</f>
        <v/>
      </c>
    </row>
    <row r="938">
      <c r="D938">
        <f>IF(C938="","",MIN(C938,Settings!$B$5))</f>
        <v/>
      </c>
      <c r="E938">
        <f>IF(C938="","",MAX(0,C938-D938))</f>
        <v/>
      </c>
    </row>
    <row r="939">
      <c r="D939">
        <f>IF(C939="","",MIN(C939,Settings!$B$5))</f>
        <v/>
      </c>
      <c r="E939">
        <f>IF(C939="","",MAX(0,C939-D939))</f>
        <v/>
      </c>
    </row>
    <row r="940">
      <c r="D940">
        <f>IF(C940="","",MIN(C940,Settings!$B$5))</f>
        <v/>
      </c>
      <c r="E940">
        <f>IF(C940="","",MAX(0,C940-D940))</f>
        <v/>
      </c>
    </row>
    <row r="941">
      <c r="D941">
        <f>IF(C941="","",MIN(C941,Settings!$B$5))</f>
        <v/>
      </c>
      <c r="E941">
        <f>IF(C941="","",MAX(0,C941-D941))</f>
        <v/>
      </c>
    </row>
    <row r="942">
      <c r="D942">
        <f>IF(C942="","",MIN(C942,Settings!$B$5))</f>
        <v/>
      </c>
      <c r="E942">
        <f>IF(C942="","",MAX(0,C942-D942))</f>
        <v/>
      </c>
    </row>
    <row r="943">
      <c r="D943">
        <f>IF(C943="","",MIN(C943,Settings!$B$5))</f>
        <v/>
      </c>
      <c r="E943">
        <f>IF(C943="","",MAX(0,C943-D943))</f>
        <v/>
      </c>
    </row>
    <row r="944">
      <c r="D944">
        <f>IF(C944="","",MIN(C944,Settings!$B$5))</f>
        <v/>
      </c>
      <c r="E944">
        <f>IF(C944="","",MAX(0,C944-D944))</f>
        <v/>
      </c>
    </row>
    <row r="945">
      <c r="D945">
        <f>IF(C945="","",MIN(C945,Settings!$B$5))</f>
        <v/>
      </c>
      <c r="E945">
        <f>IF(C945="","",MAX(0,C945-D945))</f>
        <v/>
      </c>
    </row>
    <row r="946">
      <c r="D946">
        <f>IF(C946="","",MIN(C946,Settings!$B$5))</f>
        <v/>
      </c>
      <c r="E946">
        <f>IF(C946="","",MAX(0,C946-D946))</f>
        <v/>
      </c>
    </row>
    <row r="947">
      <c r="D947">
        <f>IF(C947="","",MIN(C947,Settings!$B$5))</f>
        <v/>
      </c>
      <c r="E947">
        <f>IF(C947="","",MAX(0,C947-D947))</f>
        <v/>
      </c>
    </row>
    <row r="948">
      <c r="D948">
        <f>IF(C948="","",MIN(C948,Settings!$B$5))</f>
        <v/>
      </c>
      <c r="E948">
        <f>IF(C948="","",MAX(0,C948-D948))</f>
        <v/>
      </c>
    </row>
    <row r="949">
      <c r="D949">
        <f>IF(C949="","",MIN(C949,Settings!$B$5))</f>
        <v/>
      </c>
      <c r="E949">
        <f>IF(C949="","",MAX(0,C949-D949))</f>
        <v/>
      </c>
    </row>
    <row r="950">
      <c r="D950">
        <f>IF(C950="","",MIN(C950,Settings!$B$5))</f>
        <v/>
      </c>
      <c r="E950">
        <f>IF(C950="","",MAX(0,C950-D950))</f>
        <v/>
      </c>
    </row>
    <row r="951">
      <c r="D951">
        <f>IF(C951="","",MIN(C951,Settings!$B$5))</f>
        <v/>
      </c>
      <c r="E951">
        <f>IF(C951="","",MAX(0,C951-D951))</f>
        <v/>
      </c>
    </row>
    <row r="952">
      <c r="D952">
        <f>IF(C952="","",MIN(C952,Settings!$B$5))</f>
        <v/>
      </c>
      <c r="E952">
        <f>IF(C952="","",MAX(0,C952-D952))</f>
        <v/>
      </c>
    </row>
    <row r="953">
      <c r="D953">
        <f>IF(C953="","",MIN(C953,Settings!$B$5))</f>
        <v/>
      </c>
      <c r="E953">
        <f>IF(C953="","",MAX(0,C953-D953))</f>
        <v/>
      </c>
    </row>
    <row r="954">
      <c r="D954">
        <f>IF(C954="","",MIN(C954,Settings!$B$5))</f>
        <v/>
      </c>
      <c r="E954">
        <f>IF(C954="","",MAX(0,C954-D954))</f>
        <v/>
      </c>
    </row>
    <row r="955">
      <c r="D955">
        <f>IF(C955="","",MIN(C955,Settings!$B$5))</f>
        <v/>
      </c>
      <c r="E955">
        <f>IF(C955="","",MAX(0,C955-D955))</f>
        <v/>
      </c>
    </row>
    <row r="956">
      <c r="D956">
        <f>IF(C956="","",MIN(C956,Settings!$B$5))</f>
        <v/>
      </c>
      <c r="E956">
        <f>IF(C956="","",MAX(0,C956-D956))</f>
        <v/>
      </c>
    </row>
    <row r="957">
      <c r="D957">
        <f>IF(C957="","",MIN(C957,Settings!$B$5))</f>
        <v/>
      </c>
      <c r="E957">
        <f>IF(C957="","",MAX(0,C957-D957))</f>
        <v/>
      </c>
    </row>
    <row r="958">
      <c r="D958">
        <f>IF(C958="","",MIN(C958,Settings!$B$5))</f>
        <v/>
      </c>
      <c r="E958">
        <f>IF(C958="","",MAX(0,C958-D958))</f>
        <v/>
      </c>
    </row>
    <row r="959">
      <c r="D959">
        <f>IF(C959="","",MIN(C959,Settings!$B$5))</f>
        <v/>
      </c>
      <c r="E959">
        <f>IF(C959="","",MAX(0,C959-D959))</f>
        <v/>
      </c>
    </row>
    <row r="960">
      <c r="D960">
        <f>IF(C960="","",MIN(C960,Settings!$B$5))</f>
        <v/>
      </c>
      <c r="E960">
        <f>IF(C960="","",MAX(0,C960-D960))</f>
        <v/>
      </c>
    </row>
    <row r="961">
      <c r="D961">
        <f>IF(C961="","",MIN(C961,Settings!$B$5))</f>
        <v/>
      </c>
      <c r="E961">
        <f>IF(C961="","",MAX(0,C961-D961))</f>
        <v/>
      </c>
    </row>
    <row r="962">
      <c r="D962">
        <f>IF(C962="","",MIN(C962,Settings!$B$5))</f>
        <v/>
      </c>
      <c r="E962">
        <f>IF(C962="","",MAX(0,C962-D962))</f>
        <v/>
      </c>
    </row>
    <row r="963">
      <c r="D963">
        <f>IF(C963="","",MIN(C963,Settings!$B$5))</f>
        <v/>
      </c>
      <c r="E963">
        <f>IF(C963="","",MAX(0,C963-D963))</f>
        <v/>
      </c>
    </row>
    <row r="964">
      <c r="D964">
        <f>IF(C964="","",MIN(C964,Settings!$B$5))</f>
        <v/>
      </c>
      <c r="E964">
        <f>IF(C964="","",MAX(0,C964-D964))</f>
        <v/>
      </c>
    </row>
    <row r="965">
      <c r="D965">
        <f>IF(C965="","",MIN(C965,Settings!$B$5))</f>
        <v/>
      </c>
      <c r="E965">
        <f>IF(C965="","",MAX(0,C965-D965))</f>
        <v/>
      </c>
    </row>
    <row r="966">
      <c r="D966">
        <f>IF(C966="","",MIN(C966,Settings!$B$5))</f>
        <v/>
      </c>
      <c r="E966">
        <f>IF(C966="","",MAX(0,C966-D966))</f>
        <v/>
      </c>
    </row>
    <row r="967">
      <c r="D967">
        <f>IF(C967="","",MIN(C967,Settings!$B$5))</f>
        <v/>
      </c>
      <c r="E967">
        <f>IF(C967="","",MAX(0,C967-D967))</f>
        <v/>
      </c>
    </row>
    <row r="968">
      <c r="D968">
        <f>IF(C968="","",MIN(C968,Settings!$B$5))</f>
        <v/>
      </c>
      <c r="E968">
        <f>IF(C968="","",MAX(0,C968-D968))</f>
        <v/>
      </c>
    </row>
    <row r="969">
      <c r="D969">
        <f>IF(C969="","",MIN(C969,Settings!$B$5))</f>
        <v/>
      </c>
      <c r="E969">
        <f>IF(C969="","",MAX(0,C969-D969))</f>
        <v/>
      </c>
    </row>
    <row r="970">
      <c r="D970">
        <f>IF(C970="","",MIN(C970,Settings!$B$5))</f>
        <v/>
      </c>
      <c r="E970">
        <f>IF(C970="","",MAX(0,C970-D970))</f>
        <v/>
      </c>
    </row>
    <row r="971">
      <c r="D971">
        <f>IF(C971="","",MIN(C971,Settings!$B$5))</f>
        <v/>
      </c>
      <c r="E971">
        <f>IF(C971="","",MAX(0,C971-D971))</f>
        <v/>
      </c>
    </row>
    <row r="972">
      <c r="D972">
        <f>IF(C972="","",MIN(C972,Settings!$B$5))</f>
        <v/>
      </c>
      <c r="E972">
        <f>IF(C972="","",MAX(0,C972-D972))</f>
        <v/>
      </c>
    </row>
    <row r="973">
      <c r="D973">
        <f>IF(C973="","",MIN(C973,Settings!$B$5))</f>
        <v/>
      </c>
      <c r="E973">
        <f>IF(C973="","",MAX(0,C973-D973))</f>
        <v/>
      </c>
    </row>
    <row r="974">
      <c r="D974">
        <f>IF(C974="","",MIN(C974,Settings!$B$5))</f>
        <v/>
      </c>
      <c r="E974">
        <f>IF(C974="","",MAX(0,C974-D974))</f>
        <v/>
      </c>
    </row>
    <row r="975">
      <c r="D975">
        <f>IF(C975="","",MIN(C975,Settings!$B$5))</f>
        <v/>
      </c>
      <c r="E975">
        <f>IF(C975="","",MAX(0,C975-D975))</f>
        <v/>
      </c>
    </row>
    <row r="976">
      <c r="D976">
        <f>IF(C976="","",MIN(C976,Settings!$B$5))</f>
        <v/>
      </c>
      <c r="E976">
        <f>IF(C976="","",MAX(0,C976-D976))</f>
        <v/>
      </c>
    </row>
    <row r="977">
      <c r="D977">
        <f>IF(C977="","",MIN(C977,Settings!$B$5))</f>
        <v/>
      </c>
      <c r="E977">
        <f>IF(C977="","",MAX(0,C977-D977))</f>
        <v/>
      </c>
    </row>
    <row r="978">
      <c r="D978">
        <f>IF(C978="","",MIN(C978,Settings!$B$5))</f>
        <v/>
      </c>
      <c r="E978">
        <f>IF(C978="","",MAX(0,C978-D978))</f>
        <v/>
      </c>
    </row>
    <row r="979">
      <c r="D979">
        <f>IF(C979="","",MIN(C979,Settings!$B$5))</f>
        <v/>
      </c>
      <c r="E979">
        <f>IF(C979="","",MAX(0,C979-D979))</f>
        <v/>
      </c>
    </row>
    <row r="980">
      <c r="D980">
        <f>IF(C980="","",MIN(C980,Settings!$B$5))</f>
        <v/>
      </c>
      <c r="E980">
        <f>IF(C980="","",MAX(0,C980-D980))</f>
        <v/>
      </c>
    </row>
    <row r="981">
      <c r="D981">
        <f>IF(C981="","",MIN(C981,Settings!$B$5))</f>
        <v/>
      </c>
      <c r="E981">
        <f>IF(C981="","",MAX(0,C981-D981))</f>
        <v/>
      </c>
    </row>
    <row r="982">
      <c r="D982">
        <f>IF(C982="","",MIN(C982,Settings!$B$5))</f>
        <v/>
      </c>
      <c r="E982">
        <f>IF(C982="","",MAX(0,C982-D982))</f>
        <v/>
      </c>
    </row>
    <row r="983">
      <c r="D983">
        <f>IF(C983="","",MIN(C983,Settings!$B$5))</f>
        <v/>
      </c>
      <c r="E983">
        <f>IF(C983="","",MAX(0,C983-D983))</f>
        <v/>
      </c>
    </row>
    <row r="984">
      <c r="D984">
        <f>IF(C984="","",MIN(C984,Settings!$B$5))</f>
        <v/>
      </c>
      <c r="E984">
        <f>IF(C984="","",MAX(0,C984-D984))</f>
        <v/>
      </c>
    </row>
    <row r="985">
      <c r="D985">
        <f>IF(C985="","",MIN(C985,Settings!$B$5))</f>
        <v/>
      </c>
      <c r="E985">
        <f>IF(C985="","",MAX(0,C985-D985))</f>
        <v/>
      </c>
    </row>
    <row r="986">
      <c r="D986">
        <f>IF(C986="","",MIN(C986,Settings!$B$5))</f>
        <v/>
      </c>
      <c r="E986">
        <f>IF(C986="","",MAX(0,C986-D986))</f>
        <v/>
      </c>
    </row>
    <row r="987">
      <c r="D987">
        <f>IF(C987="","",MIN(C987,Settings!$B$5))</f>
        <v/>
      </c>
      <c r="E987">
        <f>IF(C987="","",MAX(0,C987-D987))</f>
        <v/>
      </c>
    </row>
    <row r="988">
      <c r="D988">
        <f>IF(C988="","",MIN(C988,Settings!$B$5))</f>
        <v/>
      </c>
      <c r="E988">
        <f>IF(C988="","",MAX(0,C988-D988))</f>
        <v/>
      </c>
    </row>
    <row r="989">
      <c r="D989">
        <f>IF(C989="","",MIN(C989,Settings!$B$5))</f>
        <v/>
      </c>
      <c r="E989">
        <f>IF(C989="","",MAX(0,C989-D989))</f>
        <v/>
      </c>
    </row>
    <row r="990">
      <c r="D990">
        <f>IF(C990="","",MIN(C990,Settings!$B$5))</f>
        <v/>
      </c>
      <c r="E990">
        <f>IF(C990="","",MAX(0,C990-D990))</f>
        <v/>
      </c>
    </row>
    <row r="991">
      <c r="D991">
        <f>IF(C991="","",MIN(C991,Settings!$B$5))</f>
        <v/>
      </c>
      <c r="E991">
        <f>IF(C991="","",MAX(0,C991-D991))</f>
        <v/>
      </c>
    </row>
    <row r="992">
      <c r="D992">
        <f>IF(C992="","",MIN(C992,Settings!$B$5))</f>
        <v/>
      </c>
      <c r="E992">
        <f>IF(C992="","",MAX(0,C992-D992))</f>
        <v/>
      </c>
    </row>
    <row r="993">
      <c r="D993">
        <f>IF(C993="","",MIN(C993,Settings!$B$5))</f>
        <v/>
      </c>
      <c r="E993">
        <f>IF(C993="","",MAX(0,C993-D993))</f>
        <v/>
      </c>
    </row>
    <row r="994">
      <c r="D994">
        <f>IF(C994="","",MIN(C994,Settings!$B$5))</f>
        <v/>
      </c>
      <c r="E994">
        <f>IF(C994="","",MAX(0,C994-D994))</f>
        <v/>
      </c>
    </row>
    <row r="995">
      <c r="D995">
        <f>IF(C995="","",MIN(C995,Settings!$B$5))</f>
        <v/>
      </c>
      <c r="E995">
        <f>IF(C995="","",MAX(0,C995-D995))</f>
        <v/>
      </c>
    </row>
    <row r="996">
      <c r="D996">
        <f>IF(C996="","",MIN(C996,Settings!$B$5))</f>
        <v/>
      </c>
      <c r="E996">
        <f>IF(C996="","",MAX(0,C996-D996))</f>
        <v/>
      </c>
    </row>
    <row r="997">
      <c r="D997">
        <f>IF(C997="","",MIN(C997,Settings!$B$5))</f>
        <v/>
      </c>
      <c r="E997">
        <f>IF(C997="","",MAX(0,C997-D997))</f>
        <v/>
      </c>
    </row>
    <row r="998">
      <c r="D998">
        <f>IF(C998="","",MIN(C998,Settings!$B$5))</f>
        <v/>
      </c>
      <c r="E998">
        <f>IF(C998="","",MAX(0,C998-D998))</f>
        <v/>
      </c>
    </row>
    <row r="999">
      <c r="D999">
        <f>IF(C999="","",MIN(C999,Settings!$B$5))</f>
        <v/>
      </c>
      <c r="E999">
        <f>IF(C999="","",MAX(0,C999-D999))</f>
        <v/>
      </c>
    </row>
    <row r="1000">
      <c r="D1000">
        <f>IF(C1000="","",MIN(C1000,Settings!$B$5))</f>
        <v/>
      </c>
      <c r="E1000">
        <f>IF(C1000="","",MAX(0,C1000-D1000))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12" customWidth="1" style="38" min="2" max="2"/>
    <col width="12" customWidth="1" style="38" min="3" max="3"/>
    <col width="39" customWidth="1" style="38" min="4" max="4"/>
    <col width="31" customWidth="1" style="38" min="5" max="5"/>
  </cols>
  <sheetData>
    <row r="1">
      <c r="A1" s="39" t="inlineStr">
        <is>
          <t>QuarterKey</t>
        </is>
      </c>
      <c r="B1" s="39" t="inlineStr">
        <is>
          <t>CoachID</t>
        </is>
      </c>
      <c r="C1" s="39" t="inlineStr">
        <is>
          <t>ImpactRaw</t>
        </is>
      </c>
      <c r="D1" s="39" t="inlineStr">
        <is>
          <t>ImpactCounted</t>
        </is>
      </c>
      <c r="E1" s="39" t="inlineStr">
        <is>
          <t>OverCap</t>
        </is>
      </c>
    </row>
    <row r="2">
      <c r="A2" s="23">
        <f>IFERROR(QUERY(XPLog!A2:P1000,"select Col16,Col2,sum(Col13) where Col10 matches 'Impact|Competition' and Col13 is not null group by Col16,Col2 label sum(Col13) ''",0),"")</f>
        <v/>
      </c>
      <c r="D2" s="23">
        <f>IF(C2="","",MIN(C2,Settings!$B$6))</f>
        <v/>
      </c>
      <c r="E2" s="23">
        <f>IF(C2="","",MAX(0,C2-D2))</f>
        <v/>
      </c>
    </row>
    <row r="3">
      <c r="D3">
        <f>IF(C3="","",MIN(C3,Settings!$B$6))</f>
        <v/>
      </c>
      <c r="E3">
        <f>IF(C3="","",MAX(0,C3-D3))</f>
        <v/>
      </c>
    </row>
    <row r="4">
      <c r="D4">
        <f>IF(C4="","",MIN(C4,Settings!$B$6))</f>
        <v/>
      </c>
      <c r="E4">
        <f>IF(C4="","",MAX(0,C4-D4))</f>
        <v/>
      </c>
    </row>
    <row r="5">
      <c r="D5">
        <f>IF(C5="","",MIN(C5,Settings!$B$6))</f>
        <v/>
      </c>
      <c r="E5">
        <f>IF(C5="","",MAX(0,C5-D5))</f>
        <v/>
      </c>
    </row>
    <row r="6">
      <c r="D6">
        <f>IF(C6="","",MIN(C6,Settings!$B$6))</f>
        <v/>
      </c>
      <c r="E6">
        <f>IF(C6="","",MAX(0,C6-D6))</f>
        <v/>
      </c>
    </row>
    <row r="7">
      <c r="D7">
        <f>IF(C7="","",MIN(C7,Settings!$B$6))</f>
        <v/>
      </c>
      <c r="E7">
        <f>IF(C7="","",MAX(0,C7-D7))</f>
        <v/>
      </c>
    </row>
    <row r="8">
      <c r="D8">
        <f>IF(C8="","",MIN(C8,Settings!$B$6))</f>
        <v/>
      </c>
      <c r="E8">
        <f>IF(C8="","",MAX(0,C8-D8))</f>
        <v/>
      </c>
    </row>
    <row r="9">
      <c r="D9">
        <f>IF(C9="","",MIN(C9,Settings!$B$6))</f>
        <v/>
      </c>
      <c r="E9">
        <f>IF(C9="","",MAX(0,C9-D9))</f>
        <v/>
      </c>
    </row>
    <row r="10">
      <c r="D10">
        <f>IF(C10="","",MIN(C10,Settings!$B$6))</f>
        <v/>
      </c>
      <c r="E10">
        <f>IF(C10="","",MAX(0,C10-D10))</f>
        <v/>
      </c>
    </row>
    <row r="11">
      <c r="D11">
        <f>IF(C11="","",MIN(C11,Settings!$B$6))</f>
        <v/>
      </c>
      <c r="E11">
        <f>IF(C11="","",MAX(0,C11-D11))</f>
        <v/>
      </c>
    </row>
    <row r="12">
      <c r="D12">
        <f>IF(C12="","",MIN(C12,Settings!$B$6))</f>
        <v/>
      </c>
      <c r="E12">
        <f>IF(C12="","",MAX(0,C12-D12))</f>
        <v/>
      </c>
    </row>
    <row r="13">
      <c r="D13">
        <f>IF(C13="","",MIN(C13,Settings!$B$6))</f>
        <v/>
      </c>
      <c r="E13">
        <f>IF(C13="","",MAX(0,C13-D13))</f>
        <v/>
      </c>
    </row>
    <row r="14">
      <c r="D14">
        <f>IF(C14="","",MIN(C14,Settings!$B$6))</f>
        <v/>
      </c>
      <c r="E14">
        <f>IF(C14="","",MAX(0,C14-D14))</f>
        <v/>
      </c>
    </row>
    <row r="15">
      <c r="D15">
        <f>IF(C15="","",MIN(C15,Settings!$B$6))</f>
        <v/>
      </c>
      <c r="E15">
        <f>IF(C15="","",MAX(0,C15-D15))</f>
        <v/>
      </c>
    </row>
    <row r="16">
      <c r="D16">
        <f>IF(C16="","",MIN(C16,Settings!$B$6))</f>
        <v/>
      </c>
      <c r="E16">
        <f>IF(C16="","",MAX(0,C16-D16))</f>
        <v/>
      </c>
    </row>
    <row r="17">
      <c r="D17">
        <f>IF(C17="","",MIN(C17,Settings!$B$6))</f>
        <v/>
      </c>
      <c r="E17">
        <f>IF(C17="","",MAX(0,C17-D17))</f>
        <v/>
      </c>
    </row>
    <row r="18">
      <c r="D18">
        <f>IF(C18="","",MIN(C18,Settings!$B$6))</f>
        <v/>
      </c>
      <c r="E18">
        <f>IF(C18="","",MAX(0,C18-D18))</f>
        <v/>
      </c>
    </row>
    <row r="19">
      <c r="D19">
        <f>IF(C19="","",MIN(C19,Settings!$B$6))</f>
        <v/>
      </c>
      <c r="E19">
        <f>IF(C19="","",MAX(0,C19-D19))</f>
        <v/>
      </c>
    </row>
    <row r="20">
      <c r="D20">
        <f>IF(C20="","",MIN(C20,Settings!$B$6))</f>
        <v/>
      </c>
      <c r="E20">
        <f>IF(C20="","",MAX(0,C20-D20))</f>
        <v/>
      </c>
    </row>
    <row r="21">
      <c r="D21">
        <f>IF(C21="","",MIN(C21,Settings!$B$6))</f>
        <v/>
      </c>
      <c r="E21">
        <f>IF(C21="","",MAX(0,C21-D21))</f>
        <v/>
      </c>
    </row>
    <row r="22">
      <c r="D22">
        <f>IF(C22="","",MIN(C22,Settings!$B$6))</f>
        <v/>
      </c>
      <c r="E22">
        <f>IF(C22="","",MAX(0,C22-D22))</f>
        <v/>
      </c>
    </row>
    <row r="23">
      <c r="D23">
        <f>IF(C23="","",MIN(C23,Settings!$B$6))</f>
        <v/>
      </c>
      <c r="E23">
        <f>IF(C23="","",MAX(0,C23-D23))</f>
        <v/>
      </c>
    </row>
    <row r="24">
      <c r="D24">
        <f>IF(C24="","",MIN(C24,Settings!$B$6))</f>
        <v/>
      </c>
      <c r="E24">
        <f>IF(C24="","",MAX(0,C24-D24))</f>
        <v/>
      </c>
    </row>
    <row r="25">
      <c r="D25">
        <f>IF(C25="","",MIN(C25,Settings!$B$6))</f>
        <v/>
      </c>
      <c r="E25">
        <f>IF(C25="","",MAX(0,C25-D25))</f>
        <v/>
      </c>
    </row>
    <row r="26">
      <c r="D26">
        <f>IF(C26="","",MIN(C26,Settings!$B$6))</f>
        <v/>
      </c>
      <c r="E26">
        <f>IF(C26="","",MAX(0,C26-D26))</f>
        <v/>
      </c>
    </row>
    <row r="27">
      <c r="D27">
        <f>IF(C27="","",MIN(C27,Settings!$B$6))</f>
        <v/>
      </c>
      <c r="E27">
        <f>IF(C27="","",MAX(0,C27-D27))</f>
        <v/>
      </c>
    </row>
    <row r="28">
      <c r="D28">
        <f>IF(C28="","",MIN(C28,Settings!$B$6))</f>
        <v/>
      </c>
      <c r="E28">
        <f>IF(C28="","",MAX(0,C28-D28))</f>
        <v/>
      </c>
    </row>
    <row r="29">
      <c r="D29">
        <f>IF(C29="","",MIN(C29,Settings!$B$6))</f>
        <v/>
      </c>
      <c r="E29">
        <f>IF(C29="","",MAX(0,C29-D29))</f>
        <v/>
      </c>
    </row>
    <row r="30">
      <c r="D30">
        <f>IF(C30="","",MIN(C30,Settings!$B$6))</f>
        <v/>
      </c>
      <c r="E30">
        <f>IF(C30="","",MAX(0,C30-D30))</f>
        <v/>
      </c>
    </row>
    <row r="31">
      <c r="D31">
        <f>IF(C31="","",MIN(C31,Settings!$B$6))</f>
        <v/>
      </c>
      <c r="E31">
        <f>IF(C31="","",MAX(0,C31-D31))</f>
        <v/>
      </c>
    </row>
    <row r="32">
      <c r="D32">
        <f>IF(C32="","",MIN(C32,Settings!$B$6))</f>
        <v/>
      </c>
      <c r="E32">
        <f>IF(C32="","",MAX(0,C32-D32))</f>
        <v/>
      </c>
    </row>
    <row r="33">
      <c r="D33">
        <f>IF(C33="","",MIN(C33,Settings!$B$6))</f>
        <v/>
      </c>
      <c r="E33">
        <f>IF(C33="","",MAX(0,C33-D33))</f>
        <v/>
      </c>
    </row>
    <row r="34">
      <c r="D34">
        <f>IF(C34="","",MIN(C34,Settings!$B$6))</f>
        <v/>
      </c>
      <c r="E34">
        <f>IF(C34="","",MAX(0,C34-D34))</f>
        <v/>
      </c>
    </row>
    <row r="35">
      <c r="D35">
        <f>IF(C35="","",MIN(C35,Settings!$B$6))</f>
        <v/>
      </c>
      <c r="E35">
        <f>IF(C35="","",MAX(0,C35-D35))</f>
        <v/>
      </c>
    </row>
    <row r="36">
      <c r="D36">
        <f>IF(C36="","",MIN(C36,Settings!$B$6))</f>
        <v/>
      </c>
      <c r="E36">
        <f>IF(C36="","",MAX(0,C36-D36))</f>
        <v/>
      </c>
    </row>
    <row r="37">
      <c r="D37">
        <f>IF(C37="","",MIN(C37,Settings!$B$6))</f>
        <v/>
      </c>
      <c r="E37">
        <f>IF(C37="","",MAX(0,C37-D37))</f>
        <v/>
      </c>
    </row>
    <row r="38">
      <c r="D38">
        <f>IF(C38="","",MIN(C38,Settings!$B$6))</f>
        <v/>
      </c>
      <c r="E38">
        <f>IF(C38="","",MAX(0,C38-D38))</f>
        <v/>
      </c>
    </row>
    <row r="39">
      <c r="D39">
        <f>IF(C39="","",MIN(C39,Settings!$B$6))</f>
        <v/>
      </c>
      <c r="E39">
        <f>IF(C39="","",MAX(0,C39-D39))</f>
        <v/>
      </c>
    </row>
    <row r="40">
      <c r="D40">
        <f>IF(C40="","",MIN(C40,Settings!$B$6))</f>
        <v/>
      </c>
      <c r="E40">
        <f>IF(C40="","",MAX(0,C40-D40))</f>
        <v/>
      </c>
    </row>
    <row r="41">
      <c r="D41">
        <f>IF(C41="","",MIN(C41,Settings!$B$6))</f>
        <v/>
      </c>
      <c r="E41">
        <f>IF(C41="","",MAX(0,C41-D41))</f>
        <v/>
      </c>
    </row>
    <row r="42">
      <c r="D42">
        <f>IF(C42="","",MIN(C42,Settings!$B$6))</f>
        <v/>
      </c>
      <c r="E42">
        <f>IF(C42="","",MAX(0,C42-D42))</f>
        <v/>
      </c>
    </row>
    <row r="43">
      <c r="D43">
        <f>IF(C43="","",MIN(C43,Settings!$B$6))</f>
        <v/>
      </c>
      <c r="E43">
        <f>IF(C43="","",MAX(0,C43-D43))</f>
        <v/>
      </c>
    </row>
    <row r="44">
      <c r="D44">
        <f>IF(C44="","",MIN(C44,Settings!$B$6))</f>
        <v/>
      </c>
      <c r="E44">
        <f>IF(C44="","",MAX(0,C44-D44))</f>
        <v/>
      </c>
    </row>
    <row r="45">
      <c r="D45">
        <f>IF(C45="","",MIN(C45,Settings!$B$6))</f>
        <v/>
      </c>
      <c r="E45">
        <f>IF(C45="","",MAX(0,C45-D45))</f>
        <v/>
      </c>
    </row>
    <row r="46">
      <c r="D46">
        <f>IF(C46="","",MIN(C46,Settings!$B$6))</f>
        <v/>
      </c>
      <c r="E46">
        <f>IF(C46="","",MAX(0,C46-D46))</f>
        <v/>
      </c>
    </row>
    <row r="47">
      <c r="D47">
        <f>IF(C47="","",MIN(C47,Settings!$B$6))</f>
        <v/>
      </c>
      <c r="E47">
        <f>IF(C47="","",MAX(0,C47-D47))</f>
        <v/>
      </c>
    </row>
    <row r="48">
      <c r="D48">
        <f>IF(C48="","",MIN(C48,Settings!$B$6))</f>
        <v/>
      </c>
      <c r="E48">
        <f>IF(C48="","",MAX(0,C48-D48))</f>
        <v/>
      </c>
    </row>
    <row r="49">
      <c r="D49">
        <f>IF(C49="","",MIN(C49,Settings!$B$6))</f>
        <v/>
      </c>
      <c r="E49">
        <f>IF(C49="","",MAX(0,C49-D49))</f>
        <v/>
      </c>
    </row>
    <row r="50">
      <c r="D50">
        <f>IF(C50="","",MIN(C50,Settings!$B$6))</f>
        <v/>
      </c>
      <c r="E50">
        <f>IF(C50="","",MAX(0,C50-D50))</f>
        <v/>
      </c>
    </row>
    <row r="51">
      <c r="D51">
        <f>IF(C51="","",MIN(C51,Settings!$B$6))</f>
        <v/>
      </c>
      <c r="E51">
        <f>IF(C51="","",MAX(0,C51-D51))</f>
        <v/>
      </c>
    </row>
    <row r="52">
      <c r="D52">
        <f>IF(C52="","",MIN(C52,Settings!$B$6))</f>
        <v/>
      </c>
      <c r="E52">
        <f>IF(C52="","",MAX(0,C52-D52))</f>
        <v/>
      </c>
    </row>
    <row r="53">
      <c r="D53">
        <f>IF(C53="","",MIN(C53,Settings!$B$6))</f>
        <v/>
      </c>
      <c r="E53">
        <f>IF(C53="","",MAX(0,C53-D53))</f>
        <v/>
      </c>
    </row>
    <row r="54">
      <c r="D54">
        <f>IF(C54="","",MIN(C54,Settings!$B$6))</f>
        <v/>
      </c>
      <c r="E54">
        <f>IF(C54="","",MAX(0,C54-D54))</f>
        <v/>
      </c>
    </row>
    <row r="55">
      <c r="D55">
        <f>IF(C55="","",MIN(C55,Settings!$B$6))</f>
        <v/>
      </c>
      <c r="E55">
        <f>IF(C55="","",MAX(0,C55-D55))</f>
        <v/>
      </c>
    </row>
    <row r="56">
      <c r="D56">
        <f>IF(C56="","",MIN(C56,Settings!$B$6))</f>
        <v/>
      </c>
      <c r="E56">
        <f>IF(C56="","",MAX(0,C56-D56))</f>
        <v/>
      </c>
    </row>
    <row r="57">
      <c r="D57">
        <f>IF(C57="","",MIN(C57,Settings!$B$6))</f>
        <v/>
      </c>
      <c r="E57">
        <f>IF(C57="","",MAX(0,C57-D57))</f>
        <v/>
      </c>
    </row>
    <row r="58">
      <c r="D58">
        <f>IF(C58="","",MIN(C58,Settings!$B$6))</f>
        <v/>
      </c>
      <c r="E58">
        <f>IF(C58="","",MAX(0,C58-D58))</f>
        <v/>
      </c>
    </row>
    <row r="59">
      <c r="D59">
        <f>IF(C59="","",MIN(C59,Settings!$B$6))</f>
        <v/>
      </c>
      <c r="E59">
        <f>IF(C59="","",MAX(0,C59-D59))</f>
        <v/>
      </c>
    </row>
    <row r="60">
      <c r="D60">
        <f>IF(C60="","",MIN(C60,Settings!$B$6))</f>
        <v/>
      </c>
      <c r="E60">
        <f>IF(C60="","",MAX(0,C60-D60))</f>
        <v/>
      </c>
    </row>
    <row r="61">
      <c r="D61">
        <f>IF(C61="","",MIN(C61,Settings!$B$6))</f>
        <v/>
      </c>
      <c r="E61">
        <f>IF(C61="","",MAX(0,C61-D61))</f>
        <v/>
      </c>
    </row>
    <row r="62">
      <c r="D62">
        <f>IF(C62="","",MIN(C62,Settings!$B$6))</f>
        <v/>
      </c>
      <c r="E62">
        <f>IF(C62="","",MAX(0,C62-D62))</f>
        <v/>
      </c>
    </row>
    <row r="63">
      <c r="D63">
        <f>IF(C63="","",MIN(C63,Settings!$B$6))</f>
        <v/>
      </c>
      <c r="E63">
        <f>IF(C63="","",MAX(0,C63-D63))</f>
        <v/>
      </c>
    </row>
    <row r="64">
      <c r="D64">
        <f>IF(C64="","",MIN(C64,Settings!$B$6))</f>
        <v/>
      </c>
      <c r="E64">
        <f>IF(C64="","",MAX(0,C64-D64))</f>
        <v/>
      </c>
    </row>
    <row r="65">
      <c r="D65">
        <f>IF(C65="","",MIN(C65,Settings!$B$6))</f>
        <v/>
      </c>
      <c r="E65">
        <f>IF(C65="","",MAX(0,C65-D65))</f>
        <v/>
      </c>
    </row>
    <row r="66">
      <c r="D66">
        <f>IF(C66="","",MIN(C66,Settings!$B$6))</f>
        <v/>
      </c>
      <c r="E66">
        <f>IF(C66="","",MAX(0,C66-D66))</f>
        <v/>
      </c>
    </row>
    <row r="67">
      <c r="D67">
        <f>IF(C67="","",MIN(C67,Settings!$B$6))</f>
        <v/>
      </c>
      <c r="E67">
        <f>IF(C67="","",MAX(0,C67-D67))</f>
        <v/>
      </c>
    </row>
    <row r="68">
      <c r="D68">
        <f>IF(C68="","",MIN(C68,Settings!$B$6))</f>
        <v/>
      </c>
      <c r="E68">
        <f>IF(C68="","",MAX(0,C68-D68))</f>
        <v/>
      </c>
    </row>
    <row r="69">
      <c r="D69">
        <f>IF(C69="","",MIN(C69,Settings!$B$6))</f>
        <v/>
      </c>
      <c r="E69">
        <f>IF(C69="","",MAX(0,C69-D69))</f>
        <v/>
      </c>
    </row>
    <row r="70">
      <c r="D70">
        <f>IF(C70="","",MIN(C70,Settings!$B$6))</f>
        <v/>
      </c>
      <c r="E70">
        <f>IF(C70="","",MAX(0,C70-D70))</f>
        <v/>
      </c>
    </row>
    <row r="71">
      <c r="D71">
        <f>IF(C71="","",MIN(C71,Settings!$B$6))</f>
        <v/>
      </c>
      <c r="E71">
        <f>IF(C71="","",MAX(0,C71-D71))</f>
        <v/>
      </c>
    </row>
    <row r="72">
      <c r="D72">
        <f>IF(C72="","",MIN(C72,Settings!$B$6))</f>
        <v/>
      </c>
      <c r="E72">
        <f>IF(C72="","",MAX(0,C72-D72))</f>
        <v/>
      </c>
    </row>
    <row r="73">
      <c r="D73">
        <f>IF(C73="","",MIN(C73,Settings!$B$6))</f>
        <v/>
      </c>
      <c r="E73">
        <f>IF(C73="","",MAX(0,C73-D73))</f>
        <v/>
      </c>
    </row>
    <row r="74">
      <c r="D74">
        <f>IF(C74="","",MIN(C74,Settings!$B$6))</f>
        <v/>
      </c>
      <c r="E74">
        <f>IF(C74="","",MAX(0,C74-D74))</f>
        <v/>
      </c>
    </row>
    <row r="75">
      <c r="D75">
        <f>IF(C75="","",MIN(C75,Settings!$B$6))</f>
        <v/>
      </c>
      <c r="E75">
        <f>IF(C75="","",MAX(0,C75-D75))</f>
        <v/>
      </c>
    </row>
    <row r="76">
      <c r="D76">
        <f>IF(C76="","",MIN(C76,Settings!$B$6))</f>
        <v/>
      </c>
      <c r="E76">
        <f>IF(C76="","",MAX(0,C76-D76))</f>
        <v/>
      </c>
    </row>
    <row r="77">
      <c r="D77">
        <f>IF(C77="","",MIN(C77,Settings!$B$6))</f>
        <v/>
      </c>
      <c r="E77">
        <f>IF(C77="","",MAX(0,C77-D77))</f>
        <v/>
      </c>
    </row>
    <row r="78">
      <c r="D78">
        <f>IF(C78="","",MIN(C78,Settings!$B$6))</f>
        <v/>
      </c>
      <c r="E78">
        <f>IF(C78="","",MAX(0,C78-D78))</f>
        <v/>
      </c>
    </row>
    <row r="79">
      <c r="D79">
        <f>IF(C79="","",MIN(C79,Settings!$B$6))</f>
        <v/>
      </c>
      <c r="E79">
        <f>IF(C79="","",MAX(0,C79-D79))</f>
        <v/>
      </c>
    </row>
    <row r="80">
      <c r="D80">
        <f>IF(C80="","",MIN(C80,Settings!$B$6))</f>
        <v/>
      </c>
      <c r="E80">
        <f>IF(C80="","",MAX(0,C80-D80))</f>
        <v/>
      </c>
    </row>
    <row r="81">
      <c r="D81">
        <f>IF(C81="","",MIN(C81,Settings!$B$6))</f>
        <v/>
      </c>
      <c r="E81">
        <f>IF(C81="","",MAX(0,C81-D81))</f>
        <v/>
      </c>
    </row>
    <row r="82">
      <c r="D82">
        <f>IF(C82="","",MIN(C82,Settings!$B$6))</f>
        <v/>
      </c>
      <c r="E82">
        <f>IF(C82="","",MAX(0,C82-D82))</f>
        <v/>
      </c>
    </row>
    <row r="83">
      <c r="D83">
        <f>IF(C83="","",MIN(C83,Settings!$B$6))</f>
        <v/>
      </c>
      <c r="E83">
        <f>IF(C83="","",MAX(0,C83-D83))</f>
        <v/>
      </c>
    </row>
    <row r="84">
      <c r="D84">
        <f>IF(C84="","",MIN(C84,Settings!$B$6))</f>
        <v/>
      </c>
      <c r="E84">
        <f>IF(C84="","",MAX(0,C84-D84))</f>
        <v/>
      </c>
    </row>
    <row r="85">
      <c r="D85">
        <f>IF(C85="","",MIN(C85,Settings!$B$6))</f>
        <v/>
      </c>
      <c r="E85">
        <f>IF(C85="","",MAX(0,C85-D85))</f>
        <v/>
      </c>
    </row>
    <row r="86">
      <c r="D86">
        <f>IF(C86="","",MIN(C86,Settings!$B$6))</f>
        <v/>
      </c>
      <c r="E86">
        <f>IF(C86="","",MAX(0,C86-D86))</f>
        <v/>
      </c>
    </row>
    <row r="87">
      <c r="D87">
        <f>IF(C87="","",MIN(C87,Settings!$B$6))</f>
        <v/>
      </c>
      <c r="E87">
        <f>IF(C87="","",MAX(0,C87-D87))</f>
        <v/>
      </c>
    </row>
    <row r="88">
      <c r="D88">
        <f>IF(C88="","",MIN(C88,Settings!$B$6))</f>
        <v/>
      </c>
      <c r="E88">
        <f>IF(C88="","",MAX(0,C88-D88))</f>
        <v/>
      </c>
    </row>
    <row r="89">
      <c r="D89">
        <f>IF(C89="","",MIN(C89,Settings!$B$6))</f>
        <v/>
      </c>
      <c r="E89">
        <f>IF(C89="","",MAX(0,C89-D89))</f>
        <v/>
      </c>
    </row>
    <row r="90">
      <c r="D90">
        <f>IF(C90="","",MIN(C90,Settings!$B$6))</f>
        <v/>
      </c>
      <c r="E90">
        <f>IF(C90="","",MAX(0,C90-D90))</f>
        <v/>
      </c>
    </row>
    <row r="91">
      <c r="D91">
        <f>IF(C91="","",MIN(C91,Settings!$B$6))</f>
        <v/>
      </c>
      <c r="E91">
        <f>IF(C91="","",MAX(0,C91-D91))</f>
        <v/>
      </c>
    </row>
    <row r="92">
      <c r="D92">
        <f>IF(C92="","",MIN(C92,Settings!$B$6))</f>
        <v/>
      </c>
      <c r="E92">
        <f>IF(C92="","",MAX(0,C92-D92))</f>
        <v/>
      </c>
    </row>
    <row r="93">
      <c r="D93">
        <f>IF(C93="","",MIN(C93,Settings!$B$6))</f>
        <v/>
      </c>
      <c r="E93">
        <f>IF(C93="","",MAX(0,C93-D93))</f>
        <v/>
      </c>
    </row>
    <row r="94">
      <c r="D94">
        <f>IF(C94="","",MIN(C94,Settings!$B$6))</f>
        <v/>
      </c>
      <c r="E94">
        <f>IF(C94="","",MAX(0,C94-D94))</f>
        <v/>
      </c>
    </row>
    <row r="95">
      <c r="D95">
        <f>IF(C95="","",MIN(C95,Settings!$B$6))</f>
        <v/>
      </c>
      <c r="E95">
        <f>IF(C95="","",MAX(0,C95-D95))</f>
        <v/>
      </c>
    </row>
    <row r="96">
      <c r="D96">
        <f>IF(C96="","",MIN(C96,Settings!$B$6))</f>
        <v/>
      </c>
      <c r="E96">
        <f>IF(C96="","",MAX(0,C96-D96))</f>
        <v/>
      </c>
    </row>
    <row r="97">
      <c r="D97">
        <f>IF(C97="","",MIN(C97,Settings!$B$6))</f>
        <v/>
      </c>
      <c r="E97">
        <f>IF(C97="","",MAX(0,C97-D97))</f>
        <v/>
      </c>
    </row>
    <row r="98">
      <c r="D98">
        <f>IF(C98="","",MIN(C98,Settings!$B$6))</f>
        <v/>
      </c>
      <c r="E98">
        <f>IF(C98="","",MAX(0,C98-D98))</f>
        <v/>
      </c>
    </row>
    <row r="99">
      <c r="D99">
        <f>IF(C99="","",MIN(C99,Settings!$B$6))</f>
        <v/>
      </c>
      <c r="E99">
        <f>IF(C99="","",MAX(0,C99-D99))</f>
        <v/>
      </c>
    </row>
    <row r="100">
      <c r="D100">
        <f>IF(C100="","",MIN(C100,Settings!$B$6))</f>
        <v/>
      </c>
      <c r="E100">
        <f>IF(C100="","",MAX(0,C100-D100))</f>
        <v/>
      </c>
    </row>
    <row r="101">
      <c r="D101">
        <f>IF(C101="","",MIN(C101,Settings!$B$6))</f>
        <v/>
      </c>
      <c r="E101">
        <f>IF(C101="","",MAX(0,C101-D101))</f>
        <v/>
      </c>
    </row>
    <row r="102">
      <c r="D102">
        <f>IF(C102="","",MIN(C102,Settings!$B$6))</f>
        <v/>
      </c>
      <c r="E102">
        <f>IF(C102="","",MAX(0,C102-D102))</f>
        <v/>
      </c>
    </row>
    <row r="103">
      <c r="D103">
        <f>IF(C103="","",MIN(C103,Settings!$B$6))</f>
        <v/>
      </c>
      <c r="E103">
        <f>IF(C103="","",MAX(0,C103-D103))</f>
        <v/>
      </c>
    </row>
    <row r="104">
      <c r="D104">
        <f>IF(C104="","",MIN(C104,Settings!$B$6))</f>
        <v/>
      </c>
      <c r="E104">
        <f>IF(C104="","",MAX(0,C104-D104))</f>
        <v/>
      </c>
    </row>
    <row r="105">
      <c r="D105">
        <f>IF(C105="","",MIN(C105,Settings!$B$6))</f>
        <v/>
      </c>
      <c r="E105">
        <f>IF(C105="","",MAX(0,C105-D105))</f>
        <v/>
      </c>
    </row>
    <row r="106">
      <c r="D106">
        <f>IF(C106="","",MIN(C106,Settings!$B$6))</f>
        <v/>
      </c>
      <c r="E106">
        <f>IF(C106="","",MAX(0,C106-D106))</f>
        <v/>
      </c>
    </row>
    <row r="107">
      <c r="D107">
        <f>IF(C107="","",MIN(C107,Settings!$B$6))</f>
        <v/>
      </c>
      <c r="E107">
        <f>IF(C107="","",MAX(0,C107-D107))</f>
        <v/>
      </c>
    </row>
    <row r="108">
      <c r="D108">
        <f>IF(C108="","",MIN(C108,Settings!$B$6))</f>
        <v/>
      </c>
      <c r="E108">
        <f>IF(C108="","",MAX(0,C108-D108))</f>
        <v/>
      </c>
    </row>
    <row r="109">
      <c r="D109">
        <f>IF(C109="","",MIN(C109,Settings!$B$6))</f>
        <v/>
      </c>
      <c r="E109">
        <f>IF(C109="","",MAX(0,C109-D109))</f>
        <v/>
      </c>
    </row>
    <row r="110">
      <c r="D110">
        <f>IF(C110="","",MIN(C110,Settings!$B$6))</f>
        <v/>
      </c>
      <c r="E110">
        <f>IF(C110="","",MAX(0,C110-D110))</f>
        <v/>
      </c>
    </row>
    <row r="111">
      <c r="D111">
        <f>IF(C111="","",MIN(C111,Settings!$B$6))</f>
        <v/>
      </c>
      <c r="E111">
        <f>IF(C111="","",MAX(0,C111-D111))</f>
        <v/>
      </c>
    </row>
    <row r="112">
      <c r="D112">
        <f>IF(C112="","",MIN(C112,Settings!$B$6))</f>
        <v/>
      </c>
      <c r="E112">
        <f>IF(C112="","",MAX(0,C112-D112))</f>
        <v/>
      </c>
    </row>
    <row r="113">
      <c r="D113">
        <f>IF(C113="","",MIN(C113,Settings!$B$6))</f>
        <v/>
      </c>
      <c r="E113">
        <f>IF(C113="","",MAX(0,C113-D113))</f>
        <v/>
      </c>
    </row>
    <row r="114">
      <c r="D114">
        <f>IF(C114="","",MIN(C114,Settings!$B$6))</f>
        <v/>
      </c>
      <c r="E114">
        <f>IF(C114="","",MAX(0,C114-D114))</f>
        <v/>
      </c>
    </row>
    <row r="115">
      <c r="D115">
        <f>IF(C115="","",MIN(C115,Settings!$B$6))</f>
        <v/>
      </c>
      <c r="E115">
        <f>IF(C115="","",MAX(0,C115-D115))</f>
        <v/>
      </c>
    </row>
    <row r="116">
      <c r="D116">
        <f>IF(C116="","",MIN(C116,Settings!$B$6))</f>
        <v/>
      </c>
      <c r="E116">
        <f>IF(C116="","",MAX(0,C116-D116))</f>
        <v/>
      </c>
    </row>
    <row r="117">
      <c r="D117">
        <f>IF(C117="","",MIN(C117,Settings!$B$6))</f>
        <v/>
      </c>
      <c r="E117">
        <f>IF(C117="","",MAX(0,C117-D117))</f>
        <v/>
      </c>
    </row>
    <row r="118">
      <c r="D118">
        <f>IF(C118="","",MIN(C118,Settings!$B$6))</f>
        <v/>
      </c>
      <c r="E118">
        <f>IF(C118="","",MAX(0,C118-D118))</f>
        <v/>
      </c>
    </row>
    <row r="119">
      <c r="D119">
        <f>IF(C119="","",MIN(C119,Settings!$B$6))</f>
        <v/>
      </c>
      <c r="E119">
        <f>IF(C119="","",MAX(0,C119-D119))</f>
        <v/>
      </c>
    </row>
    <row r="120">
      <c r="D120">
        <f>IF(C120="","",MIN(C120,Settings!$B$6))</f>
        <v/>
      </c>
      <c r="E120">
        <f>IF(C120="","",MAX(0,C120-D120))</f>
        <v/>
      </c>
    </row>
    <row r="121">
      <c r="D121">
        <f>IF(C121="","",MIN(C121,Settings!$B$6))</f>
        <v/>
      </c>
      <c r="E121">
        <f>IF(C121="","",MAX(0,C121-D121))</f>
        <v/>
      </c>
    </row>
    <row r="122">
      <c r="D122">
        <f>IF(C122="","",MIN(C122,Settings!$B$6))</f>
        <v/>
      </c>
      <c r="E122">
        <f>IF(C122="","",MAX(0,C122-D122))</f>
        <v/>
      </c>
    </row>
    <row r="123">
      <c r="D123">
        <f>IF(C123="","",MIN(C123,Settings!$B$6))</f>
        <v/>
      </c>
      <c r="E123">
        <f>IF(C123="","",MAX(0,C123-D123))</f>
        <v/>
      </c>
    </row>
    <row r="124">
      <c r="D124">
        <f>IF(C124="","",MIN(C124,Settings!$B$6))</f>
        <v/>
      </c>
      <c r="E124">
        <f>IF(C124="","",MAX(0,C124-D124))</f>
        <v/>
      </c>
    </row>
    <row r="125">
      <c r="D125">
        <f>IF(C125="","",MIN(C125,Settings!$B$6))</f>
        <v/>
      </c>
      <c r="E125">
        <f>IF(C125="","",MAX(0,C125-D125))</f>
        <v/>
      </c>
    </row>
    <row r="126">
      <c r="D126">
        <f>IF(C126="","",MIN(C126,Settings!$B$6))</f>
        <v/>
      </c>
      <c r="E126">
        <f>IF(C126="","",MAX(0,C126-D126))</f>
        <v/>
      </c>
    </row>
    <row r="127">
      <c r="D127">
        <f>IF(C127="","",MIN(C127,Settings!$B$6))</f>
        <v/>
      </c>
      <c r="E127">
        <f>IF(C127="","",MAX(0,C127-D127))</f>
        <v/>
      </c>
    </row>
    <row r="128">
      <c r="D128">
        <f>IF(C128="","",MIN(C128,Settings!$B$6))</f>
        <v/>
      </c>
      <c r="E128">
        <f>IF(C128="","",MAX(0,C128-D128))</f>
        <v/>
      </c>
    </row>
    <row r="129">
      <c r="D129">
        <f>IF(C129="","",MIN(C129,Settings!$B$6))</f>
        <v/>
      </c>
      <c r="E129">
        <f>IF(C129="","",MAX(0,C129-D129))</f>
        <v/>
      </c>
    </row>
    <row r="130">
      <c r="D130">
        <f>IF(C130="","",MIN(C130,Settings!$B$6))</f>
        <v/>
      </c>
      <c r="E130">
        <f>IF(C130="","",MAX(0,C130-D130))</f>
        <v/>
      </c>
    </row>
    <row r="131">
      <c r="D131">
        <f>IF(C131="","",MIN(C131,Settings!$B$6))</f>
        <v/>
      </c>
      <c r="E131">
        <f>IF(C131="","",MAX(0,C131-D131))</f>
        <v/>
      </c>
    </row>
    <row r="132">
      <c r="D132">
        <f>IF(C132="","",MIN(C132,Settings!$B$6))</f>
        <v/>
      </c>
      <c r="E132">
        <f>IF(C132="","",MAX(0,C132-D132))</f>
        <v/>
      </c>
    </row>
    <row r="133">
      <c r="D133">
        <f>IF(C133="","",MIN(C133,Settings!$B$6))</f>
        <v/>
      </c>
      <c r="E133">
        <f>IF(C133="","",MAX(0,C133-D133))</f>
        <v/>
      </c>
    </row>
    <row r="134">
      <c r="D134">
        <f>IF(C134="","",MIN(C134,Settings!$B$6))</f>
        <v/>
      </c>
      <c r="E134">
        <f>IF(C134="","",MAX(0,C134-D134))</f>
        <v/>
      </c>
    </row>
    <row r="135">
      <c r="D135">
        <f>IF(C135="","",MIN(C135,Settings!$B$6))</f>
        <v/>
      </c>
      <c r="E135">
        <f>IF(C135="","",MAX(0,C135-D135))</f>
        <v/>
      </c>
    </row>
    <row r="136">
      <c r="D136">
        <f>IF(C136="","",MIN(C136,Settings!$B$6))</f>
        <v/>
      </c>
      <c r="E136">
        <f>IF(C136="","",MAX(0,C136-D136))</f>
        <v/>
      </c>
    </row>
    <row r="137">
      <c r="D137">
        <f>IF(C137="","",MIN(C137,Settings!$B$6))</f>
        <v/>
      </c>
      <c r="E137">
        <f>IF(C137="","",MAX(0,C137-D137))</f>
        <v/>
      </c>
    </row>
    <row r="138">
      <c r="D138">
        <f>IF(C138="","",MIN(C138,Settings!$B$6))</f>
        <v/>
      </c>
      <c r="E138">
        <f>IF(C138="","",MAX(0,C138-D138))</f>
        <v/>
      </c>
    </row>
    <row r="139">
      <c r="D139">
        <f>IF(C139="","",MIN(C139,Settings!$B$6))</f>
        <v/>
      </c>
      <c r="E139">
        <f>IF(C139="","",MAX(0,C139-D139))</f>
        <v/>
      </c>
    </row>
    <row r="140">
      <c r="D140">
        <f>IF(C140="","",MIN(C140,Settings!$B$6))</f>
        <v/>
      </c>
      <c r="E140">
        <f>IF(C140="","",MAX(0,C140-D140))</f>
        <v/>
      </c>
    </row>
    <row r="141">
      <c r="D141">
        <f>IF(C141="","",MIN(C141,Settings!$B$6))</f>
        <v/>
      </c>
      <c r="E141">
        <f>IF(C141="","",MAX(0,C141-D141))</f>
        <v/>
      </c>
    </row>
    <row r="142">
      <c r="D142">
        <f>IF(C142="","",MIN(C142,Settings!$B$6))</f>
        <v/>
      </c>
      <c r="E142">
        <f>IF(C142="","",MAX(0,C142-D142))</f>
        <v/>
      </c>
    </row>
    <row r="143">
      <c r="D143">
        <f>IF(C143="","",MIN(C143,Settings!$B$6))</f>
        <v/>
      </c>
      <c r="E143">
        <f>IF(C143="","",MAX(0,C143-D143))</f>
        <v/>
      </c>
    </row>
    <row r="144">
      <c r="D144">
        <f>IF(C144="","",MIN(C144,Settings!$B$6))</f>
        <v/>
      </c>
      <c r="E144">
        <f>IF(C144="","",MAX(0,C144-D144))</f>
        <v/>
      </c>
    </row>
    <row r="145">
      <c r="D145">
        <f>IF(C145="","",MIN(C145,Settings!$B$6))</f>
        <v/>
      </c>
      <c r="E145">
        <f>IF(C145="","",MAX(0,C145-D145))</f>
        <v/>
      </c>
    </row>
    <row r="146">
      <c r="D146">
        <f>IF(C146="","",MIN(C146,Settings!$B$6))</f>
        <v/>
      </c>
      <c r="E146">
        <f>IF(C146="","",MAX(0,C146-D146))</f>
        <v/>
      </c>
    </row>
    <row r="147">
      <c r="D147">
        <f>IF(C147="","",MIN(C147,Settings!$B$6))</f>
        <v/>
      </c>
      <c r="E147">
        <f>IF(C147="","",MAX(0,C147-D147))</f>
        <v/>
      </c>
    </row>
    <row r="148">
      <c r="D148">
        <f>IF(C148="","",MIN(C148,Settings!$B$6))</f>
        <v/>
      </c>
      <c r="E148">
        <f>IF(C148="","",MAX(0,C148-D148))</f>
        <v/>
      </c>
    </row>
    <row r="149">
      <c r="D149">
        <f>IF(C149="","",MIN(C149,Settings!$B$6))</f>
        <v/>
      </c>
      <c r="E149">
        <f>IF(C149="","",MAX(0,C149-D149))</f>
        <v/>
      </c>
    </row>
    <row r="150">
      <c r="D150">
        <f>IF(C150="","",MIN(C150,Settings!$B$6))</f>
        <v/>
      </c>
      <c r="E150">
        <f>IF(C150="","",MAX(0,C150-D150))</f>
        <v/>
      </c>
    </row>
    <row r="151">
      <c r="D151">
        <f>IF(C151="","",MIN(C151,Settings!$B$6))</f>
        <v/>
      </c>
      <c r="E151">
        <f>IF(C151="","",MAX(0,C151-D151))</f>
        <v/>
      </c>
    </row>
    <row r="152">
      <c r="D152">
        <f>IF(C152="","",MIN(C152,Settings!$B$6))</f>
        <v/>
      </c>
      <c r="E152">
        <f>IF(C152="","",MAX(0,C152-D152))</f>
        <v/>
      </c>
    </row>
    <row r="153">
      <c r="D153">
        <f>IF(C153="","",MIN(C153,Settings!$B$6))</f>
        <v/>
      </c>
      <c r="E153">
        <f>IF(C153="","",MAX(0,C153-D153))</f>
        <v/>
      </c>
    </row>
    <row r="154">
      <c r="D154">
        <f>IF(C154="","",MIN(C154,Settings!$B$6))</f>
        <v/>
      </c>
      <c r="E154">
        <f>IF(C154="","",MAX(0,C154-D154))</f>
        <v/>
      </c>
    </row>
    <row r="155">
      <c r="D155">
        <f>IF(C155="","",MIN(C155,Settings!$B$6))</f>
        <v/>
      </c>
      <c r="E155">
        <f>IF(C155="","",MAX(0,C155-D155))</f>
        <v/>
      </c>
    </row>
    <row r="156">
      <c r="D156">
        <f>IF(C156="","",MIN(C156,Settings!$B$6))</f>
        <v/>
      </c>
      <c r="E156">
        <f>IF(C156="","",MAX(0,C156-D156))</f>
        <v/>
      </c>
    </row>
    <row r="157">
      <c r="D157">
        <f>IF(C157="","",MIN(C157,Settings!$B$6))</f>
        <v/>
      </c>
      <c r="E157">
        <f>IF(C157="","",MAX(0,C157-D157))</f>
        <v/>
      </c>
    </row>
    <row r="158">
      <c r="D158">
        <f>IF(C158="","",MIN(C158,Settings!$B$6))</f>
        <v/>
      </c>
      <c r="E158">
        <f>IF(C158="","",MAX(0,C158-D158))</f>
        <v/>
      </c>
    </row>
    <row r="159">
      <c r="D159">
        <f>IF(C159="","",MIN(C159,Settings!$B$6))</f>
        <v/>
      </c>
      <c r="E159">
        <f>IF(C159="","",MAX(0,C159-D159))</f>
        <v/>
      </c>
    </row>
    <row r="160">
      <c r="D160">
        <f>IF(C160="","",MIN(C160,Settings!$B$6))</f>
        <v/>
      </c>
      <c r="E160">
        <f>IF(C160="","",MAX(0,C160-D160))</f>
        <v/>
      </c>
    </row>
    <row r="161">
      <c r="D161">
        <f>IF(C161="","",MIN(C161,Settings!$B$6))</f>
        <v/>
      </c>
      <c r="E161">
        <f>IF(C161="","",MAX(0,C161-D161))</f>
        <v/>
      </c>
    </row>
    <row r="162">
      <c r="D162">
        <f>IF(C162="","",MIN(C162,Settings!$B$6))</f>
        <v/>
      </c>
      <c r="E162">
        <f>IF(C162="","",MAX(0,C162-D162))</f>
        <v/>
      </c>
    </row>
    <row r="163">
      <c r="D163">
        <f>IF(C163="","",MIN(C163,Settings!$B$6))</f>
        <v/>
      </c>
      <c r="E163">
        <f>IF(C163="","",MAX(0,C163-D163))</f>
        <v/>
      </c>
    </row>
    <row r="164">
      <c r="D164">
        <f>IF(C164="","",MIN(C164,Settings!$B$6))</f>
        <v/>
      </c>
      <c r="E164">
        <f>IF(C164="","",MAX(0,C164-D164))</f>
        <v/>
      </c>
    </row>
    <row r="165">
      <c r="D165">
        <f>IF(C165="","",MIN(C165,Settings!$B$6))</f>
        <v/>
      </c>
      <c r="E165">
        <f>IF(C165="","",MAX(0,C165-D165))</f>
        <v/>
      </c>
    </row>
    <row r="166">
      <c r="D166">
        <f>IF(C166="","",MIN(C166,Settings!$B$6))</f>
        <v/>
      </c>
      <c r="E166">
        <f>IF(C166="","",MAX(0,C166-D166))</f>
        <v/>
      </c>
    </row>
    <row r="167">
      <c r="D167">
        <f>IF(C167="","",MIN(C167,Settings!$B$6))</f>
        <v/>
      </c>
      <c r="E167">
        <f>IF(C167="","",MAX(0,C167-D167))</f>
        <v/>
      </c>
    </row>
    <row r="168">
      <c r="D168">
        <f>IF(C168="","",MIN(C168,Settings!$B$6))</f>
        <v/>
      </c>
      <c r="E168">
        <f>IF(C168="","",MAX(0,C168-D168))</f>
        <v/>
      </c>
    </row>
    <row r="169">
      <c r="D169">
        <f>IF(C169="","",MIN(C169,Settings!$B$6))</f>
        <v/>
      </c>
      <c r="E169">
        <f>IF(C169="","",MAX(0,C169-D169))</f>
        <v/>
      </c>
    </row>
    <row r="170">
      <c r="D170">
        <f>IF(C170="","",MIN(C170,Settings!$B$6))</f>
        <v/>
      </c>
      <c r="E170">
        <f>IF(C170="","",MAX(0,C170-D170))</f>
        <v/>
      </c>
    </row>
    <row r="171">
      <c r="D171">
        <f>IF(C171="","",MIN(C171,Settings!$B$6))</f>
        <v/>
      </c>
      <c r="E171">
        <f>IF(C171="","",MAX(0,C171-D171))</f>
        <v/>
      </c>
    </row>
    <row r="172">
      <c r="D172">
        <f>IF(C172="","",MIN(C172,Settings!$B$6))</f>
        <v/>
      </c>
      <c r="E172">
        <f>IF(C172="","",MAX(0,C172-D172))</f>
        <v/>
      </c>
    </row>
    <row r="173">
      <c r="D173">
        <f>IF(C173="","",MIN(C173,Settings!$B$6))</f>
        <v/>
      </c>
      <c r="E173">
        <f>IF(C173="","",MAX(0,C173-D173))</f>
        <v/>
      </c>
    </row>
    <row r="174">
      <c r="D174">
        <f>IF(C174="","",MIN(C174,Settings!$B$6))</f>
        <v/>
      </c>
      <c r="E174">
        <f>IF(C174="","",MAX(0,C174-D174))</f>
        <v/>
      </c>
    </row>
    <row r="175">
      <c r="D175">
        <f>IF(C175="","",MIN(C175,Settings!$B$6))</f>
        <v/>
      </c>
      <c r="E175">
        <f>IF(C175="","",MAX(0,C175-D175))</f>
        <v/>
      </c>
    </row>
    <row r="176">
      <c r="D176">
        <f>IF(C176="","",MIN(C176,Settings!$B$6))</f>
        <v/>
      </c>
      <c r="E176">
        <f>IF(C176="","",MAX(0,C176-D176))</f>
        <v/>
      </c>
    </row>
    <row r="177">
      <c r="D177">
        <f>IF(C177="","",MIN(C177,Settings!$B$6))</f>
        <v/>
      </c>
      <c r="E177">
        <f>IF(C177="","",MAX(0,C177-D177))</f>
        <v/>
      </c>
    </row>
    <row r="178">
      <c r="D178">
        <f>IF(C178="","",MIN(C178,Settings!$B$6))</f>
        <v/>
      </c>
      <c r="E178">
        <f>IF(C178="","",MAX(0,C178-D178))</f>
        <v/>
      </c>
    </row>
    <row r="179">
      <c r="D179">
        <f>IF(C179="","",MIN(C179,Settings!$B$6))</f>
        <v/>
      </c>
      <c r="E179">
        <f>IF(C179="","",MAX(0,C179-D179))</f>
        <v/>
      </c>
    </row>
    <row r="180">
      <c r="D180">
        <f>IF(C180="","",MIN(C180,Settings!$B$6))</f>
        <v/>
      </c>
      <c r="E180">
        <f>IF(C180="","",MAX(0,C180-D180))</f>
        <v/>
      </c>
    </row>
    <row r="181">
      <c r="D181">
        <f>IF(C181="","",MIN(C181,Settings!$B$6))</f>
        <v/>
      </c>
      <c r="E181">
        <f>IF(C181="","",MAX(0,C181-D181))</f>
        <v/>
      </c>
    </row>
    <row r="182">
      <c r="D182">
        <f>IF(C182="","",MIN(C182,Settings!$B$6))</f>
        <v/>
      </c>
      <c r="E182">
        <f>IF(C182="","",MAX(0,C182-D182))</f>
        <v/>
      </c>
    </row>
    <row r="183">
      <c r="D183">
        <f>IF(C183="","",MIN(C183,Settings!$B$6))</f>
        <v/>
      </c>
      <c r="E183">
        <f>IF(C183="","",MAX(0,C183-D183))</f>
        <v/>
      </c>
    </row>
    <row r="184">
      <c r="D184">
        <f>IF(C184="","",MIN(C184,Settings!$B$6))</f>
        <v/>
      </c>
      <c r="E184">
        <f>IF(C184="","",MAX(0,C184-D184))</f>
        <v/>
      </c>
    </row>
    <row r="185">
      <c r="D185">
        <f>IF(C185="","",MIN(C185,Settings!$B$6))</f>
        <v/>
      </c>
      <c r="E185">
        <f>IF(C185="","",MAX(0,C185-D185))</f>
        <v/>
      </c>
    </row>
    <row r="186">
      <c r="D186">
        <f>IF(C186="","",MIN(C186,Settings!$B$6))</f>
        <v/>
      </c>
      <c r="E186">
        <f>IF(C186="","",MAX(0,C186-D186))</f>
        <v/>
      </c>
    </row>
    <row r="187">
      <c r="D187">
        <f>IF(C187="","",MIN(C187,Settings!$B$6))</f>
        <v/>
      </c>
      <c r="E187">
        <f>IF(C187="","",MAX(0,C187-D187))</f>
        <v/>
      </c>
    </row>
    <row r="188">
      <c r="D188">
        <f>IF(C188="","",MIN(C188,Settings!$B$6))</f>
        <v/>
      </c>
      <c r="E188">
        <f>IF(C188="","",MAX(0,C188-D188))</f>
        <v/>
      </c>
    </row>
    <row r="189">
      <c r="D189">
        <f>IF(C189="","",MIN(C189,Settings!$B$6))</f>
        <v/>
      </c>
      <c r="E189">
        <f>IF(C189="","",MAX(0,C189-D189))</f>
        <v/>
      </c>
    </row>
    <row r="190">
      <c r="D190">
        <f>IF(C190="","",MIN(C190,Settings!$B$6))</f>
        <v/>
      </c>
      <c r="E190">
        <f>IF(C190="","",MAX(0,C190-D190))</f>
        <v/>
      </c>
    </row>
    <row r="191">
      <c r="D191">
        <f>IF(C191="","",MIN(C191,Settings!$B$6))</f>
        <v/>
      </c>
      <c r="E191">
        <f>IF(C191="","",MAX(0,C191-D191))</f>
        <v/>
      </c>
    </row>
    <row r="192">
      <c r="D192">
        <f>IF(C192="","",MIN(C192,Settings!$B$6))</f>
        <v/>
      </c>
      <c r="E192">
        <f>IF(C192="","",MAX(0,C192-D192))</f>
        <v/>
      </c>
    </row>
    <row r="193">
      <c r="D193">
        <f>IF(C193="","",MIN(C193,Settings!$B$6))</f>
        <v/>
      </c>
      <c r="E193">
        <f>IF(C193="","",MAX(0,C193-D193))</f>
        <v/>
      </c>
    </row>
    <row r="194">
      <c r="D194">
        <f>IF(C194="","",MIN(C194,Settings!$B$6))</f>
        <v/>
      </c>
      <c r="E194">
        <f>IF(C194="","",MAX(0,C194-D194))</f>
        <v/>
      </c>
    </row>
    <row r="195">
      <c r="D195">
        <f>IF(C195="","",MIN(C195,Settings!$B$6))</f>
        <v/>
      </c>
      <c r="E195">
        <f>IF(C195="","",MAX(0,C195-D195))</f>
        <v/>
      </c>
    </row>
    <row r="196">
      <c r="D196">
        <f>IF(C196="","",MIN(C196,Settings!$B$6))</f>
        <v/>
      </c>
      <c r="E196">
        <f>IF(C196="","",MAX(0,C196-D196))</f>
        <v/>
      </c>
    </row>
    <row r="197">
      <c r="D197">
        <f>IF(C197="","",MIN(C197,Settings!$B$6))</f>
        <v/>
      </c>
      <c r="E197">
        <f>IF(C197="","",MAX(0,C197-D197))</f>
        <v/>
      </c>
    </row>
    <row r="198">
      <c r="D198">
        <f>IF(C198="","",MIN(C198,Settings!$B$6))</f>
        <v/>
      </c>
      <c r="E198">
        <f>IF(C198="","",MAX(0,C198-D198))</f>
        <v/>
      </c>
    </row>
    <row r="199">
      <c r="D199">
        <f>IF(C199="","",MIN(C199,Settings!$B$6))</f>
        <v/>
      </c>
      <c r="E199">
        <f>IF(C199="","",MAX(0,C199-D199))</f>
        <v/>
      </c>
    </row>
    <row r="200">
      <c r="D200">
        <f>IF(C200="","",MIN(C200,Settings!$B$6))</f>
        <v/>
      </c>
      <c r="E200">
        <f>IF(C200="","",MAX(0,C200-D200))</f>
        <v/>
      </c>
    </row>
    <row r="201">
      <c r="D201">
        <f>IF(C201="","",MIN(C201,Settings!$B$6))</f>
        <v/>
      </c>
      <c r="E201">
        <f>IF(C201="","",MAX(0,C201-D201))</f>
        <v/>
      </c>
    </row>
    <row r="202">
      <c r="D202">
        <f>IF(C202="","",MIN(C202,Settings!$B$6))</f>
        <v/>
      </c>
      <c r="E202">
        <f>IF(C202="","",MAX(0,C202-D202))</f>
        <v/>
      </c>
    </row>
    <row r="203">
      <c r="D203">
        <f>IF(C203="","",MIN(C203,Settings!$B$6))</f>
        <v/>
      </c>
      <c r="E203">
        <f>IF(C203="","",MAX(0,C203-D203))</f>
        <v/>
      </c>
    </row>
    <row r="204">
      <c r="D204">
        <f>IF(C204="","",MIN(C204,Settings!$B$6))</f>
        <v/>
      </c>
      <c r="E204">
        <f>IF(C204="","",MAX(0,C204-D204))</f>
        <v/>
      </c>
    </row>
    <row r="205">
      <c r="D205">
        <f>IF(C205="","",MIN(C205,Settings!$B$6))</f>
        <v/>
      </c>
      <c r="E205">
        <f>IF(C205="","",MAX(0,C205-D205))</f>
        <v/>
      </c>
    </row>
    <row r="206">
      <c r="D206">
        <f>IF(C206="","",MIN(C206,Settings!$B$6))</f>
        <v/>
      </c>
      <c r="E206">
        <f>IF(C206="","",MAX(0,C206-D206))</f>
        <v/>
      </c>
    </row>
    <row r="207">
      <c r="D207">
        <f>IF(C207="","",MIN(C207,Settings!$B$6))</f>
        <v/>
      </c>
      <c r="E207">
        <f>IF(C207="","",MAX(0,C207-D207))</f>
        <v/>
      </c>
    </row>
    <row r="208">
      <c r="D208">
        <f>IF(C208="","",MIN(C208,Settings!$B$6))</f>
        <v/>
      </c>
      <c r="E208">
        <f>IF(C208="","",MAX(0,C208-D208))</f>
        <v/>
      </c>
    </row>
    <row r="209">
      <c r="D209">
        <f>IF(C209="","",MIN(C209,Settings!$B$6))</f>
        <v/>
      </c>
      <c r="E209">
        <f>IF(C209="","",MAX(0,C209-D209))</f>
        <v/>
      </c>
    </row>
    <row r="210">
      <c r="D210">
        <f>IF(C210="","",MIN(C210,Settings!$B$6))</f>
        <v/>
      </c>
      <c r="E210">
        <f>IF(C210="","",MAX(0,C210-D210))</f>
        <v/>
      </c>
    </row>
    <row r="211">
      <c r="D211">
        <f>IF(C211="","",MIN(C211,Settings!$B$6))</f>
        <v/>
      </c>
      <c r="E211">
        <f>IF(C211="","",MAX(0,C211-D211))</f>
        <v/>
      </c>
    </row>
    <row r="212">
      <c r="D212">
        <f>IF(C212="","",MIN(C212,Settings!$B$6))</f>
        <v/>
      </c>
      <c r="E212">
        <f>IF(C212="","",MAX(0,C212-D212))</f>
        <v/>
      </c>
    </row>
    <row r="213">
      <c r="D213">
        <f>IF(C213="","",MIN(C213,Settings!$B$6))</f>
        <v/>
      </c>
      <c r="E213">
        <f>IF(C213="","",MAX(0,C213-D213))</f>
        <v/>
      </c>
    </row>
    <row r="214">
      <c r="D214">
        <f>IF(C214="","",MIN(C214,Settings!$B$6))</f>
        <v/>
      </c>
      <c r="E214">
        <f>IF(C214="","",MAX(0,C214-D214))</f>
        <v/>
      </c>
    </row>
    <row r="215">
      <c r="D215">
        <f>IF(C215="","",MIN(C215,Settings!$B$6))</f>
        <v/>
      </c>
      <c r="E215">
        <f>IF(C215="","",MAX(0,C215-D215))</f>
        <v/>
      </c>
    </row>
    <row r="216">
      <c r="D216">
        <f>IF(C216="","",MIN(C216,Settings!$B$6))</f>
        <v/>
      </c>
      <c r="E216">
        <f>IF(C216="","",MAX(0,C216-D216))</f>
        <v/>
      </c>
    </row>
    <row r="217">
      <c r="D217">
        <f>IF(C217="","",MIN(C217,Settings!$B$6))</f>
        <v/>
      </c>
      <c r="E217">
        <f>IF(C217="","",MAX(0,C217-D217))</f>
        <v/>
      </c>
    </row>
    <row r="218">
      <c r="D218">
        <f>IF(C218="","",MIN(C218,Settings!$B$6))</f>
        <v/>
      </c>
      <c r="E218">
        <f>IF(C218="","",MAX(0,C218-D218))</f>
        <v/>
      </c>
    </row>
    <row r="219">
      <c r="D219">
        <f>IF(C219="","",MIN(C219,Settings!$B$6))</f>
        <v/>
      </c>
      <c r="E219">
        <f>IF(C219="","",MAX(0,C219-D219))</f>
        <v/>
      </c>
    </row>
    <row r="220">
      <c r="D220">
        <f>IF(C220="","",MIN(C220,Settings!$B$6))</f>
        <v/>
      </c>
      <c r="E220">
        <f>IF(C220="","",MAX(0,C220-D220))</f>
        <v/>
      </c>
    </row>
    <row r="221">
      <c r="D221">
        <f>IF(C221="","",MIN(C221,Settings!$B$6))</f>
        <v/>
      </c>
      <c r="E221">
        <f>IF(C221="","",MAX(0,C221-D221))</f>
        <v/>
      </c>
    </row>
    <row r="222">
      <c r="D222">
        <f>IF(C222="","",MIN(C222,Settings!$B$6))</f>
        <v/>
      </c>
      <c r="E222">
        <f>IF(C222="","",MAX(0,C222-D222))</f>
        <v/>
      </c>
    </row>
    <row r="223">
      <c r="D223">
        <f>IF(C223="","",MIN(C223,Settings!$B$6))</f>
        <v/>
      </c>
      <c r="E223">
        <f>IF(C223="","",MAX(0,C223-D223))</f>
        <v/>
      </c>
    </row>
    <row r="224">
      <c r="D224">
        <f>IF(C224="","",MIN(C224,Settings!$B$6))</f>
        <v/>
      </c>
      <c r="E224">
        <f>IF(C224="","",MAX(0,C224-D224))</f>
        <v/>
      </c>
    </row>
    <row r="225">
      <c r="D225">
        <f>IF(C225="","",MIN(C225,Settings!$B$6))</f>
        <v/>
      </c>
      <c r="E225">
        <f>IF(C225="","",MAX(0,C225-D225))</f>
        <v/>
      </c>
    </row>
    <row r="226">
      <c r="D226">
        <f>IF(C226="","",MIN(C226,Settings!$B$6))</f>
        <v/>
      </c>
      <c r="E226">
        <f>IF(C226="","",MAX(0,C226-D226))</f>
        <v/>
      </c>
    </row>
    <row r="227">
      <c r="D227">
        <f>IF(C227="","",MIN(C227,Settings!$B$6))</f>
        <v/>
      </c>
      <c r="E227">
        <f>IF(C227="","",MAX(0,C227-D227))</f>
        <v/>
      </c>
    </row>
    <row r="228">
      <c r="D228">
        <f>IF(C228="","",MIN(C228,Settings!$B$6))</f>
        <v/>
      </c>
      <c r="E228">
        <f>IF(C228="","",MAX(0,C228-D228))</f>
        <v/>
      </c>
    </row>
    <row r="229">
      <c r="D229">
        <f>IF(C229="","",MIN(C229,Settings!$B$6))</f>
        <v/>
      </c>
      <c r="E229">
        <f>IF(C229="","",MAX(0,C229-D229))</f>
        <v/>
      </c>
    </row>
    <row r="230">
      <c r="D230">
        <f>IF(C230="","",MIN(C230,Settings!$B$6))</f>
        <v/>
      </c>
      <c r="E230">
        <f>IF(C230="","",MAX(0,C230-D230))</f>
        <v/>
      </c>
    </row>
    <row r="231">
      <c r="D231">
        <f>IF(C231="","",MIN(C231,Settings!$B$6))</f>
        <v/>
      </c>
      <c r="E231">
        <f>IF(C231="","",MAX(0,C231-D231))</f>
        <v/>
      </c>
    </row>
    <row r="232">
      <c r="D232">
        <f>IF(C232="","",MIN(C232,Settings!$B$6))</f>
        <v/>
      </c>
      <c r="E232">
        <f>IF(C232="","",MAX(0,C232-D232))</f>
        <v/>
      </c>
    </row>
    <row r="233">
      <c r="D233">
        <f>IF(C233="","",MIN(C233,Settings!$B$6))</f>
        <v/>
      </c>
      <c r="E233">
        <f>IF(C233="","",MAX(0,C233-D233))</f>
        <v/>
      </c>
    </row>
    <row r="234">
      <c r="D234">
        <f>IF(C234="","",MIN(C234,Settings!$B$6))</f>
        <v/>
      </c>
      <c r="E234">
        <f>IF(C234="","",MAX(0,C234-D234))</f>
        <v/>
      </c>
    </row>
    <row r="235">
      <c r="D235">
        <f>IF(C235="","",MIN(C235,Settings!$B$6))</f>
        <v/>
      </c>
      <c r="E235">
        <f>IF(C235="","",MAX(0,C235-D235))</f>
        <v/>
      </c>
    </row>
    <row r="236">
      <c r="D236">
        <f>IF(C236="","",MIN(C236,Settings!$B$6))</f>
        <v/>
      </c>
      <c r="E236">
        <f>IF(C236="","",MAX(0,C236-D236))</f>
        <v/>
      </c>
    </row>
    <row r="237">
      <c r="D237">
        <f>IF(C237="","",MIN(C237,Settings!$B$6))</f>
        <v/>
      </c>
      <c r="E237">
        <f>IF(C237="","",MAX(0,C237-D237))</f>
        <v/>
      </c>
    </row>
    <row r="238">
      <c r="D238">
        <f>IF(C238="","",MIN(C238,Settings!$B$6))</f>
        <v/>
      </c>
      <c r="E238">
        <f>IF(C238="","",MAX(0,C238-D238))</f>
        <v/>
      </c>
    </row>
    <row r="239">
      <c r="D239">
        <f>IF(C239="","",MIN(C239,Settings!$B$6))</f>
        <v/>
      </c>
      <c r="E239">
        <f>IF(C239="","",MAX(0,C239-D239))</f>
        <v/>
      </c>
    </row>
    <row r="240">
      <c r="D240">
        <f>IF(C240="","",MIN(C240,Settings!$B$6))</f>
        <v/>
      </c>
      <c r="E240">
        <f>IF(C240="","",MAX(0,C240-D240))</f>
        <v/>
      </c>
    </row>
    <row r="241">
      <c r="D241">
        <f>IF(C241="","",MIN(C241,Settings!$B$6))</f>
        <v/>
      </c>
      <c r="E241">
        <f>IF(C241="","",MAX(0,C241-D241))</f>
        <v/>
      </c>
    </row>
    <row r="242">
      <c r="D242">
        <f>IF(C242="","",MIN(C242,Settings!$B$6))</f>
        <v/>
      </c>
      <c r="E242">
        <f>IF(C242="","",MAX(0,C242-D242))</f>
        <v/>
      </c>
    </row>
    <row r="243">
      <c r="D243">
        <f>IF(C243="","",MIN(C243,Settings!$B$6))</f>
        <v/>
      </c>
      <c r="E243">
        <f>IF(C243="","",MAX(0,C243-D243))</f>
        <v/>
      </c>
    </row>
    <row r="244">
      <c r="D244">
        <f>IF(C244="","",MIN(C244,Settings!$B$6))</f>
        <v/>
      </c>
      <c r="E244">
        <f>IF(C244="","",MAX(0,C244-D244))</f>
        <v/>
      </c>
    </row>
    <row r="245">
      <c r="D245">
        <f>IF(C245="","",MIN(C245,Settings!$B$6))</f>
        <v/>
      </c>
      <c r="E245">
        <f>IF(C245="","",MAX(0,C245-D245))</f>
        <v/>
      </c>
    </row>
    <row r="246">
      <c r="D246">
        <f>IF(C246="","",MIN(C246,Settings!$B$6))</f>
        <v/>
      </c>
      <c r="E246">
        <f>IF(C246="","",MAX(0,C246-D246))</f>
        <v/>
      </c>
    </row>
    <row r="247">
      <c r="D247">
        <f>IF(C247="","",MIN(C247,Settings!$B$6))</f>
        <v/>
      </c>
      <c r="E247">
        <f>IF(C247="","",MAX(0,C247-D247))</f>
        <v/>
      </c>
    </row>
    <row r="248">
      <c r="D248">
        <f>IF(C248="","",MIN(C248,Settings!$B$6))</f>
        <v/>
      </c>
      <c r="E248">
        <f>IF(C248="","",MAX(0,C248-D248))</f>
        <v/>
      </c>
    </row>
    <row r="249">
      <c r="D249">
        <f>IF(C249="","",MIN(C249,Settings!$B$6))</f>
        <v/>
      </c>
      <c r="E249">
        <f>IF(C249="","",MAX(0,C249-D249))</f>
        <v/>
      </c>
    </row>
    <row r="250">
      <c r="D250">
        <f>IF(C250="","",MIN(C250,Settings!$B$6))</f>
        <v/>
      </c>
      <c r="E250">
        <f>IF(C250="","",MAX(0,C250-D250))</f>
        <v/>
      </c>
    </row>
    <row r="251">
      <c r="D251">
        <f>IF(C251="","",MIN(C251,Settings!$B$6))</f>
        <v/>
      </c>
      <c r="E251">
        <f>IF(C251="","",MAX(0,C251-D251))</f>
        <v/>
      </c>
    </row>
    <row r="252">
      <c r="D252">
        <f>IF(C252="","",MIN(C252,Settings!$B$6))</f>
        <v/>
      </c>
      <c r="E252">
        <f>IF(C252="","",MAX(0,C252-D252))</f>
        <v/>
      </c>
    </row>
    <row r="253">
      <c r="D253">
        <f>IF(C253="","",MIN(C253,Settings!$B$6))</f>
        <v/>
      </c>
      <c r="E253">
        <f>IF(C253="","",MAX(0,C253-D253))</f>
        <v/>
      </c>
    </row>
    <row r="254">
      <c r="D254">
        <f>IF(C254="","",MIN(C254,Settings!$B$6))</f>
        <v/>
      </c>
      <c r="E254">
        <f>IF(C254="","",MAX(0,C254-D254))</f>
        <v/>
      </c>
    </row>
    <row r="255">
      <c r="D255">
        <f>IF(C255="","",MIN(C255,Settings!$B$6))</f>
        <v/>
      </c>
      <c r="E255">
        <f>IF(C255="","",MAX(0,C255-D255))</f>
        <v/>
      </c>
    </row>
    <row r="256">
      <c r="D256">
        <f>IF(C256="","",MIN(C256,Settings!$B$6))</f>
        <v/>
      </c>
      <c r="E256">
        <f>IF(C256="","",MAX(0,C256-D256))</f>
        <v/>
      </c>
    </row>
    <row r="257">
      <c r="D257">
        <f>IF(C257="","",MIN(C257,Settings!$B$6))</f>
        <v/>
      </c>
      <c r="E257">
        <f>IF(C257="","",MAX(0,C257-D257))</f>
        <v/>
      </c>
    </row>
    <row r="258">
      <c r="D258">
        <f>IF(C258="","",MIN(C258,Settings!$B$6))</f>
        <v/>
      </c>
      <c r="E258">
        <f>IF(C258="","",MAX(0,C258-D258))</f>
        <v/>
      </c>
    </row>
    <row r="259">
      <c r="D259">
        <f>IF(C259="","",MIN(C259,Settings!$B$6))</f>
        <v/>
      </c>
      <c r="E259">
        <f>IF(C259="","",MAX(0,C259-D259))</f>
        <v/>
      </c>
    </row>
    <row r="260">
      <c r="D260">
        <f>IF(C260="","",MIN(C260,Settings!$B$6))</f>
        <v/>
      </c>
      <c r="E260">
        <f>IF(C260="","",MAX(0,C260-D260))</f>
        <v/>
      </c>
    </row>
    <row r="261">
      <c r="D261">
        <f>IF(C261="","",MIN(C261,Settings!$B$6))</f>
        <v/>
      </c>
      <c r="E261">
        <f>IF(C261="","",MAX(0,C261-D261))</f>
        <v/>
      </c>
    </row>
    <row r="262">
      <c r="D262">
        <f>IF(C262="","",MIN(C262,Settings!$B$6))</f>
        <v/>
      </c>
      <c r="E262">
        <f>IF(C262="","",MAX(0,C262-D262))</f>
        <v/>
      </c>
    </row>
    <row r="263">
      <c r="D263">
        <f>IF(C263="","",MIN(C263,Settings!$B$6))</f>
        <v/>
      </c>
      <c r="E263">
        <f>IF(C263="","",MAX(0,C263-D263))</f>
        <v/>
      </c>
    </row>
    <row r="264">
      <c r="D264">
        <f>IF(C264="","",MIN(C264,Settings!$B$6))</f>
        <v/>
      </c>
      <c r="E264">
        <f>IF(C264="","",MAX(0,C264-D264))</f>
        <v/>
      </c>
    </row>
    <row r="265">
      <c r="D265">
        <f>IF(C265="","",MIN(C265,Settings!$B$6))</f>
        <v/>
      </c>
      <c r="E265">
        <f>IF(C265="","",MAX(0,C265-D265))</f>
        <v/>
      </c>
    </row>
    <row r="266">
      <c r="D266">
        <f>IF(C266="","",MIN(C266,Settings!$B$6))</f>
        <v/>
      </c>
      <c r="E266">
        <f>IF(C266="","",MAX(0,C266-D266))</f>
        <v/>
      </c>
    </row>
    <row r="267">
      <c r="D267">
        <f>IF(C267="","",MIN(C267,Settings!$B$6))</f>
        <v/>
      </c>
      <c r="E267">
        <f>IF(C267="","",MAX(0,C267-D267))</f>
        <v/>
      </c>
    </row>
    <row r="268">
      <c r="D268">
        <f>IF(C268="","",MIN(C268,Settings!$B$6))</f>
        <v/>
      </c>
      <c r="E268">
        <f>IF(C268="","",MAX(0,C268-D268))</f>
        <v/>
      </c>
    </row>
    <row r="269">
      <c r="D269">
        <f>IF(C269="","",MIN(C269,Settings!$B$6))</f>
        <v/>
      </c>
      <c r="E269">
        <f>IF(C269="","",MAX(0,C269-D269))</f>
        <v/>
      </c>
    </row>
    <row r="270">
      <c r="D270">
        <f>IF(C270="","",MIN(C270,Settings!$B$6))</f>
        <v/>
      </c>
      <c r="E270">
        <f>IF(C270="","",MAX(0,C270-D270))</f>
        <v/>
      </c>
    </row>
    <row r="271">
      <c r="D271">
        <f>IF(C271="","",MIN(C271,Settings!$B$6))</f>
        <v/>
      </c>
      <c r="E271">
        <f>IF(C271="","",MAX(0,C271-D271))</f>
        <v/>
      </c>
    </row>
    <row r="272">
      <c r="D272">
        <f>IF(C272="","",MIN(C272,Settings!$B$6))</f>
        <v/>
      </c>
      <c r="E272">
        <f>IF(C272="","",MAX(0,C272-D272))</f>
        <v/>
      </c>
    </row>
    <row r="273">
      <c r="D273">
        <f>IF(C273="","",MIN(C273,Settings!$B$6))</f>
        <v/>
      </c>
      <c r="E273">
        <f>IF(C273="","",MAX(0,C273-D273))</f>
        <v/>
      </c>
    </row>
    <row r="274">
      <c r="D274">
        <f>IF(C274="","",MIN(C274,Settings!$B$6))</f>
        <v/>
      </c>
      <c r="E274">
        <f>IF(C274="","",MAX(0,C274-D274))</f>
        <v/>
      </c>
    </row>
    <row r="275">
      <c r="D275">
        <f>IF(C275="","",MIN(C275,Settings!$B$6))</f>
        <v/>
      </c>
      <c r="E275">
        <f>IF(C275="","",MAX(0,C275-D275))</f>
        <v/>
      </c>
    </row>
    <row r="276">
      <c r="D276">
        <f>IF(C276="","",MIN(C276,Settings!$B$6))</f>
        <v/>
      </c>
      <c r="E276">
        <f>IF(C276="","",MAX(0,C276-D276))</f>
        <v/>
      </c>
    </row>
    <row r="277">
      <c r="D277">
        <f>IF(C277="","",MIN(C277,Settings!$B$6))</f>
        <v/>
      </c>
      <c r="E277">
        <f>IF(C277="","",MAX(0,C277-D277))</f>
        <v/>
      </c>
    </row>
    <row r="278">
      <c r="D278">
        <f>IF(C278="","",MIN(C278,Settings!$B$6))</f>
        <v/>
      </c>
      <c r="E278">
        <f>IF(C278="","",MAX(0,C278-D278))</f>
        <v/>
      </c>
    </row>
    <row r="279">
      <c r="D279">
        <f>IF(C279="","",MIN(C279,Settings!$B$6))</f>
        <v/>
      </c>
      <c r="E279">
        <f>IF(C279="","",MAX(0,C279-D279))</f>
        <v/>
      </c>
    </row>
    <row r="280">
      <c r="D280">
        <f>IF(C280="","",MIN(C280,Settings!$B$6))</f>
        <v/>
      </c>
      <c r="E280">
        <f>IF(C280="","",MAX(0,C280-D280))</f>
        <v/>
      </c>
    </row>
    <row r="281">
      <c r="D281">
        <f>IF(C281="","",MIN(C281,Settings!$B$6))</f>
        <v/>
      </c>
      <c r="E281">
        <f>IF(C281="","",MAX(0,C281-D281))</f>
        <v/>
      </c>
    </row>
    <row r="282">
      <c r="D282">
        <f>IF(C282="","",MIN(C282,Settings!$B$6))</f>
        <v/>
      </c>
      <c r="E282">
        <f>IF(C282="","",MAX(0,C282-D282))</f>
        <v/>
      </c>
    </row>
    <row r="283">
      <c r="D283">
        <f>IF(C283="","",MIN(C283,Settings!$B$6))</f>
        <v/>
      </c>
      <c r="E283">
        <f>IF(C283="","",MAX(0,C283-D283))</f>
        <v/>
      </c>
    </row>
    <row r="284">
      <c r="D284">
        <f>IF(C284="","",MIN(C284,Settings!$B$6))</f>
        <v/>
      </c>
      <c r="E284">
        <f>IF(C284="","",MAX(0,C284-D284))</f>
        <v/>
      </c>
    </row>
    <row r="285">
      <c r="D285">
        <f>IF(C285="","",MIN(C285,Settings!$B$6))</f>
        <v/>
      </c>
      <c r="E285">
        <f>IF(C285="","",MAX(0,C285-D285))</f>
        <v/>
      </c>
    </row>
    <row r="286">
      <c r="D286">
        <f>IF(C286="","",MIN(C286,Settings!$B$6))</f>
        <v/>
      </c>
      <c r="E286">
        <f>IF(C286="","",MAX(0,C286-D286))</f>
        <v/>
      </c>
    </row>
    <row r="287">
      <c r="D287">
        <f>IF(C287="","",MIN(C287,Settings!$B$6))</f>
        <v/>
      </c>
      <c r="E287">
        <f>IF(C287="","",MAX(0,C287-D287))</f>
        <v/>
      </c>
    </row>
    <row r="288">
      <c r="D288">
        <f>IF(C288="","",MIN(C288,Settings!$B$6))</f>
        <v/>
      </c>
      <c r="E288">
        <f>IF(C288="","",MAX(0,C288-D288))</f>
        <v/>
      </c>
    </row>
    <row r="289">
      <c r="D289">
        <f>IF(C289="","",MIN(C289,Settings!$B$6))</f>
        <v/>
      </c>
      <c r="E289">
        <f>IF(C289="","",MAX(0,C289-D289))</f>
        <v/>
      </c>
    </row>
    <row r="290">
      <c r="D290">
        <f>IF(C290="","",MIN(C290,Settings!$B$6))</f>
        <v/>
      </c>
      <c r="E290">
        <f>IF(C290="","",MAX(0,C290-D290))</f>
        <v/>
      </c>
    </row>
    <row r="291">
      <c r="D291">
        <f>IF(C291="","",MIN(C291,Settings!$B$6))</f>
        <v/>
      </c>
      <c r="E291">
        <f>IF(C291="","",MAX(0,C291-D291))</f>
        <v/>
      </c>
    </row>
    <row r="292">
      <c r="D292">
        <f>IF(C292="","",MIN(C292,Settings!$B$6))</f>
        <v/>
      </c>
      <c r="E292">
        <f>IF(C292="","",MAX(0,C292-D292))</f>
        <v/>
      </c>
    </row>
    <row r="293">
      <c r="D293">
        <f>IF(C293="","",MIN(C293,Settings!$B$6))</f>
        <v/>
      </c>
      <c r="E293">
        <f>IF(C293="","",MAX(0,C293-D293))</f>
        <v/>
      </c>
    </row>
    <row r="294">
      <c r="D294">
        <f>IF(C294="","",MIN(C294,Settings!$B$6))</f>
        <v/>
      </c>
      <c r="E294">
        <f>IF(C294="","",MAX(0,C294-D294))</f>
        <v/>
      </c>
    </row>
    <row r="295">
      <c r="D295">
        <f>IF(C295="","",MIN(C295,Settings!$B$6))</f>
        <v/>
      </c>
      <c r="E295">
        <f>IF(C295="","",MAX(0,C295-D295))</f>
        <v/>
      </c>
    </row>
    <row r="296">
      <c r="D296">
        <f>IF(C296="","",MIN(C296,Settings!$B$6))</f>
        <v/>
      </c>
      <c r="E296">
        <f>IF(C296="","",MAX(0,C296-D296))</f>
        <v/>
      </c>
    </row>
    <row r="297">
      <c r="D297">
        <f>IF(C297="","",MIN(C297,Settings!$B$6))</f>
        <v/>
      </c>
      <c r="E297">
        <f>IF(C297="","",MAX(0,C297-D297))</f>
        <v/>
      </c>
    </row>
    <row r="298">
      <c r="D298">
        <f>IF(C298="","",MIN(C298,Settings!$B$6))</f>
        <v/>
      </c>
      <c r="E298">
        <f>IF(C298="","",MAX(0,C298-D298))</f>
        <v/>
      </c>
    </row>
    <row r="299">
      <c r="D299">
        <f>IF(C299="","",MIN(C299,Settings!$B$6))</f>
        <v/>
      </c>
      <c r="E299">
        <f>IF(C299="","",MAX(0,C299-D299))</f>
        <v/>
      </c>
    </row>
    <row r="300">
      <c r="D300">
        <f>IF(C300="","",MIN(C300,Settings!$B$6))</f>
        <v/>
      </c>
      <c r="E300">
        <f>IF(C300="","",MAX(0,C300-D300))</f>
        <v/>
      </c>
    </row>
    <row r="301">
      <c r="D301">
        <f>IF(C301="","",MIN(C301,Settings!$B$6))</f>
        <v/>
      </c>
      <c r="E301">
        <f>IF(C301="","",MAX(0,C301-D301))</f>
        <v/>
      </c>
    </row>
    <row r="302">
      <c r="D302">
        <f>IF(C302="","",MIN(C302,Settings!$B$6))</f>
        <v/>
      </c>
      <c r="E302">
        <f>IF(C302="","",MAX(0,C302-D302))</f>
        <v/>
      </c>
    </row>
    <row r="303">
      <c r="D303">
        <f>IF(C303="","",MIN(C303,Settings!$B$6))</f>
        <v/>
      </c>
      <c r="E303">
        <f>IF(C303="","",MAX(0,C303-D303))</f>
        <v/>
      </c>
    </row>
    <row r="304">
      <c r="D304">
        <f>IF(C304="","",MIN(C304,Settings!$B$6))</f>
        <v/>
      </c>
      <c r="E304">
        <f>IF(C304="","",MAX(0,C304-D304))</f>
        <v/>
      </c>
    </row>
    <row r="305">
      <c r="D305">
        <f>IF(C305="","",MIN(C305,Settings!$B$6))</f>
        <v/>
      </c>
      <c r="E305">
        <f>IF(C305="","",MAX(0,C305-D305))</f>
        <v/>
      </c>
    </row>
    <row r="306">
      <c r="D306">
        <f>IF(C306="","",MIN(C306,Settings!$B$6))</f>
        <v/>
      </c>
      <c r="E306">
        <f>IF(C306="","",MAX(0,C306-D306))</f>
        <v/>
      </c>
    </row>
    <row r="307">
      <c r="D307">
        <f>IF(C307="","",MIN(C307,Settings!$B$6))</f>
        <v/>
      </c>
      <c r="E307">
        <f>IF(C307="","",MAX(0,C307-D307))</f>
        <v/>
      </c>
    </row>
    <row r="308">
      <c r="D308">
        <f>IF(C308="","",MIN(C308,Settings!$B$6))</f>
        <v/>
      </c>
      <c r="E308">
        <f>IF(C308="","",MAX(0,C308-D308))</f>
        <v/>
      </c>
    </row>
    <row r="309">
      <c r="D309">
        <f>IF(C309="","",MIN(C309,Settings!$B$6))</f>
        <v/>
      </c>
      <c r="E309">
        <f>IF(C309="","",MAX(0,C309-D309))</f>
        <v/>
      </c>
    </row>
    <row r="310">
      <c r="D310">
        <f>IF(C310="","",MIN(C310,Settings!$B$6))</f>
        <v/>
      </c>
      <c r="E310">
        <f>IF(C310="","",MAX(0,C310-D310))</f>
        <v/>
      </c>
    </row>
    <row r="311">
      <c r="D311">
        <f>IF(C311="","",MIN(C311,Settings!$B$6))</f>
        <v/>
      </c>
      <c r="E311">
        <f>IF(C311="","",MAX(0,C311-D311))</f>
        <v/>
      </c>
    </row>
    <row r="312">
      <c r="D312">
        <f>IF(C312="","",MIN(C312,Settings!$B$6))</f>
        <v/>
      </c>
      <c r="E312">
        <f>IF(C312="","",MAX(0,C312-D312))</f>
        <v/>
      </c>
    </row>
    <row r="313">
      <c r="D313">
        <f>IF(C313="","",MIN(C313,Settings!$B$6))</f>
        <v/>
      </c>
      <c r="E313">
        <f>IF(C313="","",MAX(0,C313-D313))</f>
        <v/>
      </c>
    </row>
    <row r="314">
      <c r="D314">
        <f>IF(C314="","",MIN(C314,Settings!$B$6))</f>
        <v/>
      </c>
      <c r="E314">
        <f>IF(C314="","",MAX(0,C314-D314))</f>
        <v/>
      </c>
    </row>
    <row r="315">
      <c r="D315">
        <f>IF(C315="","",MIN(C315,Settings!$B$6))</f>
        <v/>
      </c>
      <c r="E315">
        <f>IF(C315="","",MAX(0,C315-D315))</f>
        <v/>
      </c>
    </row>
    <row r="316">
      <c r="D316">
        <f>IF(C316="","",MIN(C316,Settings!$B$6))</f>
        <v/>
      </c>
      <c r="E316">
        <f>IF(C316="","",MAX(0,C316-D316))</f>
        <v/>
      </c>
    </row>
    <row r="317">
      <c r="D317">
        <f>IF(C317="","",MIN(C317,Settings!$B$6))</f>
        <v/>
      </c>
      <c r="E317">
        <f>IF(C317="","",MAX(0,C317-D317))</f>
        <v/>
      </c>
    </row>
    <row r="318">
      <c r="D318">
        <f>IF(C318="","",MIN(C318,Settings!$B$6))</f>
        <v/>
      </c>
      <c r="E318">
        <f>IF(C318="","",MAX(0,C318-D318))</f>
        <v/>
      </c>
    </row>
    <row r="319">
      <c r="D319">
        <f>IF(C319="","",MIN(C319,Settings!$B$6))</f>
        <v/>
      </c>
      <c r="E319">
        <f>IF(C319="","",MAX(0,C319-D319))</f>
        <v/>
      </c>
    </row>
    <row r="320">
      <c r="D320">
        <f>IF(C320="","",MIN(C320,Settings!$B$6))</f>
        <v/>
      </c>
      <c r="E320">
        <f>IF(C320="","",MAX(0,C320-D320))</f>
        <v/>
      </c>
    </row>
    <row r="321">
      <c r="D321">
        <f>IF(C321="","",MIN(C321,Settings!$B$6))</f>
        <v/>
      </c>
      <c r="E321">
        <f>IF(C321="","",MAX(0,C321-D321))</f>
        <v/>
      </c>
    </row>
    <row r="322">
      <c r="D322">
        <f>IF(C322="","",MIN(C322,Settings!$B$6))</f>
        <v/>
      </c>
      <c r="E322">
        <f>IF(C322="","",MAX(0,C322-D322))</f>
        <v/>
      </c>
    </row>
    <row r="323">
      <c r="D323">
        <f>IF(C323="","",MIN(C323,Settings!$B$6))</f>
        <v/>
      </c>
      <c r="E323">
        <f>IF(C323="","",MAX(0,C323-D323))</f>
        <v/>
      </c>
    </row>
    <row r="324">
      <c r="D324">
        <f>IF(C324="","",MIN(C324,Settings!$B$6))</f>
        <v/>
      </c>
      <c r="E324">
        <f>IF(C324="","",MAX(0,C324-D324))</f>
        <v/>
      </c>
    </row>
    <row r="325">
      <c r="D325">
        <f>IF(C325="","",MIN(C325,Settings!$B$6))</f>
        <v/>
      </c>
      <c r="E325">
        <f>IF(C325="","",MAX(0,C325-D325))</f>
        <v/>
      </c>
    </row>
    <row r="326">
      <c r="D326">
        <f>IF(C326="","",MIN(C326,Settings!$B$6))</f>
        <v/>
      </c>
      <c r="E326">
        <f>IF(C326="","",MAX(0,C326-D326))</f>
        <v/>
      </c>
    </row>
    <row r="327">
      <c r="D327">
        <f>IF(C327="","",MIN(C327,Settings!$B$6))</f>
        <v/>
      </c>
      <c r="E327">
        <f>IF(C327="","",MAX(0,C327-D327))</f>
        <v/>
      </c>
    </row>
    <row r="328">
      <c r="D328">
        <f>IF(C328="","",MIN(C328,Settings!$B$6))</f>
        <v/>
      </c>
      <c r="E328">
        <f>IF(C328="","",MAX(0,C328-D328))</f>
        <v/>
      </c>
    </row>
    <row r="329">
      <c r="D329">
        <f>IF(C329="","",MIN(C329,Settings!$B$6))</f>
        <v/>
      </c>
      <c r="E329">
        <f>IF(C329="","",MAX(0,C329-D329))</f>
        <v/>
      </c>
    </row>
    <row r="330">
      <c r="D330">
        <f>IF(C330="","",MIN(C330,Settings!$B$6))</f>
        <v/>
      </c>
      <c r="E330">
        <f>IF(C330="","",MAX(0,C330-D330))</f>
        <v/>
      </c>
    </row>
    <row r="331">
      <c r="D331">
        <f>IF(C331="","",MIN(C331,Settings!$B$6))</f>
        <v/>
      </c>
      <c r="E331">
        <f>IF(C331="","",MAX(0,C331-D331))</f>
        <v/>
      </c>
    </row>
    <row r="332">
      <c r="D332">
        <f>IF(C332="","",MIN(C332,Settings!$B$6))</f>
        <v/>
      </c>
      <c r="E332">
        <f>IF(C332="","",MAX(0,C332-D332))</f>
        <v/>
      </c>
    </row>
    <row r="333">
      <c r="D333">
        <f>IF(C333="","",MIN(C333,Settings!$B$6))</f>
        <v/>
      </c>
      <c r="E333">
        <f>IF(C333="","",MAX(0,C333-D333))</f>
        <v/>
      </c>
    </row>
    <row r="334">
      <c r="D334">
        <f>IF(C334="","",MIN(C334,Settings!$B$6))</f>
        <v/>
      </c>
      <c r="E334">
        <f>IF(C334="","",MAX(0,C334-D334))</f>
        <v/>
      </c>
    </row>
    <row r="335">
      <c r="D335">
        <f>IF(C335="","",MIN(C335,Settings!$B$6))</f>
        <v/>
      </c>
      <c r="E335">
        <f>IF(C335="","",MAX(0,C335-D335))</f>
        <v/>
      </c>
    </row>
    <row r="336">
      <c r="D336">
        <f>IF(C336="","",MIN(C336,Settings!$B$6))</f>
        <v/>
      </c>
      <c r="E336">
        <f>IF(C336="","",MAX(0,C336-D336))</f>
        <v/>
      </c>
    </row>
    <row r="337">
      <c r="D337">
        <f>IF(C337="","",MIN(C337,Settings!$B$6))</f>
        <v/>
      </c>
      <c r="E337">
        <f>IF(C337="","",MAX(0,C337-D337))</f>
        <v/>
      </c>
    </row>
    <row r="338">
      <c r="D338">
        <f>IF(C338="","",MIN(C338,Settings!$B$6))</f>
        <v/>
      </c>
      <c r="E338">
        <f>IF(C338="","",MAX(0,C338-D338))</f>
        <v/>
      </c>
    </row>
    <row r="339">
      <c r="D339">
        <f>IF(C339="","",MIN(C339,Settings!$B$6))</f>
        <v/>
      </c>
      <c r="E339">
        <f>IF(C339="","",MAX(0,C339-D339))</f>
        <v/>
      </c>
    </row>
    <row r="340">
      <c r="D340">
        <f>IF(C340="","",MIN(C340,Settings!$B$6))</f>
        <v/>
      </c>
      <c r="E340">
        <f>IF(C340="","",MAX(0,C340-D340))</f>
        <v/>
      </c>
    </row>
    <row r="341">
      <c r="D341">
        <f>IF(C341="","",MIN(C341,Settings!$B$6))</f>
        <v/>
      </c>
      <c r="E341">
        <f>IF(C341="","",MAX(0,C341-D341))</f>
        <v/>
      </c>
    </row>
    <row r="342">
      <c r="D342">
        <f>IF(C342="","",MIN(C342,Settings!$B$6))</f>
        <v/>
      </c>
      <c r="E342">
        <f>IF(C342="","",MAX(0,C342-D342))</f>
        <v/>
      </c>
    </row>
    <row r="343">
      <c r="D343">
        <f>IF(C343="","",MIN(C343,Settings!$B$6))</f>
        <v/>
      </c>
      <c r="E343">
        <f>IF(C343="","",MAX(0,C343-D343))</f>
        <v/>
      </c>
    </row>
    <row r="344">
      <c r="D344">
        <f>IF(C344="","",MIN(C344,Settings!$B$6))</f>
        <v/>
      </c>
      <c r="E344">
        <f>IF(C344="","",MAX(0,C344-D344))</f>
        <v/>
      </c>
    </row>
    <row r="345">
      <c r="D345">
        <f>IF(C345="","",MIN(C345,Settings!$B$6))</f>
        <v/>
      </c>
      <c r="E345">
        <f>IF(C345="","",MAX(0,C345-D345))</f>
        <v/>
      </c>
    </row>
    <row r="346">
      <c r="D346">
        <f>IF(C346="","",MIN(C346,Settings!$B$6))</f>
        <v/>
      </c>
      <c r="E346">
        <f>IF(C346="","",MAX(0,C346-D346))</f>
        <v/>
      </c>
    </row>
    <row r="347">
      <c r="D347">
        <f>IF(C347="","",MIN(C347,Settings!$B$6))</f>
        <v/>
      </c>
      <c r="E347">
        <f>IF(C347="","",MAX(0,C347-D347))</f>
        <v/>
      </c>
    </row>
    <row r="348">
      <c r="D348">
        <f>IF(C348="","",MIN(C348,Settings!$B$6))</f>
        <v/>
      </c>
      <c r="E348">
        <f>IF(C348="","",MAX(0,C348-D348))</f>
        <v/>
      </c>
    </row>
    <row r="349">
      <c r="D349">
        <f>IF(C349="","",MIN(C349,Settings!$B$6))</f>
        <v/>
      </c>
      <c r="E349">
        <f>IF(C349="","",MAX(0,C349-D349))</f>
        <v/>
      </c>
    </row>
    <row r="350">
      <c r="D350">
        <f>IF(C350="","",MIN(C350,Settings!$B$6))</f>
        <v/>
      </c>
      <c r="E350">
        <f>IF(C350="","",MAX(0,C350-D350))</f>
        <v/>
      </c>
    </row>
    <row r="351">
      <c r="D351">
        <f>IF(C351="","",MIN(C351,Settings!$B$6))</f>
        <v/>
      </c>
      <c r="E351">
        <f>IF(C351="","",MAX(0,C351-D351))</f>
        <v/>
      </c>
    </row>
    <row r="352">
      <c r="D352">
        <f>IF(C352="","",MIN(C352,Settings!$B$6))</f>
        <v/>
      </c>
      <c r="E352">
        <f>IF(C352="","",MAX(0,C352-D352))</f>
        <v/>
      </c>
    </row>
    <row r="353">
      <c r="D353">
        <f>IF(C353="","",MIN(C353,Settings!$B$6))</f>
        <v/>
      </c>
      <c r="E353">
        <f>IF(C353="","",MAX(0,C353-D353))</f>
        <v/>
      </c>
    </row>
    <row r="354">
      <c r="D354">
        <f>IF(C354="","",MIN(C354,Settings!$B$6))</f>
        <v/>
      </c>
      <c r="E354">
        <f>IF(C354="","",MAX(0,C354-D354))</f>
        <v/>
      </c>
    </row>
    <row r="355">
      <c r="D355">
        <f>IF(C355="","",MIN(C355,Settings!$B$6))</f>
        <v/>
      </c>
      <c r="E355">
        <f>IF(C355="","",MAX(0,C355-D355))</f>
        <v/>
      </c>
    </row>
    <row r="356">
      <c r="D356">
        <f>IF(C356="","",MIN(C356,Settings!$B$6))</f>
        <v/>
      </c>
      <c r="E356">
        <f>IF(C356="","",MAX(0,C356-D356))</f>
        <v/>
      </c>
    </row>
    <row r="357">
      <c r="D357">
        <f>IF(C357="","",MIN(C357,Settings!$B$6))</f>
        <v/>
      </c>
      <c r="E357">
        <f>IF(C357="","",MAX(0,C357-D357))</f>
        <v/>
      </c>
    </row>
    <row r="358">
      <c r="D358">
        <f>IF(C358="","",MIN(C358,Settings!$B$6))</f>
        <v/>
      </c>
      <c r="E358">
        <f>IF(C358="","",MAX(0,C358-D358))</f>
        <v/>
      </c>
    </row>
    <row r="359">
      <c r="D359">
        <f>IF(C359="","",MIN(C359,Settings!$B$6))</f>
        <v/>
      </c>
      <c r="E359">
        <f>IF(C359="","",MAX(0,C359-D359))</f>
        <v/>
      </c>
    </row>
    <row r="360">
      <c r="D360">
        <f>IF(C360="","",MIN(C360,Settings!$B$6))</f>
        <v/>
      </c>
      <c r="E360">
        <f>IF(C360="","",MAX(0,C360-D360))</f>
        <v/>
      </c>
    </row>
    <row r="361">
      <c r="D361">
        <f>IF(C361="","",MIN(C361,Settings!$B$6))</f>
        <v/>
      </c>
      <c r="E361">
        <f>IF(C361="","",MAX(0,C361-D361))</f>
        <v/>
      </c>
    </row>
    <row r="362">
      <c r="D362">
        <f>IF(C362="","",MIN(C362,Settings!$B$6))</f>
        <v/>
      </c>
      <c r="E362">
        <f>IF(C362="","",MAX(0,C362-D362))</f>
        <v/>
      </c>
    </row>
    <row r="363">
      <c r="D363">
        <f>IF(C363="","",MIN(C363,Settings!$B$6))</f>
        <v/>
      </c>
      <c r="E363">
        <f>IF(C363="","",MAX(0,C363-D363))</f>
        <v/>
      </c>
    </row>
    <row r="364">
      <c r="D364">
        <f>IF(C364="","",MIN(C364,Settings!$B$6))</f>
        <v/>
      </c>
      <c r="E364">
        <f>IF(C364="","",MAX(0,C364-D364))</f>
        <v/>
      </c>
    </row>
    <row r="365">
      <c r="D365">
        <f>IF(C365="","",MIN(C365,Settings!$B$6))</f>
        <v/>
      </c>
      <c r="E365">
        <f>IF(C365="","",MAX(0,C365-D365))</f>
        <v/>
      </c>
    </row>
    <row r="366">
      <c r="D366">
        <f>IF(C366="","",MIN(C366,Settings!$B$6))</f>
        <v/>
      </c>
      <c r="E366">
        <f>IF(C366="","",MAX(0,C366-D366))</f>
        <v/>
      </c>
    </row>
    <row r="367">
      <c r="D367">
        <f>IF(C367="","",MIN(C367,Settings!$B$6))</f>
        <v/>
      </c>
      <c r="E367">
        <f>IF(C367="","",MAX(0,C367-D367))</f>
        <v/>
      </c>
    </row>
    <row r="368">
      <c r="D368">
        <f>IF(C368="","",MIN(C368,Settings!$B$6))</f>
        <v/>
      </c>
      <c r="E368">
        <f>IF(C368="","",MAX(0,C368-D368))</f>
        <v/>
      </c>
    </row>
    <row r="369">
      <c r="D369">
        <f>IF(C369="","",MIN(C369,Settings!$B$6))</f>
        <v/>
      </c>
      <c r="E369">
        <f>IF(C369="","",MAX(0,C369-D369))</f>
        <v/>
      </c>
    </row>
    <row r="370">
      <c r="D370">
        <f>IF(C370="","",MIN(C370,Settings!$B$6))</f>
        <v/>
      </c>
      <c r="E370">
        <f>IF(C370="","",MAX(0,C370-D370))</f>
        <v/>
      </c>
    </row>
    <row r="371">
      <c r="D371">
        <f>IF(C371="","",MIN(C371,Settings!$B$6))</f>
        <v/>
      </c>
      <c r="E371">
        <f>IF(C371="","",MAX(0,C371-D371))</f>
        <v/>
      </c>
    </row>
    <row r="372">
      <c r="D372">
        <f>IF(C372="","",MIN(C372,Settings!$B$6))</f>
        <v/>
      </c>
      <c r="E372">
        <f>IF(C372="","",MAX(0,C372-D372))</f>
        <v/>
      </c>
    </row>
    <row r="373">
      <c r="D373">
        <f>IF(C373="","",MIN(C373,Settings!$B$6))</f>
        <v/>
      </c>
      <c r="E373">
        <f>IF(C373="","",MAX(0,C373-D373))</f>
        <v/>
      </c>
    </row>
    <row r="374">
      <c r="D374">
        <f>IF(C374="","",MIN(C374,Settings!$B$6))</f>
        <v/>
      </c>
      <c r="E374">
        <f>IF(C374="","",MAX(0,C374-D374))</f>
        <v/>
      </c>
    </row>
    <row r="375">
      <c r="D375">
        <f>IF(C375="","",MIN(C375,Settings!$B$6))</f>
        <v/>
      </c>
      <c r="E375">
        <f>IF(C375="","",MAX(0,C375-D375))</f>
        <v/>
      </c>
    </row>
    <row r="376">
      <c r="D376">
        <f>IF(C376="","",MIN(C376,Settings!$B$6))</f>
        <v/>
      </c>
      <c r="E376">
        <f>IF(C376="","",MAX(0,C376-D376))</f>
        <v/>
      </c>
    </row>
    <row r="377">
      <c r="D377">
        <f>IF(C377="","",MIN(C377,Settings!$B$6))</f>
        <v/>
      </c>
      <c r="E377">
        <f>IF(C377="","",MAX(0,C377-D377))</f>
        <v/>
      </c>
    </row>
    <row r="378">
      <c r="D378">
        <f>IF(C378="","",MIN(C378,Settings!$B$6))</f>
        <v/>
      </c>
      <c r="E378">
        <f>IF(C378="","",MAX(0,C378-D378))</f>
        <v/>
      </c>
    </row>
    <row r="379">
      <c r="D379">
        <f>IF(C379="","",MIN(C379,Settings!$B$6))</f>
        <v/>
      </c>
      <c r="E379">
        <f>IF(C379="","",MAX(0,C379-D379))</f>
        <v/>
      </c>
    </row>
    <row r="380">
      <c r="D380">
        <f>IF(C380="","",MIN(C380,Settings!$B$6))</f>
        <v/>
      </c>
      <c r="E380">
        <f>IF(C380="","",MAX(0,C380-D380))</f>
        <v/>
      </c>
    </row>
    <row r="381">
      <c r="D381">
        <f>IF(C381="","",MIN(C381,Settings!$B$6))</f>
        <v/>
      </c>
      <c r="E381">
        <f>IF(C381="","",MAX(0,C381-D381))</f>
        <v/>
      </c>
    </row>
    <row r="382">
      <c r="D382">
        <f>IF(C382="","",MIN(C382,Settings!$B$6))</f>
        <v/>
      </c>
      <c r="E382">
        <f>IF(C382="","",MAX(0,C382-D382))</f>
        <v/>
      </c>
    </row>
    <row r="383">
      <c r="D383">
        <f>IF(C383="","",MIN(C383,Settings!$B$6))</f>
        <v/>
      </c>
      <c r="E383">
        <f>IF(C383="","",MAX(0,C383-D383))</f>
        <v/>
      </c>
    </row>
    <row r="384">
      <c r="D384">
        <f>IF(C384="","",MIN(C384,Settings!$B$6))</f>
        <v/>
      </c>
      <c r="E384">
        <f>IF(C384="","",MAX(0,C384-D384))</f>
        <v/>
      </c>
    </row>
    <row r="385">
      <c r="D385">
        <f>IF(C385="","",MIN(C385,Settings!$B$6))</f>
        <v/>
      </c>
      <c r="E385">
        <f>IF(C385="","",MAX(0,C385-D385))</f>
        <v/>
      </c>
    </row>
    <row r="386">
      <c r="D386">
        <f>IF(C386="","",MIN(C386,Settings!$B$6))</f>
        <v/>
      </c>
      <c r="E386">
        <f>IF(C386="","",MAX(0,C386-D386))</f>
        <v/>
      </c>
    </row>
    <row r="387">
      <c r="D387">
        <f>IF(C387="","",MIN(C387,Settings!$B$6))</f>
        <v/>
      </c>
      <c r="E387">
        <f>IF(C387="","",MAX(0,C387-D387))</f>
        <v/>
      </c>
    </row>
    <row r="388">
      <c r="D388">
        <f>IF(C388="","",MIN(C388,Settings!$B$6))</f>
        <v/>
      </c>
      <c r="E388">
        <f>IF(C388="","",MAX(0,C388-D388))</f>
        <v/>
      </c>
    </row>
    <row r="389">
      <c r="D389">
        <f>IF(C389="","",MIN(C389,Settings!$B$6))</f>
        <v/>
      </c>
      <c r="E389">
        <f>IF(C389="","",MAX(0,C389-D389))</f>
        <v/>
      </c>
    </row>
    <row r="390">
      <c r="D390">
        <f>IF(C390="","",MIN(C390,Settings!$B$6))</f>
        <v/>
      </c>
      <c r="E390">
        <f>IF(C390="","",MAX(0,C390-D390))</f>
        <v/>
      </c>
    </row>
    <row r="391">
      <c r="D391">
        <f>IF(C391="","",MIN(C391,Settings!$B$6))</f>
        <v/>
      </c>
      <c r="E391">
        <f>IF(C391="","",MAX(0,C391-D391))</f>
        <v/>
      </c>
    </row>
    <row r="392">
      <c r="D392">
        <f>IF(C392="","",MIN(C392,Settings!$B$6))</f>
        <v/>
      </c>
      <c r="E392">
        <f>IF(C392="","",MAX(0,C392-D392))</f>
        <v/>
      </c>
    </row>
    <row r="393">
      <c r="D393">
        <f>IF(C393="","",MIN(C393,Settings!$B$6))</f>
        <v/>
      </c>
      <c r="E393">
        <f>IF(C393="","",MAX(0,C393-D393))</f>
        <v/>
      </c>
    </row>
    <row r="394">
      <c r="D394">
        <f>IF(C394="","",MIN(C394,Settings!$B$6))</f>
        <v/>
      </c>
      <c r="E394">
        <f>IF(C394="","",MAX(0,C394-D394))</f>
        <v/>
      </c>
    </row>
    <row r="395">
      <c r="D395">
        <f>IF(C395="","",MIN(C395,Settings!$B$6))</f>
        <v/>
      </c>
      <c r="E395">
        <f>IF(C395="","",MAX(0,C395-D395))</f>
        <v/>
      </c>
    </row>
    <row r="396">
      <c r="D396">
        <f>IF(C396="","",MIN(C396,Settings!$B$6))</f>
        <v/>
      </c>
      <c r="E396">
        <f>IF(C396="","",MAX(0,C396-D396))</f>
        <v/>
      </c>
    </row>
    <row r="397">
      <c r="D397">
        <f>IF(C397="","",MIN(C397,Settings!$B$6))</f>
        <v/>
      </c>
      <c r="E397">
        <f>IF(C397="","",MAX(0,C397-D397))</f>
        <v/>
      </c>
    </row>
    <row r="398">
      <c r="D398">
        <f>IF(C398="","",MIN(C398,Settings!$B$6))</f>
        <v/>
      </c>
      <c r="E398">
        <f>IF(C398="","",MAX(0,C398-D398))</f>
        <v/>
      </c>
    </row>
    <row r="399">
      <c r="D399">
        <f>IF(C399="","",MIN(C399,Settings!$B$6))</f>
        <v/>
      </c>
      <c r="E399">
        <f>IF(C399="","",MAX(0,C399-D399))</f>
        <v/>
      </c>
    </row>
    <row r="400">
      <c r="D400">
        <f>IF(C400="","",MIN(C400,Settings!$B$6))</f>
        <v/>
      </c>
      <c r="E400">
        <f>IF(C400="","",MAX(0,C400-D400))</f>
        <v/>
      </c>
    </row>
    <row r="401">
      <c r="D401">
        <f>IF(C401="","",MIN(C401,Settings!$B$6))</f>
        <v/>
      </c>
      <c r="E401">
        <f>IF(C401="","",MAX(0,C401-D401))</f>
        <v/>
      </c>
    </row>
    <row r="402">
      <c r="D402">
        <f>IF(C402="","",MIN(C402,Settings!$B$6))</f>
        <v/>
      </c>
      <c r="E402">
        <f>IF(C402="","",MAX(0,C402-D402))</f>
        <v/>
      </c>
    </row>
    <row r="403">
      <c r="D403">
        <f>IF(C403="","",MIN(C403,Settings!$B$6))</f>
        <v/>
      </c>
      <c r="E403">
        <f>IF(C403="","",MAX(0,C403-D403))</f>
        <v/>
      </c>
    </row>
    <row r="404">
      <c r="D404">
        <f>IF(C404="","",MIN(C404,Settings!$B$6))</f>
        <v/>
      </c>
      <c r="E404">
        <f>IF(C404="","",MAX(0,C404-D404))</f>
        <v/>
      </c>
    </row>
    <row r="405">
      <c r="D405">
        <f>IF(C405="","",MIN(C405,Settings!$B$6))</f>
        <v/>
      </c>
      <c r="E405">
        <f>IF(C405="","",MAX(0,C405-D405))</f>
        <v/>
      </c>
    </row>
    <row r="406">
      <c r="D406">
        <f>IF(C406="","",MIN(C406,Settings!$B$6))</f>
        <v/>
      </c>
      <c r="E406">
        <f>IF(C406="","",MAX(0,C406-D406))</f>
        <v/>
      </c>
    </row>
    <row r="407">
      <c r="D407">
        <f>IF(C407="","",MIN(C407,Settings!$B$6))</f>
        <v/>
      </c>
      <c r="E407">
        <f>IF(C407="","",MAX(0,C407-D407))</f>
        <v/>
      </c>
    </row>
    <row r="408">
      <c r="D408">
        <f>IF(C408="","",MIN(C408,Settings!$B$6))</f>
        <v/>
      </c>
      <c r="E408">
        <f>IF(C408="","",MAX(0,C408-D408))</f>
        <v/>
      </c>
    </row>
    <row r="409">
      <c r="D409">
        <f>IF(C409="","",MIN(C409,Settings!$B$6))</f>
        <v/>
      </c>
      <c r="E409">
        <f>IF(C409="","",MAX(0,C409-D409))</f>
        <v/>
      </c>
    </row>
    <row r="410">
      <c r="D410">
        <f>IF(C410="","",MIN(C410,Settings!$B$6))</f>
        <v/>
      </c>
      <c r="E410">
        <f>IF(C410="","",MAX(0,C410-D410))</f>
        <v/>
      </c>
    </row>
    <row r="411">
      <c r="D411">
        <f>IF(C411="","",MIN(C411,Settings!$B$6))</f>
        <v/>
      </c>
      <c r="E411">
        <f>IF(C411="","",MAX(0,C411-D411))</f>
        <v/>
      </c>
    </row>
    <row r="412">
      <c r="D412">
        <f>IF(C412="","",MIN(C412,Settings!$B$6))</f>
        <v/>
      </c>
      <c r="E412">
        <f>IF(C412="","",MAX(0,C412-D412))</f>
        <v/>
      </c>
    </row>
    <row r="413">
      <c r="D413">
        <f>IF(C413="","",MIN(C413,Settings!$B$6))</f>
        <v/>
      </c>
      <c r="E413">
        <f>IF(C413="","",MAX(0,C413-D413))</f>
        <v/>
      </c>
    </row>
    <row r="414">
      <c r="D414">
        <f>IF(C414="","",MIN(C414,Settings!$B$6))</f>
        <v/>
      </c>
      <c r="E414">
        <f>IF(C414="","",MAX(0,C414-D414))</f>
        <v/>
      </c>
    </row>
    <row r="415">
      <c r="D415">
        <f>IF(C415="","",MIN(C415,Settings!$B$6))</f>
        <v/>
      </c>
      <c r="E415">
        <f>IF(C415="","",MAX(0,C415-D415))</f>
        <v/>
      </c>
    </row>
    <row r="416">
      <c r="D416">
        <f>IF(C416="","",MIN(C416,Settings!$B$6))</f>
        <v/>
      </c>
      <c r="E416">
        <f>IF(C416="","",MAX(0,C416-D416))</f>
        <v/>
      </c>
    </row>
    <row r="417">
      <c r="D417">
        <f>IF(C417="","",MIN(C417,Settings!$B$6))</f>
        <v/>
      </c>
      <c r="E417">
        <f>IF(C417="","",MAX(0,C417-D417))</f>
        <v/>
      </c>
    </row>
    <row r="418">
      <c r="D418">
        <f>IF(C418="","",MIN(C418,Settings!$B$6))</f>
        <v/>
      </c>
      <c r="E418">
        <f>IF(C418="","",MAX(0,C418-D418))</f>
        <v/>
      </c>
    </row>
    <row r="419">
      <c r="D419">
        <f>IF(C419="","",MIN(C419,Settings!$B$6))</f>
        <v/>
      </c>
      <c r="E419">
        <f>IF(C419="","",MAX(0,C419-D419))</f>
        <v/>
      </c>
    </row>
    <row r="420">
      <c r="D420">
        <f>IF(C420="","",MIN(C420,Settings!$B$6))</f>
        <v/>
      </c>
      <c r="E420">
        <f>IF(C420="","",MAX(0,C420-D420))</f>
        <v/>
      </c>
    </row>
    <row r="421">
      <c r="D421">
        <f>IF(C421="","",MIN(C421,Settings!$B$6))</f>
        <v/>
      </c>
      <c r="E421">
        <f>IF(C421="","",MAX(0,C421-D421))</f>
        <v/>
      </c>
    </row>
    <row r="422">
      <c r="D422">
        <f>IF(C422="","",MIN(C422,Settings!$B$6))</f>
        <v/>
      </c>
      <c r="E422">
        <f>IF(C422="","",MAX(0,C422-D422))</f>
        <v/>
      </c>
    </row>
    <row r="423">
      <c r="D423">
        <f>IF(C423="","",MIN(C423,Settings!$B$6))</f>
        <v/>
      </c>
      <c r="E423">
        <f>IF(C423="","",MAX(0,C423-D423))</f>
        <v/>
      </c>
    </row>
    <row r="424">
      <c r="D424">
        <f>IF(C424="","",MIN(C424,Settings!$B$6))</f>
        <v/>
      </c>
      <c r="E424">
        <f>IF(C424="","",MAX(0,C424-D424))</f>
        <v/>
      </c>
    </row>
    <row r="425">
      <c r="D425">
        <f>IF(C425="","",MIN(C425,Settings!$B$6))</f>
        <v/>
      </c>
      <c r="E425">
        <f>IF(C425="","",MAX(0,C425-D425))</f>
        <v/>
      </c>
    </row>
    <row r="426">
      <c r="D426">
        <f>IF(C426="","",MIN(C426,Settings!$B$6))</f>
        <v/>
      </c>
      <c r="E426">
        <f>IF(C426="","",MAX(0,C426-D426))</f>
        <v/>
      </c>
    </row>
    <row r="427">
      <c r="D427">
        <f>IF(C427="","",MIN(C427,Settings!$B$6))</f>
        <v/>
      </c>
      <c r="E427">
        <f>IF(C427="","",MAX(0,C427-D427))</f>
        <v/>
      </c>
    </row>
    <row r="428">
      <c r="D428">
        <f>IF(C428="","",MIN(C428,Settings!$B$6))</f>
        <v/>
      </c>
      <c r="E428">
        <f>IF(C428="","",MAX(0,C428-D428))</f>
        <v/>
      </c>
    </row>
    <row r="429">
      <c r="D429">
        <f>IF(C429="","",MIN(C429,Settings!$B$6))</f>
        <v/>
      </c>
      <c r="E429">
        <f>IF(C429="","",MAX(0,C429-D429))</f>
        <v/>
      </c>
    </row>
    <row r="430">
      <c r="D430">
        <f>IF(C430="","",MIN(C430,Settings!$B$6))</f>
        <v/>
      </c>
      <c r="E430">
        <f>IF(C430="","",MAX(0,C430-D430))</f>
        <v/>
      </c>
    </row>
    <row r="431">
      <c r="D431">
        <f>IF(C431="","",MIN(C431,Settings!$B$6))</f>
        <v/>
      </c>
      <c r="E431">
        <f>IF(C431="","",MAX(0,C431-D431))</f>
        <v/>
      </c>
    </row>
    <row r="432">
      <c r="D432">
        <f>IF(C432="","",MIN(C432,Settings!$B$6))</f>
        <v/>
      </c>
      <c r="E432">
        <f>IF(C432="","",MAX(0,C432-D432))</f>
        <v/>
      </c>
    </row>
    <row r="433">
      <c r="D433">
        <f>IF(C433="","",MIN(C433,Settings!$B$6))</f>
        <v/>
      </c>
      <c r="E433">
        <f>IF(C433="","",MAX(0,C433-D433))</f>
        <v/>
      </c>
    </row>
    <row r="434">
      <c r="D434">
        <f>IF(C434="","",MIN(C434,Settings!$B$6))</f>
        <v/>
      </c>
      <c r="E434">
        <f>IF(C434="","",MAX(0,C434-D434))</f>
        <v/>
      </c>
    </row>
    <row r="435">
      <c r="D435">
        <f>IF(C435="","",MIN(C435,Settings!$B$6))</f>
        <v/>
      </c>
      <c r="E435">
        <f>IF(C435="","",MAX(0,C435-D435))</f>
        <v/>
      </c>
    </row>
    <row r="436">
      <c r="D436">
        <f>IF(C436="","",MIN(C436,Settings!$B$6))</f>
        <v/>
      </c>
      <c r="E436">
        <f>IF(C436="","",MAX(0,C436-D436))</f>
        <v/>
      </c>
    </row>
    <row r="437">
      <c r="D437">
        <f>IF(C437="","",MIN(C437,Settings!$B$6))</f>
        <v/>
      </c>
      <c r="E437">
        <f>IF(C437="","",MAX(0,C437-D437))</f>
        <v/>
      </c>
    </row>
    <row r="438">
      <c r="D438">
        <f>IF(C438="","",MIN(C438,Settings!$B$6))</f>
        <v/>
      </c>
      <c r="E438">
        <f>IF(C438="","",MAX(0,C438-D438))</f>
        <v/>
      </c>
    </row>
    <row r="439">
      <c r="D439">
        <f>IF(C439="","",MIN(C439,Settings!$B$6))</f>
        <v/>
      </c>
      <c r="E439">
        <f>IF(C439="","",MAX(0,C439-D439))</f>
        <v/>
      </c>
    </row>
    <row r="440">
      <c r="D440">
        <f>IF(C440="","",MIN(C440,Settings!$B$6))</f>
        <v/>
      </c>
      <c r="E440">
        <f>IF(C440="","",MAX(0,C440-D440))</f>
        <v/>
      </c>
    </row>
    <row r="441">
      <c r="D441">
        <f>IF(C441="","",MIN(C441,Settings!$B$6))</f>
        <v/>
      </c>
      <c r="E441">
        <f>IF(C441="","",MAX(0,C441-D441))</f>
        <v/>
      </c>
    </row>
    <row r="442">
      <c r="D442">
        <f>IF(C442="","",MIN(C442,Settings!$B$6))</f>
        <v/>
      </c>
      <c r="E442">
        <f>IF(C442="","",MAX(0,C442-D442))</f>
        <v/>
      </c>
    </row>
    <row r="443">
      <c r="D443">
        <f>IF(C443="","",MIN(C443,Settings!$B$6))</f>
        <v/>
      </c>
      <c r="E443">
        <f>IF(C443="","",MAX(0,C443-D443))</f>
        <v/>
      </c>
    </row>
    <row r="444">
      <c r="D444">
        <f>IF(C444="","",MIN(C444,Settings!$B$6))</f>
        <v/>
      </c>
      <c r="E444">
        <f>IF(C444="","",MAX(0,C444-D444))</f>
        <v/>
      </c>
    </row>
    <row r="445">
      <c r="D445">
        <f>IF(C445="","",MIN(C445,Settings!$B$6))</f>
        <v/>
      </c>
      <c r="E445">
        <f>IF(C445="","",MAX(0,C445-D445))</f>
        <v/>
      </c>
    </row>
    <row r="446">
      <c r="D446">
        <f>IF(C446="","",MIN(C446,Settings!$B$6))</f>
        <v/>
      </c>
      <c r="E446">
        <f>IF(C446="","",MAX(0,C446-D446))</f>
        <v/>
      </c>
    </row>
    <row r="447">
      <c r="D447">
        <f>IF(C447="","",MIN(C447,Settings!$B$6))</f>
        <v/>
      </c>
      <c r="E447">
        <f>IF(C447="","",MAX(0,C447-D447))</f>
        <v/>
      </c>
    </row>
    <row r="448">
      <c r="D448">
        <f>IF(C448="","",MIN(C448,Settings!$B$6))</f>
        <v/>
      </c>
      <c r="E448">
        <f>IF(C448="","",MAX(0,C448-D448))</f>
        <v/>
      </c>
    </row>
    <row r="449">
      <c r="D449">
        <f>IF(C449="","",MIN(C449,Settings!$B$6))</f>
        <v/>
      </c>
      <c r="E449">
        <f>IF(C449="","",MAX(0,C449-D449))</f>
        <v/>
      </c>
    </row>
    <row r="450">
      <c r="D450">
        <f>IF(C450="","",MIN(C450,Settings!$B$6))</f>
        <v/>
      </c>
      <c r="E450">
        <f>IF(C450="","",MAX(0,C450-D450))</f>
        <v/>
      </c>
    </row>
    <row r="451">
      <c r="D451">
        <f>IF(C451="","",MIN(C451,Settings!$B$6))</f>
        <v/>
      </c>
      <c r="E451">
        <f>IF(C451="","",MAX(0,C451-D451))</f>
        <v/>
      </c>
    </row>
    <row r="452">
      <c r="D452">
        <f>IF(C452="","",MIN(C452,Settings!$B$6))</f>
        <v/>
      </c>
      <c r="E452">
        <f>IF(C452="","",MAX(0,C452-D452))</f>
        <v/>
      </c>
    </row>
    <row r="453">
      <c r="D453">
        <f>IF(C453="","",MIN(C453,Settings!$B$6))</f>
        <v/>
      </c>
      <c r="E453">
        <f>IF(C453="","",MAX(0,C453-D453))</f>
        <v/>
      </c>
    </row>
    <row r="454">
      <c r="D454">
        <f>IF(C454="","",MIN(C454,Settings!$B$6))</f>
        <v/>
      </c>
      <c r="E454">
        <f>IF(C454="","",MAX(0,C454-D454))</f>
        <v/>
      </c>
    </row>
    <row r="455">
      <c r="D455">
        <f>IF(C455="","",MIN(C455,Settings!$B$6))</f>
        <v/>
      </c>
      <c r="E455">
        <f>IF(C455="","",MAX(0,C455-D455))</f>
        <v/>
      </c>
    </row>
    <row r="456">
      <c r="D456">
        <f>IF(C456="","",MIN(C456,Settings!$B$6))</f>
        <v/>
      </c>
      <c r="E456">
        <f>IF(C456="","",MAX(0,C456-D456))</f>
        <v/>
      </c>
    </row>
    <row r="457">
      <c r="D457">
        <f>IF(C457="","",MIN(C457,Settings!$B$6))</f>
        <v/>
      </c>
      <c r="E457">
        <f>IF(C457="","",MAX(0,C457-D457))</f>
        <v/>
      </c>
    </row>
    <row r="458">
      <c r="D458">
        <f>IF(C458="","",MIN(C458,Settings!$B$6))</f>
        <v/>
      </c>
      <c r="E458">
        <f>IF(C458="","",MAX(0,C458-D458))</f>
        <v/>
      </c>
    </row>
    <row r="459">
      <c r="D459">
        <f>IF(C459="","",MIN(C459,Settings!$B$6))</f>
        <v/>
      </c>
      <c r="E459">
        <f>IF(C459="","",MAX(0,C459-D459))</f>
        <v/>
      </c>
    </row>
    <row r="460">
      <c r="D460">
        <f>IF(C460="","",MIN(C460,Settings!$B$6))</f>
        <v/>
      </c>
      <c r="E460">
        <f>IF(C460="","",MAX(0,C460-D460))</f>
        <v/>
      </c>
    </row>
    <row r="461">
      <c r="D461">
        <f>IF(C461="","",MIN(C461,Settings!$B$6))</f>
        <v/>
      </c>
      <c r="E461">
        <f>IF(C461="","",MAX(0,C461-D461))</f>
        <v/>
      </c>
    </row>
    <row r="462">
      <c r="D462">
        <f>IF(C462="","",MIN(C462,Settings!$B$6))</f>
        <v/>
      </c>
      <c r="E462">
        <f>IF(C462="","",MAX(0,C462-D462))</f>
        <v/>
      </c>
    </row>
    <row r="463">
      <c r="D463">
        <f>IF(C463="","",MIN(C463,Settings!$B$6))</f>
        <v/>
      </c>
      <c r="E463">
        <f>IF(C463="","",MAX(0,C463-D463))</f>
        <v/>
      </c>
    </row>
    <row r="464">
      <c r="D464">
        <f>IF(C464="","",MIN(C464,Settings!$B$6))</f>
        <v/>
      </c>
      <c r="E464">
        <f>IF(C464="","",MAX(0,C464-D464))</f>
        <v/>
      </c>
    </row>
    <row r="465">
      <c r="D465">
        <f>IF(C465="","",MIN(C465,Settings!$B$6))</f>
        <v/>
      </c>
      <c r="E465">
        <f>IF(C465="","",MAX(0,C465-D465))</f>
        <v/>
      </c>
    </row>
    <row r="466">
      <c r="D466">
        <f>IF(C466="","",MIN(C466,Settings!$B$6))</f>
        <v/>
      </c>
      <c r="E466">
        <f>IF(C466="","",MAX(0,C466-D466))</f>
        <v/>
      </c>
    </row>
    <row r="467">
      <c r="D467">
        <f>IF(C467="","",MIN(C467,Settings!$B$6))</f>
        <v/>
      </c>
      <c r="E467">
        <f>IF(C467="","",MAX(0,C467-D467))</f>
        <v/>
      </c>
    </row>
    <row r="468">
      <c r="D468">
        <f>IF(C468="","",MIN(C468,Settings!$B$6))</f>
        <v/>
      </c>
      <c r="E468">
        <f>IF(C468="","",MAX(0,C468-D468))</f>
        <v/>
      </c>
    </row>
    <row r="469">
      <c r="D469">
        <f>IF(C469="","",MIN(C469,Settings!$B$6))</f>
        <v/>
      </c>
      <c r="E469">
        <f>IF(C469="","",MAX(0,C469-D469))</f>
        <v/>
      </c>
    </row>
    <row r="470">
      <c r="D470">
        <f>IF(C470="","",MIN(C470,Settings!$B$6))</f>
        <v/>
      </c>
      <c r="E470">
        <f>IF(C470="","",MAX(0,C470-D470))</f>
        <v/>
      </c>
    </row>
    <row r="471">
      <c r="D471">
        <f>IF(C471="","",MIN(C471,Settings!$B$6))</f>
        <v/>
      </c>
      <c r="E471">
        <f>IF(C471="","",MAX(0,C471-D471))</f>
        <v/>
      </c>
    </row>
    <row r="472">
      <c r="D472">
        <f>IF(C472="","",MIN(C472,Settings!$B$6))</f>
        <v/>
      </c>
      <c r="E472">
        <f>IF(C472="","",MAX(0,C472-D472))</f>
        <v/>
      </c>
    </row>
    <row r="473">
      <c r="D473">
        <f>IF(C473="","",MIN(C473,Settings!$B$6))</f>
        <v/>
      </c>
      <c r="E473">
        <f>IF(C473="","",MAX(0,C473-D473))</f>
        <v/>
      </c>
    </row>
    <row r="474">
      <c r="D474">
        <f>IF(C474="","",MIN(C474,Settings!$B$6))</f>
        <v/>
      </c>
      <c r="E474">
        <f>IF(C474="","",MAX(0,C474-D474))</f>
        <v/>
      </c>
    </row>
    <row r="475">
      <c r="D475">
        <f>IF(C475="","",MIN(C475,Settings!$B$6))</f>
        <v/>
      </c>
      <c r="E475">
        <f>IF(C475="","",MAX(0,C475-D475))</f>
        <v/>
      </c>
    </row>
    <row r="476">
      <c r="D476">
        <f>IF(C476="","",MIN(C476,Settings!$B$6))</f>
        <v/>
      </c>
      <c r="E476">
        <f>IF(C476="","",MAX(0,C476-D476))</f>
        <v/>
      </c>
    </row>
    <row r="477">
      <c r="D477">
        <f>IF(C477="","",MIN(C477,Settings!$B$6))</f>
        <v/>
      </c>
      <c r="E477">
        <f>IF(C477="","",MAX(0,C477-D477))</f>
        <v/>
      </c>
    </row>
    <row r="478">
      <c r="D478">
        <f>IF(C478="","",MIN(C478,Settings!$B$6))</f>
        <v/>
      </c>
      <c r="E478">
        <f>IF(C478="","",MAX(0,C478-D478))</f>
        <v/>
      </c>
    </row>
    <row r="479">
      <c r="D479">
        <f>IF(C479="","",MIN(C479,Settings!$B$6))</f>
        <v/>
      </c>
      <c r="E479">
        <f>IF(C479="","",MAX(0,C479-D479))</f>
        <v/>
      </c>
    </row>
    <row r="480">
      <c r="D480">
        <f>IF(C480="","",MIN(C480,Settings!$B$6))</f>
        <v/>
      </c>
      <c r="E480">
        <f>IF(C480="","",MAX(0,C480-D480))</f>
        <v/>
      </c>
    </row>
    <row r="481">
      <c r="D481">
        <f>IF(C481="","",MIN(C481,Settings!$B$6))</f>
        <v/>
      </c>
      <c r="E481">
        <f>IF(C481="","",MAX(0,C481-D481))</f>
        <v/>
      </c>
    </row>
    <row r="482">
      <c r="D482">
        <f>IF(C482="","",MIN(C482,Settings!$B$6))</f>
        <v/>
      </c>
      <c r="E482">
        <f>IF(C482="","",MAX(0,C482-D482))</f>
        <v/>
      </c>
    </row>
    <row r="483">
      <c r="D483">
        <f>IF(C483="","",MIN(C483,Settings!$B$6))</f>
        <v/>
      </c>
      <c r="E483">
        <f>IF(C483="","",MAX(0,C483-D483))</f>
        <v/>
      </c>
    </row>
    <row r="484">
      <c r="D484">
        <f>IF(C484="","",MIN(C484,Settings!$B$6))</f>
        <v/>
      </c>
      <c r="E484">
        <f>IF(C484="","",MAX(0,C484-D484))</f>
        <v/>
      </c>
    </row>
    <row r="485">
      <c r="D485">
        <f>IF(C485="","",MIN(C485,Settings!$B$6))</f>
        <v/>
      </c>
      <c r="E485">
        <f>IF(C485="","",MAX(0,C485-D485))</f>
        <v/>
      </c>
    </row>
    <row r="486">
      <c r="D486">
        <f>IF(C486="","",MIN(C486,Settings!$B$6))</f>
        <v/>
      </c>
      <c r="E486">
        <f>IF(C486="","",MAX(0,C486-D486))</f>
        <v/>
      </c>
    </row>
    <row r="487">
      <c r="D487">
        <f>IF(C487="","",MIN(C487,Settings!$B$6))</f>
        <v/>
      </c>
      <c r="E487">
        <f>IF(C487="","",MAX(0,C487-D487))</f>
        <v/>
      </c>
    </row>
    <row r="488">
      <c r="D488">
        <f>IF(C488="","",MIN(C488,Settings!$B$6))</f>
        <v/>
      </c>
      <c r="E488">
        <f>IF(C488="","",MAX(0,C488-D488))</f>
        <v/>
      </c>
    </row>
    <row r="489">
      <c r="D489">
        <f>IF(C489="","",MIN(C489,Settings!$B$6))</f>
        <v/>
      </c>
      <c r="E489">
        <f>IF(C489="","",MAX(0,C489-D489))</f>
        <v/>
      </c>
    </row>
    <row r="490">
      <c r="D490">
        <f>IF(C490="","",MIN(C490,Settings!$B$6))</f>
        <v/>
      </c>
      <c r="E490">
        <f>IF(C490="","",MAX(0,C490-D490))</f>
        <v/>
      </c>
    </row>
    <row r="491">
      <c r="D491">
        <f>IF(C491="","",MIN(C491,Settings!$B$6))</f>
        <v/>
      </c>
      <c r="E491">
        <f>IF(C491="","",MAX(0,C491-D491))</f>
        <v/>
      </c>
    </row>
    <row r="492">
      <c r="D492">
        <f>IF(C492="","",MIN(C492,Settings!$B$6))</f>
        <v/>
      </c>
      <c r="E492">
        <f>IF(C492="","",MAX(0,C492-D492))</f>
        <v/>
      </c>
    </row>
    <row r="493">
      <c r="D493">
        <f>IF(C493="","",MIN(C493,Settings!$B$6))</f>
        <v/>
      </c>
      <c r="E493">
        <f>IF(C493="","",MAX(0,C493-D493))</f>
        <v/>
      </c>
    </row>
    <row r="494">
      <c r="D494">
        <f>IF(C494="","",MIN(C494,Settings!$B$6))</f>
        <v/>
      </c>
      <c r="E494">
        <f>IF(C494="","",MAX(0,C494-D494))</f>
        <v/>
      </c>
    </row>
    <row r="495">
      <c r="D495">
        <f>IF(C495="","",MIN(C495,Settings!$B$6))</f>
        <v/>
      </c>
      <c r="E495">
        <f>IF(C495="","",MAX(0,C495-D495))</f>
        <v/>
      </c>
    </row>
    <row r="496">
      <c r="D496">
        <f>IF(C496="","",MIN(C496,Settings!$B$6))</f>
        <v/>
      </c>
      <c r="E496">
        <f>IF(C496="","",MAX(0,C496-D496))</f>
        <v/>
      </c>
    </row>
    <row r="497">
      <c r="D497">
        <f>IF(C497="","",MIN(C497,Settings!$B$6))</f>
        <v/>
      </c>
      <c r="E497">
        <f>IF(C497="","",MAX(0,C497-D497))</f>
        <v/>
      </c>
    </row>
    <row r="498">
      <c r="D498">
        <f>IF(C498="","",MIN(C498,Settings!$B$6))</f>
        <v/>
      </c>
      <c r="E498">
        <f>IF(C498="","",MAX(0,C498-D498))</f>
        <v/>
      </c>
    </row>
    <row r="499">
      <c r="D499">
        <f>IF(C499="","",MIN(C499,Settings!$B$6))</f>
        <v/>
      </c>
      <c r="E499">
        <f>IF(C499="","",MAX(0,C499-D499))</f>
        <v/>
      </c>
    </row>
    <row r="500">
      <c r="D500">
        <f>IF(C500="","",MIN(C500,Settings!$B$6))</f>
        <v/>
      </c>
      <c r="E500">
        <f>IF(C500="","",MAX(0,C500-D500))</f>
        <v/>
      </c>
    </row>
    <row r="501">
      <c r="D501">
        <f>IF(C501="","",MIN(C501,Settings!$B$6))</f>
        <v/>
      </c>
      <c r="E501">
        <f>IF(C501="","",MAX(0,C501-D501))</f>
        <v/>
      </c>
    </row>
    <row r="502">
      <c r="D502">
        <f>IF(C502="","",MIN(C502,Settings!$B$6))</f>
        <v/>
      </c>
      <c r="E502">
        <f>IF(C502="","",MAX(0,C502-D502))</f>
        <v/>
      </c>
    </row>
    <row r="503">
      <c r="D503">
        <f>IF(C503="","",MIN(C503,Settings!$B$6))</f>
        <v/>
      </c>
      <c r="E503">
        <f>IF(C503="","",MAX(0,C503-D503))</f>
        <v/>
      </c>
    </row>
    <row r="504">
      <c r="D504">
        <f>IF(C504="","",MIN(C504,Settings!$B$6))</f>
        <v/>
      </c>
      <c r="E504">
        <f>IF(C504="","",MAX(0,C504-D504))</f>
        <v/>
      </c>
    </row>
    <row r="505">
      <c r="D505">
        <f>IF(C505="","",MIN(C505,Settings!$B$6))</f>
        <v/>
      </c>
      <c r="E505">
        <f>IF(C505="","",MAX(0,C505-D505))</f>
        <v/>
      </c>
    </row>
    <row r="506">
      <c r="D506">
        <f>IF(C506="","",MIN(C506,Settings!$B$6))</f>
        <v/>
      </c>
      <c r="E506">
        <f>IF(C506="","",MAX(0,C506-D506))</f>
        <v/>
      </c>
    </row>
    <row r="507">
      <c r="D507">
        <f>IF(C507="","",MIN(C507,Settings!$B$6))</f>
        <v/>
      </c>
      <c r="E507">
        <f>IF(C507="","",MAX(0,C507-D507))</f>
        <v/>
      </c>
    </row>
    <row r="508">
      <c r="D508">
        <f>IF(C508="","",MIN(C508,Settings!$B$6))</f>
        <v/>
      </c>
      <c r="E508">
        <f>IF(C508="","",MAX(0,C508-D508))</f>
        <v/>
      </c>
    </row>
    <row r="509">
      <c r="D509">
        <f>IF(C509="","",MIN(C509,Settings!$B$6))</f>
        <v/>
      </c>
      <c r="E509">
        <f>IF(C509="","",MAX(0,C509-D509))</f>
        <v/>
      </c>
    </row>
    <row r="510">
      <c r="D510">
        <f>IF(C510="","",MIN(C510,Settings!$B$6))</f>
        <v/>
      </c>
      <c r="E510">
        <f>IF(C510="","",MAX(0,C510-D510))</f>
        <v/>
      </c>
    </row>
    <row r="511">
      <c r="D511">
        <f>IF(C511="","",MIN(C511,Settings!$B$6))</f>
        <v/>
      </c>
      <c r="E511">
        <f>IF(C511="","",MAX(0,C511-D511))</f>
        <v/>
      </c>
    </row>
    <row r="512">
      <c r="D512">
        <f>IF(C512="","",MIN(C512,Settings!$B$6))</f>
        <v/>
      </c>
      <c r="E512">
        <f>IF(C512="","",MAX(0,C512-D512))</f>
        <v/>
      </c>
    </row>
    <row r="513">
      <c r="D513">
        <f>IF(C513="","",MIN(C513,Settings!$B$6))</f>
        <v/>
      </c>
      <c r="E513">
        <f>IF(C513="","",MAX(0,C513-D513))</f>
        <v/>
      </c>
    </row>
    <row r="514">
      <c r="D514">
        <f>IF(C514="","",MIN(C514,Settings!$B$6))</f>
        <v/>
      </c>
      <c r="E514">
        <f>IF(C514="","",MAX(0,C514-D514))</f>
        <v/>
      </c>
    </row>
    <row r="515">
      <c r="D515">
        <f>IF(C515="","",MIN(C515,Settings!$B$6))</f>
        <v/>
      </c>
      <c r="E515">
        <f>IF(C515="","",MAX(0,C515-D515))</f>
        <v/>
      </c>
    </row>
    <row r="516">
      <c r="D516">
        <f>IF(C516="","",MIN(C516,Settings!$B$6))</f>
        <v/>
      </c>
      <c r="E516">
        <f>IF(C516="","",MAX(0,C516-D516))</f>
        <v/>
      </c>
    </row>
    <row r="517">
      <c r="D517">
        <f>IF(C517="","",MIN(C517,Settings!$B$6))</f>
        <v/>
      </c>
      <c r="E517">
        <f>IF(C517="","",MAX(0,C517-D517))</f>
        <v/>
      </c>
    </row>
    <row r="518">
      <c r="D518">
        <f>IF(C518="","",MIN(C518,Settings!$B$6))</f>
        <v/>
      </c>
      <c r="E518">
        <f>IF(C518="","",MAX(0,C518-D518))</f>
        <v/>
      </c>
    </row>
    <row r="519">
      <c r="D519">
        <f>IF(C519="","",MIN(C519,Settings!$B$6))</f>
        <v/>
      </c>
      <c r="E519">
        <f>IF(C519="","",MAX(0,C519-D519))</f>
        <v/>
      </c>
    </row>
    <row r="520">
      <c r="D520">
        <f>IF(C520="","",MIN(C520,Settings!$B$6))</f>
        <v/>
      </c>
      <c r="E520">
        <f>IF(C520="","",MAX(0,C520-D520))</f>
        <v/>
      </c>
    </row>
    <row r="521">
      <c r="D521">
        <f>IF(C521="","",MIN(C521,Settings!$B$6))</f>
        <v/>
      </c>
      <c r="E521">
        <f>IF(C521="","",MAX(0,C521-D521))</f>
        <v/>
      </c>
    </row>
    <row r="522">
      <c r="D522">
        <f>IF(C522="","",MIN(C522,Settings!$B$6))</f>
        <v/>
      </c>
      <c r="E522">
        <f>IF(C522="","",MAX(0,C522-D522))</f>
        <v/>
      </c>
    </row>
    <row r="523">
      <c r="D523">
        <f>IF(C523="","",MIN(C523,Settings!$B$6))</f>
        <v/>
      </c>
      <c r="E523">
        <f>IF(C523="","",MAX(0,C523-D523))</f>
        <v/>
      </c>
    </row>
    <row r="524">
      <c r="D524">
        <f>IF(C524="","",MIN(C524,Settings!$B$6))</f>
        <v/>
      </c>
      <c r="E524">
        <f>IF(C524="","",MAX(0,C524-D524))</f>
        <v/>
      </c>
    </row>
    <row r="525">
      <c r="D525">
        <f>IF(C525="","",MIN(C525,Settings!$B$6))</f>
        <v/>
      </c>
      <c r="E525">
        <f>IF(C525="","",MAX(0,C525-D525))</f>
        <v/>
      </c>
    </row>
    <row r="526">
      <c r="D526">
        <f>IF(C526="","",MIN(C526,Settings!$B$6))</f>
        <v/>
      </c>
      <c r="E526">
        <f>IF(C526="","",MAX(0,C526-D526))</f>
        <v/>
      </c>
    </row>
    <row r="527">
      <c r="D527">
        <f>IF(C527="","",MIN(C527,Settings!$B$6))</f>
        <v/>
      </c>
      <c r="E527">
        <f>IF(C527="","",MAX(0,C527-D527))</f>
        <v/>
      </c>
    </row>
    <row r="528">
      <c r="D528">
        <f>IF(C528="","",MIN(C528,Settings!$B$6))</f>
        <v/>
      </c>
      <c r="E528">
        <f>IF(C528="","",MAX(0,C528-D528))</f>
        <v/>
      </c>
    </row>
    <row r="529">
      <c r="D529">
        <f>IF(C529="","",MIN(C529,Settings!$B$6))</f>
        <v/>
      </c>
      <c r="E529">
        <f>IF(C529="","",MAX(0,C529-D529))</f>
        <v/>
      </c>
    </row>
    <row r="530">
      <c r="D530">
        <f>IF(C530="","",MIN(C530,Settings!$B$6))</f>
        <v/>
      </c>
      <c r="E530">
        <f>IF(C530="","",MAX(0,C530-D530))</f>
        <v/>
      </c>
    </row>
    <row r="531">
      <c r="D531">
        <f>IF(C531="","",MIN(C531,Settings!$B$6))</f>
        <v/>
      </c>
      <c r="E531">
        <f>IF(C531="","",MAX(0,C531-D531))</f>
        <v/>
      </c>
    </row>
    <row r="532">
      <c r="D532">
        <f>IF(C532="","",MIN(C532,Settings!$B$6))</f>
        <v/>
      </c>
      <c r="E532">
        <f>IF(C532="","",MAX(0,C532-D532))</f>
        <v/>
      </c>
    </row>
    <row r="533">
      <c r="D533">
        <f>IF(C533="","",MIN(C533,Settings!$B$6))</f>
        <v/>
      </c>
      <c r="E533">
        <f>IF(C533="","",MAX(0,C533-D533))</f>
        <v/>
      </c>
    </row>
    <row r="534">
      <c r="D534">
        <f>IF(C534="","",MIN(C534,Settings!$B$6))</f>
        <v/>
      </c>
      <c r="E534">
        <f>IF(C534="","",MAX(0,C534-D534))</f>
        <v/>
      </c>
    </row>
    <row r="535">
      <c r="D535">
        <f>IF(C535="","",MIN(C535,Settings!$B$6))</f>
        <v/>
      </c>
      <c r="E535">
        <f>IF(C535="","",MAX(0,C535-D535))</f>
        <v/>
      </c>
    </row>
    <row r="536">
      <c r="D536">
        <f>IF(C536="","",MIN(C536,Settings!$B$6))</f>
        <v/>
      </c>
      <c r="E536">
        <f>IF(C536="","",MAX(0,C536-D536))</f>
        <v/>
      </c>
    </row>
    <row r="537">
      <c r="D537">
        <f>IF(C537="","",MIN(C537,Settings!$B$6))</f>
        <v/>
      </c>
      <c r="E537">
        <f>IF(C537="","",MAX(0,C537-D537))</f>
        <v/>
      </c>
    </row>
    <row r="538">
      <c r="D538">
        <f>IF(C538="","",MIN(C538,Settings!$B$6))</f>
        <v/>
      </c>
      <c r="E538">
        <f>IF(C538="","",MAX(0,C538-D538))</f>
        <v/>
      </c>
    </row>
    <row r="539">
      <c r="D539">
        <f>IF(C539="","",MIN(C539,Settings!$B$6))</f>
        <v/>
      </c>
      <c r="E539">
        <f>IF(C539="","",MAX(0,C539-D539))</f>
        <v/>
      </c>
    </row>
    <row r="540">
      <c r="D540">
        <f>IF(C540="","",MIN(C540,Settings!$B$6))</f>
        <v/>
      </c>
      <c r="E540">
        <f>IF(C540="","",MAX(0,C540-D540))</f>
        <v/>
      </c>
    </row>
    <row r="541">
      <c r="D541">
        <f>IF(C541="","",MIN(C541,Settings!$B$6))</f>
        <v/>
      </c>
      <c r="E541">
        <f>IF(C541="","",MAX(0,C541-D541))</f>
        <v/>
      </c>
    </row>
    <row r="542">
      <c r="D542">
        <f>IF(C542="","",MIN(C542,Settings!$B$6))</f>
        <v/>
      </c>
      <c r="E542">
        <f>IF(C542="","",MAX(0,C542-D542))</f>
        <v/>
      </c>
    </row>
    <row r="543">
      <c r="D543">
        <f>IF(C543="","",MIN(C543,Settings!$B$6))</f>
        <v/>
      </c>
      <c r="E543">
        <f>IF(C543="","",MAX(0,C543-D543))</f>
        <v/>
      </c>
    </row>
    <row r="544">
      <c r="D544">
        <f>IF(C544="","",MIN(C544,Settings!$B$6))</f>
        <v/>
      </c>
      <c r="E544">
        <f>IF(C544="","",MAX(0,C544-D544))</f>
        <v/>
      </c>
    </row>
    <row r="545">
      <c r="D545">
        <f>IF(C545="","",MIN(C545,Settings!$B$6))</f>
        <v/>
      </c>
      <c r="E545">
        <f>IF(C545="","",MAX(0,C545-D545))</f>
        <v/>
      </c>
    </row>
    <row r="546">
      <c r="D546">
        <f>IF(C546="","",MIN(C546,Settings!$B$6))</f>
        <v/>
      </c>
      <c r="E546">
        <f>IF(C546="","",MAX(0,C546-D546))</f>
        <v/>
      </c>
    </row>
    <row r="547">
      <c r="D547">
        <f>IF(C547="","",MIN(C547,Settings!$B$6))</f>
        <v/>
      </c>
      <c r="E547">
        <f>IF(C547="","",MAX(0,C547-D547))</f>
        <v/>
      </c>
    </row>
    <row r="548">
      <c r="D548">
        <f>IF(C548="","",MIN(C548,Settings!$B$6))</f>
        <v/>
      </c>
      <c r="E548">
        <f>IF(C548="","",MAX(0,C548-D548))</f>
        <v/>
      </c>
    </row>
    <row r="549">
      <c r="D549">
        <f>IF(C549="","",MIN(C549,Settings!$B$6))</f>
        <v/>
      </c>
      <c r="E549">
        <f>IF(C549="","",MAX(0,C549-D549))</f>
        <v/>
      </c>
    </row>
    <row r="550">
      <c r="D550">
        <f>IF(C550="","",MIN(C550,Settings!$B$6))</f>
        <v/>
      </c>
      <c r="E550">
        <f>IF(C550="","",MAX(0,C550-D550))</f>
        <v/>
      </c>
    </row>
    <row r="551">
      <c r="D551">
        <f>IF(C551="","",MIN(C551,Settings!$B$6))</f>
        <v/>
      </c>
      <c r="E551">
        <f>IF(C551="","",MAX(0,C551-D551))</f>
        <v/>
      </c>
    </row>
    <row r="552">
      <c r="D552">
        <f>IF(C552="","",MIN(C552,Settings!$B$6))</f>
        <v/>
      </c>
      <c r="E552">
        <f>IF(C552="","",MAX(0,C552-D552))</f>
        <v/>
      </c>
    </row>
    <row r="553">
      <c r="D553">
        <f>IF(C553="","",MIN(C553,Settings!$B$6))</f>
        <v/>
      </c>
      <c r="E553">
        <f>IF(C553="","",MAX(0,C553-D553))</f>
        <v/>
      </c>
    </row>
    <row r="554">
      <c r="D554">
        <f>IF(C554="","",MIN(C554,Settings!$B$6))</f>
        <v/>
      </c>
      <c r="E554">
        <f>IF(C554="","",MAX(0,C554-D554))</f>
        <v/>
      </c>
    </row>
    <row r="555">
      <c r="D555">
        <f>IF(C555="","",MIN(C555,Settings!$B$6))</f>
        <v/>
      </c>
      <c r="E555">
        <f>IF(C555="","",MAX(0,C555-D555))</f>
        <v/>
      </c>
    </row>
    <row r="556">
      <c r="D556">
        <f>IF(C556="","",MIN(C556,Settings!$B$6))</f>
        <v/>
      </c>
      <c r="E556">
        <f>IF(C556="","",MAX(0,C556-D556))</f>
        <v/>
      </c>
    </row>
    <row r="557">
      <c r="D557">
        <f>IF(C557="","",MIN(C557,Settings!$B$6))</f>
        <v/>
      </c>
      <c r="E557">
        <f>IF(C557="","",MAX(0,C557-D557))</f>
        <v/>
      </c>
    </row>
    <row r="558">
      <c r="D558">
        <f>IF(C558="","",MIN(C558,Settings!$B$6))</f>
        <v/>
      </c>
      <c r="E558">
        <f>IF(C558="","",MAX(0,C558-D558))</f>
        <v/>
      </c>
    </row>
    <row r="559">
      <c r="D559">
        <f>IF(C559="","",MIN(C559,Settings!$B$6))</f>
        <v/>
      </c>
      <c r="E559">
        <f>IF(C559="","",MAX(0,C559-D559))</f>
        <v/>
      </c>
    </row>
    <row r="560">
      <c r="D560">
        <f>IF(C560="","",MIN(C560,Settings!$B$6))</f>
        <v/>
      </c>
      <c r="E560">
        <f>IF(C560="","",MAX(0,C560-D560))</f>
        <v/>
      </c>
    </row>
    <row r="561">
      <c r="D561">
        <f>IF(C561="","",MIN(C561,Settings!$B$6))</f>
        <v/>
      </c>
      <c r="E561">
        <f>IF(C561="","",MAX(0,C561-D561))</f>
        <v/>
      </c>
    </row>
    <row r="562">
      <c r="D562">
        <f>IF(C562="","",MIN(C562,Settings!$B$6))</f>
        <v/>
      </c>
      <c r="E562">
        <f>IF(C562="","",MAX(0,C562-D562))</f>
        <v/>
      </c>
    </row>
    <row r="563">
      <c r="D563">
        <f>IF(C563="","",MIN(C563,Settings!$B$6))</f>
        <v/>
      </c>
      <c r="E563">
        <f>IF(C563="","",MAX(0,C563-D563))</f>
        <v/>
      </c>
    </row>
    <row r="564">
      <c r="D564">
        <f>IF(C564="","",MIN(C564,Settings!$B$6))</f>
        <v/>
      </c>
      <c r="E564">
        <f>IF(C564="","",MAX(0,C564-D564))</f>
        <v/>
      </c>
    </row>
    <row r="565">
      <c r="D565">
        <f>IF(C565="","",MIN(C565,Settings!$B$6))</f>
        <v/>
      </c>
      <c r="E565">
        <f>IF(C565="","",MAX(0,C565-D565))</f>
        <v/>
      </c>
    </row>
    <row r="566">
      <c r="D566">
        <f>IF(C566="","",MIN(C566,Settings!$B$6))</f>
        <v/>
      </c>
      <c r="E566">
        <f>IF(C566="","",MAX(0,C566-D566))</f>
        <v/>
      </c>
    </row>
    <row r="567">
      <c r="D567">
        <f>IF(C567="","",MIN(C567,Settings!$B$6))</f>
        <v/>
      </c>
      <c r="E567">
        <f>IF(C567="","",MAX(0,C567-D567))</f>
        <v/>
      </c>
    </row>
    <row r="568">
      <c r="D568">
        <f>IF(C568="","",MIN(C568,Settings!$B$6))</f>
        <v/>
      </c>
      <c r="E568">
        <f>IF(C568="","",MAX(0,C568-D568))</f>
        <v/>
      </c>
    </row>
    <row r="569">
      <c r="D569">
        <f>IF(C569="","",MIN(C569,Settings!$B$6))</f>
        <v/>
      </c>
      <c r="E569">
        <f>IF(C569="","",MAX(0,C569-D569))</f>
        <v/>
      </c>
    </row>
    <row r="570">
      <c r="D570">
        <f>IF(C570="","",MIN(C570,Settings!$B$6))</f>
        <v/>
      </c>
      <c r="E570">
        <f>IF(C570="","",MAX(0,C570-D570))</f>
        <v/>
      </c>
    </row>
    <row r="571">
      <c r="D571">
        <f>IF(C571="","",MIN(C571,Settings!$B$6))</f>
        <v/>
      </c>
      <c r="E571">
        <f>IF(C571="","",MAX(0,C571-D571))</f>
        <v/>
      </c>
    </row>
    <row r="572">
      <c r="D572">
        <f>IF(C572="","",MIN(C572,Settings!$B$6))</f>
        <v/>
      </c>
      <c r="E572">
        <f>IF(C572="","",MAX(0,C572-D572))</f>
        <v/>
      </c>
    </row>
    <row r="573">
      <c r="D573">
        <f>IF(C573="","",MIN(C573,Settings!$B$6))</f>
        <v/>
      </c>
      <c r="E573">
        <f>IF(C573="","",MAX(0,C573-D573))</f>
        <v/>
      </c>
    </row>
    <row r="574">
      <c r="D574">
        <f>IF(C574="","",MIN(C574,Settings!$B$6))</f>
        <v/>
      </c>
      <c r="E574">
        <f>IF(C574="","",MAX(0,C574-D574))</f>
        <v/>
      </c>
    </row>
    <row r="575">
      <c r="D575">
        <f>IF(C575="","",MIN(C575,Settings!$B$6))</f>
        <v/>
      </c>
      <c r="E575">
        <f>IF(C575="","",MAX(0,C575-D575))</f>
        <v/>
      </c>
    </row>
    <row r="576">
      <c r="D576">
        <f>IF(C576="","",MIN(C576,Settings!$B$6))</f>
        <v/>
      </c>
      <c r="E576">
        <f>IF(C576="","",MAX(0,C576-D576))</f>
        <v/>
      </c>
    </row>
    <row r="577">
      <c r="D577">
        <f>IF(C577="","",MIN(C577,Settings!$B$6))</f>
        <v/>
      </c>
      <c r="E577">
        <f>IF(C577="","",MAX(0,C577-D577))</f>
        <v/>
      </c>
    </row>
    <row r="578">
      <c r="D578">
        <f>IF(C578="","",MIN(C578,Settings!$B$6))</f>
        <v/>
      </c>
      <c r="E578">
        <f>IF(C578="","",MAX(0,C578-D578))</f>
        <v/>
      </c>
    </row>
    <row r="579">
      <c r="D579">
        <f>IF(C579="","",MIN(C579,Settings!$B$6))</f>
        <v/>
      </c>
      <c r="E579">
        <f>IF(C579="","",MAX(0,C579-D579))</f>
        <v/>
      </c>
    </row>
    <row r="580">
      <c r="D580">
        <f>IF(C580="","",MIN(C580,Settings!$B$6))</f>
        <v/>
      </c>
      <c r="E580">
        <f>IF(C580="","",MAX(0,C580-D580))</f>
        <v/>
      </c>
    </row>
    <row r="581">
      <c r="D581">
        <f>IF(C581="","",MIN(C581,Settings!$B$6))</f>
        <v/>
      </c>
      <c r="E581">
        <f>IF(C581="","",MAX(0,C581-D581))</f>
        <v/>
      </c>
    </row>
    <row r="582">
      <c r="D582">
        <f>IF(C582="","",MIN(C582,Settings!$B$6))</f>
        <v/>
      </c>
      <c r="E582">
        <f>IF(C582="","",MAX(0,C582-D582))</f>
        <v/>
      </c>
    </row>
    <row r="583">
      <c r="D583">
        <f>IF(C583="","",MIN(C583,Settings!$B$6))</f>
        <v/>
      </c>
      <c r="E583">
        <f>IF(C583="","",MAX(0,C583-D583))</f>
        <v/>
      </c>
    </row>
    <row r="584">
      <c r="D584">
        <f>IF(C584="","",MIN(C584,Settings!$B$6))</f>
        <v/>
      </c>
      <c r="E584">
        <f>IF(C584="","",MAX(0,C584-D584))</f>
        <v/>
      </c>
    </row>
    <row r="585">
      <c r="D585">
        <f>IF(C585="","",MIN(C585,Settings!$B$6))</f>
        <v/>
      </c>
      <c r="E585">
        <f>IF(C585="","",MAX(0,C585-D585))</f>
        <v/>
      </c>
    </row>
    <row r="586">
      <c r="D586">
        <f>IF(C586="","",MIN(C586,Settings!$B$6))</f>
        <v/>
      </c>
      <c r="E586">
        <f>IF(C586="","",MAX(0,C586-D586))</f>
        <v/>
      </c>
    </row>
    <row r="587">
      <c r="D587">
        <f>IF(C587="","",MIN(C587,Settings!$B$6))</f>
        <v/>
      </c>
      <c r="E587">
        <f>IF(C587="","",MAX(0,C587-D587))</f>
        <v/>
      </c>
    </row>
    <row r="588">
      <c r="D588">
        <f>IF(C588="","",MIN(C588,Settings!$B$6))</f>
        <v/>
      </c>
      <c r="E588">
        <f>IF(C588="","",MAX(0,C588-D588))</f>
        <v/>
      </c>
    </row>
    <row r="589">
      <c r="D589">
        <f>IF(C589="","",MIN(C589,Settings!$B$6))</f>
        <v/>
      </c>
      <c r="E589">
        <f>IF(C589="","",MAX(0,C589-D589))</f>
        <v/>
      </c>
    </row>
    <row r="590">
      <c r="D590">
        <f>IF(C590="","",MIN(C590,Settings!$B$6))</f>
        <v/>
      </c>
      <c r="E590">
        <f>IF(C590="","",MAX(0,C590-D590))</f>
        <v/>
      </c>
    </row>
    <row r="591">
      <c r="D591">
        <f>IF(C591="","",MIN(C591,Settings!$B$6))</f>
        <v/>
      </c>
      <c r="E591">
        <f>IF(C591="","",MAX(0,C591-D591))</f>
        <v/>
      </c>
    </row>
    <row r="592">
      <c r="D592">
        <f>IF(C592="","",MIN(C592,Settings!$B$6))</f>
        <v/>
      </c>
      <c r="E592">
        <f>IF(C592="","",MAX(0,C592-D592))</f>
        <v/>
      </c>
    </row>
    <row r="593">
      <c r="D593">
        <f>IF(C593="","",MIN(C593,Settings!$B$6))</f>
        <v/>
      </c>
      <c r="E593">
        <f>IF(C593="","",MAX(0,C593-D593))</f>
        <v/>
      </c>
    </row>
    <row r="594">
      <c r="D594">
        <f>IF(C594="","",MIN(C594,Settings!$B$6))</f>
        <v/>
      </c>
      <c r="E594">
        <f>IF(C594="","",MAX(0,C594-D594))</f>
        <v/>
      </c>
    </row>
    <row r="595">
      <c r="D595">
        <f>IF(C595="","",MIN(C595,Settings!$B$6))</f>
        <v/>
      </c>
      <c r="E595">
        <f>IF(C595="","",MAX(0,C595-D595))</f>
        <v/>
      </c>
    </row>
    <row r="596">
      <c r="D596">
        <f>IF(C596="","",MIN(C596,Settings!$B$6))</f>
        <v/>
      </c>
      <c r="E596">
        <f>IF(C596="","",MAX(0,C596-D596))</f>
        <v/>
      </c>
    </row>
    <row r="597">
      <c r="D597">
        <f>IF(C597="","",MIN(C597,Settings!$B$6))</f>
        <v/>
      </c>
      <c r="E597">
        <f>IF(C597="","",MAX(0,C597-D597))</f>
        <v/>
      </c>
    </row>
    <row r="598">
      <c r="D598">
        <f>IF(C598="","",MIN(C598,Settings!$B$6))</f>
        <v/>
      </c>
      <c r="E598">
        <f>IF(C598="","",MAX(0,C598-D598))</f>
        <v/>
      </c>
    </row>
    <row r="599">
      <c r="D599">
        <f>IF(C599="","",MIN(C599,Settings!$B$6))</f>
        <v/>
      </c>
      <c r="E599">
        <f>IF(C599="","",MAX(0,C599-D599))</f>
        <v/>
      </c>
    </row>
    <row r="600">
      <c r="D600">
        <f>IF(C600="","",MIN(C600,Settings!$B$6))</f>
        <v/>
      </c>
      <c r="E600">
        <f>IF(C600="","",MAX(0,C600-D600))</f>
        <v/>
      </c>
    </row>
    <row r="601">
      <c r="D601">
        <f>IF(C601="","",MIN(C601,Settings!$B$6))</f>
        <v/>
      </c>
      <c r="E601">
        <f>IF(C601="","",MAX(0,C601-D601))</f>
        <v/>
      </c>
    </row>
    <row r="602">
      <c r="D602">
        <f>IF(C602="","",MIN(C602,Settings!$B$6))</f>
        <v/>
      </c>
      <c r="E602">
        <f>IF(C602="","",MAX(0,C602-D602))</f>
        <v/>
      </c>
    </row>
    <row r="603">
      <c r="D603">
        <f>IF(C603="","",MIN(C603,Settings!$B$6))</f>
        <v/>
      </c>
      <c r="E603">
        <f>IF(C603="","",MAX(0,C603-D603))</f>
        <v/>
      </c>
    </row>
    <row r="604">
      <c r="D604">
        <f>IF(C604="","",MIN(C604,Settings!$B$6))</f>
        <v/>
      </c>
      <c r="E604">
        <f>IF(C604="","",MAX(0,C604-D604))</f>
        <v/>
      </c>
    </row>
    <row r="605">
      <c r="D605">
        <f>IF(C605="","",MIN(C605,Settings!$B$6))</f>
        <v/>
      </c>
      <c r="E605">
        <f>IF(C605="","",MAX(0,C605-D605))</f>
        <v/>
      </c>
    </row>
    <row r="606">
      <c r="D606">
        <f>IF(C606="","",MIN(C606,Settings!$B$6))</f>
        <v/>
      </c>
      <c r="E606">
        <f>IF(C606="","",MAX(0,C606-D606))</f>
        <v/>
      </c>
    </row>
    <row r="607">
      <c r="D607">
        <f>IF(C607="","",MIN(C607,Settings!$B$6))</f>
        <v/>
      </c>
      <c r="E607">
        <f>IF(C607="","",MAX(0,C607-D607))</f>
        <v/>
      </c>
    </row>
    <row r="608">
      <c r="D608">
        <f>IF(C608="","",MIN(C608,Settings!$B$6))</f>
        <v/>
      </c>
      <c r="E608">
        <f>IF(C608="","",MAX(0,C608-D608))</f>
        <v/>
      </c>
    </row>
    <row r="609">
      <c r="D609">
        <f>IF(C609="","",MIN(C609,Settings!$B$6))</f>
        <v/>
      </c>
      <c r="E609">
        <f>IF(C609="","",MAX(0,C609-D609))</f>
        <v/>
      </c>
    </row>
    <row r="610">
      <c r="D610">
        <f>IF(C610="","",MIN(C610,Settings!$B$6))</f>
        <v/>
      </c>
      <c r="E610">
        <f>IF(C610="","",MAX(0,C610-D610))</f>
        <v/>
      </c>
    </row>
    <row r="611">
      <c r="D611">
        <f>IF(C611="","",MIN(C611,Settings!$B$6))</f>
        <v/>
      </c>
      <c r="E611">
        <f>IF(C611="","",MAX(0,C611-D611))</f>
        <v/>
      </c>
    </row>
    <row r="612">
      <c r="D612">
        <f>IF(C612="","",MIN(C612,Settings!$B$6))</f>
        <v/>
      </c>
      <c r="E612">
        <f>IF(C612="","",MAX(0,C612-D612))</f>
        <v/>
      </c>
    </row>
    <row r="613">
      <c r="D613">
        <f>IF(C613="","",MIN(C613,Settings!$B$6))</f>
        <v/>
      </c>
      <c r="E613">
        <f>IF(C613="","",MAX(0,C613-D613))</f>
        <v/>
      </c>
    </row>
    <row r="614">
      <c r="D614">
        <f>IF(C614="","",MIN(C614,Settings!$B$6))</f>
        <v/>
      </c>
      <c r="E614">
        <f>IF(C614="","",MAX(0,C614-D614))</f>
        <v/>
      </c>
    </row>
    <row r="615">
      <c r="D615">
        <f>IF(C615="","",MIN(C615,Settings!$B$6))</f>
        <v/>
      </c>
      <c r="E615">
        <f>IF(C615="","",MAX(0,C615-D615))</f>
        <v/>
      </c>
    </row>
    <row r="616">
      <c r="D616">
        <f>IF(C616="","",MIN(C616,Settings!$B$6))</f>
        <v/>
      </c>
      <c r="E616">
        <f>IF(C616="","",MAX(0,C616-D616))</f>
        <v/>
      </c>
    </row>
    <row r="617">
      <c r="D617">
        <f>IF(C617="","",MIN(C617,Settings!$B$6))</f>
        <v/>
      </c>
      <c r="E617">
        <f>IF(C617="","",MAX(0,C617-D617))</f>
        <v/>
      </c>
    </row>
    <row r="618">
      <c r="D618">
        <f>IF(C618="","",MIN(C618,Settings!$B$6))</f>
        <v/>
      </c>
      <c r="E618">
        <f>IF(C618="","",MAX(0,C618-D618))</f>
        <v/>
      </c>
    </row>
    <row r="619">
      <c r="D619">
        <f>IF(C619="","",MIN(C619,Settings!$B$6))</f>
        <v/>
      </c>
      <c r="E619">
        <f>IF(C619="","",MAX(0,C619-D619))</f>
        <v/>
      </c>
    </row>
    <row r="620">
      <c r="D620">
        <f>IF(C620="","",MIN(C620,Settings!$B$6))</f>
        <v/>
      </c>
      <c r="E620">
        <f>IF(C620="","",MAX(0,C620-D620))</f>
        <v/>
      </c>
    </row>
    <row r="621">
      <c r="D621">
        <f>IF(C621="","",MIN(C621,Settings!$B$6))</f>
        <v/>
      </c>
      <c r="E621">
        <f>IF(C621="","",MAX(0,C621-D621))</f>
        <v/>
      </c>
    </row>
    <row r="622">
      <c r="D622">
        <f>IF(C622="","",MIN(C622,Settings!$B$6))</f>
        <v/>
      </c>
      <c r="E622">
        <f>IF(C622="","",MAX(0,C622-D622))</f>
        <v/>
      </c>
    </row>
    <row r="623">
      <c r="D623">
        <f>IF(C623="","",MIN(C623,Settings!$B$6))</f>
        <v/>
      </c>
      <c r="E623">
        <f>IF(C623="","",MAX(0,C623-D623))</f>
        <v/>
      </c>
    </row>
    <row r="624">
      <c r="D624">
        <f>IF(C624="","",MIN(C624,Settings!$B$6))</f>
        <v/>
      </c>
      <c r="E624">
        <f>IF(C624="","",MAX(0,C624-D624))</f>
        <v/>
      </c>
    </row>
    <row r="625">
      <c r="D625">
        <f>IF(C625="","",MIN(C625,Settings!$B$6))</f>
        <v/>
      </c>
      <c r="E625">
        <f>IF(C625="","",MAX(0,C625-D625))</f>
        <v/>
      </c>
    </row>
    <row r="626">
      <c r="D626">
        <f>IF(C626="","",MIN(C626,Settings!$B$6))</f>
        <v/>
      </c>
      <c r="E626">
        <f>IF(C626="","",MAX(0,C626-D626))</f>
        <v/>
      </c>
    </row>
    <row r="627">
      <c r="D627">
        <f>IF(C627="","",MIN(C627,Settings!$B$6))</f>
        <v/>
      </c>
      <c r="E627">
        <f>IF(C627="","",MAX(0,C627-D627))</f>
        <v/>
      </c>
    </row>
    <row r="628">
      <c r="D628">
        <f>IF(C628="","",MIN(C628,Settings!$B$6))</f>
        <v/>
      </c>
      <c r="E628">
        <f>IF(C628="","",MAX(0,C628-D628))</f>
        <v/>
      </c>
    </row>
    <row r="629">
      <c r="D629">
        <f>IF(C629="","",MIN(C629,Settings!$B$6))</f>
        <v/>
      </c>
      <c r="E629">
        <f>IF(C629="","",MAX(0,C629-D629))</f>
        <v/>
      </c>
    </row>
    <row r="630">
      <c r="D630">
        <f>IF(C630="","",MIN(C630,Settings!$B$6))</f>
        <v/>
      </c>
      <c r="E630">
        <f>IF(C630="","",MAX(0,C630-D630))</f>
        <v/>
      </c>
    </row>
    <row r="631">
      <c r="D631">
        <f>IF(C631="","",MIN(C631,Settings!$B$6))</f>
        <v/>
      </c>
      <c r="E631">
        <f>IF(C631="","",MAX(0,C631-D631))</f>
        <v/>
      </c>
    </row>
    <row r="632">
      <c r="D632">
        <f>IF(C632="","",MIN(C632,Settings!$B$6))</f>
        <v/>
      </c>
      <c r="E632">
        <f>IF(C632="","",MAX(0,C632-D632))</f>
        <v/>
      </c>
    </row>
    <row r="633">
      <c r="D633">
        <f>IF(C633="","",MIN(C633,Settings!$B$6))</f>
        <v/>
      </c>
      <c r="E633">
        <f>IF(C633="","",MAX(0,C633-D633))</f>
        <v/>
      </c>
    </row>
    <row r="634">
      <c r="D634">
        <f>IF(C634="","",MIN(C634,Settings!$B$6))</f>
        <v/>
      </c>
      <c r="E634">
        <f>IF(C634="","",MAX(0,C634-D634))</f>
        <v/>
      </c>
    </row>
    <row r="635">
      <c r="D635">
        <f>IF(C635="","",MIN(C635,Settings!$B$6))</f>
        <v/>
      </c>
      <c r="E635">
        <f>IF(C635="","",MAX(0,C635-D635))</f>
        <v/>
      </c>
    </row>
    <row r="636">
      <c r="D636">
        <f>IF(C636="","",MIN(C636,Settings!$B$6))</f>
        <v/>
      </c>
      <c r="E636">
        <f>IF(C636="","",MAX(0,C636-D636))</f>
        <v/>
      </c>
    </row>
    <row r="637">
      <c r="D637">
        <f>IF(C637="","",MIN(C637,Settings!$B$6))</f>
        <v/>
      </c>
      <c r="E637">
        <f>IF(C637="","",MAX(0,C637-D637))</f>
        <v/>
      </c>
    </row>
    <row r="638">
      <c r="D638">
        <f>IF(C638="","",MIN(C638,Settings!$B$6))</f>
        <v/>
      </c>
      <c r="E638">
        <f>IF(C638="","",MAX(0,C638-D638))</f>
        <v/>
      </c>
    </row>
    <row r="639">
      <c r="D639">
        <f>IF(C639="","",MIN(C639,Settings!$B$6))</f>
        <v/>
      </c>
      <c r="E639">
        <f>IF(C639="","",MAX(0,C639-D639))</f>
        <v/>
      </c>
    </row>
    <row r="640">
      <c r="D640">
        <f>IF(C640="","",MIN(C640,Settings!$B$6))</f>
        <v/>
      </c>
      <c r="E640">
        <f>IF(C640="","",MAX(0,C640-D640))</f>
        <v/>
      </c>
    </row>
    <row r="641">
      <c r="D641">
        <f>IF(C641="","",MIN(C641,Settings!$B$6))</f>
        <v/>
      </c>
      <c r="E641">
        <f>IF(C641="","",MAX(0,C641-D641))</f>
        <v/>
      </c>
    </row>
    <row r="642">
      <c r="D642">
        <f>IF(C642="","",MIN(C642,Settings!$B$6))</f>
        <v/>
      </c>
      <c r="E642">
        <f>IF(C642="","",MAX(0,C642-D642))</f>
        <v/>
      </c>
    </row>
    <row r="643">
      <c r="D643">
        <f>IF(C643="","",MIN(C643,Settings!$B$6))</f>
        <v/>
      </c>
      <c r="E643">
        <f>IF(C643="","",MAX(0,C643-D643))</f>
        <v/>
      </c>
    </row>
    <row r="644">
      <c r="D644">
        <f>IF(C644="","",MIN(C644,Settings!$B$6))</f>
        <v/>
      </c>
      <c r="E644">
        <f>IF(C644="","",MAX(0,C644-D644))</f>
        <v/>
      </c>
    </row>
    <row r="645">
      <c r="D645">
        <f>IF(C645="","",MIN(C645,Settings!$B$6))</f>
        <v/>
      </c>
      <c r="E645">
        <f>IF(C645="","",MAX(0,C645-D645))</f>
        <v/>
      </c>
    </row>
    <row r="646">
      <c r="D646">
        <f>IF(C646="","",MIN(C646,Settings!$B$6))</f>
        <v/>
      </c>
      <c r="E646">
        <f>IF(C646="","",MAX(0,C646-D646))</f>
        <v/>
      </c>
    </row>
    <row r="647">
      <c r="D647">
        <f>IF(C647="","",MIN(C647,Settings!$B$6))</f>
        <v/>
      </c>
      <c r="E647">
        <f>IF(C647="","",MAX(0,C647-D647))</f>
        <v/>
      </c>
    </row>
    <row r="648">
      <c r="D648">
        <f>IF(C648="","",MIN(C648,Settings!$B$6))</f>
        <v/>
      </c>
      <c r="E648">
        <f>IF(C648="","",MAX(0,C648-D648))</f>
        <v/>
      </c>
    </row>
    <row r="649">
      <c r="D649">
        <f>IF(C649="","",MIN(C649,Settings!$B$6))</f>
        <v/>
      </c>
      <c r="E649">
        <f>IF(C649="","",MAX(0,C649-D649))</f>
        <v/>
      </c>
    </row>
    <row r="650">
      <c r="D650">
        <f>IF(C650="","",MIN(C650,Settings!$B$6))</f>
        <v/>
      </c>
      <c r="E650">
        <f>IF(C650="","",MAX(0,C650-D650))</f>
        <v/>
      </c>
    </row>
    <row r="651">
      <c r="D651">
        <f>IF(C651="","",MIN(C651,Settings!$B$6))</f>
        <v/>
      </c>
      <c r="E651">
        <f>IF(C651="","",MAX(0,C651-D651))</f>
        <v/>
      </c>
    </row>
    <row r="652">
      <c r="D652">
        <f>IF(C652="","",MIN(C652,Settings!$B$6))</f>
        <v/>
      </c>
      <c r="E652">
        <f>IF(C652="","",MAX(0,C652-D652))</f>
        <v/>
      </c>
    </row>
    <row r="653">
      <c r="D653">
        <f>IF(C653="","",MIN(C653,Settings!$B$6))</f>
        <v/>
      </c>
      <c r="E653">
        <f>IF(C653="","",MAX(0,C653-D653))</f>
        <v/>
      </c>
    </row>
    <row r="654">
      <c r="D654">
        <f>IF(C654="","",MIN(C654,Settings!$B$6))</f>
        <v/>
      </c>
      <c r="E654">
        <f>IF(C654="","",MAX(0,C654-D654))</f>
        <v/>
      </c>
    </row>
    <row r="655">
      <c r="D655">
        <f>IF(C655="","",MIN(C655,Settings!$B$6))</f>
        <v/>
      </c>
      <c r="E655">
        <f>IF(C655="","",MAX(0,C655-D655))</f>
        <v/>
      </c>
    </row>
    <row r="656">
      <c r="D656">
        <f>IF(C656="","",MIN(C656,Settings!$B$6))</f>
        <v/>
      </c>
      <c r="E656">
        <f>IF(C656="","",MAX(0,C656-D656))</f>
        <v/>
      </c>
    </row>
    <row r="657">
      <c r="D657">
        <f>IF(C657="","",MIN(C657,Settings!$B$6))</f>
        <v/>
      </c>
      <c r="E657">
        <f>IF(C657="","",MAX(0,C657-D657))</f>
        <v/>
      </c>
    </row>
    <row r="658">
      <c r="D658">
        <f>IF(C658="","",MIN(C658,Settings!$B$6))</f>
        <v/>
      </c>
      <c r="E658">
        <f>IF(C658="","",MAX(0,C658-D658))</f>
        <v/>
      </c>
    </row>
    <row r="659">
      <c r="D659">
        <f>IF(C659="","",MIN(C659,Settings!$B$6))</f>
        <v/>
      </c>
      <c r="E659">
        <f>IF(C659="","",MAX(0,C659-D659))</f>
        <v/>
      </c>
    </row>
    <row r="660">
      <c r="D660">
        <f>IF(C660="","",MIN(C660,Settings!$B$6))</f>
        <v/>
      </c>
      <c r="E660">
        <f>IF(C660="","",MAX(0,C660-D660))</f>
        <v/>
      </c>
    </row>
    <row r="661">
      <c r="D661">
        <f>IF(C661="","",MIN(C661,Settings!$B$6))</f>
        <v/>
      </c>
      <c r="E661">
        <f>IF(C661="","",MAX(0,C661-D661))</f>
        <v/>
      </c>
    </row>
    <row r="662">
      <c r="D662">
        <f>IF(C662="","",MIN(C662,Settings!$B$6))</f>
        <v/>
      </c>
      <c r="E662">
        <f>IF(C662="","",MAX(0,C662-D662))</f>
        <v/>
      </c>
    </row>
    <row r="663">
      <c r="D663">
        <f>IF(C663="","",MIN(C663,Settings!$B$6))</f>
        <v/>
      </c>
      <c r="E663">
        <f>IF(C663="","",MAX(0,C663-D663))</f>
        <v/>
      </c>
    </row>
    <row r="664">
      <c r="D664">
        <f>IF(C664="","",MIN(C664,Settings!$B$6))</f>
        <v/>
      </c>
      <c r="E664">
        <f>IF(C664="","",MAX(0,C664-D664))</f>
        <v/>
      </c>
    </row>
    <row r="665">
      <c r="D665">
        <f>IF(C665="","",MIN(C665,Settings!$B$6))</f>
        <v/>
      </c>
      <c r="E665">
        <f>IF(C665="","",MAX(0,C665-D665))</f>
        <v/>
      </c>
    </row>
    <row r="666">
      <c r="D666">
        <f>IF(C666="","",MIN(C666,Settings!$B$6))</f>
        <v/>
      </c>
      <c r="E666">
        <f>IF(C666="","",MAX(0,C666-D666))</f>
        <v/>
      </c>
    </row>
    <row r="667">
      <c r="D667">
        <f>IF(C667="","",MIN(C667,Settings!$B$6))</f>
        <v/>
      </c>
      <c r="E667">
        <f>IF(C667="","",MAX(0,C667-D667))</f>
        <v/>
      </c>
    </row>
    <row r="668">
      <c r="D668">
        <f>IF(C668="","",MIN(C668,Settings!$B$6))</f>
        <v/>
      </c>
      <c r="E668">
        <f>IF(C668="","",MAX(0,C668-D668))</f>
        <v/>
      </c>
    </row>
    <row r="669">
      <c r="D669">
        <f>IF(C669="","",MIN(C669,Settings!$B$6))</f>
        <v/>
      </c>
      <c r="E669">
        <f>IF(C669="","",MAX(0,C669-D669))</f>
        <v/>
      </c>
    </row>
    <row r="670">
      <c r="D670">
        <f>IF(C670="","",MIN(C670,Settings!$B$6))</f>
        <v/>
      </c>
      <c r="E670">
        <f>IF(C670="","",MAX(0,C670-D670))</f>
        <v/>
      </c>
    </row>
    <row r="671">
      <c r="D671">
        <f>IF(C671="","",MIN(C671,Settings!$B$6))</f>
        <v/>
      </c>
      <c r="E671">
        <f>IF(C671="","",MAX(0,C671-D671))</f>
        <v/>
      </c>
    </row>
    <row r="672">
      <c r="D672">
        <f>IF(C672="","",MIN(C672,Settings!$B$6))</f>
        <v/>
      </c>
      <c r="E672">
        <f>IF(C672="","",MAX(0,C672-D672))</f>
        <v/>
      </c>
    </row>
    <row r="673">
      <c r="D673">
        <f>IF(C673="","",MIN(C673,Settings!$B$6))</f>
        <v/>
      </c>
      <c r="E673">
        <f>IF(C673="","",MAX(0,C673-D673))</f>
        <v/>
      </c>
    </row>
    <row r="674">
      <c r="D674">
        <f>IF(C674="","",MIN(C674,Settings!$B$6))</f>
        <v/>
      </c>
      <c r="E674">
        <f>IF(C674="","",MAX(0,C674-D674))</f>
        <v/>
      </c>
    </row>
    <row r="675">
      <c r="D675">
        <f>IF(C675="","",MIN(C675,Settings!$B$6))</f>
        <v/>
      </c>
      <c r="E675">
        <f>IF(C675="","",MAX(0,C675-D675))</f>
        <v/>
      </c>
    </row>
    <row r="676">
      <c r="D676">
        <f>IF(C676="","",MIN(C676,Settings!$B$6))</f>
        <v/>
      </c>
      <c r="E676">
        <f>IF(C676="","",MAX(0,C676-D676))</f>
        <v/>
      </c>
    </row>
    <row r="677">
      <c r="D677">
        <f>IF(C677="","",MIN(C677,Settings!$B$6))</f>
        <v/>
      </c>
      <c r="E677">
        <f>IF(C677="","",MAX(0,C677-D677))</f>
        <v/>
      </c>
    </row>
    <row r="678">
      <c r="D678">
        <f>IF(C678="","",MIN(C678,Settings!$B$6))</f>
        <v/>
      </c>
      <c r="E678">
        <f>IF(C678="","",MAX(0,C678-D678))</f>
        <v/>
      </c>
    </row>
    <row r="679">
      <c r="D679">
        <f>IF(C679="","",MIN(C679,Settings!$B$6))</f>
        <v/>
      </c>
      <c r="E679">
        <f>IF(C679="","",MAX(0,C679-D679))</f>
        <v/>
      </c>
    </row>
    <row r="680">
      <c r="D680">
        <f>IF(C680="","",MIN(C680,Settings!$B$6))</f>
        <v/>
      </c>
      <c r="E680">
        <f>IF(C680="","",MAX(0,C680-D680))</f>
        <v/>
      </c>
    </row>
    <row r="681">
      <c r="D681">
        <f>IF(C681="","",MIN(C681,Settings!$B$6))</f>
        <v/>
      </c>
      <c r="E681">
        <f>IF(C681="","",MAX(0,C681-D681))</f>
        <v/>
      </c>
    </row>
    <row r="682">
      <c r="D682">
        <f>IF(C682="","",MIN(C682,Settings!$B$6))</f>
        <v/>
      </c>
      <c r="E682">
        <f>IF(C682="","",MAX(0,C682-D682))</f>
        <v/>
      </c>
    </row>
    <row r="683">
      <c r="D683">
        <f>IF(C683="","",MIN(C683,Settings!$B$6))</f>
        <v/>
      </c>
      <c r="E683">
        <f>IF(C683="","",MAX(0,C683-D683))</f>
        <v/>
      </c>
    </row>
    <row r="684">
      <c r="D684">
        <f>IF(C684="","",MIN(C684,Settings!$B$6))</f>
        <v/>
      </c>
      <c r="E684">
        <f>IF(C684="","",MAX(0,C684-D684))</f>
        <v/>
      </c>
    </row>
    <row r="685">
      <c r="D685">
        <f>IF(C685="","",MIN(C685,Settings!$B$6))</f>
        <v/>
      </c>
      <c r="E685">
        <f>IF(C685="","",MAX(0,C685-D685))</f>
        <v/>
      </c>
    </row>
    <row r="686">
      <c r="D686">
        <f>IF(C686="","",MIN(C686,Settings!$B$6))</f>
        <v/>
      </c>
      <c r="E686">
        <f>IF(C686="","",MAX(0,C686-D686))</f>
        <v/>
      </c>
    </row>
    <row r="687">
      <c r="D687">
        <f>IF(C687="","",MIN(C687,Settings!$B$6))</f>
        <v/>
      </c>
      <c r="E687">
        <f>IF(C687="","",MAX(0,C687-D687))</f>
        <v/>
      </c>
    </row>
    <row r="688">
      <c r="D688">
        <f>IF(C688="","",MIN(C688,Settings!$B$6))</f>
        <v/>
      </c>
      <c r="E688">
        <f>IF(C688="","",MAX(0,C688-D688))</f>
        <v/>
      </c>
    </row>
    <row r="689">
      <c r="D689">
        <f>IF(C689="","",MIN(C689,Settings!$B$6))</f>
        <v/>
      </c>
      <c r="E689">
        <f>IF(C689="","",MAX(0,C689-D689))</f>
        <v/>
      </c>
    </row>
    <row r="690">
      <c r="D690">
        <f>IF(C690="","",MIN(C690,Settings!$B$6))</f>
        <v/>
      </c>
      <c r="E690">
        <f>IF(C690="","",MAX(0,C690-D690))</f>
        <v/>
      </c>
    </row>
    <row r="691">
      <c r="D691">
        <f>IF(C691="","",MIN(C691,Settings!$B$6))</f>
        <v/>
      </c>
      <c r="E691">
        <f>IF(C691="","",MAX(0,C691-D691))</f>
        <v/>
      </c>
    </row>
    <row r="692">
      <c r="D692">
        <f>IF(C692="","",MIN(C692,Settings!$B$6))</f>
        <v/>
      </c>
      <c r="E692">
        <f>IF(C692="","",MAX(0,C692-D692))</f>
        <v/>
      </c>
    </row>
    <row r="693">
      <c r="D693">
        <f>IF(C693="","",MIN(C693,Settings!$B$6))</f>
        <v/>
      </c>
      <c r="E693">
        <f>IF(C693="","",MAX(0,C693-D693))</f>
        <v/>
      </c>
    </row>
    <row r="694">
      <c r="D694">
        <f>IF(C694="","",MIN(C694,Settings!$B$6))</f>
        <v/>
      </c>
      <c r="E694">
        <f>IF(C694="","",MAX(0,C694-D694))</f>
        <v/>
      </c>
    </row>
    <row r="695">
      <c r="D695">
        <f>IF(C695="","",MIN(C695,Settings!$B$6))</f>
        <v/>
      </c>
      <c r="E695">
        <f>IF(C695="","",MAX(0,C695-D695))</f>
        <v/>
      </c>
    </row>
    <row r="696">
      <c r="D696">
        <f>IF(C696="","",MIN(C696,Settings!$B$6))</f>
        <v/>
      </c>
      <c r="E696">
        <f>IF(C696="","",MAX(0,C696-D696))</f>
        <v/>
      </c>
    </row>
    <row r="697">
      <c r="D697">
        <f>IF(C697="","",MIN(C697,Settings!$B$6))</f>
        <v/>
      </c>
      <c r="E697">
        <f>IF(C697="","",MAX(0,C697-D697))</f>
        <v/>
      </c>
    </row>
    <row r="698">
      <c r="D698">
        <f>IF(C698="","",MIN(C698,Settings!$B$6))</f>
        <v/>
      </c>
      <c r="E698">
        <f>IF(C698="","",MAX(0,C698-D698))</f>
        <v/>
      </c>
    </row>
    <row r="699">
      <c r="D699">
        <f>IF(C699="","",MIN(C699,Settings!$B$6))</f>
        <v/>
      </c>
      <c r="E699">
        <f>IF(C699="","",MAX(0,C699-D699))</f>
        <v/>
      </c>
    </row>
    <row r="700">
      <c r="D700">
        <f>IF(C700="","",MIN(C700,Settings!$B$6))</f>
        <v/>
      </c>
      <c r="E700">
        <f>IF(C700="","",MAX(0,C700-D700))</f>
        <v/>
      </c>
    </row>
    <row r="701">
      <c r="D701">
        <f>IF(C701="","",MIN(C701,Settings!$B$6))</f>
        <v/>
      </c>
      <c r="E701">
        <f>IF(C701="","",MAX(0,C701-D701))</f>
        <v/>
      </c>
    </row>
    <row r="702">
      <c r="D702">
        <f>IF(C702="","",MIN(C702,Settings!$B$6))</f>
        <v/>
      </c>
      <c r="E702">
        <f>IF(C702="","",MAX(0,C702-D702))</f>
        <v/>
      </c>
    </row>
    <row r="703">
      <c r="D703">
        <f>IF(C703="","",MIN(C703,Settings!$B$6))</f>
        <v/>
      </c>
      <c r="E703">
        <f>IF(C703="","",MAX(0,C703-D703))</f>
        <v/>
      </c>
    </row>
    <row r="704">
      <c r="D704">
        <f>IF(C704="","",MIN(C704,Settings!$B$6))</f>
        <v/>
      </c>
      <c r="E704">
        <f>IF(C704="","",MAX(0,C704-D704))</f>
        <v/>
      </c>
    </row>
    <row r="705">
      <c r="D705">
        <f>IF(C705="","",MIN(C705,Settings!$B$6))</f>
        <v/>
      </c>
      <c r="E705">
        <f>IF(C705="","",MAX(0,C705-D705))</f>
        <v/>
      </c>
    </row>
    <row r="706">
      <c r="D706">
        <f>IF(C706="","",MIN(C706,Settings!$B$6))</f>
        <v/>
      </c>
      <c r="E706">
        <f>IF(C706="","",MAX(0,C706-D706))</f>
        <v/>
      </c>
    </row>
    <row r="707">
      <c r="D707">
        <f>IF(C707="","",MIN(C707,Settings!$B$6))</f>
        <v/>
      </c>
      <c r="E707">
        <f>IF(C707="","",MAX(0,C707-D707))</f>
        <v/>
      </c>
    </row>
    <row r="708">
      <c r="D708">
        <f>IF(C708="","",MIN(C708,Settings!$B$6))</f>
        <v/>
      </c>
      <c r="E708">
        <f>IF(C708="","",MAX(0,C708-D708))</f>
        <v/>
      </c>
    </row>
    <row r="709">
      <c r="D709">
        <f>IF(C709="","",MIN(C709,Settings!$B$6))</f>
        <v/>
      </c>
      <c r="E709">
        <f>IF(C709="","",MAX(0,C709-D709))</f>
        <v/>
      </c>
    </row>
    <row r="710">
      <c r="D710">
        <f>IF(C710="","",MIN(C710,Settings!$B$6))</f>
        <v/>
      </c>
      <c r="E710">
        <f>IF(C710="","",MAX(0,C710-D710))</f>
        <v/>
      </c>
    </row>
    <row r="711">
      <c r="D711">
        <f>IF(C711="","",MIN(C711,Settings!$B$6))</f>
        <v/>
      </c>
      <c r="E711">
        <f>IF(C711="","",MAX(0,C711-D711))</f>
        <v/>
      </c>
    </row>
    <row r="712">
      <c r="D712">
        <f>IF(C712="","",MIN(C712,Settings!$B$6))</f>
        <v/>
      </c>
      <c r="E712">
        <f>IF(C712="","",MAX(0,C712-D712))</f>
        <v/>
      </c>
    </row>
    <row r="713">
      <c r="D713">
        <f>IF(C713="","",MIN(C713,Settings!$B$6))</f>
        <v/>
      </c>
      <c r="E713">
        <f>IF(C713="","",MAX(0,C713-D713))</f>
        <v/>
      </c>
    </row>
    <row r="714">
      <c r="D714">
        <f>IF(C714="","",MIN(C714,Settings!$B$6))</f>
        <v/>
      </c>
      <c r="E714">
        <f>IF(C714="","",MAX(0,C714-D714))</f>
        <v/>
      </c>
    </row>
    <row r="715">
      <c r="D715">
        <f>IF(C715="","",MIN(C715,Settings!$B$6))</f>
        <v/>
      </c>
      <c r="E715">
        <f>IF(C715="","",MAX(0,C715-D715))</f>
        <v/>
      </c>
    </row>
    <row r="716">
      <c r="D716">
        <f>IF(C716="","",MIN(C716,Settings!$B$6))</f>
        <v/>
      </c>
      <c r="E716">
        <f>IF(C716="","",MAX(0,C716-D716))</f>
        <v/>
      </c>
    </row>
    <row r="717">
      <c r="D717">
        <f>IF(C717="","",MIN(C717,Settings!$B$6))</f>
        <v/>
      </c>
      <c r="E717">
        <f>IF(C717="","",MAX(0,C717-D717))</f>
        <v/>
      </c>
    </row>
    <row r="718">
      <c r="D718">
        <f>IF(C718="","",MIN(C718,Settings!$B$6))</f>
        <v/>
      </c>
      <c r="E718">
        <f>IF(C718="","",MAX(0,C718-D718))</f>
        <v/>
      </c>
    </row>
    <row r="719">
      <c r="D719">
        <f>IF(C719="","",MIN(C719,Settings!$B$6))</f>
        <v/>
      </c>
      <c r="E719">
        <f>IF(C719="","",MAX(0,C719-D719))</f>
        <v/>
      </c>
    </row>
    <row r="720">
      <c r="D720">
        <f>IF(C720="","",MIN(C720,Settings!$B$6))</f>
        <v/>
      </c>
      <c r="E720">
        <f>IF(C720="","",MAX(0,C720-D720))</f>
        <v/>
      </c>
    </row>
    <row r="721">
      <c r="D721">
        <f>IF(C721="","",MIN(C721,Settings!$B$6))</f>
        <v/>
      </c>
      <c r="E721">
        <f>IF(C721="","",MAX(0,C721-D721))</f>
        <v/>
      </c>
    </row>
    <row r="722">
      <c r="D722">
        <f>IF(C722="","",MIN(C722,Settings!$B$6))</f>
        <v/>
      </c>
      <c r="E722">
        <f>IF(C722="","",MAX(0,C722-D722))</f>
        <v/>
      </c>
    </row>
    <row r="723">
      <c r="D723">
        <f>IF(C723="","",MIN(C723,Settings!$B$6))</f>
        <v/>
      </c>
      <c r="E723">
        <f>IF(C723="","",MAX(0,C723-D723))</f>
        <v/>
      </c>
    </row>
    <row r="724">
      <c r="D724">
        <f>IF(C724="","",MIN(C724,Settings!$B$6))</f>
        <v/>
      </c>
      <c r="E724">
        <f>IF(C724="","",MAX(0,C724-D724))</f>
        <v/>
      </c>
    </row>
    <row r="725">
      <c r="D725">
        <f>IF(C725="","",MIN(C725,Settings!$B$6))</f>
        <v/>
      </c>
      <c r="E725">
        <f>IF(C725="","",MAX(0,C725-D725))</f>
        <v/>
      </c>
    </row>
    <row r="726">
      <c r="D726">
        <f>IF(C726="","",MIN(C726,Settings!$B$6))</f>
        <v/>
      </c>
      <c r="E726">
        <f>IF(C726="","",MAX(0,C726-D726))</f>
        <v/>
      </c>
    </row>
    <row r="727">
      <c r="D727">
        <f>IF(C727="","",MIN(C727,Settings!$B$6))</f>
        <v/>
      </c>
      <c r="E727">
        <f>IF(C727="","",MAX(0,C727-D727))</f>
        <v/>
      </c>
    </row>
    <row r="728">
      <c r="D728">
        <f>IF(C728="","",MIN(C728,Settings!$B$6))</f>
        <v/>
      </c>
      <c r="E728">
        <f>IF(C728="","",MAX(0,C728-D728))</f>
        <v/>
      </c>
    </row>
    <row r="729">
      <c r="D729">
        <f>IF(C729="","",MIN(C729,Settings!$B$6))</f>
        <v/>
      </c>
      <c r="E729">
        <f>IF(C729="","",MAX(0,C729-D729))</f>
        <v/>
      </c>
    </row>
    <row r="730">
      <c r="D730">
        <f>IF(C730="","",MIN(C730,Settings!$B$6))</f>
        <v/>
      </c>
      <c r="E730">
        <f>IF(C730="","",MAX(0,C730-D730))</f>
        <v/>
      </c>
    </row>
    <row r="731">
      <c r="D731">
        <f>IF(C731="","",MIN(C731,Settings!$B$6))</f>
        <v/>
      </c>
      <c r="E731">
        <f>IF(C731="","",MAX(0,C731-D731))</f>
        <v/>
      </c>
    </row>
    <row r="732">
      <c r="D732">
        <f>IF(C732="","",MIN(C732,Settings!$B$6))</f>
        <v/>
      </c>
      <c r="E732">
        <f>IF(C732="","",MAX(0,C732-D732))</f>
        <v/>
      </c>
    </row>
    <row r="733">
      <c r="D733">
        <f>IF(C733="","",MIN(C733,Settings!$B$6))</f>
        <v/>
      </c>
      <c r="E733">
        <f>IF(C733="","",MAX(0,C733-D733))</f>
        <v/>
      </c>
    </row>
    <row r="734">
      <c r="D734">
        <f>IF(C734="","",MIN(C734,Settings!$B$6))</f>
        <v/>
      </c>
      <c r="E734">
        <f>IF(C734="","",MAX(0,C734-D734))</f>
        <v/>
      </c>
    </row>
    <row r="735">
      <c r="D735">
        <f>IF(C735="","",MIN(C735,Settings!$B$6))</f>
        <v/>
      </c>
      <c r="E735">
        <f>IF(C735="","",MAX(0,C735-D735))</f>
        <v/>
      </c>
    </row>
    <row r="736">
      <c r="D736">
        <f>IF(C736="","",MIN(C736,Settings!$B$6))</f>
        <v/>
      </c>
      <c r="E736">
        <f>IF(C736="","",MAX(0,C736-D736))</f>
        <v/>
      </c>
    </row>
    <row r="737">
      <c r="D737">
        <f>IF(C737="","",MIN(C737,Settings!$B$6))</f>
        <v/>
      </c>
      <c r="E737">
        <f>IF(C737="","",MAX(0,C737-D737))</f>
        <v/>
      </c>
    </row>
    <row r="738">
      <c r="D738">
        <f>IF(C738="","",MIN(C738,Settings!$B$6))</f>
        <v/>
      </c>
      <c r="E738">
        <f>IF(C738="","",MAX(0,C738-D738))</f>
        <v/>
      </c>
    </row>
    <row r="739">
      <c r="D739">
        <f>IF(C739="","",MIN(C739,Settings!$B$6))</f>
        <v/>
      </c>
      <c r="E739">
        <f>IF(C739="","",MAX(0,C739-D739))</f>
        <v/>
      </c>
    </row>
    <row r="740">
      <c r="D740">
        <f>IF(C740="","",MIN(C740,Settings!$B$6))</f>
        <v/>
      </c>
      <c r="E740">
        <f>IF(C740="","",MAX(0,C740-D740))</f>
        <v/>
      </c>
    </row>
    <row r="741">
      <c r="D741">
        <f>IF(C741="","",MIN(C741,Settings!$B$6))</f>
        <v/>
      </c>
      <c r="E741">
        <f>IF(C741="","",MAX(0,C741-D741))</f>
        <v/>
      </c>
    </row>
    <row r="742">
      <c r="D742">
        <f>IF(C742="","",MIN(C742,Settings!$B$6))</f>
        <v/>
      </c>
      <c r="E742">
        <f>IF(C742="","",MAX(0,C742-D742))</f>
        <v/>
      </c>
    </row>
    <row r="743">
      <c r="D743">
        <f>IF(C743="","",MIN(C743,Settings!$B$6))</f>
        <v/>
      </c>
      <c r="E743">
        <f>IF(C743="","",MAX(0,C743-D743))</f>
        <v/>
      </c>
    </row>
    <row r="744">
      <c r="D744">
        <f>IF(C744="","",MIN(C744,Settings!$B$6))</f>
        <v/>
      </c>
      <c r="E744">
        <f>IF(C744="","",MAX(0,C744-D744))</f>
        <v/>
      </c>
    </row>
    <row r="745">
      <c r="D745">
        <f>IF(C745="","",MIN(C745,Settings!$B$6))</f>
        <v/>
      </c>
      <c r="E745">
        <f>IF(C745="","",MAX(0,C745-D745))</f>
        <v/>
      </c>
    </row>
    <row r="746">
      <c r="D746">
        <f>IF(C746="","",MIN(C746,Settings!$B$6))</f>
        <v/>
      </c>
      <c r="E746">
        <f>IF(C746="","",MAX(0,C746-D746))</f>
        <v/>
      </c>
    </row>
    <row r="747">
      <c r="D747">
        <f>IF(C747="","",MIN(C747,Settings!$B$6))</f>
        <v/>
      </c>
      <c r="E747">
        <f>IF(C747="","",MAX(0,C747-D747))</f>
        <v/>
      </c>
    </row>
    <row r="748">
      <c r="D748">
        <f>IF(C748="","",MIN(C748,Settings!$B$6))</f>
        <v/>
      </c>
      <c r="E748">
        <f>IF(C748="","",MAX(0,C748-D748))</f>
        <v/>
      </c>
    </row>
    <row r="749">
      <c r="D749">
        <f>IF(C749="","",MIN(C749,Settings!$B$6))</f>
        <v/>
      </c>
      <c r="E749">
        <f>IF(C749="","",MAX(0,C749-D749))</f>
        <v/>
      </c>
    </row>
    <row r="750">
      <c r="D750">
        <f>IF(C750="","",MIN(C750,Settings!$B$6))</f>
        <v/>
      </c>
      <c r="E750">
        <f>IF(C750="","",MAX(0,C750-D750))</f>
        <v/>
      </c>
    </row>
    <row r="751">
      <c r="D751">
        <f>IF(C751="","",MIN(C751,Settings!$B$6))</f>
        <v/>
      </c>
      <c r="E751">
        <f>IF(C751="","",MAX(0,C751-D751))</f>
        <v/>
      </c>
    </row>
    <row r="752">
      <c r="D752">
        <f>IF(C752="","",MIN(C752,Settings!$B$6))</f>
        <v/>
      </c>
      <c r="E752">
        <f>IF(C752="","",MAX(0,C752-D752))</f>
        <v/>
      </c>
    </row>
    <row r="753">
      <c r="D753">
        <f>IF(C753="","",MIN(C753,Settings!$B$6))</f>
        <v/>
      </c>
      <c r="E753">
        <f>IF(C753="","",MAX(0,C753-D753))</f>
        <v/>
      </c>
    </row>
    <row r="754">
      <c r="D754">
        <f>IF(C754="","",MIN(C754,Settings!$B$6))</f>
        <v/>
      </c>
      <c r="E754">
        <f>IF(C754="","",MAX(0,C754-D754))</f>
        <v/>
      </c>
    </row>
    <row r="755">
      <c r="D755">
        <f>IF(C755="","",MIN(C755,Settings!$B$6))</f>
        <v/>
      </c>
      <c r="E755">
        <f>IF(C755="","",MAX(0,C755-D755))</f>
        <v/>
      </c>
    </row>
    <row r="756">
      <c r="D756">
        <f>IF(C756="","",MIN(C756,Settings!$B$6))</f>
        <v/>
      </c>
      <c r="E756">
        <f>IF(C756="","",MAX(0,C756-D756))</f>
        <v/>
      </c>
    </row>
    <row r="757">
      <c r="D757">
        <f>IF(C757="","",MIN(C757,Settings!$B$6))</f>
        <v/>
      </c>
      <c r="E757">
        <f>IF(C757="","",MAX(0,C757-D757))</f>
        <v/>
      </c>
    </row>
    <row r="758">
      <c r="D758">
        <f>IF(C758="","",MIN(C758,Settings!$B$6))</f>
        <v/>
      </c>
      <c r="E758">
        <f>IF(C758="","",MAX(0,C758-D758))</f>
        <v/>
      </c>
    </row>
    <row r="759">
      <c r="D759">
        <f>IF(C759="","",MIN(C759,Settings!$B$6))</f>
        <v/>
      </c>
      <c r="E759">
        <f>IF(C759="","",MAX(0,C759-D759))</f>
        <v/>
      </c>
    </row>
    <row r="760">
      <c r="D760">
        <f>IF(C760="","",MIN(C760,Settings!$B$6))</f>
        <v/>
      </c>
      <c r="E760">
        <f>IF(C760="","",MAX(0,C760-D760))</f>
        <v/>
      </c>
    </row>
    <row r="761">
      <c r="D761">
        <f>IF(C761="","",MIN(C761,Settings!$B$6))</f>
        <v/>
      </c>
      <c r="E761">
        <f>IF(C761="","",MAX(0,C761-D761))</f>
        <v/>
      </c>
    </row>
    <row r="762">
      <c r="D762">
        <f>IF(C762="","",MIN(C762,Settings!$B$6))</f>
        <v/>
      </c>
      <c r="E762">
        <f>IF(C762="","",MAX(0,C762-D762))</f>
        <v/>
      </c>
    </row>
    <row r="763">
      <c r="D763">
        <f>IF(C763="","",MIN(C763,Settings!$B$6))</f>
        <v/>
      </c>
      <c r="E763">
        <f>IF(C763="","",MAX(0,C763-D763))</f>
        <v/>
      </c>
    </row>
    <row r="764">
      <c r="D764">
        <f>IF(C764="","",MIN(C764,Settings!$B$6))</f>
        <v/>
      </c>
      <c r="E764">
        <f>IF(C764="","",MAX(0,C764-D764))</f>
        <v/>
      </c>
    </row>
    <row r="765">
      <c r="D765">
        <f>IF(C765="","",MIN(C765,Settings!$B$6))</f>
        <v/>
      </c>
      <c r="E765">
        <f>IF(C765="","",MAX(0,C765-D765))</f>
        <v/>
      </c>
    </row>
    <row r="766">
      <c r="D766">
        <f>IF(C766="","",MIN(C766,Settings!$B$6))</f>
        <v/>
      </c>
      <c r="E766">
        <f>IF(C766="","",MAX(0,C766-D766))</f>
        <v/>
      </c>
    </row>
    <row r="767">
      <c r="D767">
        <f>IF(C767="","",MIN(C767,Settings!$B$6))</f>
        <v/>
      </c>
      <c r="E767">
        <f>IF(C767="","",MAX(0,C767-D767))</f>
        <v/>
      </c>
    </row>
    <row r="768">
      <c r="D768">
        <f>IF(C768="","",MIN(C768,Settings!$B$6))</f>
        <v/>
      </c>
      <c r="E768">
        <f>IF(C768="","",MAX(0,C768-D768))</f>
        <v/>
      </c>
    </row>
    <row r="769">
      <c r="D769">
        <f>IF(C769="","",MIN(C769,Settings!$B$6))</f>
        <v/>
      </c>
      <c r="E769">
        <f>IF(C769="","",MAX(0,C769-D769))</f>
        <v/>
      </c>
    </row>
    <row r="770">
      <c r="D770">
        <f>IF(C770="","",MIN(C770,Settings!$B$6))</f>
        <v/>
      </c>
      <c r="E770">
        <f>IF(C770="","",MAX(0,C770-D770))</f>
        <v/>
      </c>
    </row>
    <row r="771">
      <c r="D771">
        <f>IF(C771="","",MIN(C771,Settings!$B$6))</f>
        <v/>
      </c>
      <c r="E771">
        <f>IF(C771="","",MAX(0,C771-D771))</f>
        <v/>
      </c>
    </row>
    <row r="772">
      <c r="D772">
        <f>IF(C772="","",MIN(C772,Settings!$B$6))</f>
        <v/>
      </c>
      <c r="E772">
        <f>IF(C772="","",MAX(0,C772-D772))</f>
        <v/>
      </c>
    </row>
    <row r="773">
      <c r="D773">
        <f>IF(C773="","",MIN(C773,Settings!$B$6))</f>
        <v/>
      </c>
      <c r="E773">
        <f>IF(C773="","",MAX(0,C773-D773))</f>
        <v/>
      </c>
    </row>
    <row r="774">
      <c r="D774">
        <f>IF(C774="","",MIN(C774,Settings!$B$6))</f>
        <v/>
      </c>
      <c r="E774">
        <f>IF(C774="","",MAX(0,C774-D774))</f>
        <v/>
      </c>
    </row>
    <row r="775">
      <c r="D775">
        <f>IF(C775="","",MIN(C775,Settings!$B$6))</f>
        <v/>
      </c>
      <c r="E775">
        <f>IF(C775="","",MAX(0,C775-D775))</f>
        <v/>
      </c>
    </row>
    <row r="776">
      <c r="D776">
        <f>IF(C776="","",MIN(C776,Settings!$B$6))</f>
        <v/>
      </c>
      <c r="E776">
        <f>IF(C776="","",MAX(0,C776-D776))</f>
        <v/>
      </c>
    </row>
    <row r="777">
      <c r="D777">
        <f>IF(C777="","",MIN(C777,Settings!$B$6))</f>
        <v/>
      </c>
      <c r="E777">
        <f>IF(C777="","",MAX(0,C777-D777))</f>
        <v/>
      </c>
    </row>
    <row r="778">
      <c r="D778">
        <f>IF(C778="","",MIN(C778,Settings!$B$6))</f>
        <v/>
      </c>
      <c r="E778">
        <f>IF(C778="","",MAX(0,C778-D778))</f>
        <v/>
      </c>
    </row>
    <row r="779">
      <c r="D779">
        <f>IF(C779="","",MIN(C779,Settings!$B$6))</f>
        <v/>
      </c>
      <c r="E779">
        <f>IF(C779="","",MAX(0,C779-D779))</f>
        <v/>
      </c>
    </row>
    <row r="780">
      <c r="D780">
        <f>IF(C780="","",MIN(C780,Settings!$B$6))</f>
        <v/>
      </c>
      <c r="E780">
        <f>IF(C780="","",MAX(0,C780-D780))</f>
        <v/>
      </c>
    </row>
    <row r="781">
      <c r="D781">
        <f>IF(C781="","",MIN(C781,Settings!$B$6))</f>
        <v/>
      </c>
      <c r="E781">
        <f>IF(C781="","",MAX(0,C781-D781))</f>
        <v/>
      </c>
    </row>
    <row r="782">
      <c r="D782">
        <f>IF(C782="","",MIN(C782,Settings!$B$6))</f>
        <v/>
      </c>
      <c r="E782">
        <f>IF(C782="","",MAX(0,C782-D782))</f>
        <v/>
      </c>
    </row>
    <row r="783">
      <c r="D783">
        <f>IF(C783="","",MIN(C783,Settings!$B$6))</f>
        <v/>
      </c>
      <c r="E783">
        <f>IF(C783="","",MAX(0,C783-D783))</f>
        <v/>
      </c>
    </row>
    <row r="784">
      <c r="D784">
        <f>IF(C784="","",MIN(C784,Settings!$B$6))</f>
        <v/>
      </c>
      <c r="E784">
        <f>IF(C784="","",MAX(0,C784-D784))</f>
        <v/>
      </c>
    </row>
    <row r="785">
      <c r="D785">
        <f>IF(C785="","",MIN(C785,Settings!$B$6))</f>
        <v/>
      </c>
      <c r="E785">
        <f>IF(C785="","",MAX(0,C785-D785))</f>
        <v/>
      </c>
    </row>
    <row r="786">
      <c r="D786">
        <f>IF(C786="","",MIN(C786,Settings!$B$6))</f>
        <v/>
      </c>
      <c r="E786">
        <f>IF(C786="","",MAX(0,C786-D786))</f>
        <v/>
      </c>
    </row>
    <row r="787">
      <c r="D787">
        <f>IF(C787="","",MIN(C787,Settings!$B$6))</f>
        <v/>
      </c>
      <c r="E787">
        <f>IF(C787="","",MAX(0,C787-D787))</f>
        <v/>
      </c>
    </row>
    <row r="788">
      <c r="D788">
        <f>IF(C788="","",MIN(C788,Settings!$B$6))</f>
        <v/>
      </c>
      <c r="E788">
        <f>IF(C788="","",MAX(0,C788-D788))</f>
        <v/>
      </c>
    </row>
    <row r="789">
      <c r="D789">
        <f>IF(C789="","",MIN(C789,Settings!$B$6))</f>
        <v/>
      </c>
      <c r="E789">
        <f>IF(C789="","",MAX(0,C789-D789))</f>
        <v/>
      </c>
    </row>
    <row r="790">
      <c r="D790">
        <f>IF(C790="","",MIN(C790,Settings!$B$6))</f>
        <v/>
      </c>
      <c r="E790">
        <f>IF(C790="","",MAX(0,C790-D790))</f>
        <v/>
      </c>
    </row>
    <row r="791">
      <c r="D791">
        <f>IF(C791="","",MIN(C791,Settings!$B$6))</f>
        <v/>
      </c>
      <c r="E791">
        <f>IF(C791="","",MAX(0,C791-D791))</f>
        <v/>
      </c>
    </row>
    <row r="792">
      <c r="D792">
        <f>IF(C792="","",MIN(C792,Settings!$B$6))</f>
        <v/>
      </c>
      <c r="E792">
        <f>IF(C792="","",MAX(0,C792-D792))</f>
        <v/>
      </c>
    </row>
    <row r="793">
      <c r="D793">
        <f>IF(C793="","",MIN(C793,Settings!$B$6))</f>
        <v/>
      </c>
      <c r="E793">
        <f>IF(C793="","",MAX(0,C793-D793))</f>
        <v/>
      </c>
    </row>
    <row r="794">
      <c r="D794">
        <f>IF(C794="","",MIN(C794,Settings!$B$6))</f>
        <v/>
      </c>
      <c r="E794">
        <f>IF(C794="","",MAX(0,C794-D794))</f>
        <v/>
      </c>
    </row>
    <row r="795">
      <c r="D795">
        <f>IF(C795="","",MIN(C795,Settings!$B$6))</f>
        <v/>
      </c>
      <c r="E795">
        <f>IF(C795="","",MAX(0,C795-D795))</f>
        <v/>
      </c>
    </row>
    <row r="796">
      <c r="D796">
        <f>IF(C796="","",MIN(C796,Settings!$B$6))</f>
        <v/>
      </c>
      <c r="E796">
        <f>IF(C796="","",MAX(0,C796-D796))</f>
        <v/>
      </c>
    </row>
    <row r="797">
      <c r="D797">
        <f>IF(C797="","",MIN(C797,Settings!$B$6))</f>
        <v/>
      </c>
      <c r="E797">
        <f>IF(C797="","",MAX(0,C797-D797))</f>
        <v/>
      </c>
    </row>
    <row r="798">
      <c r="D798">
        <f>IF(C798="","",MIN(C798,Settings!$B$6))</f>
        <v/>
      </c>
      <c r="E798">
        <f>IF(C798="","",MAX(0,C798-D798))</f>
        <v/>
      </c>
    </row>
    <row r="799">
      <c r="D799">
        <f>IF(C799="","",MIN(C799,Settings!$B$6))</f>
        <v/>
      </c>
      <c r="E799">
        <f>IF(C799="","",MAX(0,C799-D799))</f>
        <v/>
      </c>
    </row>
    <row r="800">
      <c r="D800">
        <f>IF(C800="","",MIN(C800,Settings!$B$6))</f>
        <v/>
      </c>
      <c r="E800">
        <f>IF(C800="","",MAX(0,C800-D800))</f>
        <v/>
      </c>
    </row>
    <row r="801">
      <c r="D801">
        <f>IF(C801="","",MIN(C801,Settings!$B$6))</f>
        <v/>
      </c>
      <c r="E801">
        <f>IF(C801="","",MAX(0,C801-D801))</f>
        <v/>
      </c>
    </row>
    <row r="802">
      <c r="D802">
        <f>IF(C802="","",MIN(C802,Settings!$B$6))</f>
        <v/>
      </c>
      <c r="E802">
        <f>IF(C802="","",MAX(0,C802-D802))</f>
        <v/>
      </c>
    </row>
    <row r="803">
      <c r="D803">
        <f>IF(C803="","",MIN(C803,Settings!$B$6))</f>
        <v/>
      </c>
      <c r="E803">
        <f>IF(C803="","",MAX(0,C803-D803))</f>
        <v/>
      </c>
    </row>
    <row r="804">
      <c r="D804">
        <f>IF(C804="","",MIN(C804,Settings!$B$6))</f>
        <v/>
      </c>
      <c r="E804">
        <f>IF(C804="","",MAX(0,C804-D804))</f>
        <v/>
      </c>
    </row>
    <row r="805">
      <c r="D805">
        <f>IF(C805="","",MIN(C805,Settings!$B$6))</f>
        <v/>
      </c>
      <c r="E805">
        <f>IF(C805="","",MAX(0,C805-D805))</f>
        <v/>
      </c>
    </row>
    <row r="806">
      <c r="D806">
        <f>IF(C806="","",MIN(C806,Settings!$B$6))</f>
        <v/>
      </c>
      <c r="E806">
        <f>IF(C806="","",MAX(0,C806-D806))</f>
        <v/>
      </c>
    </row>
    <row r="807">
      <c r="D807">
        <f>IF(C807="","",MIN(C807,Settings!$B$6))</f>
        <v/>
      </c>
      <c r="E807">
        <f>IF(C807="","",MAX(0,C807-D807))</f>
        <v/>
      </c>
    </row>
    <row r="808">
      <c r="D808">
        <f>IF(C808="","",MIN(C808,Settings!$B$6))</f>
        <v/>
      </c>
      <c r="E808">
        <f>IF(C808="","",MAX(0,C808-D808))</f>
        <v/>
      </c>
    </row>
    <row r="809">
      <c r="D809">
        <f>IF(C809="","",MIN(C809,Settings!$B$6))</f>
        <v/>
      </c>
      <c r="E809">
        <f>IF(C809="","",MAX(0,C809-D809))</f>
        <v/>
      </c>
    </row>
    <row r="810">
      <c r="D810">
        <f>IF(C810="","",MIN(C810,Settings!$B$6))</f>
        <v/>
      </c>
      <c r="E810">
        <f>IF(C810="","",MAX(0,C810-D810))</f>
        <v/>
      </c>
    </row>
    <row r="811">
      <c r="D811">
        <f>IF(C811="","",MIN(C811,Settings!$B$6))</f>
        <v/>
      </c>
      <c r="E811">
        <f>IF(C811="","",MAX(0,C811-D811))</f>
        <v/>
      </c>
    </row>
    <row r="812">
      <c r="D812">
        <f>IF(C812="","",MIN(C812,Settings!$B$6))</f>
        <v/>
      </c>
      <c r="E812">
        <f>IF(C812="","",MAX(0,C812-D812))</f>
        <v/>
      </c>
    </row>
    <row r="813">
      <c r="D813">
        <f>IF(C813="","",MIN(C813,Settings!$B$6))</f>
        <v/>
      </c>
      <c r="E813">
        <f>IF(C813="","",MAX(0,C813-D813))</f>
        <v/>
      </c>
    </row>
    <row r="814">
      <c r="D814">
        <f>IF(C814="","",MIN(C814,Settings!$B$6))</f>
        <v/>
      </c>
      <c r="E814">
        <f>IF(C814="","",MAX(0,C814-D814))</f>
        <v/>
      </c>
    </row>
    <row r="815">
      <c r="D815">
        <f>IF(C815="","",MIN(C815,Settings!$B$6))</f>
        <v/>
      </c>
      <c r="E815">
        <f>IF(C815="","",MAX(0,C815-D815))</f>
        <v/>
      </c>
    </row>
    <row r="816">
      <c r="D816">
        <f>IF(C816="","",MIN(C816,Settings!$B$6))</f>
        <v/>
      </c>
      <c r="E816">
        <f>IF(C816="","",MAX(0,C816-D816))</f>
        <v/>
      </c>
    </row>
    <row r="817">
      <c r="D817">
        <f>IF(C817="","",MIN(C817,Settings!$B$6))</f>
        <v/>
      </c>
      <c r="E817">
        <f>IF(C817="","",MAX(0,C817-D817))</f>
        <v/>
      </c>
    </row>
    <row r="818">
      <c r="D818">
        <f>IF(C818="","",MIN(C818,Settings!$B$6))</f>
        <v/>
      </c>
      <c r="E818">
        <f>IF(C818="","",MAX(0,C818-D818))</f>
        <v/>
      </c>
    </row>
    <row r="819">
      <c r="D819">
        <f>IF(C819="","",MIN(C819,Settings!$B$6))</f>
        <v/>
      </c>
      <c r="E819">
        <f>IF(C819="","",MAX(0,C819-D819))</f>
        <v/>
      </c>
    </row>
    <row r="820">
      <c r="D820">
        <f>IF(C820="","",MIN(C820,Settings!$B$6))</f>
        <v/>
      </c>
      <c r="E820">
        <f>IF(C820="","",MAX(0,C820-D820))</f>
        <v/>
      </c>
    </row>
    <row r="821">
      <c r="D821">
        <f>IF(C821="","",MIN(C821,Settings!$B$6))</f>
        <v/>
      </c>
      <c r="E821">
        <f>IF(C821="","",MAX(0,C821-D821))</f>
        <v/>
      </c>
    </row>
    <row r="822">
      <c r="D822">
        <f>IF(C822="","",MIN(C822,Settings!$B$6))</f>
        <v/>
      </c>
      <c r="E822">
        <f>IF(C822="","",MAX(0,C822-D822))</f>
        <v/>
      </c>
    </row>
    <row r="823">
      <c r="D823">
        <f>IF(C823="","",MIN(C823,Settings!$B$6))</f>
        <v/>
      </c>
      <c r="E823">
        <f>IF(C823="","",MAX(0,C823-D823))</f>
        <v/>
      </c>
    </row>
    <row r="824">
      <c r="D824">
        <f>IF(C824="","",MIN(C824,Settings!$B$6))</f>
        <v/>
      </c>
      <c r="E824">
        <f>IF(C824="","",MAX(0,C824-D824))</f>
        <v/>
      </c>
    </row>
    <row r="825">
      <c r="D825">
        <f>IF(C825="","",MIN(C825,Settings!$B$6))</f>
        <v/>
      </c>
      <c r="E825">
        <f>IF(C825="","",MAX(0,C825-D825))</f>
        <v/>
      </c>
    </row>
    <row r="826">
      <c r="D826">
        <f>IF(C826="","",MIN(C826,Settings!$B$6))</f>
        <v/>
      </c>
      <c r="E826">
        <f>IF(C826="","",MAX(0,C826-D826))</f>
        <v/>
      </c>
    </row>
    <row r="827">
      <c r="D827">
        <f>IF(C827="","",MIN(C827,Settings!$B$6))</f>
        <v/>
      </c>
      <c r="E827">
        <f>IF(C827="","",MAX(0,C827-D827))</f>
        <v/>
      </c>
    </row>
    <row r="828">
      <c r="D828">
        <f>IF(C828="","",MIN(C828,Settings!$B$6))</f>
        <v/>
      </c>
      <c r="E828">
        <f>IF(C828="","",MAX(0,C828-D828))</f>
        <v/>
      </c>
    </row>
    <row r="829">
      <c r="D829">
        <f>IF(C829="","",MIN(C829,Settings!$B$6))</f>
        <v/>
      </c>
      <c r="E829">
        <f>IF(C829="","",MAX(0,C829-D829))</f>
        <v/>
      </c>
    </row>
    <row r="830">
      <c r="D830">
        <f>IF(C830="","",MIN(C830,Settings!$B$6))</f>
        <v/>
      </c>
      <c r="E830">
        <f>IF(C830="","",MAX(0,C830-D830))</f>
        <v/>
      </c>
    </row>
    <row r="831">
      <c r="D831">
        <f>IF(C831="","",MIN(C831,Settings!$B$6))</f>
        <v/>
      </c>
      <c r="E831">
        <f>IF(C831="","",MAX(0,C831-D831))</f>
        <v/>
      </c>
    </row>
    <row r="832">
      <c r="D832">
        <f>IF(C832="","",MIN(C832,Settings!$B$6))</f>
        <v/>
      </c>
      <c r="E832">
        <f>IF(C832="","",MAX(0,C832-D832))</f>
        <v/>
      </c>
    </row>
    <row r="833">
      <c r="D833">
        <f>IF(C833="","",MIN(C833,Settings!$B$6))</f>
        <v/>
      </c>
      <c r="E833">
        <f>IF(C833="","",MAX(0,C833-D833))</f>
        <v/>
      </c>
    </row>
    <row r="834">
      <c r="D834">
        <f>IF(C834="","",MIN(C834,Settings!$B$6))</f>
        <v/>
      </c>
      <c r="E834">
        <f>IF(C834="","",MAX(0,C834-D834))</f>
        <v/>
      </c>
    </row>
    <row r="835">
      <c r="D835">
        <f>IF(C835="","",MIN(C835,Settings!$B$6))</f>
        <v/>
      </c>
      <c r="E835">
        <f>IF(C835="","",MAX(0,C835-D835))</f>
        <v/>
      </c>
    </row>
    <row r="836">
      <c r="D836">
        <f>IF(C836="","",MIN(C836,Settings!$B$6))</f>
        <v/>
      </c>
      <c r="E836">
        <f>IF(C836="","",MAX(0,C836-D836))</f>
        <v/>
      </c>
    </row>
    <row r="837">
      <c r="D837">
        <f>IF(C837="","",MIN(C837,Settings!$B$6))</f>
        <v/>
      </c>
      <c r="E837">
        <f>IF(C837="","",MAX(0,C837-D837))</f>
        <v/>
      </c>
    </row>
    <row r="838">
      <c r="D838">
        <f>IF(C838="","",MIN(C838,Settings!$B$6))</f>
        <v/>
      </c>
      <c r="E838">
        <f>IF(C838="","",MAX(0,C838-D838))</f>
        <v/>
      </c>
    </row>
    <row r="839">
      <c r="D839">
        <f>IF(C839="","",MIN(C839,Settings!$B$6))</f>
        <v/>
      </c>
      <c r="E839">
        <f>IF(C839="","",MAX(0,C839-D839))</f>
        <v/>
      </c>
    </row>
    <row r="840">
      <c r="D840">
        <f>IF(C840="","",MIN(C840,Settings!$B$6))</f>
        <v/>
      </c>
      <c r="E840">
        <f>IF(C840="","",MAX(0,C840-D840))</f>
        <v/>
      </c>
    </row>
    <row r="841">
      <c r="D841">
        <f>IF(C841="","",MIN(C841,Settings!$B$6))</f>
        <v/>
      </c>
      <c r="E841">
        <f>IF(C841="","",MAX(0,C841-D841))</f>
        <v/>
      </c>
    </row>
    <row r="842">
      <c r="D842">
        <f>IF(C842="","",MIN(C842,Settings!$B$6))</f>
        <v/>
      </c>
      <c r="E842">
        <f>IF(C842="","",MAX(0,C842-D842))</f>
        <v/>
      </c>
    </row>
    <row r="843">
      <c r="D843">
        <f>IF(C843="","",MIN(C843,Settings!$B$6))</f>
        <v/>
      </c>
      <c r="E843">
        <f>IF(C843="","",MAX(0,C843-D843))</f>
        <v/>
      </c>
    </row>
    <row r="844">
      <c r="D844">
        <f>IF(C844="","",MIN(C844,Settings!$B$6))</f>
        <v/>
      </c>
      <c r="E844">
        <f>IF(C844="","",MAX(0,C844-D844))</f>
        <v/>
      </c>
    </row>
    <row r="845">
      <c r="D845">
        <f>IF(C845="","",MIN(C845,Settings!$B$6))</f>
        <v/>
      </c>
      <c r="E845">
        <f>IF(C845="","",MAX(0,C845-D845))</f>
        <v/>
      </c>
    </row>
    <row r="846">
      <c r="D846">
        <f>IF(C846="","",MIN(C846,Settings!$B$6))</f>
        <v/>
      </c>
      <c r="E846">
        <f>IF(C846="","",MAX(0,C846-D846))</f>
        <v/>
      </c>
    </row>
    <row r="847">
      <c r="D847">
        <f>IF(C847="","",MIN(C847,Settings!$B$6))</f>
        <v/>
      </c>
      <c r="E847">
        <f>IF(C847="","",MAX(0,C847-D847))</f>
        <v/>
      </c>
    </row>
    <row r="848">
      <c r="D848">
        <f>IF(C848="","",MIN(C848,Settings!$B$6))</f>
        <v/>
      </c>
      <c r="E848">
        <f>IF(C848="","",MAX(0,C848-D848))</f>
        <v/>
      </c>
    </row>
    <row r="849">
      <c r="D849">
        <f>IF(C849="","",MIN(C849,Settings!$B$6))</f>
        <v/>
      </c>
      <c r="E849">
        <f>IF(C849="","",MAX(0,C849-D849))</f>
        <v/>
      </c>
    </row>
    <row r="850">
      <c r="D850">
        <f>IF(C850="","",MIN(C850,Settings!$B$6))</f>
        <v/>
      </c>
      <c r="E850">
        <f>IF(C850="","",MAX(0,C850-D850))</f>
        <v/>
      </c>
    </row>
    <row r="851">
      <c r="D851">
        <f>IF(C851="","",MIN(C851,Settings!$B$6))</f>
        <v/>
      </c>
      <c r="E851">
        <f>IF(C851="","",MAX(0,C851-D851))</f>
        <v/>
      </c>
    </row>
    <row r="852">
      <c r="D852">
        <f>IF(C852="","",MIN(C852,Settings!$B$6))</f>
        <v/>
      </c>
      <c r="E852">
        <f>IF(C852="","",MAX(0,C852-D852))</f>
        <v/>
      </c>
    </row>
    <row r="853">
      <c r="D853">
        <f>IF(C853="","",MIN(C853,Settings!$B$6))</f>
        <v/>
      </c>
      <c r="E853">
        <f>IF(C853="","",MAX(0,C853-D853))</f>
        <v/>
      </c>
    </row>
    <row r="854">
      <c r="D854">
        <f>IF(C854="","",MIN(C854,Settings!$B$6))</f>
        <v/>
      </c>
      <c r="E854">
        <f>IF(C854="","",MAX(0,C854-D854))</f>
        <v/>
      </c>
    </row>
    <row r="855">
      <c r="D855">
        <f>IF(C855="","",MIN(C855,Settings!$B$6))</f>
        <v/>
      </c>
      <c r="E855">
        <f>IF(C855="","",MAX(0,C855-D855))</f>
        <v/>
      </c>
    </row>
    <row r="856">
      <c r="D856">
        <f>IF(C856="","",MIN(C856,Settings!$B$6))</f>
        <v/>
      </c>
      <c r="E856">
        <f>IF(C856="","",MAX(0,C856-D856))</f>
        <v/>
      </c>
    </row>
    <row r="857">
      <c r="D857">
        <f>IF(C857="","",MIN(C857,Settings!$B$6))</f>
        <v/>
      </c>
      <c r="E857">
        <f>IF(C857="","",MAX(0,C857-D857))</f>
        <v/>
      </c>
    </row>
    <row r="858">
      <c r="D858">
        <f>IF(C858="","",MIN(C858,Settings!$B$6))</f>
        <v/>
      </c>
      <c r="E858">
        <f>IF(C858="","",MAX(0,C858-D858))</f>
        <v/>
      </c>
    </row>
    <row r="859">
      <c r="D859">
        <f>IF(C859="","",MIN(C859,Settings!$B$6))</f>
        <v/>
      </c>
      <c r="E859">
        <f>IF(C859="","",MAX(0,C859-D859))</f>
        <v/>
      </c>
    </row>
    <row r="860">
      <c r="D860">
        <f>IF(C860="","",MIN(C860,Settings!$B$6))</f>
        <v/>
      </c>
      <c r="E860">
        <f>IF(C860="","",MAX(0,C860-D860))</f>
        <v/>
      </c>
    </row>
    <row r="861">
      <c r="D861">
        <f>IF(C861="","",MIN(C861,Settings!$B$6))</f>
        <v/>
      </c>
      <c r="E861">
        <f>IF(C861="","",MAX(0,C861-D861))</f>
        <v/>
      </c>
    </row>
    <row r="862">
      <c r="D862">
        <f>IF(C862="","",MIN(C862,Settings!$B$6))</f>
        <v/>
      </c>
      <c r="E862">
        <f>IF(C862="","",MAX(0,C862-D862))</f>
        <v/>
      </c>
    </row>
    <row r="863">
      <c r="D863">
        <f>IF(C863="","",MIN(C863,Settings!$B$6))</f>
        <v/>
      </c>
      <c r="E863">
        <f>IF(C863="","",MAX(0,C863-D863))</f>
        <v/>
      </c>
    </row>
    <row r="864">
      <c r="D864">
        <f>IF(C864="","",MIN(C864,Settings!$B$6))</f>
        <v/>
      </c>
      <c r="E864">
        <f>IF(C864="","",MAX(0,C864-D864))</f>
        <v/>
      </c>
    </row>
    <row r="865">
      <c r="D865">
        <f>IF(C865="","",MIN(C865,Settings!$B$6))</f>
        <v/>
      </c>
      <c r="E865">
        <f>IF(C865="","",MAX(0,C865-D865))</f>
        <v/>
      </c>
    </row>
    <row r="866">
      <c r="D866">
        <f>IF(C866="","",MIN(C866,Settings!$B$6))</f>
        <v/>
      </c>
      <c r="E866">
        <f>IF(C866="","",MAX(0,C866-D866))</f>
        <v/>
      </c>
    </row>
    <row r="867">
      <c r="D867">
        <f>IF(C867="","",MIN(C867,Settings!$B$6))</f>
        <v/>
      </c>
      <c r="E867">
        <f>IF(C867="","",MAX(0,C867-D867))</f>
        <v/>
      </c>
    </row>
    <row r="868">
      <c r="D868">
        <f>IF(C868="","",MIN(C868,Settings!$B$6))</f>
        <v/>
      </c>
      <c r="E868">
        <f>IF(C868="","",MAX(0,C868-D868))</f>
        <v/>
      </c>
    </row>
    <row r="869">
      <c r="D869">
        <f>IF(C869="","",MIN(C869,Settings!$B$6))</f>
        <v/>
      </c>
      <c r="E869">
        <f>IF(C869="","",MAX(0,C869-D869))</f>
        <v/>
      </c>
    </row>
    <row r="870">
      <c r="D870">
        <f>IF(C870="","",MIN(C870,Settings!$B$6))</f>
        <v/>
      </c>
      <c r="E870">
        <f>IF(C870="","",MAX(0,C870-D870))</f>
        <v/>
      </c>
    </row>
    <row r="871">
      <c r="D871">
        <f>IF(C871="","",MIN(C871,Settings!$B$6))</f>
        <v/>
      </c>
      <c r="E871">
        <f>IF(C871="","",MAX(0,C871-D871))</f>
        <v/>
      </c>
    </row>
    <row r="872">
      <c r="D872">
        <f>IF(C872="","",MIN(C872,Settings!$B$6))</f>
        <v/>
      </c>
      <c r="E872">
        <f>IF(C872="","",MAX(0,C872-D872))</f>
        <v/>
      </c>
    </row>
    <row r="873">
      <c r="D873">
        <f>IF(C873="","",MIN(C873,Settings!$B$6))</f>
        <v/>
      </c>
      <c r="E873">
        <f>IF(C873="","",MAX(0,C873-D873))</f>
        <v/>
      </c>
    </row>
    <row r="874">
      <c r="D874">
        <f>IF(C874="","",MIN(C874,Settings!$B$6))</f>
        <v/>
      </c>
      <c r="E874">
        <f>IF(C874="","",MAX(0,C874-D874))</f>
        <v/>
      </c>
    </row>
    <row r="875">
      <c r="D875">
        <f>IF(C875="","",MIN(C875,Settings!$B$6))</f>
        <v/>
      </c>
      <c r="E875">
        <f>IF(C875="","",MAX(0,C875-D875))</f>
        <v/>
      </c>
    </row>
    <row r="876">
      <c r="D876">
        <f>IF(C876="","",MIN(C876,Settings!$B$6))</f>
        <v/>
      </c>
      <c r="E876">
        <f>IF(C876="","",MAX(0,C876-D876))</f>
        <v/>
      </c>
    </row>
    <row r="877">
      <c r="D877">
        <f>IF(C877="","",MIN(C877,Settings!$B$6))</f>
        <v/>
      </c>
      <c r="E877">
        <f>IF(C877="","",MAX(0,C877-D877))</f>
        <v/>
      </c>
    </row>
    <row r="878">
      <c r="D878">
        <f>IF(C878="","",MIN(C878,Settings!$B$6))</f>
        <v/>
      </c>
      <c r="E878">
        <f>IF(C878="","",MAX(0,C878-D878))</f>
        <v/>
      </c>
    </row>
    <row r="879">
      <c r="D879">
        <f>IF(C879="","",MIN(C879,Settings!$B$6))</f>
        <v/>
      </c>
      <c r="E879">
        <f>IF(C879="","",MAX(0,C879-D879))</f>
        <v/>
      </c>
    </row>
    <row r="880">
      <c r="D880">
        <f>IF(C880="","",MIN(C880,Settings!$B$6))</f>
        <v/>
      </c>
      <c r="E880">
        <f>IF(C880="","",MAX(0,C880-D880))</f>
        <v/>
      </c>
    </row>
    <row r="881">
      <c r="D881">
        <f>IF(C881="","",MIN(C881,Settings!$B$6))</f>
        <v/>
      </c>
      <c r="E881">
        <f>IF(C881="","",MAX(0,C881-D881))</f>
        <v/>
      </c>
    </row>
    <row r="882">
      <c r="D882">
        <f>IF(C882="","",MIN(C882,Settings!$B$6))</f>
        <v/>
      </c>
      <c r="E882">
        <f>IF(C882="","",MAX(0,C882-D882))</f>
        <v/>
      </c>
    </row>
    <row r="883">
      <c r="D883">
        <f>IF(C883="","",MIN(C883,Settings!$B$6))</f>
        <v/>
      </c>
      <c r="E883">
        <f>IF(C883="","",MAX(0,C883-D883))</f>
        <v/>
      </c>
    </row>
    <row r="884">
      <c r="D884">
        <f>IF(C884="","",MIN(C884,Settings!$B$6))</f>
        <v/>
      </c>
      <c r="E884">
        <f>IF(C884="","",MAX(0,C884-D884))</f>
        <v/>
      </c>
    </row>
    <row r="885">
      <c r="D885">
        <f>IF(C885="","",MIN(C885,Settings!$B$6))</f>
        <v/>
      </c>
      <c r="E885">
        <f>IF(C885="","",MAX(0,C885-D885))</f>
        <v/>
      </c>
    </row>
    <row r="886">
      <c r="D886">
        <f>IF(C886="","",MIN(C886,Settings!$B$6))</f>
        <v/>
      </c>
      <c r="E886">
        <f>IF(C886="","",MAX(0,C886-D886))</f>
        <v/>
      </c>
    </row>
    <row r="887">
      <c r="D887">
        <f>IF(C887="","",MIN(C887,Settings!$B$6))</f>
        <v/>
      </c>
      <c r="E887">
        <f>IF(C887="","",MAX(0,C887-D887))</f>
        <v/>
      </c>
    </row>
    <row r="888">
      <c r="D888">
        <f>IF(C888="","",MIN(C888,Settings!$B$6))</f>
        <v/>
      </c>
      <c r="E888">
        <f>IF(C888="","",MAX(0,C888-D888))</f>
        <v/>
      </c>
    </row>
    <row r="889">
      <c r="D889">
        <f>IF(C889="","",MIN(C889,Settings!$B$6))</f>
        <v/>
      </c>
      <c r="E889">
        <f>IF(C889="","",MAX(0,C889-D889))</f>
        <v/>
      </c>
    </row>
    <row r="890">
      <c r="D890">
        <f>IF(C890="","",MIN(C890,Settings!$B$6))</f>
        <v/>
      </c>
      <c r="E890">
        <f>IF(C890="","",MAX(0,C890-D890))</f>
        <v/>
      </c>
    </row>
    <row r="891">
      <c r="D891">
        <f>IF(C891="","",MIN(C891,Settings!$B$6))</f>
        <v/>
      </c>
      <c r="E891">
        <f>IF(C891="","",MAX(0,C891-D891))</f>
        <v/>
      </c>
    </row>
    <row r="892">
      <c r="D892">
        <f>IF(C892="","",MIN(C892,Settings!$B$6))</f>
        <v/>
      </c>
      <c r="E892">
        <f>IF(C892="","",MAX(0,C892-D892))</f>
        <v/>
      </c>
    </row>
    <row r="893">
      <c r="D893">
        <f>IF(C893="","",MIN(C893,Settings!$B$6))</f>
        <v/>
      </c>
      <c r="E893">
        <f>IF(C893="","",MAX(0,C893-D893))</f>
        <v/>
      </c>
    </row>
    <row r="894">
      <c r="D894">
        <f>IF(C894="","",MIN(C894,Settings!$B$6))</f>
        <v/>
      </c>
      <c r="E894">
        <f>IF(C894="","",MAX(0,C894-D894))</f>
        <v/>
      </c>
    </row>
    <row r="895">
      <c r="D895">
        <f>IF(C895="","",MIN(C895,Settings!$B$6))</f>
        <v/>
      </c>
      <c r="E895">
        <f>IF(C895="","",MAX(0,C895-D895))</f>
        <v/>
      </c>
    </row>
    <row r="896">
      <c r="D896">
        <f>IF(C896="","",MIN(C896,Settings!$B$6))</f>
        <v/>
      </c>
      <c r="E896">
        <f>IF(C896="","",MAX(0,C896-D896))</f>
        <v/>
      </c>
    </row>
    <row r="897">
      <c r="D897">
        <f>IF(C897="","",MIN(C897,Settings!$B$6))</f>
        <v/>
      </c>
      <c r="E897">
        <f>IF(C897="","",MAX(0,C897-D897))</f>
        <v/>
      </c>
    </row>
    <row r="898">
      <c r="D898">
        <f>IF(C898="","",MIN(C898,Settings!$B$6))</f>
        <v/>
      </c>
      <c r="E898">
        <f>IF(C898="","",MAX(0,C898-D898))</f>
        <v/>
      </c>
    </row>
    <row r="899">
      <c r="D899">
        <f>IF(C899="","",MIN(C899,Settings!$B$6))</f>
        <v/>
      </c>
      <c r="E899">
        <f>IF(C899="","",MAX(0,C899-D899))</f>
        <v/>
      </c>
    </row>
    <row r="900">
      <c r="D900">
        <f>IF(C900="","",MIN(C900,Settings!$B$6))</f>
        <v/>
      </c>
      <c r="E900">
        <f>IF(C900="","",MAX(0,C900-D900))</f>
        <v/>
      </c>
    </row>
    <row r="901">
      <c r="D901">
        <f>IF(C901="","",MIN(C901,Settings!$B$6))</f>
        <v/>
      </c>
      <c r="E901">
        <f>IF(C901="","",MAX(0,C901-D901))</f>
        <v/>
      </c>
    </row>
    <row r="902">
      <c r="D902">
        <f>IF(C902="","",MIN(C902,Settings!$B$6))</f>
        <v/>
      </c>
      <c r="E902">
        <f>IF(C902="","",MAX(0,C902-D902))</f>
        <v/>
      </c>
    </row>
    <row r="903">
      <c r="D903">
        <f>IF(C903="","",MIN(C903,Settings!$B$6))</f>
        <v/>
      </c>
      <c r="E903">
        <f>IF(C903="","",MAX(0,C903-D903))</f>
        <v/>
      </c>
    </row>
    <row r="904">
      <c r="D904">
        <f>IF(C904="","",MIN(C904,Settings!$B$6))</f>
        <v/>
      </c>
      <c r="E904">
        <f>IF(C904="","",MAX(0,C904-D904))</f>
        <v/>
      </c>
    </row>
    <row r="905">
      <c r="D905">
        <f>IF(C905="","",MIN(C905,Settings!$B$6))</f>
        <v/>
      </c>
      <c r="E905">
        <f>IF(C905="","",MAX(0,C905-D905))</f>
        <v/>
      </c>
    </row>
    <row r="906">
      <c r="D906">
        <f>IF(C906="","",MIN(C906,Settings!$B$6))</f>
        <v/>
      </c>
      <c r="E906">
        <f>IF(C906="","",MAX(0,C906-D906))</f>
        <v/>
      </c>
    </row>
    <row r="907">
      <c r="D907">
        <f>IF(C907="","",MIN(C907,Settings!$B$6))</f>
        <v/>
      </c>
      <c r="E907">
        <f>IF(C907="","",MAX(0,C907-D907))</f>
        <v/>
      </c>
    </row>
    <row r="908">
      <c r="D908">
        <f>IF(C908="","",MIN(C908,Settings!$B$6))</f>
        <v/>
      </c>
      <c r="E908">
        <f>IF(C908="","",MAX(0,C908-D908))</f>
        <v/>
      </c>
    </row>
    <row r="909">
      <c r="D909">
        <f>IF(C909="","",MIN(C909,Settings!$B$6))</f>
        <v/>
      </c>
      <c r="E909">
        <f>IF(C909="","",MAX(0,C909-D909))</f>
        <v/>
      </c>
    </row>
    <row r="910">
      <c r="D910">
        <f>IF(C910="","",MIN(C910,Settings!$B$6))</f>
        <v/>
      </c>
      <c r="E910">
        <f>IF(C910="","",MAX(0,C910-D910))</f>
        <v/>
      </c>
    </row>
    <row r="911">
      <c r="D911">
        <f>IF(C911="","",MIN(C911,Settings!$B$6))</f>
        <v/>
      </c>
      <c r="E911">
        <f>IF(C911="","",MAX(0,C911-D911))</f>
        <v/>
      </c>
    </row>
    <row r="912">
      <c r="D912">
        <f>IF(C912="","",MIN(C912,Settings!$B$6))</f>
        <v/>
      </c>
      <c r="E912">
        <f>IF(C912="","",MAX(0,C912-D912))</f>
        <v/>
      </c>
    </row>
    <row r="913">
      <c r="D913">
        <f>IF(C913="","",MIN(C913,Settings!$B$6))</f>
        <v/>
      </c>
      <c r="E913">
        <f>IF(C913="","",MAX(0,C913-D913))</f>
        <v/>
      </c>
    </row>
    <row r="914">
      <c r="D914">
        <f>IF(C914="","",MIN(C914,Settings!$B$6))</f>
        <v/>
      </c>
      <c r="E914">
        <f>IF(C914="","",MAX(0,C914-D914))</f>
        <v/>
      </c>
    </row>
    <row r="915">
      <c r="D915">
        <f>IF(C915="","",MIN(C915,Settings!$B$6))</f>
        <v/>
      </c>
      <c r="E915">
        <f>IF(C915="","",MAX(0,C915-D915))</f>
        <v/>
      </c>
    </row>
    <row r="916">
      <c r="D916">
        <f>IF(C916="","",MIN(C916,Settings!$B$6))</f>
        <v/>
      </c>
      <c r="E916">
        <f>IF(C916="","",MAX(0,C916-D916))</f>
        <v/>
      </c>
    </row>
    <row r="917">
      <c r="D917">
        <f>IF(C917="","",MIN(C917,Settings!$B$6))</f>
        <v/>
      </c>
      <c r="E917">
        <f>IF(C917="","",MAX(0,C917-D917))</f>
        <v/>
      </c>
    </row>
    <row r="918">
      <c r="D918">
        <f>IF(C918="","",MIN(C918,Settings!$B$6))</f>
        <v/>
      </c>
      <c r="E918">
        <f>IF(C918="","",MAX(0,C918-D918))</f>
        <v/>
      </c>
    </row>
    <row r="919">
      <c r="D919">
        <f>IF(C919="","",MIN(C919,Settings!$B$6))</f>
        <v/>
      </c>
      <c r="E919">
        <f>IF(C919="","",MAX(0,C919-D919))</f>
        <v/>
      </c>
    </row>
    <row r="920">
      <c r="D920">
        <f>IF(C920="","",MIN(C920,Settings!$B$6))</f>
        <v/>
      </c>
      <c r="E920">
        <f>IF(C920="","",MAX(0,C920-D920))</f>
        <v/>
      </c>
    </row>
    <row r="921">
      <c r="D921">
        <f>IF(C921="","",MIN(C921,Settings!$B$6))</f>
        <v/>
      </c>
      <c r="E921">
        <f>IF(C921="","",MAX(0,C921-D921))</f>
        <v/>
      </c>
    </row>
    <row r="922">
      <c r="D922">
        <f>IF(C922="","",MIN(C922,Settings!$B$6))</f>
        <v/>
      </c>
      <c r="E922">
        <f>IF(C922="","",MAX(0,C922-D922))</f>
        <v/>
      </c>
    </row>
    <row r="923">
      <c r="D923">
        <f>IF(C923="","",MIN(C923,Settings!$B$6))</f>
        <v/>
      </c>
      <c r="E923">
        <f>IF(C923="","",MAX(0,C923-D923))</f>
        <v/>
      </c>
    </row>
    <row r="924">
      <c r="D924">
        <f>IF(C924="","",MIN(C924,Settings!$B$6))</f>
        <v/>
      </c>
      <c r="E924">
        <f>IF(C924="","",MAX(0,C924-D924))</f>
        <v/>
      </c>
    </row>
    <row r="925">
      <c r="D925">
        <f>IF(C925="","",MIN(C925,Settings!$B$6))</f>
        <v/>
      </c>
      <c r="E925">
        <f>IF(C925="","",MAX(0,C925-D925))</f>
        <v/>
      </c>
    </row>
    <row r="926">
      <c r="D926">
        <f>IF(C926="","",MIN(C926,Settings!$B$6))</f>
        <v/>
      </c>
      <c r="E926">
        <f>IF(C926="","",MAX(0,C926-D926))</f>
        <v/>
      </c>
    </row>
    <row r="927">
      <c r="D927">
        <f>IF(C927="","",MIN(C927,Settings!$B$6))</f>
        <v/>
      </c>
      <c r="E927">
        <f>IF(C927="","",MAX(0,C927-D927))</f>
        <v/>
      </c>
    </row>
    <row r="928">
      <c r="D928">
        <f>IF(C928="","",MIN(C928,Settings!$B$6))</f>
        <v/>
      </c>
      <c r="E928">
        <f>IF(C928="","",MAX(0,C928-D928))</f>
        <v/>
      </c>
    </row>
    <row r="929">
      <c r="D929">
        <f>IF(C929="","",MIN(C929,Settings!$B$6))</f>
        <v/>
      </c>
      <c r="E929">
        <f>IF(C929="","",MAX(0,C929-D929))</f>
        <v/>
      </c>
    </row>
    <row r="930">
      <c r="D930">
        <f>IF(C930="","",MIN(C930,Settings!$B$6))</f>
        <v/>
      </c>
      <c r="E930">
        <f>IF(C930="","",MAX(0,C930-D930))</f>
        <v/>
      </c>
    </row>
    <row r="931">
      <c r="D931">
        <f>IF(C931="","",MIN(C931,Settings!$B$6))</f>
        <v/>
      </c>
      <c r="E931">
        <f>IF(C931="","",MAX(0,C931-D931))</f>
        <v/>
      </c>
    </row>
    <row r="932">
      <c r="D932">
        <f>IF(C932="","",MIN(C932,Settings!$B$6))</f>
        <v/>
      </c>
      <c r="E932">
        <f>IF(C932="","",MAX(0,C932-D932))</f>
        <v/>
      </c>
    </row>
    <row r="933">
      <c r="D933">
        <f>IF(C933="","",MIN(C933,Settings!$B$6))</f>
        <v/>
      </c>
      <c r="E933">
        <f>IF(C933="","",MAX(0,C933-D933))</f>
        <v/>
      </c>
    </row>
    <row r="934">
      <c r="D934">
        <f>IF(C934="","",MIN(C934,Settings!$B$6))</f>
        <v/>
      </c>
      <c r="E934">
        <f>IF(C934="","",MAX(0,C934-D934))</f>
        <v/>
      </c>
    </row>
    <row r="935">
      <c r="D935">
        <f>IF(C935="","",MIN(C935,Settings!$B$6))</f>
        <v/>
      </c>
      <c r="E935">
        <f>IF(C935="","",MAX(0,C935-D935))</f>
        <v/>
      </c>
    </row>
    <row r="936">
      <c r="D936">
        <f>IF(C936="","",MIN(C936,Settings!$B$6))</f>
        <v/>
      </c>
      <c r="E936">
        <f>IF(C936="","",MAX(0,C936-D936))</f>
        <v/>
      </c>
    </row>
    <row r="937">
      <c r="D937">
        <f>IF(C937="","",MIN(C937,Settings!$B$6))</f>
        <v/>
      </c>
      <c r="E937">
        <f>IF(C937="","",MAX(0,C937-D937))</f>
        <v/>
      </c>
    </row>
    <row r="938">
      <c r="D938">
        <f>IF(C938="","",MIN(C938,Settings!$B$6))</f>
        <v/>
      </c>
      <c r="E938">
        <f>IF(C938="","",MAX(0,C938-D938))</f>
        <v/>
      </c>
    </row>
    <row r="939">
      <c r="D939">
        <f>IF(C939="","",MIN(C939,Settings!$B$6))</f>
        <v/>
      </c>
      <c r="E939">
        <f>IF(C939="","",MAX(0,C939-D939))</f>
        <v/>
      </c>
    </row>
    <row r="940">
      <c r="D940">
        <f>IF(C940="","",MIN(C940,Settings!$B$6))</f>
        <v/>
      </c>
      <c r="E940">
        <f>IF(C940="","",MAX(0,C940-D940))</f>
        <v/>
      </c>
    </row>
    <row r="941">
      <c r="D941">
        <f>IF(C941="","",MIN(C941,Settings!$B$6))</f>
        <v/>
      </c>
      <c r="E941">
        <f>IF(C941="","",MAX(0,C941-D941))</f>
        <v/>
      </c>
    </row>
    <row r="942">
      <c r="D942">
        <f>IF(C942="","",MIN(C942,Settings!$B$6))</f>
        <v/>
      </c>
      <c r="E942">
        <f>IF(C942="","",MAX(0,C942-D942))</f>
        <v/>
      </c>
    </row>
    <row r="943">
      <c r="D943">
        <f>IF(C943="","",MIN(C943,Settings!$B$6))</f>
        <v/>
      </c>
      <c r="E943">
        <f>IF(C943="","",MAX(0,C943-D943))</f>
        <v/>
      </c>
    </row>
    <row r="944">
      <c r="D944">
        <f>IF(C944="","",MIN(C944,Settings!$B$6))</f>
        <v/>
      </c>
      <c r="E944">
        <f>IF(C944="","",MAX(0,C944-D944))</f>
        <v/>
      </c>
    </row>
    <row r="945">
      <c r="D945">
        <f>IF(C945="","",MIN(C945,Settings!$B$6))</f>
        <v/>
      </c>
      <c r="E945">
        <f>IF(C945="","",MAX(0,C945-D945))</f>
        <v/>
      </c>
    </row>
    <row r="946">
      <c r="D946">
        <f>IF(C946="","",MIN(C946,Settings!$B$6))</f>
        <v/>
      </c>
      <c r="E946">
        <f>IF(C946="","",MAX(0,C946-D946))</f>
        <v/>
      </c>
    </row>
    <row r="947">
      <c r="D947">
        <f>IF(C947="","",MIN(C947,Settings!$B$6))</f>
        <v/>
      </c>
      <c r="E947">
        <f>IF(C947="","",MAX(0,C947-D947))</f>
        <v/>
      </c>
    </row>
    <row r="948">
      <c r="D948">
        <f>IF(C948="","",MIN(C948,Settings!$B$6))</f>
        <v/>
      </c>
      <c r="E948">
        <f>IF(C948="","",MAX(0,C948-D948))</f>
        <v/>
      </c>
    </row>
    <row r="949">
      <c r="D949">
        <f>IF(C949="","",MIN(C949,Settings!$B$6))</f>
        <v/>
      </c>
      <c r="E949">
        <f>IF(C949="","",MAX(0,C949-D949))</f>
        <v/>
      </c>
    </row>
    <row r="950">
      <c r="D950">
        <f>IF(C950="","",MIN(C950,Settings!$B$6))</f>
        <v/>
      </c>
      <c r="E950">
        <f>IF(C950="","",MAX(0,C950-D950))</f>
        <v/>
      </c>
    </row>
    <row r="951">
      <c r="D951">
        <f>IF(C951="","",MIN(C951,Settings!$B$6))</f>
        <v/>
      </c>
      <c r="E951">
        <f>IF(C951="","",MAX(0,C951-D951))</f>
        <v/>
      </c>
    </row>
    <row r="952">
      <c r="D952">
        <f>IF(C952="","",MIN(C952,Settings!$B$6))</f>
        <v/>
      </c>
      <c r="E952">
        <f>IF(C952="","",MAX(0,C952-D952))</f>
        <v/>
      </c>
    </row>
    <row r="953">
      <c r="D953">
        <f>IF(C953="","",MIN(C953,Settings!$B$6))</f>
        <v/>
      </c>
      <c r="E953">
        <f>IF(C953="","",MAX(0,C953-D953))</f>
        <v/>
      </c>
    </row>
    <row r="954">
      <c r="D954">
        <f>IF(C954="","",MIN(C954,Settings!$B$6))</f>
        <v/>
      </c>
      <c r="E954">
        <f>IF(C954="","",MAX(0,C954-D954))</f>
        <v/>
      </c>
    </row>
    <row r="955">
      <c r="D955">
        <f>IF(C955="","",MIN(C955,Settings!$B$6))</f>
        <v/>
      </c>
      <c r="E955">
        <f>IF(C955="","",MAX(0,C955-D955))</f>
        <v/>
      </c>
    </row>
    <row r="956">
      <c r="D956">
        <f>IF(C956="","",MIN(C956,Settings!$B$6))</f>
        <v/>
      </c>
      <c r="E956">
        <f>IF(C956="","",MAX(0,C956-D956))</f>
        <v/>
      </c>
    </row>
    <row r="957">
      <c r="D957">
        <f>IF(C957="","",MIN(C957,Settings!$B$6))</f>
        <v/>
      </c>
      <c r="E957">
        <f>IF(C957="","",MAX(0,C957-D957))</f>
        <v/>
      </c>
    </row>
    <row r="958">
      <c r="D958">
        <f>IF(C958="","",MIN(C958,Settings!$B$6))</f>
        <v/>
      </c>
      <c r="E958">
        <f>IF(C958="","",MAX(0,C958-D958))</f>
        <v/>
      </c>
    </row>
    <row r="959">
      <c r="D959">
        <f>IF(C959="","",MIN(C959,Settings!$B$6))</f>
        <v/>
      </c>
      <c r="E959">
        <f>IF(C959="","",MAX(0,C959-D959))</f>
        <v/>
      </c>
    </row>
    <row r="960">
      <c r="D960">
        <f>IF(C960="","",MIN(C960,Settings!$B$6))</f>
        <v/>
      </c>
      <c r="E960">
        <f>IF(C960="","",MAX(0,C960-D960))</f>
        <v/>
      </c>
    </row>
    <row r="961">
      <c r="D961">
        <f>IF(C961="","",MIN(C961,Settings!$B$6))</f>
        <v/>
      </c>
      <c r="E961">
        <f>IF(C961="","",MAX(0,C961-D961))</f>
        <v/>
      </c>
    </row>
    <row r="962">
      <c r="D962">
        <f>IF(C962="","",MIN(C962,Settings!$B$6))</f>
        <v/>
      </c>
      <c r="E962">
        <f>IF(C962="","",MAX(0,C962-D962))</f>
        <v/>
      </c>
    </row>
    <row r="963">
      <c r="D963">
        <f>IF(C963="","",MIN(C963,Settings!$B$6))</f>
        <v/>
      </c>
      <c r="E963">
        <f>IF(C963="","",MAX(0,C963-D963))</f>
        <v/>
      </c>
    </row>
    <row r="964">
      <c r="D964">
        <f>IF(C964="","",MIN(C964,Settings!$B$6))</f>
        <v/>
      </c>
      <c r="E964">
        <f>IF(C964="","",MAX(0,C964-D964))</f>
        <v/>
      </c>
    </row>
    <row r="965">
      <c r="D965">
        <f>IF(C965="","",MIN(C965,Settings!$B$6))</f>
        <v/>
      </c>
      <c r="E965">
        <f>IF(C965="","",MAX(0,C965-D965))</f>
        <v/>
      </c>
    </row>
    <row r="966">
      <c r="D966">
        <f>IF(C966="","",MIN(C966,Settings!$B$6))</f>
        <v/>
      </c>
      <c r="E966">
        <f>IF(C966="","",MAX(0,C966-D966))</f>
        <v/>
      </c>
    </row>
    <row r="967">
      <c r="D967">
        <f>IF(C967="","",MIN(C967,Settings!$B$6))</f>
        <v/>
      </c>
      <c r="E967">
        <f>IF(C967="","",MAX(0,C967-D967))</f>
        <v/>
      </c>
    </row>
    <row r="968">
      <c r="D968">
        <f>IF(C968="","",MIN(C968,Settings!$B$6))</f>
        <v/>
      </c>
      <c r="E968">
        <f>IF(C968="","",MAX(0,C968-D968))</f>
        <v/>
      </c>
    </row>
    <row r="969">
      <c r="D969">
        <f>IF(C969="","",MIN(C969,Settings!$B$6))</f>
        <v/>
      </c>
      <c r="E969">
        <f>IF(C969="","",MAX(0,C969-D969))</f>
        <v/>
      </c>
    </row>
    <row r="970">
      <c r="D970">
        <f>IF(C970="","",MIN(C970,Settings!$B$6))</f>
        <v/>
      </c>
      <c r="E970">
        <f>IF(C970="","",MAX(0,C970-D970))</f>
        <v/>
      </c>
    </row>
    <row r="971">
      <c r="D971">
        <f>IF(C971="","",MIN(C971,Settings!$B$6))</f>
        <v/>
      </c>
      <c r="E971">
        <f>IF(C971="","",MAX(0,C971-D971))</f>
        <v/>
      </c>
    </row>
    <row r="972">
      <c r="D972">
        <f>IF(C972="","",MIN(C972,Settings!$B$6))</f>
        <v/>
      </c>
      <c r="E972">
        <f>IF(C972="","",MAX(0,C972-D972))</f>
        <v/>
      </c>
    </row>
    <row r="973">
      <c r="D973">
        <f>IF(C973="","",MIN(C973,Settings!$B$6))</f>
        <v/>
      </c>
      <c r="E973">
        <f>IF(C973="","",MAX(0,C973-D973))</f>
        <v/>
      </c>
    </row>
    <row r="974">
      <c r="D974">
        <f>IF(C974="","",MIN(C974,Settings!$B$6))</f>
        <v/>
      </c>
      <c r="E974">
        <f>IF(C974="","",MAX(0,C974-D974))</f>
        <v/>
      </c>
    </row>
    <row r="975">
      <c r="D975">
        <f>IF(C975="","",MIN(C975,Settings!$B$6))</f>
        <v/>
      </c>
      <c r="E975">
        <f>IF(C975="","",MAX(0,C975-D975))</f>
        <v/>
      </c>
    </row>
    <row r="976">
      <c r="D976">
        <f>IF(C976="","",MIN(C976,Settings!$B$6))</f>
        <v/>
      </c>
      <c r="E976">
        <f>IF(C976="","",MAX(0,C976-D976))</f>
        <v/>
      </c>
    </row>
    <row r="977">
      <c r="D977">
        <f>IF(C977="","",MIN(C977,Settings!$B$6))</f>
        <v/>
      </c>
      <c r="E977">
        <f>IF(C977="","",MAX(0,C977-D977))</f>
        <v/>
      </c>
    </row>
    <row r="978">
      <c r="D978">
        <f>IF(C978="","",MIN(C978,Settings!$B$6))</f>
        <v/>
      </c>
      <c r="E978">
        <f>IF(C978="","",MAX(0,C978-D978))</f>
        <v/>
      </c>
    </row>
    <row r="979">
      <c r="D979">
        <f>IF(C979="","",MIN(C979,Settings!$B$6))</f>
        <v/>
      </c>
      <c r="E979">
        <f>IF(C979="","",MAX(0,C979-D979))</f>
        <v/>
      </c>
    </row>
    <row r="980">
      <c r="D980">
        <f>IF(C980="","",MIN(C980,Settings!$B$6))</f>
        <v/>
      </c>
      <c r="E980">
        <f>IF(C980="","",MAX(0,C980-D980))</f>
        <v/>
      </c>
    </row>
    <row r="981">
      <c r="D981">
        <f>IF(C981="","",MIN(C981,Settings!$B$6))</f>
        <v/>
      </c>
      <c r="E981">
        <f>IF(C981="","",MAX(0,C981-D981))</f>
        <v/>
      </c>
    </row>
    <row r="982">
      <c r="D982">
        <f>IF(C982="","",MIN(C982,Settings!$B$6))</f>
        <v/>
      </c>
      <c r="E982">
        <f>IF(C982="","",MAX(0,C982-D982))</f>
        <v/>
      </c>
    </row>
    <row r="983">
      <c r="D983">
        <f>IF(C983="","",MIN(C983,Settings!$B$6))</f>
        <v/>
      </c>
      <c r="E983">
        <f>IF(C983="","",MAX(0,C983-D983))</f>
        <v/>
      </c>
    </row>
    <row r="984">
      <c r="D984">
        <f>IF(C984="","",MIN(C984,Settings!$B$6))</f>
        <v/>
      </c>
      <c r="E984">
        <f>IF(C984="","",MAX(0,C984-D984))</f>
        <v/>
      </c>
    </row>
    <row r="985">
      <c r="D985">
        <f>IF(C985="","",MIN(C985,Settings!$B$6))</f>
        <v/>
      </c>
      <c r="E985">
        <f>IF(C985="","",MAX(0,C985-D985))</f>
        <v/>
      </c>
    </row>
    <row r="986">
      <c r="D986">
        <f>IF(C986="","",MIN(C986,Settings!$B$6))</f>
        <v/>
      </c>
      <c r="E986">
        <f>IF(C986="","",MAX(0,C986-D986))</f>
        <v/>
      </c>
    </row>
    <row r="987">
      <c r="D987">
        <f>IF(C987="","",MIN(C987,Settings!$B$6))</f>
        <v/>
      </c>
      <c r="E987">
        <f>IF(C987="","",MAX(0,C987-D987))</f>
        <v/>
      </c>
    </row>
    <row r="988">
      <c r="D988">
        <f>IF(C988="","",MIN(C988,Settings!$B$6))</f>
        <v/>
      </c>
      <c r="E988">
        <f>IF(C988="","",MAX(0,C988-D988))</f>
        <v/>
      </c>
    </row>
    <row r="989">
      <c r="D989">
        <f>IF(C989="","",MIN(C989,Settings!$B$6))</f>
        <v/>
      </c>
      <c r="E989">
        <f>IF(C989="","",MAX(0,C989-D989))</f>
        <v/>
      </c>
    </row>
    <row r="990">
      <c r="D990">
        <f>IF(C990="","",MIN(C990,Settings!$B$6))</f>
        <v/>
      </c>
      <c r="E990">
        <f>IF(C990="","",MAX(0,C990-D990))</f>
        <v/>
      </c>
    </row>
    <row r="991">
      <c r="D991">
        <f>IF(C991="","",MIN(C991,Settings!$B$6))</f>
        <v/>
      </c>
      <c r="E991">
        <f>IF(C991="","",MAX(0,C991-D991))</f>
        <v/>
      </c>
    </row>
    <row r="992">
      <c r="D992">
        <f>IF(C992="","",MIN(C992,Settings!$B$6))</f>
        <v/>
      </c>
      <c r="E992">
        <f>IF(C992="","",MAX(0,C992-D992))</f>
        <v/>
      </c>
    </row>
    <row r="993">
      <c r="D993">
        <f>IF(C993="","",MIN(C993,Settings!$B$6))</f>
        <v/>
      </c>
      <c r="E993">
        <f>IF(C993="","",MAX(0,C993-D993))</f>
        <v/>
      </c>
    </row>
    <row r="994">
      <c r="D994">
        <f>IF(C994="","",MIN(C994,Settings!$B$6))</f>
        <v/>
      </c>
      <c r="E994">
        <f>IF(C994="","",MAX(0,C994-D994))</f>
        <v/>
      </c>
    </row>
    <row r="995">
      <c r="D995">
        <f>IF(C995="","",MIN(C995,Settings!$B$6))</f>
        <v/>
      </c>
      <c r="E995">
        <f>IF(C995="","",MAX(0,C995-D995))</f>
        <v/>
      </c>
    </row>
    <row r="996">
      <c r="D996">
        <f>IF(C996="","",MIN(C996,Settings!$B$6))</f>
        <v/>
      </c>
      <c r="E996">
        <f>IF(C996="","",MAX(0,C996-D996))</f>
        <v/>
      </c>
    </row>
    <row r="997">
      <c r="D997">
        <f>IF(C997="","",MIN(C997,Settings!$B$6))</f>
        <v/>
      </c>
      <c r="E997">
        <f>IF(C997="","",MAX(0,C997-D997))</f>
        <v/>
      </c>
    </row>
    <row r="998">
      <c r="D998">
        <f>IF(C998="","",MIN(C998,Settings!$B$6))</f>
        <v/>
      </c>
      <c r="E998">
        <f>IF(C998="","",MAX(0,C998-D998))</f>
        <v/>
      </c>
    </row>
    <row r="999">
      <c r="D999">
        <f>IF(C999="","",MIN(C999,Settings!$B$6))</f>
        <v/>
      </c>
      <c r="E999">
        <f>IF(C999="","",MAX(0,C999-D999))</f>
        <v/>
      </c>
    </row>
    <row r="1000">
      <c r="D1000">
        <f>IF(C1000="","",MIN(C1000,Settings!$B$6))</f>
        <v/>
      </c>
      <c r="E1000">
        <f>IF(C1000="","",MAX(0,C1000-D1000))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8" min="1" max="1"/>
    <col width="40" customWidth="1" style="38" min="2" max="2"/>
    <col width="40" customWidth="1" style="38" min="3" max="3"/>
    <col width="40" customWidth="1" style="38" min="4" max="4"/>
    <col width="40" customWidth="1" style="38" min="5" max="5"/>
    <col width="40" customWidth="1" style="38" min="6" max="6"/>
    <col width="40" customWidth="1" style="38" min="7" max="7"/>
    <col width="40" customWidth="1" style="38" min="8" max="8"/>
    <col width="40" customWidth="1" style="38" min="9" max="9"/>
    <col width="40" customWidth="1" style="38" min="10" max="10"/>
    <col width="40" customWidth="1" style="38" min="11" max="11"/>
    <col width="40" customWidth="1" style="38" min="12" max="12"/>
    <col width="12" customWidth="1" style="38" min="13" max="13"/>
    <col width="12" customWidth="1" style="38" min="14" max="14"/>
    <col width="12" customWidth="1" style="38" min="15" max="15"/>
  </cols>
  <sheetData>
    <row r="1">
      <c r="A1" s="40" t="inlineStr">
        <is>
          <t>CoachID</t>
        </is>
      </c>
      <c r="B1" s="40" t="inlineStr">
        <is>
          <t>CoachName</t>
        </is>
      </c>
      <c r="C1" s="40" t="inlineStr">
        <is>
          <t>IdentityPath</t>
        </is>
      </c>
      <c r="D1" s="40" t="inlineStr">
        <is>
          <t>OperationalRole</t>
        </is>
      </c>
      <c r="E1" s="40" t="inlineStr">
        <is>
          <t>TotalXP</t>
        </is>
      </c>
      <c r="F1" s="40" t="inlineStr">
        <is>
          <t>Tier</t>
        </is>
      </c>
      <c r="G1" s="40" t="inlineStr">
        <is>
          <t>Level</t>
        </is>
      </c>
      <c r="H1" s="40" t="inlineStr">
        <is>
          <t>OperationalTitle</t>
        </is>
      </c>
      <c r="I1" s="40" t="inlineStr">
        <is>
          <t>RankTitle</t>
        </is>
      </c>
      <c r="J1" s="40" t="inlineStr">
        <is>
          <t>XPEligibleOperational</t>
        </is>
      </c>
      <c r="K1" s="40" t="inlineStr">
        <is>
          <t>NextOperationalRole</t>
        </is>
      </c>
      <c r="L1" s="40" t="inlineStr">
        <is>
          <t>XPToNextOperational</t>
        </is>
      </c>
      <c r="M1" s="4" t="n"/>
      <c r="N1" s="4" t="n"/>
      <c r="O1" s="4" t="n"/>
    </row>
    <row r="2">
      <c r="A2" s="24">
        <f>IFERROR(INDEX(CoachRoster!$A$2:$A$1000,ROW()-1),"")</f>
        <v/>
      </c>
      <c r="B2" s="32">
        <f>IF($A2="","",VLOOKUP($A2,CoachRoster!$A:$E,2,FALSE))</f>
        <v/>
      </c>
      <c r="C2" s="32">
        <f>IF($A2="","",VLOOKUP($A2,CoachRoster!$A:$E,3,FALSE))</f>
        <v/>
      </c>
      <c r="D2" s="32">
        <f>IF($A2="","",VLOOKUP($A2,CoachRoster!$A:$E,4,FALSE))</f>
        <v/>
      </c>
      <c r="E2" s="32">
        <f>IF($A2="","",MIN(Settings!$B$8,IFERROR(SUMIF(Weekly_Coaching!$B:$B,$A2,Weekly_Coaching!$D:$D),0)+IFERROR(SUMIF(Monthly_Edu!$B:$B,$A2,Monthly_Edu!$D:$D),0)+IFERROR(SUMIF(Monthly_Ops!$B:$B,$A2,Monthly_Ops!$D:$D),0)+IFERROR(SUMIF(Monthly_Mentor!$B:$B,$A2,Monthly_Mentor!$D:$D),0)+IFERROR(SUMIF(Quarterly_Impact!$B:$B,$A2,Quarterly_Impact!$D:$D),0)+IFERROR(SUMIFS(XPLog!$M:$M,XPLog!$B:$B,$A2,XPLog!$J:$J,"Admin"),0)+IFERROR(SUMIFS(XPLog!$M:$M,XPLog!$B:$B,$A2,XPLog!$J:$J,"Seeding"),0)))</f>
        <v/>
      </c>
      <c r="F2" s="32">
        <f>IF($E2="","",LOOKUP($E2, XPBands!B$2:B$10, XPBands!A$2:A$10))</f>
        <v/>
      </c>
      <c r="G2" s="32">
        <f>IF($E2="","", VLOOKUP($F2, XPBands!A$2:G$10, 4, FALSE) + MIN(VLOOKUP($F2, XPBands!A$2:G$10, 5, FALSE) - VLOOKUP($F2, XPBands!A$2:G$10, 4, FALSE), FLOOR(( $E2 - VLOOKUP($F2, XPBands!A$2:G$10, 2, FALSE) ) / VLOOKUP($F2, XPBands!A$2:G$10, 7, FALSE),1)))</f>
        <v/>
      </c>
      <c r="H2" s="32">
        <f>IF($D2="","",VLOOKUP($D2,RoleTitles!$A:$E,3,FALSE))</f>
        <v/>
      </c>
      <c r="I2" s="32">
        <f>IF($D2="","",IF($C2="Greek",VLOOKUP($D2,RoleTitles!$A:$E,4,FALSE),IF($C2="Aesir",VLOOKUP($D2,RoleTitles!$A:$E,5,FALSE),VLOOKUP($D2,RoleTitles!$A:$E,3,FALSE))))</f>
        <v/>
      </c>
      <c r="J2" s="32">
        <f>IF($D2="","",IF($E2&gt;=VLOOKUP($D2,RoleTitles!$A:$B,2,FALSE),"Yes","No"))</f>
        <v/>
      </c>
      <c r="K2" s="32">
        <f>IF($D2="","",IF($D2="T1","T2",IF($D2="T2","T3",IF($D2="T3","T4",IF($D2="T4","T5",IF($D2="T5","T6",IF($D2="T6","T7",IF($D2="T7","T8",IF($D2="T8","T9","")))))))))</f>
        <v/>
      </c>
      <c r="L2" s="26">
        <f>IF($K2="","",MAX(0,VLOOKUP($K2,RoleTitles!$A:$B,2,FALSE)-$E2))</f>
        <v/>
      </c>
    </row>
    <row r="3">
      <c r="A3" s="24">
        <f>IFERROR(INDEX(CoachRoster!$A$2:$A$1000,ROW()-1),"")</f>
        <v/>
      </c>
      <c r="B3" s="27">
        <f>IF($A3="","",VLOOKUP($A3,CoachRoster!$A:$E,2,FALSE))</f>
        <v/>
      </c>
      <c r="C3" s="27">
        <f>IF($A3="","",VLOOKUP($A3,CoachRoster!$A:$E,3,FALSE))</f>
        <v/>
      </c>
      <c r="D3" s="27">
        <f>IF($A3="","",VLOOKUP($A3,CoachRoster!$A:$E,4,FALSE))</f>
        <v/>
      </c>
      <c r="E3" s="27">
        <f>IF($A3="","",MIN(Settings!$B$8,IFERROR(SUMIF(Weekly_Coaching!$B:$B,$A3,Weekly_Coaching!$D:$D),0)+IFERROR(SUMIF(Monthly_Edu!$B:$B,$A3,Monthly_Edu!$D:$D),0)+IFERROR(SUMIF(Monthly_Ops!$B:$B,$A3,Monthly_Ops!$D:$D),0)+IFERROR(SUMIF(Monthly_Mentor!$B:$B,$A3,Monthly_Mentor!$D:$D),0)+IFERROR(SUMIF(Quarterly_Impact!$B:$B,$A3,Quarterly_Impact!$D:$D),0)+IFERROR(SUMIFS(XPLog!$M:$M,XPLog!$B:$B,$A3,XPLog!$J:$J,"Admin"),0)+IFERROR(SUMIFS(XPLog!$M:$M,XPLog!$B:$B,$A3,XPLog!$J:$J,"Seeding"),0)))</f>
        <v/>
      </c>
      <c r="F3" s="27">
        <f>IF($E3="","",LOOKUP($E3, XPBands!B$2:B$10, XPBands!A$2:A$10))</f>
        <v/>
      </c>
      <c r="G3" s="27">
        <f>IF($E3="","", VLOOKUP($F3, XPBands!A$2:G$10, 4, FALSE) + MIN(VLOOKUP($F3, XPBands!A$2:G$10, 5, FALSE) - VLOOKUP($F3, XPBands!A$2:G$10, 4, FALSE), FLOOR(( $E3 - VLOOKUP($F3, XPBands!A$2:G$10, 2, FALSE) ) / VLOOKUP($F3, XPBands!A$2:G$10, 7, FALSE),1)))</f>
        <v/>
      </c>
      <c r="H3" s="27">
        <f>IF($D3="","",VLOOKUP($D3,RoleTitles!$A:$E,3,FALSE))</f>
        <v/>
      </c>
      <c r="I3" s="27">
        <f>IF($D3="","",IF($C3="Greek",VLOOKUP($D3,RoleTitles!$A:$E,4,FALSE),IF($C3="Aesir",VLOOKUP($D3,RoleTitles!$A:$E,5,FALSE),VLOOKUP($D3,RoleTitles!$A:$E,3,FALSE))))</f>
        <v/>
      </c>
      <c r="J3" s="27">
        <f>IF($D3="","",IF($E3&gt;=VLOOKUP($D3,RoleTitles!$A:$B,2,FALSE),"Yes","No"))</f>
        <v/>
      </c>
      <c r="K3" s="27">
        <f>IF($D3="","",IF($D3="T1","T2",IF($D3="T2","T3",IF($D3="T3","T4",IF($D3="T4","T5",IF($D3="T5","T6",IF($D3="T6","T7",IF($D3="T7","T8",IF($D3="T8","T9","")))))))))</f>
        <v/>
      </c>
      <c r="L3" s="28">
        <f>IF($K3="","",MAX(0,VLOOKUP($K3,RoleTitles!$A:$B,2,FALSE)-$E3))</f>
        <v/>
      </c>
    </row>
    <row r="4">
      <c r="A4" s="24">
        <f>IFERROR(INDEX(CoachRoster!$A$2:$A$1000,ROW()-1),"")</f>
        <v/>
      </c>
      <c r="B4" s="27">
        <f>IF($A4="","",VLOOKUP($A4,CoachRoster!$A:$E,2,FALSE))</f>
        <v/>
      </c>
      <c r="C4" s="27">
        <f>IF($A4="","",VLOOKUP($A4,CoachRoster!$A:$E,3,FALSE))</f>
        <v/>
      </c>
      <c r="D4" s="27">
        <f>IF($A4="","",VLOOKUP($A4,CoachRoster!$A:$E,4,FALSE))</f>
        <v/>
      </c>
      <c r="E4" s="27">
        <f>IF($A4="","",MIN(Settings!$B$8,IFERROR(SUMIF(Weekly_Coaching!$B:$B,$A4,Weekly_Coaching!$D:$D),0)+IFERROR(SUMIF(Monthly_Edu!$B:$B,$A4,Monthly_Edu!$D:$D),0)+IFERROR(SUMIF(Monthly_Ops!$B:$B,$A4,Monthly_Ops!$D:$D),0)+IFERROR(SUMIF(Monthly_Mentor!$B:$B,$A4,Monthly_Mentor!$D:$D),0)+IFERROR(SUMIF(Quarterly_Impact!$B:$B,$A4,Quarterly_Impact!$D:$D),0)+IFERROR(SUMIFS(XPLog!$M:$M,XPLog!$B:$B,$A4,XPLog!$J:$J,"Admin"),0)+IFERROR(SUMIFS(XPLog!$M:$M,XPLog!$B:$B,$A4,XPLog!$J:$J,"Seeding"),0)))</f>
        <v/>
      </c>
      <c r="F4" s="27">
        <f>IF($E4="","",LOOKUP($E4, XPBands!B$2:B$10, XPBands!A$2:A$10))</f>
        <v/>
      </c>
      <c r="G4" s="27">
        <f>IF($E4="","", VLOOKUP($F4, XPBands!A$2:G$10, 4, FALSE) + MIN(VLOOKUP($F4, XPBands!A$2:G$10, 5, FALSE) - VLOOKUP($F4, XPBands!A$2:G$10, 4, FALSE), FLOOR(( $E4 - VLOOKUP($F4, XPBands!A$2:G$10, 2, FALSE) ) / VLOOKUP($F4, XPBands!A$2:G$10, 7, FALSE),1)))</f>
        <v/>
      </c>
      <c r="H4" s="27">
        <f>IF($D4="","",VLOOKUP($D4,RoleTitles!$A:$E,3,FALSE))</f>
        <v/>
      </c>
      <c r="I4" s="27">
        <f>IF($D4="","",IF($C4="Greek",VLOOKUP($D4,RoleTitles!$A:$E,4,FALSE),IF($C4="Aesir",VLOOKUP($D4,RoleTitles!$A:$E,5,FALSE),VLOOKUP($D4,RoleTitles!$A:$E,3,FALSE))))</f>
        <v/>
      </c>
      <c r="J4" s="27">
        <f>IF($D4="","",IF($E4&gt;=VLOOKUP($D4,RoleTitles!$A:$B,2,FALSE),"Yes","No"))</f>
        <v/>
      </c>
      <c r="K4" s="27">
        <f>IF($D4="","",IF($D4="T1","T2",IF($D4="T2","T3",IF($D4="T3","T4",IF($D4="T4","T5",IF($D4="T5","T6",IF($D4="T6","T7",IF($D4="T7","T8",IF($D4="T8","T9","")))))))))</f>
        <v/>
      </c>
      <c r="L4" s="28">
        <f>IF($K4="","",MAX(0,VLOOKUP($K4,RoleTitles!$A:$B,2,FALSE)-$E4))</f>
        <v/>
      </c>
    </row>
    <row r="5">
      <c r="A5" s="24">
        <f>IFERROR(INDEX(CoachRoster!$A$2:$A$1000,ROW()-1),"")</f>
        <v/>
      </c>
      <c r="B5" s="27">
        <f>IF($A5="","",VLOOKUP($A5,CoachRoster!$A:$E,2,FALSE))</f>
        <v/>
      </c>
      <c r="C5" s="27">
        <f>IF($A5="","",VLOOKUP($A5,CoachRoster!$A:$E,3,FALSE))</f>
        <v/>
      </c>
      <c r="D5" s="27">
        <f>IF($A5="","",VLOOKUP($A5,CoachRoster!$A:$E,4,FALSE))</f>
        <v/>
      </c>
      <c r="E5" s="27">
        <f>IF($A5="","",MIN(Settings!$B$8,IFERROR(SUMIF(Weekly_Coaching!$B:$B,$A5,Weekly_Coaching!$D:$D),0)+IFERROR(SUMIF(Monthly_Edu!$B:$B,$A5,Monthly_Edu!$D:$D),0)+IFERROR(SUMIF(Monthly_Ops!$B:$B,$A5,Monthly_Ops!$D:$D),0)+IFERROR(SUMIF(Monthly_Mentor!$B:$B,$A5,Monthly_Mentor!$D:$D),0)+IFERROR(SUMIF(Quarterly_Impact!$B:$B,$A5,Quarterly_Impact!$D:$D),0)+IFERROR(SUMIFS(XPLog!$M:$M,XPLog!$B:$B,$A5,XPLog!$J:$J,"Admin"),0)+IFERROR(SUMIFS(XPLog!$M:$M,XPLog!$B:$B,$A5,XPLog!$J:$J,"Seeding"),0)))</f>
        <v/>
      </c>
      <c r="F5" s="27">
        <f>IF($E5="","",LOOKUP($E5, XPBands!B$2:B$10, XPBands!A$2:A$10))</f>
        <v/>
      </c>
      <c r="G5" s="27">
        <f>IF($E5="","", VLOOKUP($F5, XPBands!A$2:G$10, 4, FALSE) + MIN(VLOOKUP($F5, XPBands!A$2:G$10, 5, FALSE) - VLOOKUP($F5, XPBands!A$2:G$10, 4, FALSE), FLOOR(( $E5 - VLOOKUP($F5, XPBands!A$2:G$10, 2, FALSE) ) / VLOOKUP($F5, XPBands!A$2:G$10, 7, FALSE),1)))</f>
        <v/>
      </c>
      <c r="H5" s="27">
        <f>IF($D5="","",VLOOKUP($D5,RoleTitles!$A:$E,3,FALSE))</f>
        <v/>
      </c>
      <c r="I5" s="27">
        <f>IF($D5="","",IF($C5="Greek",VLOOKUP($D5,RoleTitles!$A:$E,4,FALSE),IF($C5="Aesir",VLOOKUP($D5,RoleTitles!$A:$E,5,FALSE),VLOOKUP($D5,RoleTitles!$A:$E,3,FALSE))))</f>
        <v/>
      </c>
      <c r="J5" s="27">
        <f>IF($D5="","",IF($E5&gt;=VLOOKUP($D5,RoleTitles!$A:$B,2,FALSE),"Yes","No"))</f>
        <v/>
      </c>
      <c r="K5" s="27">
        <f>IF($D5="","",IF($D5="T1","T2",IF($D5="T2","T3",IF($D5="T3","T4",IF($D5="T4","T5",IF($D5="T5","T6",IF($D5="T6","T7",IF($D5="T7","T8",IF($D5="T8","T9","")))))))))</f>
        <v/>
      </c>
      <c r="L5" s="28">
        <f>IF($K5="","",MAX(0,VLOOKUP($K5,RoleTitles!$A:$B,2,FALSE)-$E5))</f>
        <v/>
      </c>
    </row>
    <row r="6">
      <c r="A6" s="24">
        <f>IFERROR(INDEX(CoachRoster!$A$2:$A$1000,ROW()-1),"")</f>
        <v/>
      </c>
      <c r="B6" s="27">
        <f>IF($A6="","",VLOOKUP($A6,CoachRoster!$A:$E,2,FALSE))</f>
        <v/>
      </c>
      <c r="C6" s="27">
        <f>IF($A6="","",VLOOKUP($A6,CoachRoster!$A:$E,3,FALSE))</f>
        <v/>
      </c>
      <c r="D6" s="27">
        <f>IF($A6="","",VLOOKUP($A6,CoachRoster!$A:$E,4,FALSE))</f>
        <v/>
      </c>
      <c r="E6" s="27">
        <f>IF($A6="","",MIN(Settings!$B$8,IFERROR(SUMIF(Weekly_Coaching!$B:$B,$A6,Weekly_Coaching!$D:$D),0)+IFERROR(SUMIF(Monthly_Edu!$B:$B,$A6,Monthly_Edu!$D:$D),0)+IFERROR(SUMIF(Monthly_Ops!$B:$B,$A6,Monthly_Ops!$D:$D),0)+IFERROR(SUMIF(Monthly_Mentor!$B:$B,$A6,Monthly_Mentor!$D:$D),0)+IFERROR(SUMIF(Quarterly_Impact!$B:$B,$A6,Quarterly_Impact!$D:$D),0)+IFERROR(SUMIFS(XPLog!$M:$M,XPLog!$B:$B,$A6,XPLog!$J:$J,"Admin"),0)+IFERROR(SUMIFS(XPLog!$M:$M,XPLog!$B:$B,$A6,XPLog!$J:$J,"Seeding"),0)))</f>
        <v/>
      </c>
      <c r="F6" s="27">
        <f>IF($E6="","",LOOKUP($E6, XPBands!B$2:B$10, XPBands!A$2:A$10))</f>
        <v/>
      </c>
      <c r="G6" s="27">
        <f>IF($E6="","", VLOOKUP($F6, XPBands!A$2:G$10, 4, FALSE) + MIN(VLOOKUP($F6, XPBands!A$2:G$10, 5, FALSE) - VLOOKUP($F6, XPBands!A$2:G$10, 4, FALSE), FLOOR(( $E6 - VLOOKUP($F6, XPBands!A$2:G$10, 2, FALSE) ) / VLOOKUP($F6, XPBands!A$2:G$10, 7, FALSE),1)))</f>
        <v/>
      </c>
      <c r="H6" s="27">
        <f>IF($D6="","",VLOOKUP($D6,RoleTitles!$A:$E,3,FALSE))</f>
        <v/>
      </c>
      <c r="I6" s="27">
        <f>IF($D6="","",IF($C6="Greek",VLOOKUP($D6,RoleTitles!$A:$E,4,FALSE),IF($C6="Aesir",VLOOKUP($D6,RoleTitles!$A:$E,5,FALSE),VLOOKUP($D6,RoleTitles!$A:$E,3,FALSE))))</f>
        <v/>
      </c>
      <c r="J6" s="27">
        <f>IF($D6="","",IF($E6&gt;=VLOOKUP($D6,RoleTitles!$A:$B,2,FALSE),"Yes","No"))</f>
        <v/>
      </c>
      <c r="K6" s="27">
        <f>IF($D6="","",IF($D6="T1","T2",IF($D6="T2","T3",IF($D6="T3","T4",IF($D6="T4","T5",IF($D6="T5","T6",IF($D6="T6","T7",IF($D6="T7","T8",IF($D6="T8","T9","")))))))))</f>
        <v/>
      </c>
      <c r="L6" s="28">
        <f>IF($K6="","",MAX(0,VLOOKUP($K6,RoleTitles!$A:$B,2,FALSE)-$E6))</f>
        <v/>
      </c>
    </row>
    <row r="7">
      <c r="A7" s="24">
        <f>IFERROR(INDEX(CoachRoster!$A$2:$A$1000,ROW()-1),"")</f>
        <v/>
      </c>
      <c r="B7" s="27">
        <f>IF($A7="","",VLOOKUP($A7,CoachRoster!$A:$E,2,FALSE))</f>
        <v/>
      </c>
      <c r="C7" s="27">
        <f>IF($A7="","",VLOOKUP($A7,CoachRoster!$A:$E,3,FALSE))</f>
        <v/>
      </c>
      <c r="D7" s="27">
        <f>IF($A7="","",VLOOKUP($A7,CoachRoster!$A:$E,4,FALSE))</f>
        <v/>
      </c>
      <c r="E7" s="27">
        <f>IF($A7="","",MIN(Settings!$B$8,IFERROR(SUMIF(Weekly_Coaching!$B:$B,$A7,Weekly_Coaching!$D:$D),0)+IFERROR(SUMIF(Monthly_Edu!$B:$B,$A7,Monthly_Edu!$D:$D),0)+IFERROR(SUMIF(Monthly_Ops!$B:$B,$A7,Monthly_Ops!$D:$D),0)+IFERROR(SUMIF(Monthly_Mentor!$B:$B,$A7,Monthly_Mentor!$D:$D),0)+IFERROR(SUMIF(Quarterly_Impact!$B:$B,$A7,Quarterly_Impact!$D:$D),0)+IFERROR(SUMIFS(XPLog!$M:$M,XPLog!$B:$B,$A7,XPLog!$J:$J,"Admin"),0)+IFERROR(SUMIFS(XPLog!$M:$M,XPLog!$B:$B,$A7,XPLog!$J:$J,"Seeding"),0)))</f>
        <v/>
      </c>
      <c r="F7" s="27">
        <f>IF($E7="","",LOOKUP($E7, XPBands!B$2:B$10, XPBands!A$2:A$10))</f>
        <v/>
      </c>
      <c r="G7" s="27">
        <f>IF($E7="","", VLOOKUP($F7, XPBands!A$2:G$10, 4, FALSE) + MIN(VLOOKUP($F7, XPBands!A$2:G$10, 5, FALSE) - VLOOKUP($F7, XPBands!A$2:G$10, 4, FALSE), FLOOR(( $E7 - VLOOKUP($F7, XPBands!A$2:G$10, 2, FALSE) ) / VLOOKUP($F7, XPBands!A$2:G$10, 7, FALSE),1)))</f>
        <v/>
      </c>
      <c r="H7" s="27">
        <f>IF($D7="","",VLOOKUP($D7,RoleTitles!$A:$E,3,FALSE))</f>
        <v/>
      </c>
      <c r="I7" s="27">
        <f>IF($D7="","",IF($C7="Greek",VLOOKUP($D7,RoleTitles!$A:$E,4,FALSE),IF($C7="Aesir",VLOOKUP($D7,RoleTitles!$A:$E,5,FALSE),VLOOKUP($D7,RoleTitles!$A:$E,3,FALSE))))</f>
        <v/>
      </c>
      <c r="J7" s="27">
        <f>IF($D7="","",IF($E7&gt;=VLOOKUP($D7,RoleTitles!$A:$B,2,FALSE),"Yes","No"))</f>
        <v/>
      </c>
      <c r="K7" s="27">
        <f>IF($D7="","",IF($D7="T1","T2",IF($D7="T2","T3",IF($D7="T3","T4",IF($D7="T4","T5",IF($D7="T5","T6",IF($D7="T6","T7",IF($D7="T7","T8",IF($D7="T8","T9","")))))))))</f>
        <v/>
      </c>
      <c r="L7" s="28">
        <f>IF($K7="","",MAX(0,VLOOKUP($K7,RoleTitles!$A:$B,2,FALSE)-$E7))</f>
        <v/>
      </c>
    </row>
    <row r="8">
      <c r="A8" s="24">
        <f>IFERROR(INDEX(CoachRoster!$A$2:$A$1000,ROW()-1),"")</f>
        <v/>
      </c>
      <c r="B8" s="27">
        <f>IF($A8="","",VLOOKUP($A8,CoachRoster!$A:$E,2,FALSE))</f>
        <v/>
      </c>
      <c r="C8" s="27">
        <f>IF($A8="","",VLOOKUP($A8,CoachRoster!$A:$E,3,FALSE))</f>
        <v/>
      </c>
      <c r="D8" s="27">
        <f>IF($A8="","",VLOOKUP($A8,CoachRoster!$A:$E,4,FALSE))</f>
        <v/>
      </c>
      <c r="E8" s="27">
        <f>IF($A8="","",MIN(Settings!$B$8,IFERROR(SUMIF(Weekly_Coaching!$B:$B,$A8,Weekly_Coaching!$D:$D),0)+IFERROR(SUMIF(Monthly_Edu!$B:$B,$A8,Monthly_Edu!$D:$D),0)+IFERROR(SUMIF(Monthly_Ops!$B:$B,$A8,Monthly_Ops!$D:$D),0)+IFERROR(SUMIF(Monthly_Mentor!$B:$B,$A8,Monthly_Mentor!$D:$D),0)+IFERROR(SUMIF(Quarterly_Impact!$B:$B,$A8,Quarterly_Impact!$D:$D),0)+IFERROR(SUMIFS(XPLog!$M:$M,XPLog!$B:$B,$A8,XPLog!$J:$J,"Admin"),0)+IFERROR(SUMIFS(XPLog!$M:$M,XPLog!$B:$B,$A8,XPLog!$J:$J,"Seeding"),0)))</f>
        <v/>
      </c>
      <c r="F8" s="27">
        <f>IF($E8="","",LOOKUP($E8, XPBands!B$2:B$10, XPBands!A$2:A$10))</f>
        <v/>
      </c>
      <c r="G8" s="27">
        <f>IF($E8="","", VLOOKUP($F8, XPBands!A$2:G$10, 4, FALSE) + MIN(VLOOKUP($F8, XPBands!A$2:G$10, 5, FALSE) - VLOOKUP($F8, XPBands!A$2:G$10, 4, FALSE), FLOOR(( $E8 - VLOOKUP($F8, XPBands!A$2:G$10, 2, FALSE) ) / VLOOKUP($F8, XPBands!A$2:G$10, 7, FALSE),1)))</f>
        <v/>
      </c>
      <c r="H8" s="27">
        <f>IF($D8="","",VLOOKUP($D8,RoleTitles!$A:$E,3,FALSE))</f>
        <v/>
      </c>
      <c r="I8" s="27">
        <f>IF($D8="","",IF($C8="Greek",VLOOKUP($D8,RoleTitles!$A:$E,4,FALSE),IF($C8="Aesir",VLOOKUP($D8,RoleTitles!$A:$E,5,FALSE),VLOOKUP($D8,RoleTitles!$A:$E,3,FALSE))))</f>
        <v/>
      </c>
      <c r="J8" s="27">
        <f>IF($D8="","",IF($E8&gt;=VLOOKUP($D8,RoleTitles!$A:$B,2,FALSE),"Yes","No"))</f>
        <v/>
      </c>
      <c r="K8" s="27">
        <f>IF($D8="","",IF($D8="T1","T2",IF($D8="T2","T3",IF($D8="T3","T4",IF($D8="T4","T5",IF($D8="T5","T6",IF($D8="T6","T7",IF($D8="T7","T8",IF($D8="T8","T9","")))))))))</f>
        <v/>
      </c>
      <c r="L8" s="28">
        <f>IF($K8="","",MAX(0,VLOOKUP($K8,RoleTitles!$A:$B,2,FALSE)-$E8))</f>
        <v/>
      </c>
    </row>
    <row r="9">
      <c r="A9" s="24">
        <f>IFERROR(INDEX(CoachRoster!$A$2:$A$1000,ROW()-1),"")</f>
        <v/>
      </c>
      <c r="B9" s="27">
        <f>IF($A9="","",VLOOKUP($A9,CoachRoster!$A:$E,2,FALSE))</f>
        <v/>
      </c>
      <c r="C9" s="27">
        <f>IF($A9="","",VLOOKUP($A9,CoachRoster!$A:$E,3,FALSE))</f>
        <v/>
      </c>
      <c r="D9" s="27">
        <f>IF($A9="","",VLOOKUP($A9,CoachRoster!$A:$E,4,FALSE))</f>
        <v/>
      </c>
      <c r="E9" s="27">
        <f>IF($A9="","",MIN(Settings!$B$8,IFERROR(SUMIF(Weekly_Coaching!$B:$B,$A9,Weekly_Coaching!$D:$D),0)+IFERROR(SUMIF(Monthly_Edu!$B:$B,$A9,Monthly_Edu!$D:$D),0)+IFERROR(SUMIF(Monthly_Ops!$B:$B,$A9,Monthly_Ops!$D:$D),0)+IFERROR(SUMIF(Monthly_Mentor!$B:$B,$A9,Monthly_Mentor!$D:$D),0)+IFERROR(SUMIF(Quarterly_Impact!$B:$B,$A9,Quarterly_Impact!$D:$D),0)+IFERROR(SUMIFS(XPLog!$M:$M,XPLog!$B:$B,$A9,XPLog!$J:$J,"Admin"),0)+IFERROR(SUMIFS(XPLog!$M:$M,XPLog!$B:$B,$A9,XPLog!$J:$J,"Seeding"),0)))</f>
        <v/>
      </c>
      <c r="F9" s="27">
        <f>IF($E9="","",LOOKUP($E9, XPBands!B$2:B$10, XPBands!A$2:A$10))</f>
        <v/>
      </c>
      <c r="G9" s="27">
        <f>IF($E9="","", VLOOKUP($F9, XPBands!A$2:G$10, 4, FALSE) + MIN(VLOOKUP($F9, XPBands!A$2:G$10, 5, FALSE) - VLOOKUP($F9, XPBands!A$2:G$10, 4, FALSE), FLOOR(( $E9 - VLOOKUP($F9, XPBands!A$2:G$10, 2, FALSE) ) / VLOOKUP($F9, XPBands!A$2:G$10, 7, FALSE),1)))</f>
        <v/>
      </c>
      <c r="H9" s="27">
        <f>IF($D9="","",VLOOKUP($D9,RoleTitles!$A:$E,3,FALSE))</f>
        <v/>
      </c>
      <c r="I9" s="27">
        <f>IF($D9="","",IF($C9="Greek",VLOOKUP($D9,RoleTitles!$A:$E,4,FALSE),IF($C9="Aesir",VLOOKUP($D9,RoleTitles!$A:$E,5,FALSE),VLOOKUP($D9,RoleTitles!$A:$E,3,FALSE))))</f>
        <v/>
      </c>
      <c r="J9" s="27">
        <f>IF($D9="","",IF($E9&gt;=VLOOKUP($D9,RoleTitles!$A:$B,2,FALSE),"Yes","No"))</f>
        <v/>
      </c>
      <c r="K9" s="27">
        <f>IF($D9="","",IF($D9="T1","T2",IF($D9="T2","T3",IF($D9="T3","T4",IF($D9="T4","T5",IF($D9="T5","T6",IF($D9="T6","T7",IF($D9="T7","T8",IF($D9="T8","T9","")))))))))</f>
        <v/>
      </c>
      <c r="L9" s="28">
        <f>IF($K9="","",MAX(0,VLOOKUP($K9,RoleTitles!$A:$B,2,FALSE)-$E9))</f>
        <v/>
      </c>
    </row>
    <row r="10">
      <c r="A10" s="24">
        <f>IFERROR(INDEX(CoachRoster!$A$2:$A$1000,ROW()-1),"")</f>
        <v/>
      </c>
      <c r="B10" s="27">
        <f>IF($A10="","",VLOOKUP($A10,CoachRoster!$A:$E,2,FALSE))</f>
        <v/>
      </c>
      <c r="C10" s="27">
        <f>IF($A10="","",VLOOKUP($A10,CoachRoster!$A:$E,3,FALSE))</f>
        <v/>
      </c>
      <c r="D10" s="27">
        <f>IF($A10="","",VLOOKUP($A10,CoachRoster!$A:$E,4,FALSE))</f>
        <v/>
      </c>
      <c r="E10" s="27">
        <f>IF($A10="","",MIN(Settings!$B$8,IFERROR(SUMIF(Weekly_Coaching!$B:$B,$A10,Weekly_Coaching!$D:$D),0)+IFERROR(SUMIF(Monthly_Edu!$B:$B,$A10,Monthly_Edu!$D:$D),0)+IFERROR(SUMIF(Monthly_Ops!$B:$B,$A10,Monthly_Ops!$D:$D),0)+IFERROR(SUMIF(Monthly_Mentor!$B:$B,$A10,Monthly_Mentor!$D:$D),0)+IFERROR(SUMIF(Quarterly_Impact!$B:$B,$A10,Quarterly_Impact!$D:$D),0)+IFERROR(SUMIFS(XPLog!$M:$M,XPLog!$B:$B,$A10,XPLog!$J:$J,"Admin"),0)+IFERROR(SUMIFS(XPLog!$M:$M,XPLog!$B:$B,$A10,XPLog!$J:$J,"Seeding"),0)))</f>
        <v/>
      </c>
      <c r="F10" s="27">
        <f>IF($E10="","",LOOKUP($E10, XPBands!B$2:B$10, XPBands!A$2:A$10))</f>
        <v/>
      </c>
      <c r="G10" s="27">
        <f>IF($E10="","", VLOOKUP($F10, XPBands!A$2:G$10, 4, FALSE) + MIN(VLOOKUP($F10, XPBands!A$2:G$10, 5, FALSE) - VLOOKUP($F10, XPBands!A$2:G$10, 4, FALSE), FLOOR(( $E10 - VLOOKUP($F10, XPBands!A$2:G$10, 2, FALSE) ) / VLOOKUP($F10, XPBands!A$2:G$10, 7, FALSE),1)))</f>
        <v/>
      </c>
      <c r="H10" s="27">
        <f>IF($D10="","",VLOOKUP($D10,RoleTitles!$A:$E,3,FALSE))</f>
        <v/>
      </c>
      <c r="I10" s="27">
        <f>IF($D10="","",IF($C10="Greek",VLOOKUP($D10,RoleTitles!$A:$E,4,FALSE),IF($C10="Aesir",VLOOKUP($D10,RoleTitles!$A:$E,5,FALSE),VLOOKUP($D10,RoleTitles!$A:$E,3,FALSE))))</f>
        <v/>
      </c>
      <c r="J10" s="27">
        <f>IF($D10="","",IF($E10&gt;=VLOOKUP($D10,RoleTitles!$A:$B,2,FALSE),"Yes","No"))</f>
        <v/>
      </c>
      <c r="K10" s="27">
        <f>IF($D10="","",IF($D10="T1","T2",IF($D10="T2","T3",IF($D10="T3","T4",IF($D10="T4","T5",IF($D10="T5","T6",IF($D10="T6","T7",IF($D10="T7","T8",IF($D10="T8","T9","")))))))))</f>
        <v/>
      </c>
      <c r="L10" s="28">
        <f>IF($K10="","",MAX(0,VLOOKUP($K10,RoleTitles!$A:$B,2,FALSE)-$E10))</f>
        <v/>
      </c>
    </row>
    <row r="11">
      <c r="A11" s="24">
        <f>IFERROR(INDEX(CoachRoster!$A$2:$A$1000,ROW()-1),"")</f>
        <v/>
      </c>
      <c r="B11" s="27">
        <f>IF($A11="","",VLOOKUP($A11,CoachRoster!$A:$E,2,FALSE))</f>
        <v/>
      </c>
      <c r="C11" s="27">
        <f>IF($A11="","",VLOOKUP($A11,CoachRoster!$A:$E,3,FALSE))</f>
        <v/>
      </c>
      <c r="D11" s="27">
        <f>IF($A11="","",VLOOKUP($A11,CoachRoster!$A:$E,4,FALSE))</f>
        <v/>
      </c>
      <c r="E11" s="27">
        <f>IF($A11="","",MIN(Settings!$B$8,IFERROR(SUMIF(Weekly_Coaching!$B:$B,$A11,Weekly_Coaching!$D:$D),0)+IFERROR(SUMIF(Monthly_Edu!$B:$B,$A11,Monthly_Edu!$D:$D),0)+IFERROR(SUMIF(Monthly_Ops!$B:$B,$A11,Monthly_Ops!$D:$D),0)+IFERROR(SUMIF(Monthly_Mentor!$B:$B,$A11,Monthly_Mentor!$D:$D),0)+IFERROR(SUMIF(Quarterly_Impact!$B:$B,$A11,Quarterly_Impact!$D:$D),0)+IFERROR(SUMIFS(XPLog!$M:$M,XPLog!$B:$B,$A11,XPLog!$J:$J,"Admin"),0)+IFERROR(SUMIFS(XPLog!$M:$M,XPLog!$B:$B,$A11,XPLog!$J:$J,"Seeding"),0)))</f>
        <v/>
      </c>
      <c r="F11" s="27">
        <f>IF($E11="","",LOOKUP($E11, XPBands!B$2:B$10, XPBands!A$2:A$10))</f>
        <v/>
      </c>
      <c r="G11" s="27">
        <f>IF($E11="","", VLOOKUP($F11, XPBands!A$2:G$10, 4, FALSE) + MIN(VLOOKUP($F11, XPBands!A$2:G$10, 5, FALSE) - VLOOKUP($F11, XPBands!A$2:G$10, 4, FALSE), FLOOR(( $E11 - VLOOKUP($F11, XPBands!A$2:G$10, 2, FALSE) ) / VLOOKUP($F11, XPBands!A$2:G$10, 7, FALSE),1)))</f>
        <v/>
      </c>
      <c r="H11" s="27">
        <f>IF($D11="","",VLOOKUP($D11,RoleTitles!$A:$E,3,FALSE))</f>
        <v/>
      </c>
      <c r="I11" s="27">
        <f>IF($D11="","",IF($C11="Greek",VLOOKUP($D11,RoleTitles!$A:$E,4,FALSE),IF($C11="Aesir",VLOOKUP($D11,RoleTitles!$A:$E,5,FALSE),VLOOKUP($D11,RoleTitles!$A:$E,3,FALSE))))</f>
        <v/>
      </c>
      <c r="J11" s="27">
        <f>IF($D11="","",IF($E11&gt;=VLOOKUP($D11,RoleTitles!$A:$B,2,FALSE),"Yes","No"))</f>
        <v/>
      </c>
      <c r="K11" s="27">
        <f>IF($D11="","",IF($D11="T1","T2",IF($D11="T2","T3",IF($D11="T3","T4",IF($D11="T4","T5",IF($D11="T5","T6",IF($D11="T6","T7",IF($D11="T7","T8",IF($D11="T8","T9","")))))))))</f>
        <v/>
      </c>
      <c r="L11" s="28">
        <f>IF($K11="","",MAX(0,VLOOKUP($K11,RoleTitles!$A:$B,2,FALSE)-$E11))</f>
        <v/>
      </c>
    </row>
    <row r="12">
      <c r="A12" s="24">
        <f>IFERROR(INDEX(CoachRoster!$A$2:$A$1000,ROW()-1),"")</f>
        <v/>
      </c>
      <c r="B12" s="27">
        <f>IF($A12="","",VLOOKUP($A12,CoachRoster!$A:$E,2,FALSE))</f>
        <v/>
      </c>
      <c r="C12" s="27">
        <f>IF($A12="","",VLOOKUP($A12,CoachRoster!$A:$E,3,FALSE))</f>
        <v/>
      </c>
      <c r="D12" s="27">
        <f>IF($A12="","",VLOOKUP($A12,CoachRoster!$A:$E,4,FALSE))</f>
        <v/>
      </c>
      <c r="E12" s="27">
        <f>IF($A12="","",MIN(Settings!$B$8,IFERROR(SUMIF(Weekly_Coaching!$B:$B,$A12,Weekly_Coaching!$D:$D),0)+IFERROR(SUMIF(Monthly_Edu!$B:$B,$A12,Monthly_Edu!$D:$D),0)+IFERROR(SUMIF(Monthly_Ops!$B:$B,$A12,Monthly_Ops!$D:$D),0)+IFERROR(SUMIF(Monthly_Mentor!$B:$B,$A12,Monthly_Mentor!$D:$D),0)+IFERROR(SUMIF(Quarterly_Impact!$B:$B,$A12,Quarterly_Impact!$D:$D),0)+IFERROR(SUMIFS(XPLog!$M:$M,XPLog!$B:$B,$A12,XPLog!$J:$J,"Admin"),0)+IFERROR(SUMIFS(XPLog!$M:$M,XPLog!$B:$B,$A12,XPLog!$J:$J,"Seeding"),0)))</f>
        <v/>
      </c>
      <c r="F12" s="27">
        <f>IF($E12="","",LOOKUP($E12, XPBands!B$2:B$10, XPBands!A$2:A$10))</f>
        <v/>
      </c>
      <c r="G12" s="27">
        <f>IF($E12="","", VLOOKUP($F12, XPBands!A$2:G$10, 4, FALSE) + MIN(VLOOKUP($F12, XPBands!A$2:G$10, 5, FALSE) - VLOOKUP($F12, XPBands!A$2:G$10, 4, FALSE), FLOOR(( $E12 - VLOOKUP($F12, XPBands!A$2:G$10, 2, FALSE) ) / VLOOKUP($F12, XPBands!A$2:G$10, 7, FALSE),1)))</f>
        <v/>
      </c>
      <c r="H12" s="27">
        <f>IF($D12="","",VLOOKUP($D12,RoleTitles!$A:$E,3,FALSE))</f>
        <v/>
      </c>
      <c r="I12" s="27">
        <f>IF($D12="","",IF($C12="Greek",VLOOKUP($D12,RoleTitles!$A:$E,4,FALSE),IF($C12="Aesir",VLOOKUP($D12,RoleTitles!$A:$E,5,FALSE),VLOOKUP($D12,RoleTitles!$A:$E,3,FALSE))))</f>
        <v/>
      </c>
      <c r="J12" s="27">
        <f>IF($D12="","",IF($E12&gt;=VLOOKUP($D12,RoleTitles!$A:$B,2,FALSE),"Yes","No"))</f>
        <v/>
      </c>
      <c r="K12" s="27">
        <f>IF($D12="","",IF($D12="T1","T2",IF($D12="T2","T3",IF($D12="T3","T4",IF($D12="T4","T5",IF($D12="T5","T6",IF($D12="T6","T7",IF($D12="T7","T8",IF($D12="T8","T9","")))))))))</f>
        <v/>
      </c>
      <c r="L12" s="28">
        <f>IF($K12="","",MAX(0,VLOOKUP($K12,RoleTitles!$A:$B,2,FALSE)-$E12))</f>
        <v/>
      </c>
    </row>
    <row r="13">
      <c r="A13" s="24">
        <f>IFERROR(INDEX(CoachRoster!$A$2:$A$1000,ROW()-1),"")</f>
        <v/>
      </c>
      <c r="B13" s="27">
        <f>IF($A13="","",VLOOKUP($A13,CoachRoster!$A:$E,2,FALSE))</f>
        <v/>
      </c>
      <c r="C13" s="27">
        <f>IF($A13="","",VLOOKUP($A13,CoachRoster!$A:$E,3,FALSE))</f>
        <v/>
      </c>
      <c r="D13" s="27">
        <f>IF($A13="","",VLOOKUP($A13,CoachRoster!$A:$E,4,FALSE))</f>
        <v/>
      </c>
      <c r="E13" s="27">
        <f>IF($A13="","",MIN(Settings!$B$8,IFERROR(SUMIF(Weekly_Coaching!$B:$B,$A13,Weekly_Coaching!$D:$D),0)+IFERROR(SUMIF(Monthly_Edu!$B:$B,$A13,Monthly_Edu!$D:$D),0)+IFERROR(SUMIF(Monthly_Ops!$B:$B,$A13,Monthly_Ops!$D:$D),0)+IFERROR(SUMIF(Monthly_Mentor!$B:$B,$A13,Monthly_Mentor!$D:$D),0)+IFERROR(SUMIF(Quarterly_Impact!$B:$B,$A13,Quarterly_Impact!$D:$D),0)+IFERROR(SUMIFS(XPLog!$M:$M,XPLog!$B:$B,$A13,XPLog!$J:$J,"Admin"),0)+IFERROR(SUMIFS(XPLog!$M:$M,XPLog!$B:$B,$A13,XPLog!$J:$J,"Seeding"),0)))</f>
        <v/>
      </c>
      <c r="F13" s="27">
        <f>IF($E13="","",LOOKUP($E13, XPBands!B$2:B$10, XPBands!A$2:A$10))</f>
        <v/>
      </c>
      <c r="G13" s="27">
        <f>IF($E13="","", VLOOKUP($F13, XPBands!A$2:G$10, 4, FALSE) + MIN(VLOOKUP($F13, XPBands!A$2:G$10, 5, FALSE) - VLOOKUP($F13, XPBands!A$2:G$10, 4, FALSE), FLOOR(( $E13 - VLOOKUP($F13, XPBands!A$2:G$10, 2, FALSE) ) / VLOOKUP($F13, XPBands!A$2:G$10, 7, FALSE),1)))</f>
        <v/>
      </c>
      <c r="H13" s="27">
        <f>IF($D13="","",VLOOKUP($D13,RoleTitles!$A:$E,3,FALSE))</f>
        <v/>
      </c>
      <c r="I13" s="27">
        <f>IF($D13="","",IF($C13="Greek",VLOOKUP($D13,RoleTitles!$A:$E,4,FALSE),IF($C13="Aesir",VLOOKUP($D13,RoleTitles!$A:$E,5,FALSE),VLOOKUP($D13,RoleTitles!$A:$E,3,FALSE))))</f>
        <v/>
      </c>
      <c r="J13" s="27">
        <f>IF($D13="","",IF($E13&gt;=VLOOKUP($D13,RoleTitles!$A:$B,2,FALSE),"Yes","No"))</f>
        <v/>
      </c>
      <c r="K13" s="27">
        <f>IF($D13="","",IF($D13="T1","T2",IF($D13="T2","T3",IF($D13="T3","T4",IF($D13="T4","T5",IF($D13="T5","T6",IF($D13="T6","T7",IF($D13="T7","T8",IF($D13="T8","T9","")))))))))</f>
        <v/>
      </c>
      <c r="L13" s="28">
        <f>IF($K13="","",MAX(0,VLOOKUP($K13,RoleTitles!$A:$B,2,FALSE)-$E13))</f>
        <v/>
      </c>
    </row>
    <row r="14">
      <c r="A14" s="24">
        <f>IFERROR(INDEX(CoachRoster!$A$2:$A$1000,ROW()-1),"")</f>
        <v/>
      </c>
      <c r="B14" s="27">
        <f>IF($A14="","",VLOOKUP($A14,CoachRoster!$A:$E,2,FALSE))</f>
        <v/>
      </c>
      <c r="C14" s="27">
        <f>IF($A14="","",VLOOKUP($A14,CoachRoster!$A:$E,3,FALSE))</f>
        <v/>
      </c>
      <c r="D14" s="27">
        <f>IF($A14="","",VLOOKUP($A14,CoachRoster!$A:$E,4,FALSE))</f>
        <v/>
      </c>
      <c r="E14" s="27">
        <f>IF($A14="","",MIN(Settings!$B$8,IFERROR(SUMIF(Weekly_Coaching!$B:$B,$A14,Weekly_Coaching!$D:$D),0)+IFERROR(SUMIF(Monthly_Edu!$B:$B,$A14,Monthly_Edu!$D:$D),0)+IFERROR(SUMIF(Monthly_Ops!$B:$B,$A14,Monthly_Ops!$D:$D),0)+IFERROR(SUMIF(Monthly_Mentor!$B:$B,$A14,Monthly_Mentor!$D:$D),0)+IFERROR(SUMIF(Quarterly_Impact!$B:$B,$A14,Quarterly_Impact!$D:$D),0)+IFERROR(SUMIFS(XPLog!$M:$M,XPLog!$B:$B,$A14,XPLog!$J:$J,"Admin"),0)+IFERROR(SUMIFS(XPLog!$M:$M,XPLog!$B:$B,$A14,XPLog!$J:$J,"Seeding"),0)))</f>
        <v/>
      </c>
      <c r="F14" s="27">
        <f>IF($E14="","",LOOKUP($E14, XPBands!B$2:B$10, XPBands!A$2:A$10))</f>
        <v/>
      </c>
      <c r="G14" s="27">
        <f>IF($E14="","", VLOOKUP($F14, XPBands!A$2:G$10, 4, FALSE) + MIN(VLOOKUP($F14, XPBands!A$2:G$10, 5, FALSE) - VLOOKUP($F14, XPBands!A$2:G$10, 4, FALSE), FLOOR(( $E14 - VLOOKUP($F14, XPBands!A$2:G$10, 2, FALSE) ) / VLOOKUP($F14, XPBands!A$2:G$10, 7, FALSE),1)))</f>
        <v/>
      </c>
      <c r="H14" s="27">
        <f>IF($D14="","",VLOOKUP($D14,RoleTitles!$A:$E,3,FALSE))</f>
        <v/>
      </c>
      <c r="I14" s="27">
        <f>IF($D14="","",IF($C14="Greek",VLOOKUP($D14,RoleTitles!$A:$E,4,FALSE),IF($C14="Aesir",VLOOKUP($D14,RoleTitles!$A:$E,5,FALSE),VLOOKUP($D14,RoleTitles!$A:$E,3,FALSE))))</f>
        <v/>
      </c>
      <c r="J14" s="27">
        <f>IF($D14="","",IF($E14&gt;=VLOOKUP($D14,RoleTitles!$A:$B,2,FALSE),"Yes","No"))</f>
        <v/>
      </c>
      <c r="K14" s="27">
        <f>IF($D14="","",IF($D14="T1","T2",IF($D14="T2","T3",IF($D14="T3","T4",IF($D14="T4","T5",IF($D14="T5","T6",IF($D14="T6","T7",IF($D14="T7","T8",IF($D14="T8","T9","")))))))))</f>
        <v/>
      </c>
      <c r="L14" s="28">
        <f>IF($K14="","",MAX(0,VLOOKUP($K14,RoleTitles!$A:$B,2,FALSE)-$E14))</f>
        <v/>
      </c>
    </row>
    <row r="15">
      <c r="A15" s="24">
        <f>IFERROR(INDEX(CoachRoster!$A$2:$A$1000,ROW()-1),"")</f>
        <v/>
      </c>
      <c r="B15" s="27">
        <f>IF($A15="","",VLOOKUP($A15,CoachRoster!$A:$E,2,FALSE))</f>
        <v/>
      </c>
      <c r="C15" s="27">
        <f>IF($A15="","",VLOOKUP($A15,CoachRoster!$A:$E,3,FALSE))</f>
        <v/>
      </c>
      <c r="D15" s="27">
        <f>IF($A15="","",VLOOKUP($A15,CoachRoster!$A:$E,4,FALSE))</f>
        <v/>
      </c>
      <c r="E15" s="27">
        <f>IF($A15="","",MIN(Settings!$B$8,IFERROR(SUMIF(Weekly_Coaching!$B:$B,$A15,Weekly_Coaching!$D:$D),0)+IFERROR(SUMIF(Monthly_Edu!$B:$B,$A15,Monthly_Edu!$D:$D),0)+IFERROR(SUMIF(Monthly_Ops!$B:$B,$A15,Monthly_Ops!$D:$D),0)+IFERROR(SUMIF(Monthly_Mentor!$B:$B,$A15,Monthly_Mentor!$D:$D),0)+IFERROR(SUMIF(Quarterly_Impact!$B:$B,$A15,Quarterly_Impact!$D:$D),0)+IFERROR(SUMIFS(XPLog!$M:$M,XPLog!$B:$B,$A15,XPLog!$J:$J,"Admin"),0)+IFERROR(SUMIFS(XPLog!$M:$M,XPLog!$B:$B,$A15,XPLog!$J:$J,"Seeding"),0)))</f>
        <v/>
      </c>
      <c r="F15" s="27">
        <f>IF($E15="","",LOOKUP($E15, XPBands!B$2:B$10, XPBands!A$2:A$10))</f>
        <v/>
      </c>
      <c r="G15" s="27">
        <f>IF($E15="","", VLOOKUP($F15, XPBands!A$2:G$10, 4, FALSE) + MIN(VLOOKUP($F15, XPBands!A$2:G$10, 5, FALSE) - VLOOKUP($F15, XPBands!A$2:G$10, 4, FALSE), FLOOR(( $E15 - VLOOKUP($F15, XPBands!A$2:G$10, 2, FALSE) ) / VLOOKUP($F15, XPBands!A$2:G$10, 7, FALSE),1)))</f>
        <v/>
      </c>
      <c r="H15" s="27">
        <f>IF($D15="","",VLOOKUP($D15,RoleTitles!$A:$E,3,FALSE))</f>
        <v/>
      </c>
      <c r="I15" s="27">
        <f>IF($D15="","",IF($C15="Greek",VLOOKUP($D15,RoleTitles!$A:$E,4,FALSE),IF($C15="Aesir",VLOOKUP($D15,RoleTitles!$A:$E,5,FALSE),VLOOKUP($D15,RoleTitles!$A:$E,3,FALSE))))</f>
        <v/>
      </c>
      <c r="J15" s="27">
        <f>IF($D15="","",IF($E15&gt;=VLOOKUP($D15,RoleTitles!$A:$B,2,FALSE),"Yes","No"))</f>
        <v/>
      </c>
      <c r="K15" s="27">
        <f>IF($D15="","",IF($D15="T1","T2",IF($D15="T2","T3",IF($D15="T3","T4",IF($D15="T4","T5",IF($D15="T5","T6",IF($D15="T6","T7",IF($D15="T7","T8",IF($D15="T8","T9","")))))))))</f>
        <v/>
      </c>
      <c r="L15" s="28">
        <f>IF($K15="","",MAX(0,VLOOKUP($K15,RoleTitles!$A:$B,2,FALSE)-$E15))</f>
        <v/>
      </c>
    </row>
    <row r="16">
      <c r="A16" s="24">
        <f>IFERROR(INDEX(CoachRoster!$A$2:$A$1000,ROW()-1),"")</f>
        <v/>
      </c>
      <c r="B16" s="27">
        <f>IF($A16="","",VLOOKUP($A16,CoachRoster!$A:$E,2,FALSE))</f>
        <v/>
      </c>
      <c r="C16" s="27">
        <f>IF($A16="","",VLOOKUP($A16,CoachRoster!$A:$E,3,FALSE))</f>
        <v/>
      </c>
      <c r="D16" s="27">
        <f>IF($A16="","",VLOOKUP($A16,CoachRoster!$A:$E,4,FALSE))</f>
        <v/>
      </c>
      <c r="E16" s="27">
        <f>IF($A16="","",MIN(Settings!$B$8,IFERROR(SUMIF(Weekly_Coaching!$B:$B,$A16,Weekly_Coaching!$D:$D),0)+IFERROR(SUMIF(Monthly_Edu!$B:$B,$A16,Monthly_Edu!$D:$D),0)+IFERROR(SUMIF(Monthly_Ops!$B:$B,$A16,Monthly_Ops!$D:$D),0)+IFERROR(SUMIF(Monthly_Mentor!$B:$B,$A16,Monthly_Mentor!$D:$D),0)+IFERROR(SUMIF(Quarterly_Impact!$B:$B,$A16,Quarterly_Impact!$D:$D),0)+IFERROR(SUMIFS(XPLog!$M:$M,XPLog!$B:$B,$A16,XPLog!$J:$J,"Admin"),0)+IFERROR(SUMIFS(XPLog!$M:$M,XPLog!$B:$B,$A16,XPLog!$J:$J,"Seeding"),0)))</f>
        <v/>
      </c>
      <c r="F16" s="27">
        <f>IF($E16="","",LOOKUP($E16, XPBands!B$2:B$10, XPBands!A$2:A$10))</f>
        <v/>
      </c>
      <c r="G16" s="27">
        <f>IF($E16="","", VLOOKUP($F16, XPBands!A$2:G$10, 4, FALSE) + MIN(VLOOKUP($F16, XPBands!A$2:G$10, 5, FALSE) - VLOOKUP($F16, XPBands!A$2:G$10, 4, FALSE), FLOOR(( $E16 - VLOOKUP($F16, XPBands!A$2:G$10, 2, FALSE) ) / VLOOKUP($F16, XPBands!A$2:G$10, 7, FALSE),1)))</f>
        <v/>
      </c>
      <c r="H16" s="27">
        <f>IF($D16="","",VLOOKUP($D16,RoleTitles!$A:$E,3,FALSE))</f>
        <v/>
      </c>
      <c r="I16" s="27">
        <f>IF($D16="","",IF($C16="Greek",VLOOKUP($D16,RoleTitles!$A:$E,4,FALSE),IF($C16="Aesir",VLOOKUP($D16,RoleTitles!$A:$E,5,FALSE),VLOOKUP($D16,RoleTitles!$A:$E,3,FALSE))))</f>
        <v/>
      </c>
      <c r="J16" s="27">
        <f>IF($D16="","",IF($E16&gt;=VLOOKUP($D16,RoleTitles!$A:$B,2,FALSE),"Yes","No"))</f>
        <v/>
      </c>
      <c r="K16" s="27">
        <f>IF($D16="","",IF($D16="T1","T2",IF($D16="T2","T3",IF($D16="T3","T4",IF($D16="T4","T5",IF($D16="T5","T6",IF($D16="T6","T7",IF($D16="T7","T8",IF($D16="T8","T9","")))))))))</f>
        <v/>
      </c>
      <c r="L16" s="28">
        <f>IF($K16="","",MAX(0,VLOOKUP($K16,RoleTitles!$A:$B,2,FALSE)-$E16))</f>
        <v/>
      </c>
    </row>
    <row r="17">
      <c r="A17" s="24">
        <f>IFERROR(INDEX(CoachRoster!$A$2:$A$1000,ROW()-1),"")</f>
        <v/>
      </c>
      <c r="B17" s="27">
        <f>IF($A17="","",VLOOKUP($A17,CoachRoster!$A:$E,2,FALSE))</f>
        <v/>
      </c>
      <c r="C17" s="27">
        <f>IF($A17="","",VLOOKUP($A17,CoachRoster!$A:$E,3,FALSE))</f>
        <v/>
      </c>
      <c r="D17" s="27">
        <f>IF($A17="","",VLOOKUP($A17,CoachRoster!$A:$E,4,FALSE))</f>
        <v/>
      </c>
      <c r="E17" s="27">
        <f>IF($A17="","",MIN(Settings!$B$8,IFERROR(SUMIF(Weekly_Coaching!$B:$B,$A17,Weekly_Coaching!$D:$D),0)+IFERROR(SUMIF(Monthly_Edu!$B:$B,$A17,Monthly_Edu!$D:$D),0)+IFERROR(SUMIF(Monthly_Ops!$B:$B,$A17,Monthly_Ops!$D:$D),0)+IFERROR(SUMIF(Monthly_Mentor!$B:$B,$A17,Monthly_Mentor!$D:$D),0)+IFERROR(SUMIF(Quarterly_Impact!$B:$B,$A17,Quarterly_Impact!$D:$D),0)+IFERROR(SUMIFS(XPLog!$M:$M,XPLog!$B:$B,$A17,XPLog!$J:$J,"Admin"),0)+IFERROR(SUMIFS(XPLog!$M:$M,XPLog!$B:$B,$A17,XPLog!$J:$J,"Seeding"),0)))</f>
        <v/>
      </c>
      <c r="F17" s="27">
        <f>IF($E17="","",LOOKUP($E17, XPBands!B$2:B$10, XPBands!A$2:A$10))</f>
        <v/>
      </c>
      <c r="G17" s="27">
        <f>IF($E17="","", VLOOKUP($F17, XPBands!A$2:G$10, 4, FALSE) + MIN(VLOOKUP($F17, XPBands!A$2:G$10, 5, FALSE) - VLOOKUP($F17, XPBands!A$2:G$10, 4, FALSE), FLOOR(( $E17 - VLOOKUP($F17, XPBands!A$2:G$10, 2, FALSE) ) / VLOOKUP($F17, XPBands!A$2:G$10, 7, FALSE),1)))</f>
        <v/>
      </c>
      <c r="H17" s="27">
        <f>IF($D17="","",VLOOKUP($D17,RoleTitles!$A:$E,3,FALSE))</f>
        <v/>
      </c>
      <c r="I17" s="27">
        <f>IF($D17="","",IF($C17="Greek",VLOOKUP($D17,RoleTitles!$A:$E,4,FALSE),IF($C17="Aesir",VLOOKUP($D17,RoleTitles!$A:$E,5,FALSE),VLOOKUP($D17,RoleTitles!$A:$E,3,FALSE))))</f>
        <v/>
      </c>
      <c r="J17" s="27">
        <f>IF($D17="","",IF($E17&gt;=VLOOKUP($D17,RoleTitles!$A:$B,2,FALSE),"Yes","No"))</f>
        <v/>
      </c>
      <c r="K17" s="27">
        <f>IF($D17="","",IF($D17="T1","T2",IF($D17="T2","T3",IF($D17="T3","T4",IF($D17="T4","T5",IF($D17="T5","T6",IF($D17="T6","T7",IF($D17="T7","T8",IF($D17="T8","T9","")))))))))</f>
        <v/>
      </c>
      <c r="L17" s="28">
        <f>IF($K17="","",MAX(0,VLOOKUP($K17,RoleTitles!$A:$B,2,FALSE)-$E17))</f>
        <v/>
      </c>
    </row>
    <row r="18">
      <c r="A18" s="24">
        <f>IFERROR(INDEX(CoachRoster!$A$2:$A$1000,ROW()-1),"")</f>
        <v/>
      </c>
      <c r="B18" s="27">
        <f>IF($A18="","",VLOOKUP($A18,CoachRoster!$A:$E,2,FALSE))</f>
        <v/>
      </c>
      <c r="C18" s="27">
        <f>IF($A18="","",VLOOKUP($A18,CoachRoster!$A:$E,3,FALSE))</f>
        <v/>
      </c>
      <c r="D18" s="27">
        <f>IF($A18="","",VLOOKUP($A18,CoachRoster!$A:$E,4,FALSE))</f>
        <v/>
      </c>
      <c r="E18" s="27">
        <f>IF($A18="","",MIN(Settings!$B$8,IFERROR(SUMIF(Weekly_Coaching!$B:$B,$A18,Weekly_Coaching!$D:$D),0)+IFERROR(SUMIF(Monthly_Edu!$B:$B,$A18,Monthly_Edu!$D:$D),0)+IFERROR(SUMIF(Monthly_Ops!$B:$B,$A18,Monthly_Ops!$D:$D),0)+IFERROR(SUMIF(Monthly_Mentor!$B:$B,$A18,Monthly_Mentor!$D:$D),0)+IFERROR(SUMIF(Quarterly_Impact!$B:$B,$A18,Quarterly_Impact!$D:$D),0)+IFERROR(SUMIFS(XPLog!$M:$M,XPLog!$B:$B,$A18,XPLog!$J:$J,"Admin"),0)+IFERROR(SUMIFS(XPLog!$M:$M,XPLog!$B:$B,$A18,XPLog!$J:$J,"Seeding"),0)))</f>
        <v/>
      </c>
      <c r="F18" s="27">
        <f>IF($E18="","",LOOKUP($E18, XPBands!B$2:B$10, XPBands!A$2:A$10))</f>
        <v/>
      </c>
      <c r="G18" s="27">
        <f>IF($E18="","", VLOOKUP($F18, XPBands!A$2:G$10, 4, FALSE) + MIN(VLOOKUP($F18, XPBands!A$2:G$10, 5, FALSE) - VLOOKUP($F18, XPBands!A$2:G$10, 4, FALSE), FLOOR(( $E18 - VLOOKUP($F18, XPBands!A$2:G$10, 2, FALSE) ) / VLOOKUP($F18, XPBands!A$2:G$10, 7, FALSE),1)))</f>
        <v/>
      </c>
      <c r="H18" s="27">
        <f>IF($D18="","",VLOOKUP($D18,RoleTitles!$A:$E,3,FALSE))</f>
        <v/>
      </c>
      <c r="I18" s="27">
        <f>IF($D18="","",IF($C18="Greek",VLOOKUP($D18,RoleTitles!$A:$E,4,FALSE),IF($C18="Aesir",VLOOKUP($D18,RoleTitles!$A:$E,5,FALSE),VLOOKUP($D18,RoleTitles!$A:$E,3,FALSE))))</f>
        <v/>
      </c>
      <c r="J18" s="27">
        <f>IF($D18="","",IF($E18&gt;=VLOOKUP($D18,RoleTitles!$A:$B,2,FALSE),"Yes","No"))</f>
        <v/>
      </c>
      <c r="K18" s="27">
        <f>IF($D18="","",IF($D18="T1","T2",IF($D18="T2","T3",IF($D18="T3","T4",IF($D18="T4","T5",IF($D18="T5","T6",IF($D18="T6","T7",IF($D18="T7","T8",IF($D18="T8","T9","")))))))))</f>
        <v/>
      </c>
      <c r="L18" s="28">
        <f>IF($K18="","",MAX(0,VLOOKUP($K18,RoleTitles!$A:$B,2,FALSE)-$E18))</f>
        <v/>
      </c>
    </row>
    <row r="19">
      <c r="A19" s="24">
        <f>IFERROR(INDEX(CoachRoster!$A$2:$A$1000,ROW()-1),"")</f>
        <v/>
      </c>
      <c r="B19" s="27">
        <f>IF($A19="","",VLOOKUP($A19,CoachRoster!$A:$E,2,FALSE))</f>
        <v/>
      </c>
      <c r="C19" s="27">
        <f>IF($A19="","",VLOOKUP($A19,CoachRoster!$A:$E,3,FALSE))</f>
        <v/>
      </c>
      <c r="D19" s="27">
        <f>IF($A19="","",VLOOKUP($A19,CoachRoster!$A:$E,4,FALSE))</f>
        <v/>
      </c>
      <c r="E19" s="27">
        <f>IF($A19="","",MIN(Settings!$B$8,IFERROR(SUMIF(Weekly_Coaching!$B:$B,$A19,Weekly_Coaching!$D:$D),0)+IFERROR(SUMIF(Monthly_Edu!$B:$B,$A19,Monthly_Edu!$D:$D),0)+IFERROR(SUMIF(Monthly_Ops!$B:$B,$A19,Monthly_Ops!$D:$D),0)+IFERROR(SUMIF(Monthly_Mentor!$B:$B,$A19,Monthly_Mentor!$D:$D),0)+IFERROR(SUMIF(Quarterly_Impact!$B:$B,$A19,Quarterly_Impact!$D:$D),0)+IFERROR(SUMIFS(XPLog!$M:$M,XPLog!$B:$B,$A19,XPLog!$J:$J,"Admin"),0)+IFERROR(SUMIFS(XPLog!$M:$M,XPLog!$B:$B,$A19,XPLog!$J:$J,"Seeding"),0)))</f>
        <v/>
      </c>
      <c r="F19" s="27">
        <f>IF($E19="","",LOOKUP($E19, XPBands!B$2:B$10, XPBands!A$2:A$10))</f>
        <v/>
      </c>
      <c r="G19" s="27">
        <f>IF($E19="","", VLOOKUP($F19, XPBands!A$2:G$10, 4, FALSE) + MIN(VLOOKUP($F19, XPBands!A$2:G$10, 5, FALSE) - VLOOKUP($F19, XPBands!A$2:G$10, 4, FALSE), FLOOR(( $E19 - VLOOKUP($F19, XPBands!A$2:G$10, 2, FALSE) ) / VLOOKUP($F19, XPBands!A$2:G$10, 7, FALSE),1)))</f>
        <v/>
      </c>
      <c r="H19" s="27">
        <f>IF($D19="","",VLOOKUP($D19,RoleTitles!$A:$E,3,FALSE))</f>
        <v/>
      </c>
      <c r="I19" s="27">
        <f>IF($D19="","",IF($C19="Greek",VLOOKUP($D19,RoleTitles!$A:$E,4,FALSE),IF($C19="Aesir",VLOOKUP($D19,RoleTitles!$A:$E,5,FALSE),VLOOKUP($D19,RoleTitles!$A:$E,3,FALSE))))</f>
        <v/>
      </c>
      <c r="J19" s="27">
        <f>IF($D19="","",IF($E19&gt;=VLOOKUP($D19,RoleTitles!$A:$B,2,FALSE),"Yes","No"))</f>
        <v/>
      </c>
      <c r="K19" s="27">
        <f>IF($D19="","",IF($D19="T1","T2",IF($D19="T2","T3",IF($D19="T3","T4",IF($D19="T4","T5",IF($D19="T5","T6",IF($D19="T6","T7",IF($D19="T7","T8",IF($D19="T8","T9","")))))))))</f>
        <v/>
      </c>
      <c r="L19" s="28">
        <f>IF($K19="","",MAX(0,VLOOKUP($K19,RoleTitles!$A:$B,2,FALSE)-$E19))</f>
        <v/>
      </c>
    </row>
    <row r="20">
      <c r="A20" s="24">
        <f>IFERROR(INDEX(CoachRoster!$A$2:$A$1000,ROW()-1),"")</f>
        <v/>
      </c>
      <c r="B20" s="27">
        <f>IF($A20="","",VLOOKUP($A20,CoachRoster!$A:$E,2,FALSE))</f>
        <v/>
      </c>
      <c r="C20" s="27">
        <f>IF($A20="","",VLOOKUP($A20,CoachRoster!$A:$E,3,FALSE))</f>
        <v/>
      </c>
      <c r="D20" s="27">
        <f>IF($A20="","",VLOOKUP($A20,CoachRoster!$A:$E,4,FALSE))</f>
        <v/>
      </c>
      <c r="E20" s="27">
        <f>IF($A20="","",MIN(Settings!$B$8,IFERROR(SUMIF(Weekly_Coaching!$B:$B,$A20,Weekly_Coaching!$D:$D),0)+IFERROR(SUMIF(Monthly_Edu!$B:$B,$A20,Monthly_Edu!$D:$D),0)+IFERROR(SUMIF(Monthly_Ops!$B:$B,$A20,Monthly_Ops!$D:$D),0)+IFERROR(SUMIF(Monthly_Mentor!$B:$B,$A20,Monthly_Mentor!$D:$D),0)+IFERROR(SUMIF(Quarterly_Impact!$B:$B,$A20,Quarterly_Impact!$D:$D),0)+IFERROR(SUMIFS(XPLog!$M:$M,XPLog!$B:$B,$A20,XPLog!$J:$J,"Admin"),0)+IFERROR(SUMIFS(XPLog!$M:$M,XPLog!$B:$B,$A20,XPLog!$J:$J,"Seeding"),0)))</f>
        <v/>
      </c>
      <c r="F20" s="27">
        <f>IF($E20="","",LOOKUP($E20, XPBands!B$2:B$10, XPBands!A$2:A$10))</f>
        <v/>
      </c>
      <c r="G20" s="27">
        <f>IF($E20="","", VLOOKUP($F20, XPBands!A$2:G$10, 4, FALSE) + MIN(VLOOKUP($F20, XPBands!A$2:G$10, 5, FALSE) - VLOOKUP($F20, XPBands!A$2:G$10, 4, FALSE), FLOOR(( $E20 - VLOOKUP($F20, XPBands!A$2:G$10, 2, FALSE) ) / VLOOKUP($F20, XPBands!A$2:G$10, 7, FALSE),1)))</f>
        <v/>
      </c>
      <c r="H20" s="27">
        <f>IF($D20="","",VLOOKUP($D20,RoleTitles!$A:$E,3,FALSE))</f>
        <v/>
      </c>
      <c r="I20" s="27">
        <f>IF($D20="","",IF($C20="Greek",VLOOKUP($D20,RoleTitles!$A:$E,4,FALSE),IF($C20="Aesir",VLOOKUP($D20,RoleTitles!$A:$E,5,FALSE),VLOOKUP($D20,RoleTitles!$A:$E,3,FALSE))))</f>
        <v/>
      </c>
      <c r="J20" s="27">
        <f>IF($D20="","",IF($E20&gt;=VLOOKUP($D20,RoleTitles!$A:$B,2,FALSE),"Yes","No"))</f>
        <v/>
      </c>
      <c r="K20" s="27">
        <f>IF($D20="","",IF($D20="T1","T2",IF($D20="T2","T3",IF($D20="T3","T4",IF($D20="T4","T5",IF($D20="T5","T6",IF($D20="T6","T7",IF($D20="T7","T8",IF($D20="T8","T9","")))))))))</f>
        <v/>
      </c>
      <c r="L20" s="28">
        <f>IF($K20="","",MAX(0,VLOOKUP($K20,RoleTitles!$A:$B,2,FALSE)-$E20))</f>
        <v/>
      </c>
    </row>
    <row r="21">
      <c r="A21" s="24">
        <f>IFERROR(INDEX(CoachRoster!$A$2:$A$1000,ROW()-1),"")</f>
        <v/>
      </c>
      <c r="B21" s="27">
        <f>IF($A21="","",VLOOKUP($A21,CoachRoster!$A:$E,2,FALSE))</f>
        <v/>
      </c>
      <c r="C21" s="27">
        <f>IF($A21="","",VLOOKUP($A21,CoachRoster!$A:$E,3,FALSE))</f>
        <v/>
      </c>
      <c r="D21" s="27">
        <f>IF($A21="","",VLOOKUP($A21,CoachRoster!$A:$E,4,FALSE))</f>
        <v/>
      </c>
      <c r="E21" s="27">
        <f>IF($A21="","",MIN(Settings!$B$8,IFERROR(SUMIF(Weekly_Coaching!$B:$B,$A21,Weekly_Coaching!$D:$D),0)+IFERROR(SUMIF(Monthly_Edu!$B:$B,$A21,Monthly_Edu!$D:$D),0)+IFERROR(SUMIF(Monthly_Ops!$B:$B,$A21,Monthly_Ops!$D:$D),0)+IFERROR(SUMIF(Monthly_Mentor!$B:$B,$A21,Monthly_Mentor!$D:$D),0)+IFERROR(SUMIF(Quarterly_Impact!$B:$B,$A21,Quarterly_Impact!$D:$D),0)+IFERROR(SUMIFS(XPLog!$M:$M,XPLog!$B:$B,$A21,XPLog!$J:$J,"Admin"),0)+IFERROR(SUMIFS(XPLog!$M:$M,XPLog!$B:$B,$A21,XPLog!$J:$J,"Seeding"),0)))</f>
        <v/>
      </c>
      <c r="F21" s="27">
        <f>IF($E21="","",LOOKUP($E21, XPBands!B$2:B$10, XPBands!A$2:A$10))</f>
        <v/>
      </c>
      <c r="G21" s="27">
        <f>IF($E21="","", VLOOKUP($F21, XPBands!A$2:G$10, 4, FALSE) + MIN(VLOOKUP($F21, XPBands!A$2:G$10, 5, FALSE) - VLOOKUP($F21, XPBands!A$2:G$10, 4, FALSE), FLOOR(( $E21 - VLOOKUP($F21, XPBands!A$2:G$10, 2, FALSE) ) / VLOOKUP($F21, XPBands!A$2:G$10, 7, FALSE),1)))</f>
        <v/>
      </c>
      <c r="H21" s="27">
        <f>IF($D21="","",VLOOKUP($D21,RoleTitles!$A:$E,3,FALSE))</f>
        <v/>
      </c>
      <c r="I21" s="27">
        <f>IF($D21="","",IF($C21="Greek",VLOOKUP($D21,RoleTitles!$A:$E,4,FALSE),IF($C21="Aesir",VLOOKUP($D21,RoleTitles!$A:$E,5,FALSE),VLOOKUP($D21,RoleTitles!$A:$E,3,FALSE))))</f>
        <v/>
      </c>
      <c r="J21" s="27">
        <f>IF($D21="","",IF($E21&gt;=VLOOKUP($D21,RoleTitles!$A:$B,2,FALSE),"Yes","No"))</f>
        <v/>
      </c>
      <c r="K21" s="27">
        <f>IF($D21="","",IF($D21="T1","T2",IF($D21="T2","T3",IF($D21="T3","T4",IF($D21="T4","T5",IF($D21="T5","T6",IF($D21="T6","T7",IF($D21="T7","T8",IF($D21="T8","T9","")))))))))</f>
        <v/>
      </c>
      <c r="L21" s="28">
        <f>IF($K21="","",MAX(0,VLOOKUP($K21,RoleTitles!$A:$B,2,FALSE)-$E21))</f>
        <v/>
      </c>
    </row>
    <row r="22">
      <c r="A22" s="24">
        <f>IFERROR(INDEX(CoachRoster!$A$2:$A$1000,ROW()-1),"")</f>
        <v/>
      </c>
      <c r="B22" s="27">
        <f>IF($A22="","",VLOOKUP($A22,CoachRoster!$A:$E,2,FALSE))</f>
        <v/>
      </c>
      <c r="C22" s="27">
        <f>IF($A22="","",VLOOKUP($A22,CoachRoster!$A:$E,3,FALSE))</f>
        <v/>
      </c>
      <c r="D22" s="27">
        <f>IF($A22="","",VLOOKUP($A22,CoachRoster!$A:$E,4,FALSE))</f>
        <v/>
      </c>
      <c r="E22" s="27">
        <f>IF($A22="","",MIN(Settings!$B$8,IFERROR(SUMIF(Weekly_Coaching!$B:$B,$A22,Weekly_Coaching!$D:$D),0)+IFERROR(SUMIF(Monthly_Edu!$B:$B,$A22,Monthly_Edu!$D:$D),0)+IFERROR(SUMIF(Monthly_Ops!$B:$B,$A22,Monthly_Ops!$D:$D),0)+IFERROR(SUMIF(Monthly_Mentor!$B:$B,$A22,Monthly_Mentor!$D:$D),0)+IFERROR(SUMIF(Quarterly_Impact!$B:$B,$A22,Quarterly_Impact!$D:$D),0)+IFERROR(SUMIFS(XPLog!$M:$M,XPLog!$B:$B,$A22,XPLog!$J:$J,"Admin"),0)+IFERROR(SUMIFS(XPLog!$M:$M,XPLog!$B:$B,$A22,XPLog!$J:$J,"Seeding"),0)))</f>
        <v/>
      </c>
      <c r="F22" s="27">
        <f>IF($E22="","",LOOKUP($E22, XPBands!B$2:B$10, XPBands!A$2:A$10))</f>
        <v/>
      </c>
      <c r="G22" s="27">
        <f>IF($E22="","", VLOOKUP($F22, XPBands!A$2:G$10, 4, FALSE) + MIN(VLOOKUP($F22, XPBands!A$2:G$10, 5, FALSE) - VLOOKUP($F22, XPBands!A$2:G$10, 4, FALSE), FLOOR(( $E22 - VLOOKUP($F22, XPBands!A$2:G$10, 2, FALSE) ) / VLOOKUP($F22, XPBands!A$2:G$10, 7, FALSE),1)))</f>
        <v/>
      </c>
      <c r="H22" s="27">
        <f>IF($D22="","",VLOOKUP($D22,RoleTitles!$A:$E,3,FALSE))</f>
        <v/>
      </c>
      <c r="I22" s="27">
        <f>IF($D22="","",IF($C22="Greek",VLOOKUP($D22,RoleTitles!$A:$E,4,FALSE),IF($C22="Aesir",VLOOKUP($D22,RoleTitles!$A:$E,5,FALSE),VLOOKUP($D22,RoleTitles!$A:$E,3,FALSE))))</f>
        <v/>
      </c>
      <c r="J22" s="27">
        <f>IF($D22="","",IF($E22&gt;=VLOOKUP($D22,RoleTitles!$A:$B,2,FALSE),"Yes","No"))</f>
        <v/>
      </c>
      <c r="K22" s="27">
        <f>IF($D22="","",IF($D22="T1","T2",IF($D22="T2","T3",IF($D22="T3","T4",IF($D22="T4","T5",IF($D22="T5","T6",IF($D22="T6","T7",IF($D22="T7","T8",IF($D22="T8","T9","")))))))))</f>
        <v/>
      </c>
      <c r="L22" s="28">
        <f>IF($K22="","",MAX(0,VLOOKUP($K22,RoleTitles!$A:$B,2,FALSE)-$E22))</f>
        <v/>
      </c>
    </row>
    <row r="23">
      <c r="A23" s="24">
        <f>IFERROR(INDEX(CoachRoster!$A$2:$A$1000,ROW()-1),"")</f>
        <v/>
      </c>
      <c r="B23" s="27">
        <f>IF($A23="","",VLOOKUP($A23,CoachRoster!$A:$E,2,FALSE))</f>
        <v/>
      </c>
      <c r="C23" s="27">
        <f>IF($A23="","",VLOOKUP($A23,CoachRoster!$A:$E,3,FALSE))</f>
        <v/>
      </c>
      <c r="D23" s="27">
        <f>IF($A23="","",VLOOKUP($A23,CoachRoster!$A:$E,4,FALSE))</f>
        <v/>
      </c>
      <c r="E23" s="27">
        <f>IF($A23="","",MIN(Settings!$B$8,IFERROR(SUMIF(Weekly_Coaching!$B:$B,$A23,Weekly_Coaching!$D:$D),0)+IFERROR(SUMIF(Monthly_Edu!$B:$B,$A23,Monthly_Edu!$D:$D),0)+IFERROR(SUMIF(Monthly_Ops!$B:$B,$A23,Monthly_Ops!$D:$D),0)+IFERROR(SUMIF(Monthly_Mentor!$B:$B,$A23,Monthly_Mentor!$D:$D),0)+IFERROR(SUMIF(Quarterly_Impact!$B:$B,$A23,Quarterly_Impact!$D:$D),0)+IFERROR(SUMIFS(XPLog!$M:$M,XPLog!$B:$B,$A23,XPLog!$J:$J,"Admin"),0)+IFERROR(SUMIFS(XPLog!$M:$M,XPLog!$B:$B,$A23,XPLog!$J:$J,"Seeding"),0)))</f>
        <v/>
      </c>
      <c r="F23" s="27">
        <f>IF($E23="","",LOOKUP($E23, XPBands!B$2:B$10, XPBands!A$2:A$10))</f>
        <v/>
      </c>
      <c r="G23" s="27">
        <f>IF($E23="","", VLOOKUP($F23, XPBands!A$2:G$10, 4, FALSE) + MIN(VLOOKUP($F23, XPBands!A$2:G$10, 5, FALSE) - VLOOKUP($F23, XPBands!A$2:G$10, 4, FALSE), FLOOR(( $E23 - VLOOKUP($F23, XPBands!A$2:G$10, 2, FALSE) ) / VLOOKUP($F23, XPBands!A$2:G$10, 7, FALSE),1)))</f>
        <v/>
      </c>
      <c r="H23" s="27">
        <f>IF($D23="","",VLOOKUP($D23,RoleTitles!$A:$E,3,FALSE))</f>
        <v/>
      </c>
      <c r="I23" s="27">
        <f>IF($D23="","",IF($C23="Greek",VLOOKUP($D23,RoleTitles!$A:$E,4,FALSE),IF($C23="Aesir",VLOOKUP($D23,RoleTitles!$A:$E,5,FALSE),VLOOKUP($D23,RoleTitles!$A:$E,3,FALSE))))</f>
        <v/>
      </c>
      <c r="J23" s="27">
        <f>IF($D23="","",IF($E23&gt;=VLOOKUP($D23,RoleTitles!$A:$B,2,FALSE),"Yes","No"))</f>
        <v/>
      </c>
      <c r="K23" s="27">
        <f>IF($D23="","",IF($D23="T1","T2",IF($D23="T2","T3",IF($D23="T3","T4",IF($D23="T4","T5",IF($D23="T5","T6",IF($D23="T6","T7",IF($D23="T7","T8",IF($D23="T8","T9","")))))))))</f>
        <v/>
      </c>
      <c r="L23" s="28">
        <f>IF($K23="","",MAX(0,VLOOKUP($K23,RoleTitles!$A:$B,2,FALSE)-$E23))</f>
        <v/>
      </c>
    </row>
    <row r="24">
      <c r="A24" s="24">
        <f>IFERROR(INDEX(CoachRoster!$A$2:$A$1000,ROW()-1),"")</f>
        <v/>
      </c>
      <c r="B24" s="27">
        <f>IF($A24="","",VLOOKUP($A24,CoachRoster!$A:$E,2,FALSE))</f>
        <v/>
      </c>
      <c r="C24" s="27">
        <f>IF($A24="","",VLOOKUP($A24,CoachRoster!$A:$E,3,FALSE))</f>
        <v/>
      </c>
      <c r="D24" s="27">
        <f>IF($A24="","",VLOOKUP($A24,CoachRoster!$A:$E,4,FALSE))</f>
        <v/>
      </c>
      <c r="E24" s="27">
        <f>IF($A24="","",MIN(Settings!$B$8,IFERROR(SUMIF(Weekly_Coaching!$B:$B,$A24,Weekly_Coaching!$D:$D),0)+IFERROR(SUMIF(Monthly_Edu!$B:$B,$A24,Monthly_Edu!$D:$D),0)+IFERROR(SUMIF(Monthly_Ops!$B:$B,$A24,Monthly_Ops!$D:$D),0)+IFERROR(SUMIF(Monthly_Mentor!$B:$B,$A24,Monthly_Mentor!$D:$D),0)+IFERROR(SUMIF(Quarterly_Impact!$B:$B,$A24,Quarterly_Impact!$D:$D),0)+IFERROR(SUMIFS(XPLog!$M:$M,XPLog!$B:$B,$A24,XPLog!$J:$J,"Admin"),0)+IFERROR(SUMIFS(XPLog!$M:$M,XPLog!$B:$B,$A24,XPLog!$J:$J,"Seeding"),0)))</f>
        <v/>
      </c>
      <c r="F24" s="27">
        <f>IF($E24="","",LOOKUP($E24, XPBands!B$2:B$10, XPBands!A$2:A$10))</f>
        <v/>
      </c>
      <c r="G24" s="27">
        <f>IF($E24="","", VLOOKUP($F24, XPBands!A$2:G$10, 4, FALSE) + MIN(VLOOKUP($F24, XPBands!A$2:G$10, 5, FALSE) - VLOOKUP($F24, XPBands!A$2:G$10, 4, FALSE), FLOOR(( $E24 - VLOOKUP($F24, XPBands!A$2:G$10, 2, FALSE) ) / VLOOKUP($F24, XPBands!A$2:G$10, 7, FALSE),1)))</f>
        <v/>
      </c>
      <c r="H24" s="27">
        <f>IF($D24="","",VLOOKUP($D24,RoleTitles!$A:$E,3,FALSE))</f>
        <v/>
      </c>
      <c r="I24" s="27">
        <f>IF($D24="","",IF($C24="Greek",VLOOKUP($D24,RoleTitles!$A:$E,4,FALSE),IF($C24="Aesir",VLOOKUP($D24,RoleTitles!$A:$E,5,FALSE),VLOOKUP($D24,RoleTitles!$A:$E,3,FALSE))))</f>
        <v/>
      </c>
      <c r="J24" s="27">
        <f>IF($D24="","",IF($E24&gt;=VLOOKUP($D24,RoleTitles!$A:$B,2,FALSE),"Yes","No"))</f>
        <v/>
      </c>
      <c r="K24" s="27">
        <f>IF($D24="","",IF($D24="T1","T2",IF($D24="T2","T3",IF($D24="T3","T4",IF($D24="T4","T5",IF($D24="T5","T6",IF($D24="T6","T7",IF($D24="T7","T8",IF($D24="T8","T9","")))))))))</f>
        <v/>
      </c>
      <c r="L24" s="28">
        <f>IF($K24="","",MAX(0,VLOOKUP($K24,RoleTitles!$A:$B,2,FALSE)-$E24))</f>
        <v/>
      </c>
    </row>
    <row r="25">
      <c r="A25" s="24">
        <f>IFERROR(INDEX(CoachRoster!$A$2:$A$1000,ROW()-1),"")</f>
        <v/>
      </c>
      <c r="B25" s="27">
        <f>IF($A25="","",VLOOKUP($A25,CoachRoster!$A:$E,2,FALSE))</f>
        <v/>
      </c>
      <c r="C25" s="27">
        <f>IF($A25="","",VLOOKUP($A25,CoachRoster!$A:$E,3,FALSE))</f>
        <v/>
      </c>
      <c r="D25" s="27">
        <f>IF($A25="","",VLOOKUP($A25,CoachRoster!$A:$E,4,FALSE))</f>
        <v/>
      </c>
      <c r="E25" s="27">
        <f>IF($A25="","",MIN(Settings!$B$8,IFERROR(SUMIF(Weekly_Coaching!$B:$B,$A25,Weekly_Coaching!$D:$D),0)+IFERROR(SUMIF(Monthly_Edu!$B:$B,$A25,Monthly_Edu!$D:$D),0)+IFERROR(SUMIF(Monthly_Ops!$B:$B,$A25,Monthly_Ops!$D:$D),0)+IFERROR(SUMIF(Monthly_Mentor!$B:$B,$A25,Monthly_Mentor!$D:$D),0)+IFERROR(SUMIF(Quarterly_Impact!$B:$B,$A25,Quarterly_Impact!$D:$D),0)+IFERROR(SUMIFS(XPLog!$M:$M,XPLog!$B:$B,$A25,XPLog!$J:$J,"Admin"),0)+IFERROR(SUMIFS(XPLog!$M:$M,XPLog!$B:$B,$A25,XPLog!$J:$J,"Seeding"),0)))</f>
        <v/>
      </c>
      <c r="F25" s="27">
        <f>IF($E25="","",LOOKUP($E25, XPBands!B$2:B$10, XPBands!A$2:A$10))</f>
        <v/>
      </c>
      <c r="G25" s="27">
        <f>IF($E25="","", VLOOKUP($F25, XPBands!A$2:G$10, 4, FALSE) + MIN(VLOOKUP($F25, XPBands!A$2:G$10, 5, FALSE) - VLOOKUP($F25, XPBands!A$2:G$10, 4, FALSE), FLOOR(( $E25 - VLOOKUP($F25, XPBands!A$2:G$10, 2, FALSE) ) / VLOOKUP($F25, XPBands!A$2:G$10, 7, FALSE),1)))</f>
        <v/>
      </c>
      <c r="H25" s="27">
        <f>IF($D25="","",VLOOKUP($D25,RoleTitles!$A:$E,3,FALSE))</f>
        <v/>
      </c>
      <c r="I25" s="27">
        <f>IF($D25="","",IF($C25="Greek",VLOOKUP($D25,RoleTitles!$A:$E,4,FALSE),IF($C25="Aesir",VLOOKUP($D25,RoleTitles!$A:$E,5,FALSE),VLOOKUP($D25,RoleTitles!$A:$E,3,FALSE))))</f>
        <v/>
      </c>
      <c r="J25" s="27">
        <f>IF($D25="","",IF($E25&gt;=VLOOKUP($D25,RoleTitles!$A:$B,2,FALSE),"Yes","No"))</f>
        <v/>
      </c>
      <c r="K25" s="27">
        <f>IF($D25="","",IF($D25="T1","T2",IF($D25="T2","T3",IF($D25="T3","T4",IF($D25="T4","T5",IF($D25="T5","T6",IF($D25="T6","T7",IF($D25="T7","T8",IF($D25="T8","T9","")))))))))</f>
        <v/>
      </c>
      <c r="L25" s="28">
        <f>IF($K25="","",MAX(0,VLOOKUP($K25,RoleTitles!$A:$B,2,FALSE)-$E25))</f>
        <v/>
      </c>
    </row>
    <row r="26">
      <c r="A26" s="24">
        <f>IFERROR(INDEX(CoachRoster!$A$2:$A$1000,ROW()-1),"")</f>
        <v/>
      </c>
      <c r="B26" s="27">
        <f>IF($A26="","",VLOOKUP($A26,CoachRoster!$A:$E,2,FALSE))</f>
        <v/>
      </c>
      <c r="C26" s="27">
        <f>IF($A26="","",VLOOKUP($A26,CoachRoster!$A:$E,3,FALSE))</f>
        <v/>
      </c>
      <c r="D26" s="27">
        <f>IF($A26="","",VLOOKUP($A26,CoachRoster!$A:$E,4,FALSE))</f>
        <v/>
      </c>
      <c r="E26" s="27">
        <f>IF($A26="","",MIN(Settings!$B$8,IFERROR(SUMIF(Weekly_Coaching!$B:$B,$A26,Weekly_Coaching!$D:$D),0)+IFERROR(SUMIF(Monthly_Edu!$B:$B,$A26,Monthly_Edu!$D:$D),0)+IFERROR(SUMIF(Monthly_Ops!$B:$B,$A26,Monthly_Ops!$D:$D),0)+IFERROR(SUMIF(Monthly_Mentor!$B:$B,$A26,Monthly_Mentor!$D:$D),0)+IFERROR(SUMIF(Quarterly_Impact!$B:$B,$A26,Quarterly_Impact!$D:$D),0)+IFERROR(SUMIFS(XPLog!$M:$M,XPLog!$B:$B,$A26,XPLog!$J:$J,"Admin"),0)+IFERROR(SUMIFS(XPLog!$M:$M,XPLog!$B:$B,$A26,XPLog!$J:$J,"Seeding"),0)))</f>
        <v/>
      </c>
      <c r="F26" s="27">
        <f>IF($E26="","",LOOKUP($E26, XPBands!B$2:B$10, XPBands!A$2:A$10))</f>
        <v/>
      </c>
      <c r="G26" s="27">
        <f>IF($E26="","", VLOOKUP($F26, XPBands!A$2:G$10, 4, FALSE) + MIN(VLOOKUP($F26, XPBands!A$2:G$10, 5, FALSE) - VLOOKUP($F26, XPBands!A$2:G$10, 4, FALSE), FLOOR(( $E26 - VLOOKUP($F26, XPBands!A$2:G$10, 2, FALSE) ) / VLOOKUP($F26, XPBands!A$2:G$10, 7, FALSE),1)))</f>
        <v/>
      </c>
      <c r="H26" s="27">
        <f>IF($D26="","",VLOOKUP($D26,RoleTitles!$A:$E,3,FALSE))</f>
        <v/>
      </c>
      <c r="I26" s="27">
        <f>IF($D26="","",IF($C26="Greek",VLOOKUP($D26,RoleTitles!$A:$E,4,FALSE),IF($C26="Aesir",VLOOKUP($D26,RoleTitles!$A:$E,5,FALSE),VLOOKUP($D26,RoleTitles!$A:$E,3,FALSE))))</f>
        <v/>
      </c>
      <c r="J26" s="27">
        <f>IF($D26="","",IF($E26&gt;=VLOOKUP($D26,RoleTitles!$A:$B,2,FALSE),"Yes","No"))</f>
        <v/>
      </c>
      <c r="K26" s="27">
        <f>IF($D26="","",IF($D26="T1","T2",IF($D26="T2","T3",IF($D26="T3","T4",IF($D26="T4","T5",IF($D26="T5","T6",IF($D26="T6","T7",IF($D26="T7","T8",IF($D26="T8","T9","")))))))))</f>
        <v/>
      </c>
      <c r="L26" s="28">
        <f>IF($K26="","",MAX(0,VLOOKUP($K26,RoleTitles!$A:$B,2,FALSE)-$E26))</f>
        <v/>
      </c>
    </row>
    <row r="27">
      <c r="A27" s="24">
        <f>IFERROR(INDEX(CoachRoster!$A$2:$A$1000,ROW()-1),"")</f>
        <v/>
      </c>
      <c r="B27" s="27">
        <f>IF($A27="","",VLOOKUP($A27,CoachRoster!$A:$E,2,FALSE))</f>
        <v/>
      </c>
      <c r="C27" s="27">
        <f>IF($A27="","",VLOOKUP($A27,CoachRoster!$A:$E,3,FALSE))</f>
        <v/>
      </c>
      <c r="D27" s="27">
        <f>IF($A27="","",VLOOKUP($A27,CoachRoster!$A:$E,4,FALSE))</f>
        <v/>
      </c>
      <c r="E27" s="27">
        <f>IF($A27="","",MIN(Settings!$B$8,IFERROR(SUMIF(Weekly_Coaching!$B:$B,$A27,Weekly_Coaching!$D:$D),0)+IFERROR(SUMIF(Monthly_Edu!$B:$B,$A27,Monthly_Edu!$D:$D),0)+IFERROR(SUMIF(Monthly_Ops!$B:$B,$A27,Monthly_Ops!$D:$D),0)+IFERROR(SUMIF(Monthly_Mentor!$B:$B,$A27,Monthly_Mentor!$D:$D),0)+IFERROR(SUMIF(Quarterly_Impact!$B:$B,$A27,Quarterly_Impact!$D:$D),0)+IFERROR(SUMIFS(XPLog!$M:$M,XPLog!$B:$B,$A27,XPLog!$J:$J,"Admin"),0)+IFERROR(SUMIFS(XPLog!$M:$M,XPLog!$B:$B,$A27,XPLog!$J:$J,"Seeding"),0)))</f>
        <v/>
      </c>
      <c r="F27" s="27">
        <f>IF($E27="","",LOOKUP($E27, XPBands!B$2:B$10, XPBands!A$2:A$10))</f>
        <v/>
      </c>
      <c r="G27" s="27">
        <f>IF($E27="","", VLOOKUP($F27, XPBands!A$2:G$10, 4, FALSE) + MIN(VLOOKUP($F27, XPBands!A$2:G$10, 5, FALSE) - VLOOKUP($F27, XPBands!A$2:G$10, 4, FALSE), FLOOR(( $E27 - VLOOKUP($F27, XPBands!A$2:G$10, 2, FALSE) ) / VLOOKUP($F27, XPBands!A$2:G$10, 7, FALSE),1)))</f>
        <v/>
      </c>
      <c r="H27" s="27">
        <f>IF($D27="","",VLOOKUP($D27,RoleTitles!$A:$E,3,FALSE))</f>
        <v/>
      </c>
      <c r="I27" s="27">
        <f>IF($D27="","",IF($C27="Greek",VLOOKUP($D27,RoleTitles!$A:$E,4,FALSE),IF($C27="Aesir",VLOOKUP($D27,RoleTitles!$A:$E,5,FALSE),VLOOKUP($D27,RoleTitles!$A:$E,3,FALSE))))</f>
        <v/>
      </c>
      <c r="J27" s="27">
        <f>IF($D27="","",IF($E27&gt;=VLOOKUP($D27,RoleTitles!$A:$B,2,FALSE),"Yes","No"))</f>
        <v/>
      </c>
      <c r="K27" s="27">
        <f>IF($D27="","",IF($D27="T1","T2",IF($D27="T2","T3",IF($D27="T3","T4",IF($D27="T4","T5",IF($D27="T5","T6",IF($D27="T6","T7",IF($D27="T7","T8",IF($D27="T8","T9","")))))))))</f>
        <v/>
      </c>
      <c r="L27" s="28">
        <f>IF($K27="","",MAX(0,VLOOKUP($K27,RoleTitles!$A:$B,2,FALSE)-$E27))</f>
        <v/>
      </c>
    </row>
    <row r="28">
      <c r="A28" s="24">
        <f>IFERROR(INDEX(CoachRoster!$A$2:$A$1000,ROW()-1),"")</f>
        <v/>
      </c>
      <c r="B28" s="27">
        <f>IF($A28="","",VLOOKUP($A28,CoachRoster!$A:$E,2,FALSE))</f>
        <v/>
      </c>
      <c r="C28" s="27">
        <f>IF($A28="","",VLOOKUP($A28,CoachRoster!$A:$E,3,FALSE))</f>
        <v/>
      </c>
      <c r="D28" s="27">
        <f>IF($A28="","",VLOOKUP($A28,CoachRoster!$A:$E,4,FALSE))</f>
        <v/>
      </c>
      <c r="E28" s="27">
        <f>IF($A28="","",MIN(Settings!$B$8,IFERROR(SUMIF(Weekly_Coaching!$B:$B,$A28,Weekly_Coaching!$D:$D),0)+IFERROR(SUMIF(Monthly_Edu!$B:$B,$A28,Monthly_Edu!$D:$D),0)+IFERROR(SUMIF(Monthly_Ops!$B:$B,$A28,Monthly_Ops!$D:$D),0)+IFERROR(SUMIF(Monthly_Mentor!$B:$B,$A28,Monthly_Mentor!$D:$D),0)+IFERROR(SUMIF(Quarterly_Impact!$B:$B,$A28,Quarterly_Impact!$D:$D),0)+IFERROR(SUMIFS(XPLog!$M:$M,XPLog!$B:$B,$A28,XPLog!$J:$J,"Admin"),0)+IFERROR(SUMIFS(XPLog!$M:$M,XPLog!$B:$B,$A28,XPLog!$J:$J,"Seeding"),0)))</f>
        <v/>
      </c>
      <c r="F28" s="27">
        <f>IF($E28="","",LOOKUP($E28, XPBands!B$2:B$10, XPBands!A$2:A$10))</f>
        <v/>
      </c>
      <c r="G28" s="27">
        <f>IF($E28="","", VLOOKUP($F28, XPBands!A$2:G$10, 4, FALSE) + MIN(VLOOKUP($F28, XPBands!A$2:G$10, 5, FALSE) - VLOOKUP($F28, XPBands!A$2:G$10, 4, FALSE), FLOOR(( $E28 - VLOOKUP($F28, XPBands!A$2:G$10, 2, FALSE) ) / VLOOKUP($F28, XPBands!A$2:G$10, 7, FALSE),1)))</f>
        <v/>
      </c>
      <c r="H28" s="27">
        <f>IF($D28="","",VLOOKUP($D28,RoleTitles!$A:$E,3,FALSE))</f>
        <v/>
      </c>
      <c r="I28" s="27">
        <f>IF($D28="","",IF($C28="Greek",VLOOKUP($D28,RoleTitles!$A:$E,4,FALSE),IF($C28="Aesir",VLOOKUP($D28,RoleTitles!$A:$E,5,FALSE),VLOOKUP($D28,RoleTitles!$A:$E,3,FALSE))))</f>
        <v/>
      </c>
      <c r="J28" s="27">
        <f>IF($D28="","",IF($E28&gt;=VLOOKUP($D28,RoleTitles!$A:$B,2,FALSE),"Yes","No"))</f>
        <v/>
      </c>
      <c r="K28" s="27">
        <f>IF($D28="","",IF($D28="T1","T2",IF($D28="T2","T3",IF($D28="T3","T4",IF($D28="T4","T5",IF($D28="T5","T6",IF($D28="T6","T7",IF($D28="T7","T8",IF($D28="T8","T9","")))))))))</f>
        <v/>
      </c>
      <c r="L28" s="28">
        <f>IF($K28="","",MAX(0,VLOOKUP($K28,RoleTitles!$A:$B,2,FALSE)-$E28))</f>
        <v/>
      </c>
    </row>
    <row r="29">
      <c r="A29" s="24">
        <f>IFERROR(INDEX(CoachRoster!$A$2:$A$1000,ROW()-1),"")</f>
        <v/>
      </c>
      <c r="B29" s="27">
        <f>IF($A29="","",VLOOKUP($A29,CoachRoster!$A:$E,2,FALSE))</f>
        <v/>
      </c>
      <c r="C29" s="27">
        <f>IF($A29="","",VLOOKUP($A29,CoachRoster!$A:$E,3,FALSE))</f>
        <v/>
      </c>
      <c r="D29" s="27">
        <f>IF($A29="","",VLOOKUP($A29,CoachRoster!$A:$E,4,FALSE))</f>
        <v/>
      </c>
      <c r="E29" s="27">
        <f>IF($A29="","",MIN(Settings!$B$8,IFERROR(SUMIF(Weekly_Coaching!$B:$B,$A29,Weekly_Coaching!$D:$D),0)+IFERROR(SUMIF(Monthly_Edu!$B:$B,$A29,Monthly_Edu!$D:$D),0)+IFERROR(SUMIF(Monthly_Ops!$B:$B,$A29,Monthly_Ops!$D:$D),0)+IFERROR(SUMIF(Monthly_Mentor!$B:$B,$A29,Monthly_Mentor!$D:$D),0)+IFERROR(SUMIF(Quarterly_Impact!$B:$B,$A29,Quarterly_Impact!$D:$D),0)+IFERROR(SUMIFS(XPLog!$M:$M,XPLog!$B:$B,$A29,XPLog!$J:$J,"Admin"),0)+IFERROR(SUMIFS(XPLog!$M:$M,XPLog!$B:$B,$A29,XPLog!$J:$J,"Seeding"),0)))</f>
        <v/>
      </c>
      <c r="F29" s="27">
        <f>IF($E29="","",LOOKUP($E29, XPBands!B$2:B$10, XPBands!A$2:A$10))</f>
        <v/>
      </c>
      <c r="G29" s="27">
        <f>IF($E29="","", VLOOKUP($F29, XPBands!A$2:G$10, 4, FALSE) + MIN(VLOOKUP($F29, XPBands!A$2:G$10, 5, FALSE) - VLOOKUP($F29, XPBands!A$2:G$10, 4, FALSE), FLOOR(( $E29 - VLOOKUP($F29, XPBands!A$2:G$10, 2, FALSE) ) / VLOOKUP($F29, XPBands!A$2:G$10, 7, FALSE),1)))</f>
        <v/>
      </c>
      <c r="H29" s="27">
        <f>IF($D29="","",VLOOKUP($D29,RoleTitles!$A:$E,3,FALSE))</f>
        <v/>
      </c>
      <c r="I29" s="27">
        <f>IF($D29="","",IF($C29="Greek",VLOOKUP($D29,RoleTitles!$A:$E,4,FALSE),IF($C29="Aesir",VLOOKUP($D29,RoleTitles!$A:$E,5,FALSE),VLOOKUP($D29,RoleTitles!$A:$E,3,FALSE))))</f>
        <v/>
      </c>
      <c r="J29" s="27">
        <f>IF($D29="","",IF($E29&gt;=VLOOKUP($D29,RoleTitles!$A:$B,2,FALSE),"Yes","No"))</f>
        <v/>
      </c>
      <c r="K29" s="27">
        <f>IF($D29="","",IF($D29="T1","T2",IF($D29="T2","T3",IF($D29="T3","T4",IF($D29="T4","T5",IF($D29="T5","T6",IF($D29="T6","T7",IF($D29="T7","T8",IF($D29="T8","T9","")))))))))</f>
        <v/>
      </c>
      <c r="L29" s="28">
        <f>IF($K29="","",MAX(0,VLOOKUP($K29,RoleTitles!$A:$B,2,FALSE)-$E29))</f>
        <v/>
      </c>
    </row>
    <row r="30">
      <c r="A30" s="24">
        <f>IFERROR(INDEX(CoachRoster!$A$2:$A$1000,ROW()-1),"")</f>
        <v/>
      </c>
      <c r="B30" s="27">
        <f>IF($A30="","",VLOOKUP($A30,CoachRoster!$A:$E,2,FALSE))</f>
        <v/>
      </c>
      <c r="C30" s="27">
        <f>IF($A30="","",VLOOKUP($A30,CoachRoster!$A:$E,3,FALSE))</f>
        <v/>
      </c>
      <c r="D30" s="27">
        <f>IF($A30="","",VLOOKUP($A30,CoachRoster!$A:$E,4,FALSE))</f>
        <v/>
      </c>
      <c r="E30" s="27">
        <f>IF($A30="","",MIN(Settings!$B$8,IFERROR(SUMIF(Weekly_Coaching!$B:$B,$A30,Weekly_Coaching!$D:$D),0)+IFERROR(SUMIF(Monthly_Edu!$B:$B,$A30,Monthly_Edu!$D:$D),0)+IFERROR(SUMIF(Monthly_Ops!$B:$B,$A30,Monthly_Ops!$D:$D),0)+IFERROR(SUMIF(Monthly_Mentor!$B:$B,$A30,Monthly_Mentor!$D:$D),0)+IFERROR(SUMIF(Quarterly_Impact!$B:$B,$A30,Quarterly_Impact!$D:$D),0)+IFERROR(SUMIFS(XPLog!$M:$M,XPLog!$B:$B,$A30,XPLog!$J:$J,"Admin"),0)+IFERROR(SUMIFS(XPLog!$M:$M,XPLog!$B:$B,$A30,XPLog!$J:$J,"Seeding"),0)))</f>
        <v/>
      </c>
      <c r="F30" s="27">
        <f>IF($E30="","",LOOKUP($E30, XPBands!B$2:B$10, XPBands!A$2:A$10))</f>
        <v/>
      </c>
      <c r="G30" s="27">
        <f>IF($E30="","", VLOOKUP($F30, XPBands!A$2:G$10, 4, FALSE) + MIN(VLOOKUP($F30, XPBands!A$2:G$10, 5, FALSE) - VLOOKUP($F30, XPBands!A$2:G$10, 4, FALSE), FLOOR(( $E30 - VLOOKUP($F30, XPBands!A$2:G$10, 2, FALSE) ) / VLOOKUP($F30, XPBands!A$2:G$10, 7, FALSE),1)))</f>
        <v/>
      </c>
      <c r="H30" s="27">
        <f>IF($D30="","",VLOOKUP($D30,RoleTitles!$A:$E,3,FALSE))</f>
        <v/>
      </c>
      <c r="I30" s="27">
        <f>IF($D30="","",IF($C30="Greek",VLOOKUP($D30,RoleTitles!$A:$E,4,FALSE),IF($C30="Aesir",VLOOKUP($D30,RoleTitles!$A:$E,5,FALSE),VLOOKUP($D30,RoleTitles!$A:$E,3,FALSE))))</f>
        <v/>
      </c>
      <c r="J30" s="27">
        <f>IF($D30="","",IF($E30&gt;=VLOOKUP($D30,RoleTitles!$A:$B,2,FALSE),"Yes","No"))</f>
        <v/>
      </c>
      <c r="K30" s="27">
        <f>IF($D30="","",IF($D30="T1","T2",IF($D30="T2","T3",IF($D30="T3","T4",IF($D30="T4","T5",IF($D30="T5","T6",IF($D30="T6","T7",IF($D30="T7","T8",IF($D30="T8","T9","")))))))))</f>
        <v/>
      </c>
      <c r="L30" s="28">
        <f>IF($K30="","",MAX(0,VLOOKUP($K30,RoleTitles!$A:$B,2,FALSE)-$E30))</f>
        <v/>
      </c>
    </row>
    <row r="31">
      <c r="A31" s="24">
        <f>IFERROR(INDEX(CoachRoster!$A$2:$A$1000,ROW()-1),"")</f>
        <v/>
      </c>
      <c r="B31" s="27">
        <f>IF($A31="","",VLOOKUP($A31,CoachRoster!$A:$E,2,FALSE))</f>
        <v/>
      </c>
      <c r="C31" s="27">
        <f>IF($A31="","",VLOOKUP($A31,CoachRoster!$A:$E,3,FALSE))</f>
        <v/>
      </c>
      <c r="D31" s="27">
        <f>IF($A31="","",VLOOKUP($A31,CoachRoster!$A:$E,4,FALSE))</f>
        <v/>
      </c>
      <c r="E31" s="27">
        <f>IF($A31="","",MIN(Settings!$B$8,IFERROR(SUMIF(Weekly_Coaching!$B:$B,$A31,Weekly_Coaching!$D:$D),0)+IFERROR(SUMIF(Monthly_Edu!$B:$B,$A31,Monthly_Edu!$D:$D),0)+IFERROR(SUMIF(Monthly_Ops!$B:$B,$A31,Monthly_Ops!$D:$D),0)+IFERROR(SUMIF(Monthly_Mentor!$B:$B,$A31,Monthly_Mentor!$D:$D),0)+IFERROR(SUMIF(Quarterly_Impact!$B:$B,$A31,Quarterly_Impact!$D:$D),0)+IFERROR(SUMIFS(XPLog!$M:$M,XPLog!$B:$B,$A31,XPLog!$J:$J,"Admin"),0)+IFERROR(SUMIFS(XPLog!$M:$M,XPLog!$B:$B,$A31,XPLog!$J:$J,"Seeding"),0)))</f>
        <v/>
      </c>
      <c r="F31" s="27">
        <f>IF($E31="","",LOOKUP($E31, XPBands!B$2:B$10, XPBands!A$2:A$10))</f>
        <v/>
      </c>
      <c r="G31" s="27">
        <f>IF($E31="","", VLOOKUP($F31, XPBands!A$2:G$10, 4, FALSE) + MIN(VLOOKUP($F31, XPBands!A$2:G$10, 5, FALSE) - VLOOKUP($F31, XPBands!A$2:G$10, 4, FALSE), FLOOR(( $E31 - VLOOKUP($F31, XPBands!A$2:G$10, 2, FALSE) ) / VLOOKUP($F31, XPBands!A$2:G$10, 7, FALSE),1)))</f>
        <v/>
      </c>
      <c r="H31" s="27">
        <f>IF($D31="","",VLOOKUP($D31,RoleTitles!$A:$E,3,FALSE))</f>
        <v/>
      </c>
      <c r="I31" s="27">
        <f>IF($D31="","",IF($C31="Greek",VLOOKUP($D31,RoleTitles!$A:$E,4,FALSE),IF($C31="Aesir",VLOOKUP($D31,RoleTitles!$A:$E,5,FALSE),VLOOKUP($D31,RoleTitles!$A:$E,3,FALSE))))</f>
        <v/>
      </c>
      <c r="J31" s="27">
        <f>IF($D31="","",IF($E31&gt;=VLOOKUP($D31,RoleTitles!$A:$B,2,FALSE),"Yes","No"))</f>
        <v/>
      </c>
      <c r="K31" s="27">
        <f>IF($D31="","",IF($D31="T1","T2",IF($D31="T2","T3",IF($D31="T3","T4",IF($D31="T4","T5",IF($D31="T5","T6",IF($D31="T6","T7",IF($D31="T7","T8",IF($D31="T8","T9","")))))))))</f>
        <v/>
      </c>
      <c r="L31" s="28">
        <f>IF($K31="","",MAX(0,VLOOKUP($K31,RoleTitles!$A:$B,2,FALSE)-$E31))</f>
        <v/>
      </c>
    </row>
    <row r="32">
      <c r="A32" s="24">
        <f>IFERROR(INDEX(CoachRoster!$A$2:$A$1000,ROW()-1),"")</f>
        <v/>
      </c>
      <c r="B32" s="27">
        <f>IF($A32="","",VLOOKUP($A32,CoachRoster!$A:$E,2,FALSE))</f>
        <v/>
      </c>
      <c r="C32" s="27">
        <f>IF($A32="","",VLOOKUP($A32,CoachRoster!$A:$E,3,FALSE))</f>
        <v/>
      </c>
      <c r="D32" s="27">
        <f>IF($A32="","",VLOOKUP($A32,CoachRoster!$A:$E,4,FALSE))</f>
        <v/>
      </c>
      <c r="E32" s="27">
        <f>IF($A32="","",MIN(Settings!$B$8,IFERROR(SUMIF(Weekly_Coaching!$B:$B,$A32,Weekly_Coaching!$D:$D),0)+IFERROR(SUMIF(Monthly_Edu!$B:$B,$A32,Monthly_Edu!$D:$D),0)+IFERROR(SUMIF(Monthly_Ops!$B:$B,$A32,Monthly_Ops!$D:$D),0)+IFERROR(SUMIF(Monthly_Mentor!$B:$B,$A32,Monthly_Mentor!$D:$D),0)+IFERROR(SUMIF(Quarterly_Impact!$B:$B,$A32,Quarterly_Impact!$D:$D),0)+IFERROR(SUMIFS(XPLog!$M:$M,XPLog!$B:$B,$A32,XPLog!$J:$J,"Admin"),0)+IFERROR(SUMIFS(XPLog!$M:$M,XPLog!$B:$B,$A32,XPLog!$J:$J,"Seeding"),0)))</f>
        <v/>
      </c>
      <c r="F32" s="27">
        <f>IF($E32="","",LOOKUP($E32, XPBands!B$2:B$10, XPBands!A$2:A$10))</f>
        <v/>
      </c>
      <c r="G32" s="27">
        <f>IF($E32="","", VLOOKUP($F32, XPBands!A$2:G$10, 4, FALSE) + MIN(VLOOKUP($F32, XPBands!A$2:G$10, 5, FALSE) - VLOOKUP($F32, XPBands!A$2:G$10, 4, FALSE), FLOOR(( $E32 - VLOOKUP($F32, XPBands!A$2:G$10, 2, FALSE) ) / VLOOKUP($F32, XPBands!A$2:G$10, 7, FALSE),1)))</f>
        <v/>
      </c>
      <c r="H32" s="27">
        <f>IF($D32="","",VLOOKUP($D32,RoleTitles!$A:$E,3,FALSE))</f>
        <v/>
      </c>
      <c r="I32" s="27">
        <f>IF($D32="","",IF($C32="Greek",VLOOKUP($D32,RoleTitles!$A:$E,4,FALSE),IF($C32="Aesir",VLOOKUP($D32,RoleTitles!$A:$E,5,FALSE),VLOOKUP($D32,RoleTitles!$A:$E,3,FALSE))))</f>
        <v/>
      </c>
      <c r="J32" s="27">
        <f>IF($D32="","",IF($E32&gt;=VLOOKUP($D32,RoleTitles!$A:$B,2,FALSE),"Yes","No"))</f>
        <v/>
      </c>
      <c r="K32" s="27">
        <f>IF($D32="","",IF($D32="T1","T2",IF($D32="T2","T3",IF($D32="T3","T4",IF($D32="T4","T5",IF($D32="T5","T6",IF($D32="T6","T7",IF($D32="T7","T8",IF($D32="T8","T9","")))))))))</f>
        <v/>
      </c>
      <c r="L32" s="28">
        <f>IF($K32="","",MAX(0,VLOOKUP($K32,RoleTitles!$A:$B,2,FALSE)-$E32))</f>
        <v/>
      </c>
    </row>
    <row r="33">
      <c r="A33" s="24">
        <f>IFERROR(INDEX(CoachRoster!$A$2:$A$1000,ROW()-1),"")</f>
        <v/>
      </c>
      <c r="B33" s="27">
        <f>IF($A33="","",VLOOKUP($A33,CoachRoster!$A:$E,2,FALSE))</f>
        <v/>
      </c>
      <c r="C33" s="27">
        <f>IF($A33="","",VLOOKUP($A33,CoachRoster!$A:$E,3,FALSE))</f>
        <v/>
      </c>
      <c r="D33" s="27">
        <f>IF($A33="","",VLOOKUP($A33,CoachRoster!$A:$E,4,FALSE))</f>
        <v/>
      </c>
      <c r="E33" s="27">
        <f>IF($A33="","",MIN(Settings!$B$8,IFERROR(SUMIF(Weekly_Coaching!$B:$B,$A33,Weekly_Coaching!$D:$D),0)+IFERROR(SUMIF(Monthly_Edu!$B:$B,$A33,Monthly_Edu!$D:$D),0)+IFERROR(SUMIF(Monthly_Ops!$B:$B,$A33,Monthly_Ops!$D:$D),0)+IFERROR(SUMIF(Monthly_Mentor!$B:$B,$A33,Monthly_Mentor!$D:$D),0)+IFERROR(SUMIF(Quarterly_Impact!$B:$B,$A33,Quarterly_Impact!$D:$D),0)+IFERROR(SUMIFS(XPLog!$M:$M,XPLog!$B:$B,$A33,XPLog!$J:$J,"Admin"),0)+IFERROR(SUMIFS(XPLog!$M:$M,XPLog!$B:$B,$A33,XPLog!$J:$J,"Seeding"),0)))</f>
        <v/>
      </c>
      <c r="F33" s="27">
        <f>IF($E33="","",LOOKUP($E33, XPBands!B$2:B$10, XPBands!A$2:A$10))</f>
        <v/>
      </c>
      <c r="G33" s="27">
        <f>IF($E33="","", VLOOKUP($F33, XPBands!A$2:G$10, 4, FALSE) + MIN(VLOOKUP($F33, XPBands!A$2:G$10, 5, FALSE) - VLOOKUP($F33, XPBands!A$2:G$10, 4, FALSE), FLOOR(( $E33 - VLOOKUP($F33, XPBands!A$2:G$10, 2, FALSE) ) / VLOOKUP($F33, XPBands!A$2:G$10, 7, FALSE),1)))</f>
        <v/>
      </c>
      <c r="H33" s="27">
        <f>IF($D33="","",VLOOKUP($D33,RoleTitles!$A:$E,3,FALSE))</f>
        <v/>
      </c>
      <c r="I33" s="27">
        <f>IF($D33="","",IF($C33="Greek",VLOOKUP($D33,RoleTitles!$A:$E,4,FALSE),IF($C33="Aesir",VLOOKUP($D33,RoleTitles!$A:$E,5,FALSE),VLOOKUP($D33,RoleTitles!$A:$E,3,FALSE))))</f>
        <v/>
      </c>
      <c r="J33" s="27">
        <f>IF($D33="","",IF($E33&gt;=VLOOKUP($D33,RoleTitles!$A:$B,2,FALSE),"Yes","No"))</f>
        <v/>
      </c>
      <c r="K33" s="27">
        <f>IF($D33="","",IF($D33="T1","T2",IF($D33="T2","T3",IF($D33="T3","T4",IF($D33="T4","T5",IF($D33="T5","T6",IF($D33="T6","T7",IF($D33="T7","T8",IF($D33="T8","T9","")))))))))</f>
        <v/>
      </c>
      <c r="L33" s="28">
        <f>IF($K33="","",MAX(0,VLOOKUP($K33,RoleTitles!$A:$B,2,FALSE)-$E33))</f>
        <v/>
      </c>
    </row>
    <row r="34">
      <c r="A34" s="24">
        <f>IFERROR(INDEX(CoachRoster!$A$2:$A$1000,ROW()-1),"")</f>
        <v/>
      </c>
      <c r="B34" s="27">
        <f>IF($A34="","",VLOOKUP($A34,CoachRoster!$A:$E,2,FALSE))</f>
        <v/>
      </c>
      <c r="C34" s="27">
        <f>IF($A34="","",VLOOKUP($A34,CoachRoster!$A:$E,3,FALSE))</f>
        <v/>
      </c>
      <c r="D34" s="27">
        <f>IF($A34="","",VLOOKUP($A34,CoachRoster!$A:$E,4,FALSE))</f>
        <v/>
      </c>
      <c r="E34" s="27">
        <f>IF($A34="","",MIN(Settings!$B$8,IFERROR(SUMIF(Weekly_Coaching!$B:$B,$A34,Weekly_Coaching!$D:$D),0)+IFERROR(SUMIF(Monthly_Edu!$B:$B,$A34,Monthly_Edu!$D:$D),0)+IFERROR(SUMIF(Monthly_Ops!$B:$B,$A34,Monthly_Ops!$D:$D),0)+IFERROR(SUMIF(Monthly_Mentor!$B:$B,$A34,Monthly_Mentor!$D:$D),0)+IFERROR(SUMIF(Quarterly_Impact!$B:$B,$A34,Quarterly_Impact!$D:$D),0)+IFERROR(SUMIFS(XPLog!$M:$M,XPLog!$B:$B,$A34,XPLog!$J:$J,"Admin"),0)+IFERROR(SUMIFS(XPLog!$M:$M,XPLog!$B:$B,$A34,XPLog!$J:$J,"Seeding"),0)))</f>
        <v/>
      </c>
      <c r="F34" s="27">
        <f>IF($E34="","",LOOKUP($E34, XPBands!B$2:B$10, XPBands!A$2:A$10))</f>
        <v/>
      </c>
      <c r="G34" s="27">
        <f>IF($E34="","", VLOOKUP($F34, XPBands!A$2:G$10, 4, FALSE) + MIN(VLOOKUP($F34, XPBands!A$2:G$10, 5, FALSE) - VLOOKUP($F34, XPBands!A$2:G$10, 4, FALSE), FLOOR(( $E34 - VLOOKUP($F34, XPBands!A$2:G$10, 2, FALSE) ) / VLOOKUP($F34, XPBands!A$2:G$10, 7, FALSE),1)))</f>
        <v/>
      </c>
      <c r="H34" s="27">
        <f>IF($D34="","",VLOOKUP($D34,RoleTitles!$A:$E,3,FALSE))</f>
        <v/>
      </c>
      <c r="I34" s="27">
        <f>IF($D34="","",IF($C34="Greek",VLOOKUP($D34,RoleTitles!$A:$E,4,FALSE),IF($C34="Aesir",VLOOKUP($D34,RoleTitles!$A:$E,5,FALSE),VLOOKUP($D34,RoleTitles!$A:$E,3,FALSE))))</f>
        <v/>
      </c>
      <c r="J34" s="27">
        <f>IF($D34="","",IF($E34&gt;=VLOOKUP($D34,RoleTitles!$A:$B,2,FALSE),"Yes","No"))</f>
        <v/>
      </c>
      <c r="K34" s="27">
        <f>IF($D34="","",IF($D34="T1","T2",IF($D34="T2","T3",IF($D34="T3","T4",IF($D34="T4","T5",IF($D34="T5","T6",IF($D34="T6","T7",IF($D34="T7","T8",IF($D34="T8","T9","")))))))))</f>
        <v/>
      </c>
      <c r="L34" s="28">
        <f>IF($K34="","",MAX(0,VLOOKUP($K34,RoleTitles!$A:$B,2,FALSE)-$E34))</f>
        <v/>
      </c>
    </row>
    <row r="35">
      <c r="A35" s="24">
        <f>IFERROR(INDEX(CoachRoster!$A$2:$A$1000,ROW()-1),"")</f>
        <v/>
      </c>
      <c r="B35" s="27">
        <f>IF($A35="","",VLOOKUP($A35,CoachRoster!$A:$E,2,FALSE))</f>
        <v/>
      </c>
      <c r="C35" s="27">
        <f>IF($A35="","",VLOOKUP($A35,CoachRoster!$A:$E,3,FALSE))</f>
        <v/>
      </c>
      <c r="D35" s="27">
        <f>IF($A35="","",VLOOKUP($A35,CoachRoster!$A:$E,4,FALSE))</f>
        <v/>
      </c>
      <c r="E35" s="27">
        <f>IF($A35="","",MIN(Settings!$B$8,IFERROR(SUMIF(Weekly_Coaching!$B:$B,$A35,Weekly_Coaching!$D:$D),0)+IFERROR(SUMIF(Monthly_Edu!$B:$B,$A35,Monthly_Edu!$D:$D),0)+IFERROR(SUMIF(Monthly_Ops!$B:$B,$A35,Monthly_Ops!$D:$D),0)+IFERROR(SUMIF(Monthly_Mentor!$B:$B,$A35,Monthly_Mentor!$D:$D),0)+IFERROR(SUMIF(Quarterly_Impact!$B:$B,$A35,Quarterly_Impact!$D:$D),0)+IFERROR(SUMIFS(XPLog!$M:$M,XPLog!$B:$B,$A35,XPLog!$J:$J,"Admin"),0)+IFERROR(SUMIFS(XPLog!$M:$M,XPLog!$B:$B,$A35,XPLog!$J:$J,"Seeding"),0)))</f>
        <v/>
      </c>
      <c r="F35" s="27">
        <f>IF($E35="","",LOOKUP($E35, XPBands!B$2:B$10, XPBands!A$2:A$10))</f>
        <v/>
      </c>
      <c r="G35" s="27">
        <f>IF($E35="","", VLOOKUP($F35, XPBands!A$2:G$10, 4, FALSE) + MIN(VLOOKUP($F35, XPBands!A$2:G$10, 5, FALSE) - VLOOKUP($F35, XPBands!A$2:G$10, 4, FALSE), FLOOR(( $E35 - VLOOKUP($F35, XPBands!A$2:G$10, 2, FALSE) ) / VLOOKUP($F35, XPBands!A$2:G$10, 7, FALSE),1)))</f>
        <v/>
      </c>
      <c r="H35" s="27">
        <f>IF($D35="","",VLOOKUP($D35,RoleTitles!$A:$E,3,FALSE))</f>
        <v/>
      </c>
      <c r="I35" s="27">
        <f>IF($D35="","",IF($C35="Greek",VLOOKUP($D35,RoleTitles!$A:$E,4,FALSE),IF($C35="Aesir",VLOOKUP($D35,RoleTitles!$A:$E,5,FALSE),VLOOKUP($D35,RoleTitles!$A:$E,3,FALSE))))</f>
        <v/>
      </c>
      <c r="J35" s="27">
        <f>IF($D35="","",IF($E35&gt;=VLOOKUP($D35,RoleTitles!$A:$B,2,FALSE),"Yes","No"))</f>
        <v/>
      </c>
      <c r="K35" s="27">
        <f>IF($D35="","",IF($D35="T1","T2",IF($D35="T2","T3",IF($D35="T3","T4",IF($D35="T4","T5",IF($D35="T5","T6",IF($D35="T6","T7",IF($D35="T7","T8",IF($D35="T8","T9","")))))))))</f>
        <v/>
      </c>
      <c r="L35" s="28">
        <f>IF($K35="","",MAX(0,VLOOKUP($K35,RoleTitles!$A:$B,2,FALSE)-$E35))</f>
        <v/>
      </c>
    </row>
    <row r="36">
      <c r="A36" s="24">
        <f>IFERROR(INDEX(CoachRoster!$A$2:$A$1000,ROW()-1),"")</f>
        <v/>
      </c>
      <c r="B36" s="27">
        <f>IF($A36="","",VLOOKUP($A36,CoachRoster!$A:$E,2,FALSE))</f>
        <v/>
      </c>
      <c r="C36" s="27">
        <f>IF($A36="","",VLOOKUP($A36,CoachRoster!$A:$E,3,FALSE))</f>
        <v/>
      </c>
      <c r="D36" s="27">
        <f>IF($A36="","",VLOOKUP($A36,CoachRoster!$A:$E,4,FALSE))</f>
        <v/>
      </c>
      <c r="E36" s="27">
        <f>IF($A36="","",MIN(Settings!$B$8,IFERROR(SUMIF(Weekly_Coaching!$B:$B,$A36,Weekly_Coaching!$D:$D),0)+IFERROR(SUMIF(Monthly_Edu!$B:$B,$A36,Monthly_Edu!$D:$D),0)+IFERROR(SUMIF(Monthly_Ops!$B:$B,$A36,Monthly_Ops!$D:$D),0)+IFERROR(SUMIF(Monthly_Mentor!$B:$B,$A36,Monthly_Mentor!$D:$D),0)+IFERROR(SUMIF(Quarterly_Impact!$B:$B,$A36,Quarterly_Impact!$D:$D),0)+IFERROR(SUMIFS(XPLog!$M:$M,XPLog!$B:$B,$A36,XPLog!$J:$J,"Admin"),0)+IFERROR(SUMIFS(XPLog!$M:$M,XPLog!$B:$B,$A36,XPLog!$J:$J,"Seeding"),0)))</f>
        <v/>
      </c>
      <c r="F36" s="27">
        <f>IF($E36="","",LOOKUP($E36, XPBands!B$2:B$10, XPBands!A$2:A$10))</f>
        <v/>
      </c>
      <c r="G36" s="27">
        <f>IF($E36="","", VLOOKUP($F36, XPBands!A$2:G$10, 4, FALSE) + MIN(VLOOKUP($F36, XPBands!A$2:G$10, 5, FALSE) - VLOOKUP($F36, XPBands!A$2:G$10, 4, FALSE), FLOOR(( $E36 - VLOOKUP($F36, XPBands!A$2:G$10, 2, FALSE) ) / VLOOKUP($F36, XPBands!A$2:G$10, 7, FALSE),1)))</f>
        <v/>
      </c>
      <c r="H36" s="27">
        <f>IF($D36="","",VLOOKUP($D36,RoleTitles!$A:$E,3,FALSE))</f>
        <v/>
      </c>
      <c r="I36" s="27">
        <f>IF($D36="","",IF($C36="Greek",VLOOKUP($D36,RoleTitles!$A:$E,4,FALSE),IF($C36="Aesir",VLOOKUP($D36,RoleTitles!$A:$E,5,FALSE),VLOOKUP($D36,RoleTitles!$A:$E,3,FALSE))))</f>
        <v/>
      </c>
      <c r="J36" s="27">
        <f>IF($D36="","",IF($E36&gt;=VLOOKUP($D36,RoleTitles!$A:$B,2,FALSE),"Yes","No"))</f>
        <v/>
      </c>
      <c r="K36" s="27">
        <f>IF($D36="","",IF($D36="T1","T2",IF($D36="T2","T3",IF($D36="T3","T4",IF($D36="T4","T5",IF($D36="T5","T6",IF($D36="T6","T7",IF($D36="T7","T8",IF($D36="T8","T9","")))))))))</f>
        <v/>
      </c>
      <c r="L36" s="28">
        <f>IF($K36="","",MAX(0,VLOOKUP($K36,RoleTitles!$A:$B,2,FALSE)-$E36))</f>
        <v/>
      </c>
    </row>
    <row r="37">
      <c r="A37" s="24">
        <f>IFERROR(INDEX(CoachRoster!$A$2:$A$1000,ROW()-1),"")</f>
        <v/>
      </c>
      <c r="B37" s="27">
        <f>IF($A37="","",VLOOKUP($A37,CoachRoster!$A:$E,2,FALSE))</f>
        <v/>
      </c>
      <c r="C37" s="27">
        <f>IF($A37="","",VLOOKUP($A37,CoachRoster!$A:$E,3,FALSE))</f>
        <v/>
      </c>
      <c r="D37" s="27">
        <f>IF($A37="","",VLOOKUP($A37,CoachRoster!$A:$E,4,FALSE))</f>
        <v/>
      </c>
      <c r="E37" s="27">
        <f>IF($A37="","",MIN(Settings!$B$8,IFERROR(SUMIF(Weekly_Coaching!$B:$B,$A37,Weekly_Coaching!$D:$D),0)+IFERROR(SUMIF(Monthly_Edu!$B:$B,$A37,Monthly_Edu!$D:$D),0)+IFERROR(SUMIF(Monthly_Ops!$B:$B,$A37,Monthly_Ops!$D:$D),0)+IFERROR(SUMIF(Monthly_Mentor!$B:$B,$A37,Monthly_Mentor!$D:$D),0)+IFERROR(SUMIF(Quarterly_Impact!$B:$B,$A37,Quarterly_Impact!$D:$D),0)+IFERROR(SUMIFS(XPLog!$M:$M,XPLog!$B:$B,$A37,XPLog!$J:$J,"Admin"),0)+IFERROR(SUMIFS(XPLog!$M:$M,XPLog!$B:$B,$A37,XPLog!$J:$J,"Seeding"),0)))</f>
        <v/>
      </c>
      <c r="F37" s="27">
        <f>IF($E37="","",LOOKUP($E37, XPBands!B$2:B$10, XPBands!A$2:A$10))</f>
        <v/>
      </c>
      <c r="G37" s="27">
        <f>IF($E37="","", VLOOKUP($F37, XPBands!A$2:G$10, 4, FALSE) + MIN(VLOOKUP($F37, XPBands!A$2:G$10, 5, FALSE) - VLOOKUP($F37, XPBands!A$2:G$10, 4, FALSE), FLOOR(( $E37 - VLOOKUP($F37, XPBands!A$2:G$10, 2, FALSE) ) / VLOOKUP($F37, XPBands!A$2:G$10, 7, FALSE),1)))</f>
        <v/>
      </c>
      <c r="H37" s="27">
        <f>IF($D37="","",VLOOKUP($D37,RoleTitles!$A:$E,3,FALSE))</f>
        <v/>
      </c>
      <c r="I37" s="27">
        <f>IF($D37="","",IF($C37="Greek",VLOOKUP($D37,RoleTitles!$A:$E,4,FALSE),IF($C37="Aesir",VLOOKUP($D37,RoleTitles!$A:$E,5,FALSE),VLOOKUP($D37,RoleTitles!$A:$E,3,FALSE))))</f>
        <v/>
      </c>
      <c r="J37" s="27">
        <f>IF($D37="","",IF($E37&gt;=VLOOKUP($D37,RoleTitles!$A:$B,2,FALSE),"Yes","No"))</f>
        <v/>
      </c>
      <c r="K37" s="27">
        <f>IF($D37="","",IF($D37="T1","T2",IF($D37="T2","T3",IF($D37="T3","T4",IF($D37="T4","T5",IF($D37="T5","T6",IF($D37="T6","T7",IF($D37="T7","T8",IF($D37="T8","T9","")))))))))</f>
        <v/>
      </c>
      <c r="L37" s="28">
        <f>IF($K37="","",MAX(0,VLOOKUP($K37,RoleTitles!$A:$B,2,FALSE)-$E37))</f>
        <v/>
      </c>
    </row>
    <row r="38">
      <c r="A38" s="24">
        <f>IFERROR(INDEX(CoachRoster!$A$2:$A$1000,ROW()-1),"")</f>
        <v/>
      </c>
      <c r="B38" s="27">
        <f>IF($A38="","",VLOOKUP($A38,CoachRoster!$A:$E,2,FALSE))</f>
        <v/>
      </c>
      <c r="C38" s="27">
        <f>IF($A38="","",VLOOKUP($A38,CoachRoster!$A:$E,3,FALSE))</f>
        <v/>
      </c>
      <c r="D38" s="27">
        <f>IF($A38="","",VLOOKUP($A38,CoachRoster!$A:$E,4,FALSE))</f>
        <v/>
      </c>
      <c r="E38" s="27">
        <f>IF($A38="","",MIN(Settings!$B$8,IFERROR(SUMIF(Weekly_Coaching!$B:$B,$A38,Weekly_Coaching!$D:$D),0)+IFERROR(SUMIF(Monthly_Edu!$B:$B,$A38,Monthly_Edu!$D:$D),0)+IFERROR(SUMIF(Monthly_Ops!$B:$B,$A38,Monthly_Ops!$D:$D),0)+IFERROR(SUMIF(Monthly_Mentor!$B:$B,$A38,Monthly_Mentor!$D:$D),0)+IFERROR(SUMIF(Quarterly_Impact!$B:$B,$A38,Quarterly_Impact!$D:$D),0)+IFERROR(SUMIFS(XPLog!$M:$M,XPLog!$B:$B,$A38,XPLog!$J:$J,"Admin"),0)+IFERROR(SUMIFS(XPLog!$M:$M,XPLog!$B:$B,$A38,XPLog!$J:$J,"Seeding"),0)))</f>
        <v/>
      </c>
      <c r="F38" s="27">
        <f>IF($E38="","",LOOKUP($E38, XPBands!B$2:B$10, XPBands!A$2:A$10))</f>
        <v/>
      </c>
      <c r="G38" s="27">
        <f>IF($E38="","", VLOOKUP($F38, XPBands!A$2:G$10, 4, FALSE) + MIN(VLOOKUP($F38, XPBands!A$2:G$10, 5, FALSE) - VLOOKUP($F38, XPBands!A$2:G$10, 4, FALSE), FLOOR(( $E38 - VLOOKUP($F38, XPBands!A$2:G$10, 2, FALSE) ) / VLOOKUP($F38, XPBands!A$2:G$10, 7, FALSE),1)))</f>
        <v/>
      </c>
      <c r="H38" s="27">
        <f>IF($D38="","",VLOOKUP($D38,RoleTitles!$A:$E,3,FALSE))</f>
        <v/>
      </c>
      <c r="I38" s="27">
        <f>IF($D38="","",IF($C38="Greek",VLOOKUP($D38,RoleTitles!$A:$E,4,FALSE),IF($C38="Aesir",VLOOKUP($D38,RoleTitles!$A:$E,5,FALSE),VLOOKUP($D38,RoleTitles!$A:$E,3,FALSE))))</f>
        <v/>
      </c>
      <c r="J38" s="27">
        <f>IF($D38="","",IF($E38&gt;=VLOOKUP($D38,RoleTitles!$A:$B,2,FALSE),"Yes","No"))</f>
        <v/>
      </c>
      <c r="K38" s="27">
        <f>IF($D38="","",IF($D38="T1","T2",IF($D38="T2","T3",IF($D38="T3","T4",IF($D38="T4","T5",IF($D38="T5","T6",IF($D38="T6","T7",IF($D38="T7","T8",IF($D38="T8","T9","")))))))))</f>
        <v/>
      </c>
      <c r="L38" s="28">
        <f>IF($K38="","",MAX(0,VLOOKUP($K38,RoleTitles!$A:$B,2,FALSE)-$E38))</f>
        <v/>
      </c>
    </row>
    <row r="39">
      <c r="A39" s="24">
        <f>IFERROR(INDEX(CoachRoster!$A$2:$A$1000,ROW()-1),"")</f>
        <v/>
      </c>
      <c r="B39" s="27">
        <f>IF($A39="","",VLOOKUP($A39,CoachRoster!$A:$E,2,FALSE))</f>
        <v/>
      </c>
      <c r="C39" s="27">
        <f>IF($A39="","",VLOOKUP($A39,CoachRoster!$A:$E,3,FALSE))</f>
        <v/>
      </c>
      <c r="D39" s="27">
        <f>IF($A39="","",VLOOKUP($A39,CoachRoster!$A:$E,4,FALSE))</f>
        <v/>
      </c>
      <c r="E39" s="27">
        <f>IF($A39="","",MIN(Settings!$B$8,IFERROR(SUMIF(Weekly_Coaching!$B:$B,$A39,Weekly_Coaching!$D:$D),0)+IFERROR(SUMIF(Monthly_Edu!$B:$B,$A39,Monthly_Edu!$D:$D),0)+IFERROR(SUMIF(Monthly_Ops!$B:$B,$A39,Monthly_Ops!$D:$D),0)+IFERROR(SUMIF(Monthly_Mentor!$B:$B,$A39,Monthly_Mentor!$D:$D),0)+IFERROR(SUMIF(Quarterly_Impact!$B:$B,$A39,Quarterly_Impact!$D:$D),0)+IFERROR(SUMIFS(XPLog!$M:$M,XPLog!$B:$B,$A39,XPLog!$J:$J,"Admin"),0)+IFERROR(SUMIFS(XPLog!$M:$M,XPLog!$B:$B,$A39,XPLog!$J:$J,"Seeding"),0)))</f>
        <v/>
      </c>
      <c r="F39" s="27">
        <f>IF($E39="","",LOOKUP($E39, XPBands!B$2:B$10, XPBands!A$2:A$10))</f>
        <v/>
      </c>
      <c r="G39" s="27">
        <f>IF($E39="","", VLOOKUP($F39, XPBands!A$2:G$10, 4, FALSE) + MIN(VLOOKUP($F39, XPBands!A$2:G$10, 5, FALSE) - VLOOKUP($F39, XPBands!A$2:G$10, 4, FALSE), FLOOR(( $E39 - VLOOKUP($F39, XPBands!A$2:G$10, 2, FALSE) ) / VLOOKUP($F39, XPBands!A$2:G$10, 7, FALSE),1)))</f>
        <v/>
      </c>
      <c r="H39" s="27">
        <f>IF($D39="","",VLOOKUP($D39,RoleTitles!$A:$E,3,FALSE))</f>
        <v/>
      </c>
      <c r="I39" s="27">
        <f>IF($D39="","",IF($C39="Greek",VLOOKUP($D39,RoleTitles!$A:$E,4,FALSE),IF($C39="Aesir",VLOOKUP($D39,RoleTitles!$A:$E,5,FALSE),VLOOKUP($D39,RoleTitles!$A:$E,3,FALSE))))</f>
        <v/>
      </c>
      <c r="J39" s="27">
        <f>IF($D39="","",IF($E39&gt;=VLOOKUP($D39,RoleTitles!$A:$B,2,FALSE),"Yes","No"))</f>
        <v/>
      </c>
      <c r="K39" s="27">
        <f>IF($D39="","",IF($D39="T1","T2",IF($D39="T2","T3",IF($D39="T3","T4",IF($D39="T4","T5",IF($D39="T5","T6",IF($D39="T6","T7",IF($D39="T7","T8",IF($D39="T8","T9","")))))))))</f>
        <v/>
      </c>
      <c r="L39" s="28">
        <f>IF($K39="","",MAX(0,VLOOKUP($K39,RoleTitles!$A:$B,2,FALSE)-$E39))</f>
        <v/>
      </c>
    </row>
    <row r="40">
      <c r="A40" s="24">
        <f>IFERROR(INDEX(CoachRoster!$A$2:$A$1000,ROW()-1),"")</f>
        <v/>
      </c>
      <c r="B40" s="27">
        <f>IF($A40="","",VLOOKUP($A40,CoachRoster!$A:$E,2,FALSE))</f>
        <v/>
      </c>
      <c r="C40" s="27">
        <f>IF($A40="","",VLOOKUP($A40,CoachRoster!$A:$E,3,FALSE))</f>
        <v/>
      </c>
      <c r="D40" s="27">
        <f>IF($A40="","",VLOOKUP($A40,CoachRoster!$A:$E,4,FALSE))</f>
        <v/>
      </c>
      <c r="E40" s="27">
        <f>IF($A40="","",MIN(Settings!$B$8,IFERROR(SUMIF(Weekly_Coaching!$B:$B,$A40,Weekly_Coaching!$D:$D),0)+IFERROR(SUMIF(Monthly_Edu!$B:$B,$A40,Monthly_Edu!$D:$D),0)+IFERROR(SUMIF(Monthly_Ops!$B:$B,$A40,Monthly_Ops!$D:$D),0)+IFERROR(SUMIF(Monthly_Mentor!$B:$B,$A40,Monthly_Mentor!$D:$D),0)+IFERROR(SUMIF(Quarterly_Impact!$B:$B,$A40,Quarterly_Impact!$D:$D),0)+IFERROR(SUMIFS(XPLog!$M:$M,XPLog!$B:$B,$A40,XPLog!$J:$J,"Admin"),0)+IFERROR(SUMIFS(XPLog!$M:$M,XPLog!$B:$B,$A40,XPLog!$J:$J,"Seeding"),0)))</f>
        <v/>
      </c>
      <c r="F40" s="27">
        <f>IF($E40="","",LOOKUP($E40, XPBands!B$2:B$10, XPBands!A$2:A$10))</f>
        <v/>
      </c>
      <c r="G40" s="27">
        <f>IF($E40="","", VLOOKUP($F40, XPBands!A$2:G$10, 4, FALSE) + MIN(VLOOKUP($F40, XPBands!A$2:G$10, 5, FALSE) - VLOOKUP($F40, XPBands!A$2:G$10, 4, FALSE), FLOOR(( $E40 - VLOOKUP($F40, XPBands!A$2:G$10, 2, FALSE) ) / VLOOKUP($F40, XPBands!A$2:G$10, 7, FALSE),1)))</f>
        <v/>
      </c>
      <c r="H40" s="27">
        <f>IF($D40="","",VLOOKUP($D40,RoleTitles!$A:$E,3,FALSE))</f>
        <v/>
      </c>
      <c r="I40" s="27">
        <f>IF($D40="","",IF($C40="Greek",VLOOKUP($D40,RoleTitles!$A:$E,4,FALSE),IF($C40="Aesir",VLOOKUP($D40,RoleTitles!$A:$E,5,FALSE),VLOOKUP($D40,RoleTitles!$A:$E,3,FALSE))))</f>
        <v/>
      </c>
      <c r="J40" s="27">
        <f>IF($D40="","",IF($E40&gt;=VLOOKUP($D40,RoleTitles!$A:$B,2,FALSE),"Yes","No"))</f>
        <v/>
      </c>
      <c r="K40" s="27">
        <f>IF($D40="","",IF($D40="T1","T2",IF($D40="T2","T3",IF($D40="T3","T4",IF($D40="T4","T5",IF($D40="T5","T6",IF($D40="T6","T7",IF($D40="T7","T8",IF($D40="T8","T9","")))))))))</f>
        <v/>
      </c>
      <c r="L40" s="28">
        <f>IF($K40="","",MAX(0,VLOOKUP($K40,RoleTitles!$A:$B,2,FALSE)-$E40))</f>
        <v/>
      </c>
    </row>
    <row r="41">
      <c r="A41" s="24">
        <f>IFERROR(INDEX(CoachRoster!$A$2:$A$1000,ROW()-1),"")</f>
        <v/>
      </c>
      <c r="B41" s="27">
        <f>IF($A41="","",VLOOKUP($A41,CoachRoster!$A:$E,2,FALSE))</f>
        <v/>
      </c>
      <c r="C41" s="27">
        <f>IF($A41="","",VLOOKUP($A41,CoachRoster!$A:$E,3,FALSE))</f>
        <v/>
      </c>
      <c r="D41" s="27">
        <f>IF($A41="","",VLOOKUP($A41,CoachRoster!$A:$E,4,FALSE))</f>
        <v/>
      </c>
      <c r="E41" s="27">
        <f>IF($A41="","",MIN(Settings!$B$8,IFERROR(SUMIF(Weekly_Coaching!$B:$B,$A41,Weekly_Coaching!$D:$D),0)+IFERROR(SUMIF(Monthly_Edu!$B:$B,$A41,Monthly_Edu!$D:$D),0)+IFERROR(SUMIF(Monthly_Ops!$B:$B,$A41,Monthly_Ops!$D:$D),0)+IFERROR(SUMIF(Monthly_Mentor!$B:$B,$A41,Monthly_Mentor!$D:$D),0)+IFERROR(SUMIF(Quarterly_Impact!$B:$B,$A41,Quarterly_Impact!$D:$D),0)+IFERROR(SUMIFS(XPLog!$M:$M,XPLog!$B:$B,$A41,XPLog!$J:$J,"Admin"),0)+IFERROR(SUMIFS(XPLog!$M:$M,XPLog!$B:$B,$A41,XPLog!$J:$J,"Seeding"),0)))</f>
        <v/>
      </c>
      <c r="F41" s="27">
        <f>IF($E41="","",LOOKUP($E41, XPBands!B$2:B$10, XPBands!A$2:A$10))</f>
        <v/>
      </c>
      <c r="G41" s="27">
        <f>IF($E41="","", VLOOKUP($F41, XPBands!A$2:G$10, 4, FALSE) + MIN(VLOOKUP($F41, XPBands!A$2:G$10, 5, FALSE) - VLOOKUP($F41, XPBands!A$2:G$10, 4, FALSE), FLOOR(( $E41 - VLOOKUP($F41, XPBands!A$2:G$10, 2, FALSE) ) / VLOOKUP($F41, XPBands!A$2:G$10, 7, FALSE),1)))</f>
        <v/>
      </c>
      <c r="H41" s="27">
        <f>IF($D41="","",VLOOKUP($D41,RoleTitles!$A:$E,3,FALSE))</f>
        <v/>
      </c>
      <c r="I41" s="27">
        <f>IF($D41="","",IF($C41="Greek",VLOOKUP($D41,RoleTitles!$A:$E,4,FALSE),IF($C41="Aesir",VLOOKUP($D41,RoleTitles!$A:$E,5,FALSE),VLOOKUP($D41,RoleTitles!$A:$E,3,FALSE))))</f>
        <v/>
      </c>
      <c r="J41" s="27">
        <f>IF($D41="","",IF($E41&gt;=VLOOKUP($D41,RoleTitles!$A:$B,2,FALSE),"Yes","No"))</f>
        <v/>
      </c>
      <c r="K41" s="27">
        <f>IF($D41="","",IF($D41="T1","T2",IF($D41="T2","T3",IF($D41="T3","T4",IF($D41="T4","T5",IF($D41="T5","T6",IF($D41="T6","T7",IF($D41="T7","T8",IF($D41="T8","T9","")))))))))</f>
        <v/>
      </c>
      <c r="L41" s="28">
        <f>IF($K41="","",MAX(0,VLOOKUP($K41,RoleTitles!$A:$B,2,FALSE)-$E41))</f>
        <v/>
      </c>
    </row>
    <row r="42">
      <c r="A42" s="24">
        <f>IFERROR(INDEX(CoachRoster!$A$2:$A$1000,ROW()-1),"")</f>
        <v/>
      </c>
      <c r="B42" s="27">
        <f>IF($A42="","",VLOOKUP($A42,CoachRoster!$A:$E,2,FALSE))</f>
        <v/>
      </c>
      <c r="C42" s="27">
        <f>IF($A42="","",VLOOKUP($A42,CoachRoster!$A:$E,3,FALSE))</f>
        <v/>
      </c>
      <c r="D42" s="27">
        <f>IF($A42="","",VLOOKUP($A42,CoachRoster!$A:$E,4,FALSE))</f>
        <v/>
      </c>
      <c r="E42" s="27">
        <f>IF($A42="","",MIN(Settings!$B$8,IFERROR(SUMIF(Weekly_Coaching!$B:$B,$A42,Weekly_Coaching!$D:$D),0)+IFERROR(SUMIF(Monthly_Edu!$B:$B,$A42,Monthly_Edu!$D:$D),0)+IFERROR(SUMIF(Monthly_Ops!$B:$B,$A42,Monthly_Ops!$D:$D),0)+IFERROR(SUMIF(Monthly_Mentor!$B:$B,$A42,Monthly_Mentor!$D:$D),0)+IFERROR(SUMIF(Quarterly_Impact!$B:$B,$A42,Quarterly_Impact!$D:$D),0)+IFERROR(SUMIFS(XPLog!$M:$M,XPLog!$B:$B,$A42,XPLog!$J:$J,"Admin"),0)+IFERROR(SUMIFS(XPLog!$M:$M,XPLog!$B:$B,$A42,XPLog!$J:$J,"Seeding"),0)))</f>
        <v/>
      </c>
      <c r="F42" s="27">
        <f>IF($E42="","",LOOKUP($E42, XPBands!B$2:B$10, XPBands!A$2:A$10))</f>
        <v/>
      </c>
      <c r="G42" s="27">
        <f>IF($E42="","", VLOOKUP($F42, XPBands!A$2:G$10, 4, FALSE) + MIN(VLOOKUP($F42, XPBands!A$2:G$10, 5, FALSE) - VLOOKUP($F42, XPBands!A$2:G$10, 4, FALSE), FLOOR(( $E42 - VLOOKUP($F42, XPBands!A$2:G$10, 2, FALSE) ) / VLOOKUP($F42, XPBands!A$2:G$10, 7, FALSE),1)))</f>
        <v/>
      </c>
      <c r="H42" s="27">
        <f>IF($D42="","",VLOOKUP($D42,RoleTitles!$A:$E,3,FALSE))</f>
        <v/>
      </c>
      <c r="I42" s="27">
        <f>IF($D42="","",IF($C42="Greek",VLOOKUP($D42,RoleTitles!$A:$E,4,FALSE),IF($C42="Aesir",VLOOKUP($D42,RoleTitles!$A:$E,5,FALSE),VLOOKUP($D42,RoleTitles!$A:$E,3,FALSE))))</f>
        <v/>
      </c>
      <c r="J42" s="27">
        <f>IF($D42="","",IF($E42&gt;=VLOOKUP($D42,RoleTitles!$A:$B,2,FALSE),"Yes","No"))</f>
        <v/>
      </c>
      <c r="K42" s="27">
        <f>IF($D42="","",IF($D42="T1","T2",IF($D42="T2","T3",IF($D42="T3","T4",IF($D42="T4","T5",IF($D42="T5","T6",IF($D42="T6","T7",IF($D42="T7","T8",IF($D42="T8","T9","")))))))))</f>
        <v/>
      </c>
      <c r="L42" s="28">
        <f>IF($K42="","",MAX(0,VLOOKUP($K42,RoleTitles!$A:$B,2,FALSE)-$E42))</f>
        <v/>
      </c>
    </row>
    <row r="43">
      <c r="A43" s="24">
        <f>IFERROR(INDEX(CoachRoster!$A$2:$A$1000,ROW()-1),"")</f>
        <v/>
      </c>
      <c r="B43" s="27">
        <f>IF($A43="","",VLOOKUP($A43,CoachRoster!$A:$E,2,FALSE))</f>
        <v/>
      </c>
      <c r="C43" s="27">
        <f>IF($A43="","",VLOOKUP($A43,CoachRoster!$A:$E,3,FALSE))</f>
        <v/>
      </c>
      <c r="D43" s="27">
        <f>IF($A43="","",VLOOKUP($A43,CoachRoster!$A:$E,4,FALSE))</f>
        <v/>
      </c>
      <c r="E43" s="27">
        <f>IF($A43="","",MIN(Settings!$B$8,IFERROR(SUMIF(Weekly_Coaching!$B:$B,$A43,Weekly_Coaching!$D:$D),0)+IFERROR(SUMIF(Monthly_Edu!$B:$B,$A43,Monthly_Edu!$D:$D),0)+IFERROR(SUMIF(Monthly_Ops!$B:$B,$A43,Monthly_Ops!$D:$D),0)+IFERROR(SUMIF(Monthly_Mentor!$B:$B,$A43,Monthly_Mentor!$D:$D),0)+IFERROR(SUMIF(Quarterly_Impact!$B:$B,$A43,Quarterly_Impact!$D:$D),0)+IFERROR(SUMIFS(XPLog!$M:$M,XPLog!$B:$B,$A43,XPLog!$J:$J,"Admin"),0)+IFERROR(SUMIFS(XPLog!$M:$M,XPLog!$B:$B,$A43,XPLog!$J:$J,"Seeding"),0)))</f>
        <v/>
      </c>
      <c r="F43" s="27">
        <f>IF($E43="","",LOOKUP($E43, XPBands!B$2:B$10, XPBands!A$2:A$10))</f>
        <v/>
      </c>
      <c r="G43" s="27">
        <f>IF($E43="","", VLOOKUP($F43, XPBands!A$2:G$10, 4, FALSE) + MIN(VLOOKUP($F43, XPBands!A$2:G$10, 5, FALSE) - VLOOKUP($F43, XPBands!A$2:G$10, 4, FALSE), FLOOR(( $E43 - VLOOKUP($F43, XPBands!A$2:G$10, 2, FALSE) ) / VLOOKUP($F43, XPBands!A$2:G$10, 7, FALSE),1)))</f>
        <v/>
      </c>
      <c r="H43" s="27">
        <f>IF($D43="","",VLOOKUP($D43,RoleTitles!$A:$E,3,FALSE))</f>
        <v/>
      </c>
      <c r="I43" s="27">
        <f>IF($D43="","",IF($C43="Greek",VLOOKUP($D43,RoleTitles!$A:$E,4,FALSE),IF($C43="Aesir",VLOOKUP($D43,RoleTitles!$A:$E,5,FALSE),VLOOKUP($D43,RoleTitles!$A:$E,3,FALSE))))</f>
        <v/>
      </c>
      <c r="J43" s="27">
        <f>IF($D43="","",IF($E43&gt;=VLOOKUP($D43,RoleTitles!$A:$B,2,FALSE),"Yes","No"))</f>
        <v/>
      </c>
      <c r="K43" s="27">
        <f>IF($D43="","",IF($D43="T1","T2",IF($D43="T2","T3",IF($D43="T3","T4",IF($D43="T4","T5",IF($D43="T5","T6",IF($D43="T6","T7",IF($D43="T7","T8",IF($D43="T8","T9","")))))))))</f>
        <v/>
      </c>
      <c r="L43" s="28">
        <f>IF($K43="","",MAX(0,VLOOKUP($K43,RoleTitles!$A:$B,2,FALSE)-$E43))</f>
        <v/>
      </c>
    </row>
    <row r="44">
      <c r="A44" s="24">
        <f>IFERROR(INDEX(CoachRoster!$A$2:$A$1000,ROW()-1),"")</f>
        <v/>
      </c>
      <c r="B44" s="27">
        <f>IF($A44="","",VLOOKUP($A44,CoachRoster!$A:$E,2,FALSE))</f>
        <v/>
      </c>
      <c r="C44" s="27">
        <f>IF($A44="","",VLOOKUP($A44,CoachRoster!$A:$E,3,FALSE))</f>
        <v/>
      </c>
      <c r="D44" s="27">
        <f>IF($A44="","",VLOOKUP($A44,CoachRoster!$A:$E,4,FALSE))</f>
        <v/>
      </c>
      <c r="E44" s="27">
        <f>IF($A44="","",MIN(Settings!$B$8,IFERROR(SUMIF(Weekly_Coaching!$B:$B,$A44,Weekly_Coaching!$D:$D),0)+IFERROR(SUMIF(Monthly_Edu!$B:$B,$A44,Monthly_Edu!$D:$D),0)+IFERROR(SUMIF(Monthly_Ops!$B:$B,$A44,Monthly_Ops!$D:$D),0)+IFERROR(SUMIF(Monthly_Mentor!$B:$B,$A44,Monthly_Mentor!$D:$D),0)+IFERROR(SUMIF(Quarterly_Impact!$B:$B,$A44,Quarterly_Impact!$D:$D),0)+IFERROR(SUMIFS(XPLog!$M:$M,XPLog!$B:$B,$A44,XPLog!$J:$J,"Admin"),0)+IFERROR(SUMIFS(XPLog!$M:$M,XPLog!$B:$B,$A44,XPLog!$J:$J,"Seeding"),0)))</f>
        <v/>
      </c>
      <c r="F44" s="27">
        <f>IF($E44="","",LOOKUP($E44, XPBands!B$2:B$10, XPBands!A$2:A$10))</f>
        <v/>
      </c>
      <c r="G44" s="27">
        <f>IF($E44="","", VLOOKUP($F44, XPBands!A$2:G$10, 4, FALSE) + MIN(VLOOKUP($F44, XPBands!A$2:G$10, 5, FALSE) - VLOOKUP($F44, XPBands!A$2:G$10, 4, FALSE), FLOOR(( $E44 - VLOOKUP($F44, XPBands!A$2:G$10, 2, FALSE) ) / VLOOKUP($F44, XPBands!A$2:G$10, 7, FALSE),1)))</f>
        <v/>
      </c>
      <c r="H44" s="27">
        <f>IF($D44="","",VLOOKUP($D44,RoleTitles!$A:$E,3,FALSE))</f>
        <v/>
      </c>
      <c r="I44" s="27">
        <f>IF($D44="","",IF($C44="Greek",VLOOKUP($D44,RoleTitles!$A:$E,4,FALSE),IF($C44="Aesir",VLOOKUP($D44,RoleTitles!$A:$E,5,FALSE),VLOOKUP($D44,RoleTitles!$A:$E,3,FALSE))))</f>
        <v/>
      </c>
      <c r="J44" s="27">
        <f>IF($D44="","",IF($E44&gt;=VLOOKUP($D44,RoleTitles!$A:$B,2,FALSE),"Yes","No"))</f>
        <v/>
      </c>
      <c r="K44" s="27">
        <f>IF($D44="","",IF($D44="T1","T2",IF($D44="T2","T3",IF($D44="T3","T4",IF($D44="T4","T5",IF($D44="T5","T6",IF($D44="T6","T7",IF($D44="T7","T8",IF($D44="T8","T9","")))))))))</f>
        <v/>
      </c>
      <c r="L44" s="28">
        <f>IF($K44="","",MAX(0,VLOOKUP($K44,RoleTitles!$A:$B,2,FALSE)-$E44))</f>
        <v/>
      </c>
    </row>
    <row r="45">
      <c r="A45" s="24">
        <f>IFERROR(INDEX(CoachRoster!$A$2:$A$1000,ROW()-1),"")</f>
        <v/>
      </c>
      <c r="B45" s="27">
        <f>IF($A45="","",VLOOKUP($A45,CoachRoster!$A:$E,2,FALSE))</f>
        <v/>
      </c>
      <c r="C45" s="27">
        <f>IF($A45="","",VLOOKUP($A45,CoachRoster!$A:$E,3,FALSE))</f>
        <v/>
      </c>
      <c r="D45" s="27">
        <f>IF($A45="","",VLOOKUP($A45,CoachRoster!$A:$E,4,FALSE))</f>
        <v/>
      </c>
      <c r="E45" s="27">
        <f>IF($A45="","",MIN(Settings!$B$8,IFERROR(SUMIF(Weekly_Coaching!$B:$B,$A45,Weekly_Coaching!$D:$D),0)+IFERROR(SUMIF(Monthly_Edu!$B:$B,$A45,Monthly_Edu!$D:$D),0)+IFERROR(SUMIF(Monthly_Ops!$B:$B,$A45,Monthly_Ops!$D:$D),0)+IFERROR(SUMIF(Monthly_Mentor!$B:$B,$A45,Monthly_Mentor!$D:$D),0)+IFERROR(SUMIF(Quarterly_Impact!$B:$B,$A45,Quarterly_Impact!$D:$D),0)+IFERROR(SUMIFS(XPLog!$M:$M,XPLog!$B:$B,$A45,XPLog!$J:$J,"Admin"),0)+IFERROR(SUMIFS(XPLog!$M:$M,XPLog!$B:$B,$A45,XPLog!$J:$J,"Seeding"),0)))</f>
        <v/>
      </c>
      <c r="F45" s="27">
        <f>IF($E45="","",LOOKUP($E45, XPBands!B$2:B$10, XPBands!A$2:A$10))</f>
        <v/>
      </c>
      <c r="G45" s="27">
        <f>IF($E45="","", VLOOKUP($F45, XPBands!A$2:G$10, 4, FALSE) + MIN(VLOOKUP($F45, XPBands!A$2:G$10, 5, FALSE) - VLOOKUP($F45, XPBands!A$2:G$10, 4, FALSE), FLOOR(( $E45 - VLOOKUP($F45, XPBands!A$2:G$10, 2, FALSE) ) / VLOOKUP($F45, XPBands!A$2:G$10, 7, FALSE),1)))</f>
        <v/>
      </c>
      <c r="H45" s="27">
        <f>IF($D45="","",VLOOKUP($D45,RoleTitles!$A:$E,3,FALSE))</f>
        <v/>
      </c>
      <c r="I45" s="27">
        <f>IF($D45="","",IF($C45="Greek",VLOOKUP($D45,RoleTitles!$A:$E,4,FALSE),IF($C45="Aesir",VLOOKUP($D45,RoleTitles!$A:$E,5,FALSE),VLOOKUP($D45,RoleTitles!$A:$E,3,FALSE))))</f>
        <v/>
      </c>
      <c r="J45" s="27">
        <f>IF($D45="","",IF($E45&gt;=VLOOKUP($D45,RoleTitles!$A:$B,2,FALSE),"Yes","No"))</f>
        <v/>
      </c>
      <c r="K45" s="27">
        <f>IF($D45="","",IF($D45="T1","T2",IF($D45="T2","T3",IF($D45="T3","T4",IF($D45="T4","T5",IF($D45="T5","T6",IF($D45="T6","T7",IF($D45="T7","T8",IF($D45="T8","T9","")))))))))</f>
        <v/>
      </c>
      <c r="L45" s="28">
        <f>IF($K45="","",MAX(0,VLOOKUP($K45,RoleTitles!$A:$B,2,FALSE)-$E45))</f>
        <v/>
      </c>
    </row>
    <row r="46">
      <c r="A46" s="24">
        <f>IFERROR(INDEX(CoachRoster!$A$2:$A$1000,ROW()-1),"")</f>
        <v/>
      </c>
      <c r="B46" s="27">
        <f>IF($A46="","",VLOOKUP($A46,CoachRoster!$A:$E,2,FALSE))</f>
        <v/>
      </c>
      <c r="C46" s="27">
        <f>IF($A46="","",VLOOKUP($A46,CoachRoster!$A:$E,3,FALSE))</f>
        <v/>
      </c>
      <c r="D46" s="27">
        <f>IF($A46="","",VLOOKUP($A46,CoachRoster!$A:$E,4,FALSE))</f>
        <v/>
      </c>
      <c r="E46" s="27">
        <f>IF($A46="","",MIN(Settings!$B$8,IFERROR(SUMIF(Weekly_Coaching!$B:$B,$A46,Weekly_Coaching!$D:$D),0)+IFERROR(SUMIF(Monthly_Edu!$B:$B,$A46,Monthly_Edu!$D:$D),0)+IFERROR(SUMIF(Monthly_Ops!$B:$B,$A46,Monthly_Ops!$D:$D),0)+IFERROR(SUMIF(Monthly_Mentor!$B:$B,$A46,Monthly_Mentor!$D:$D),0)+IFERROR(SUMIF(Quarterly_Impact!$B:$B,$A46,Quarterly_Impact!$D:$D),0)+IFERROR(SUMIFS(XPLog!$M:$M,XPLog!$B:$B,$A46,XPLog!$J:$J,"Admin"),0)+IFERROR(SUMIFS(XPLog!$M:$M,XPLog!$B:$B,$A46,XPLog!$J:$J,"Seeding"),0)))</f>
        <v/>
      </c>
      <c r="F46" s="27">
        <f>IF($E46="","",LOOKUP($E46, XPBands!B$2:B$10, XPBands!A$2:A$10))</f>
        <v/>
      </c>
      <c r="G46" s="27">
        <f>IF($E46="","", VLOOKUP($F46, XPBands!A$2:G$10, 4, FALSE) + MIN(VLOOKUP($F46, XPBands!A$2:G$10, 5, FALSE) - VLOOKUP($F46, XPBands!A$2:G$10, 4, FALSE), FLOOR(( $E46 - VLOOKUP($F46, XPBands!A$2:G$10, 2, FALSE) ) / VLOOKUP($F46, XPBands!A$2:G$10, 7, FALSE),1)))</f>
        <v/>
      </c>
      <c r="H46" s="27">
        <f>IF($D46="","",VLOOKUP($D46,RoleTitles!$A:$E,3,FALSE))</f>
        <v/>
      </c>
      <c r="I46" s="27">
        <f>IF($D46="","",IF($C46="Greek",VLOOKUP($D46,RoleTitles!$A:$E,4,FALSE),IF($C46="Aesir",VLOOKUP($D46,RoleTitles!$A:$E,5,FALSE),VLOOKUP($D46,RoleTitles!$A:$E,3,FALSE))))</f>
        <v/>
      </c>
      <c r="J46" s="27">
        <f>IF($D46="","",IF($E46&gt;=VLOOKUP($D46,RoleTitles!$A:$B,2,FALSE),"Yes","No"))</f>
        <v/>
      </c>
      <c r="K46" s="27">
        <f>IF($D46="","",IF($D46="T1","T2",IF($D46="T2","T3",IF($D46="T3","T4",IF($D46="T4","T5",IF($D46="T5","T6",IF($D46="T6","T7",IF($D46="T7","T8",IF($D46="T8","T9","")))))))))</f>
        <v/>
      </c>
      <c r="L46" s="28">
        <f>IF($K46="","",MAX(0,VLOOKUP($K46,RoleTitles!$A:$B,2,FALSE)-$E46))</f>
        <v/>
      </c>
    </row>
    <row r="47">
      <c r="A47" s="24">
        <f>IFERROR(INDEX(CoachRoster!$A$2:$A$1000,ROW()-1),"")</f>
        <v/>
      </c>
      <c r="B47" s="27">
        <f>IF($A47="","",VLOOKUP($A47,CoachRoster!$A:$E,2,FALSE))</f>
        <v/>
      </c>
      <c r="C47" s="27">
        <f>IF($A47="","",VLOOKUP($A47,CoachRoster!$A:$E,3,FALSE))</f>
        <v/>
      </c>
      <c r="D47" s="27">
        <f>IF($A47="","",VLOOKUP($A47,CoachRoster!$A:$E,4,FALSE))</f>
        <v/>
      </c>
      <c r="E47" s="27">
        <f>IF($A47="","",MIN(Settings!$B$8,IFERROR(SUMIF(Weekly_Coaching!$B:$B,$A47,Weekly_Coaching!$D:$D),0)+IFERROR(SUMIF(Monthly_Edu!$B:$B,$A47,Monthly_Edu!$D:$D),0)+IFERROR(SUMIF(Monthly_Ops!$B:$B,$A47,Monthly_Ops!$D:$D),0)+IFERROR(SUMIF(Monthly_Mentor!$B:$B,$A47,Monthly_Mentor!$D:$D),0)+IFERROR(SUMIF(Quarterly_Impact!$B:$B,$A47,Quarterly_Impact!$D:$D),0)+IFERROR(SUMIFS(XPLog!$M:$M,XPLog!$B:$B,$A47,XPLog!$J:$J,"Admin"),0)+IFERROR(SUMIFS(XPLog!$M:$M,XPLog!$B:$B,$A47,XPLog!$J:$J,"Seeding"),0)))</f>
        <v/>
      </c>
      <c r="F47" s="27">
        <f>IF($E47="","",LOOKUP($E47, XPBands!B$2:B$10, XPBands!A$2:A$10))</f>
        <v/>
      </c>
      <c r="G47" s="27">
        <f>IF($E47="","", VLOOKUP($F47, XPBands!A$2:G$10, 4, FALSE) + MIN(VLOOKUP($F47, XPBands!A$2:G$10, 5, FALSE) - VLOOKUP($F47, XPBands!A$2:G$10, 4, FALSE), FLOOR(( $E47 - VLOOKUP($F47, XPBands!A$2:G$10, 2, FALSE) ) / VLOOKUP($F47, XPBands!A$2:G$10, 7, FALSE),1)))</f>
        <v/>
      </c>
      <c r="H47" s="27">
        <f>IF($D47="","",VLOOKUP($D47,RoleTitles!$A:$E,3,FALSE))</f>
        <v/>
      </c>
      <c r="I47" s="27">
        <f>IF($D47="","",IF($C47="Greek",VLOOKUP($D47,RoleTitles!$A:$E,4,FALSE),IF($C47="Aesir",VLOOKUP($D47,RoleTitles!$A:$E,5,FALSE),VLOOKUP($D47,RoleTitles!$A:$E,3,FALSE))))</f>
        <v/>
      </c>
      <c r="J47" s="27">
        <f>IF($D47="","",IF($E47&gt;=VLOOKUP($D47,RoleTitles!$A:$B,2,FALSE),"Yes","No"))</f>
        <v/>
      </c>
      <c r="K47" s="27">
        <f>IF($D47="","",IF($D47="T1","T2",IF($D47="T2","T3",IF($D47="T3","T4",IF($D47="T4","T5",IF($D47="T5","T6",IF($D47="T6","T7",IF($D47="T7","T8",IF($D47="T8","T9","")))))))))</f>
        <v/>
      </c>
      <c r="L47" s="28">
        <f>IF($K47="","",MAX(0,VLOOKUP($K47,RoleTitles!$A:$B,2,FALSE)-$E47))</f>
        <v/>
      </c>
    </row>
    <row r="48">
      <c r="A48" s="24">
        <f>IFERROR(INDEX(CoachRoster!$A$2:$A$1000,ROW()-1),"")</f>
        <v/>
      </c>
      <c r="B48" s="27">
        <f>IF($A48="","",VLOOKUP($A48,CoachRoster!$A:$E,2,FALSE))</f>
        <v/>
      </c>
      <c r="C48" s="27">
        <f>IF($A48="","",VLOOKUP($A48,CoachRoster!$A:$E,3,FALSE))</f>
        <v/>
      </c>
      <c r="D48" s="27">
        <f>IF($A48="","",VLOOKUP($A48,CoachRoster!$A:$E,4,FALSE))</f>
        <v/>
      </c>
      <c r="E48" s="27">
        <f>IF($A48="","",MIN(Settings!$B$8,IFERROR(SUMIF(Weekly_Coaching!$B:$B,$A48,Weekly_Coaching!$D:$D),0)+IFERROR(SUMIF(Monthly_Edu!$B:$B,$A48,Monthly_Edu!$D:$D),0)+IFERROR(SUMIF(Monthly_Ops!$B:$B,$A48,Monthly_Ops!$D:$D),0)+IFERROR(SUMIF(Monthly_Mentor!$B:$B,$A48,Monthly_Mentor!$D:$D),0)+IFERROR(SUMIF(Quarterly_Impact!$B:$B,$A48,Quarterly_Impact!$D:$D),0)+IFERROR(SUMIFS(XPLog!$M:$M,XPLog!$B:$B,$A48,XPLog!$J:$J,"Admin"),0)+IFERROR(SUMIFS(XPLog!$M:$M,XPLog!$B:$B,$A48,XPLog!$J:$J,"Seeding"),0)))</f>
        <v/>
      </c>
      <c r="F48" s="27">
        <f>IF($E48="","",LOOKUP($E48, XPBands!B$2:B$10, XPBands!A$2:A$10))</f>
        <v/>
      </c>
      <c r="G48" s="27">
        <f>IF($E48="","", VLOOKUP($F48, XPBands!A$2:G$10, 4, FALSE) + MIN(VLOOKUP($F48, XPBands!A$2:G$10, 5, FALSE) - VLOOKUP($F48, XPBands!A$2:G$10, 4, FALSE), FLOOR(( $E48 - VLOOKUP($F48, XPBands!A$2:G$10, 2, FALSE) ) / VLOOKUP($F48, XPBands!A$2:G$10, 7, FALSE),1)))</f>
        <v/>
      </c>
      <c r="H48" s="27">
        <f>IF($D48="","",VLOOKUP($D48,RoleTitles!$A:$E,3,FALSE))</f>
        <v/>
      </c>
      <c r="I48" s="27">
        <f>IF($D48="","",IF($C48="Greek",VLOOKUP($D48,RoleTitles!$A:$E,4,FALSE),IF($C48="Aesir",VLOOKUP($D48,RoleTitles!$A:$E,5,FALSE),VLOOKUP($D48,RoleTitles!$A:$E,3,FALSE))))</f>
        <v/>
      </c>
      <c r="J48" s="27">
        <f>IF($D48="","",IF($E48&gt;=VLOOKUP($D48,RoleTitles!$A:$B,2,FALSE),"Yes","No"))</f>
        <v/>
      </c>
      <c r="K48" s="27">
        <f>IF($D48="","",IF($D48="T1","T2",IF($D48="T2","T3",IF($D48="T3","T4",IF($D48="T4","T5",IF($D48="T5","T6",IF($D48="T6","T7",IF($D48="T7","T8",IF($D48="T8","T9","")))))))))</f>
        <v/>
      </c>
      <c r="L48" s="28">
        <f>IF($K48="","",MAX(0,VLOOKUP($K48,RoleTitles!$A:$B,2,FALSE)-$E48))</f>
        <v/>
      </c>
    </row>
    <row r="49">
      <c r="A49" s="24">
        <f>IFERROR(INDEX(CoachRoster!$A$2:$A$1000,ROW()-1),"")</f>
        <v/>
      </c>
      <c r="B49" s="27">
        <f>IF($A49="","",VLOOKUP($A49,CoachRoster!$A:$E,2,FALSE))</f>
        <v/>
      </c>
      <c r="C49" s="27">
        <f>IF($A49="","",VLOOKUP($A49,CoachRoster!$A:$E,3,FALSE))</f>
        <v/>
      </c>
      <c r="D49" s="27">
        <f>IF($A49="","",VLOOKUP($A49,CoachRoster!$A:$E,4,FALSE))</f>
        <v/>
      </c>
      <c r="E49" s="27">
        <f>IF($A49="","",MIN(Settings!$B$8,IFERROR(SUMIF(Weekly_Coaching!$B:$B,$A49,Weekly_Coaching!$D:$D),0)+IFERROR(SUMIF(Monthly_Edu!$B:$B,$A49,Monthly_Edu!$D:$D),0)+IFERROR(SUMIF(Monthly_Ops!$B:$B,$A49,Monthly_Ops!$D:$D),0)+IFERROR(SUMIF(Monthly_Mentor!$B:$B,$A49,Monthly_Mentor!$D:$D),0)+IFERROR(SUMIF(Quarterly_Impact!$B:$B,$A49,Quarterly_Impact!$D:$D),0)+IFERROR(SUMIFS(XPLog!$M:$M,XPLog!$B:$B,$A49,XPLog!$J:$J,"Admin"),0)+IFERROR(SUMIFS(XPLog!$M:$M,XPLog!$B:$B,$A49,XPLog!$J:$J,"Seeding"),0)))</f>
        <v/>
      </c>
      <c r="F49" s="27">
        <f>IF($E49="","",LOOKUP($E49, XPBands!B$2:B$10, XPBands!A$2:A$10))</f>
        <v/>
      </c>
      <c r="G49" s="27">
        <f>IF($E49="","", VLOOKUP($F49, XPBands!A$2:G$10, 4, FALSE) + MIN(VLOOKUP($F49, XPBands!A$2:G$10, 5, FALSE) - VLOOKUP($F49, XPBands!A$2:G$10, 4, FALSE), FLOOR(( $E49 - VLOOKUP($F49, XPBands!A$2:G$10, 2, FALSE) ) / VLOOKUP($F49, XPBands!A$2:G$10, 7, FALSE),1)))</f>
        <v/>
      </c>
      <c r="H49" s="27">
        <f>IF($D49="","",VLOOKUP($D49,RoleTitles!$A:$E,3,FALSE))</f>
        <v/>
      </c>
      <c r="I49" s="27">
        <f>IF($D49="","",IF($C49="Greek",VLOOKUP($D49,RoleTitles!$A:$E,4,FALSE),IF($C49="Aesir",VLOOKUP($D49,RoleTitles!$A:$E,5,FALSE),VLOOKUP($D49,RoleTitles!$A:$E,3,FALSE))))</f>
        <v/>
      </c>
      <c r="J49" s="27">
        <f>IF($D49="","",IF($E49&gt;=VLOOKUP($D49,RoleTitles!$A:$B,2,FALSE),"Yes","No"))</f>
        <v/>
      </c>
      <c r="K49" s="27">
        <f>IF($D49="","",IF($D49="T1","T2",IF($D49="T2","T3",IF($D49="T3","T4",IF($D49="T4","T5",IF($D49="T5","T6",IF($D49="T6","T7",IF($D49="T7","T8",IF($D49="T8","T9","")))))))))</f>
        <v/>
      </c>
      <c r="L49" s="28">
        <f>IF($K49="","",MAX(0,VLOOKUP($K49,RoleTitles!$A:$B,2,FALSE)-$E49))</f>
        <v/>
      </c>
    </row>
    <row r="50">
      <c r="A50" s="24">
        <f>IFERROR(INDEX(CoachRoster!$A$2:$A$1000,ROW()-1),"")</f>
        <v/>
      </c>
      <c r="B50" s="27">
        <f>IF($A50="","",VLOOKUP($A50,CoachRoster!$A:$E,2,FALSE))</f>
        <v/>
      </c>
      <c r="C50" s="27">
        <f>IF($A50="","",VLOOKUP($A50,CoachRoster!$A:$E,3,FALSE))</f>
        <v/>
      </c>
      <c r="D50" s="27">
        <f>IF($A50="","",VLOOKUP($A50,CoachRoster!$A:$E,4,FALSE))</f>
        <v/>
      </c>
      <c r="E50" s="27">
        <f>IF($A50="","",MIN(Settings!$B$8,IFERROR(SUMIF(Weekly_Coaching!$B:$B,$A50,Weekly_Coaching!$D:$D),0)+IFERROR(SUMIF(Monthly_Edu!$B:$B,$A50,Monthly_Edu!$D:$D),0)+IFERROR(SUMIF(Monthly_Ops!$B:$B,$A50,Monthly_Ops!$D:$D),0)+IFERROR(SUMIF(Monthly_Mentor!$B:$B,$A50,Monthly_Mentor!$D:$D),0)+IFERROR(SUMIF(Quarterly_Impact!$B:$B,$A50,Quarterly_Impact!$D:$D),0)+IFERROR(SUMIFS(XPLog!$M:$M,XPLog!$B:$B,$A50,XPLog!$J:$J,"Admin"),0)+IFERROR(SUMIFS(XPLog!$M:$M,XPLog!$B:$B,$A50,XPLog!$J:$J,"Seeding"),0)))</f>
        <v/>
      </c>
      <c r="F50" s="27">
        <f>IF($E50="","",LOOKUP($E50, XPBands!B$2:B$10, XPBands!A$2:A$10))</f>
        <v/>
      </c>
      <c r="G50" s="27">
        <f>IF($E50="","", VLOOKUP($F50, XPBands!A$2:G$10, 4, FALSE) + MIN(VLOOKUP($F50, XPBands!A$2:G$10, 5, FALSE) - VLOOKUP($F50, XPBands!A$2:G$10, 4, FALSE), FLOOR(( $E50 - VLOOKUP($F50, XPBands!A$2:G$10, 2, FALSE) ) / VLOOKUP($F50, XPBands!A$2:G$10, 7, FALSE),1)))</f>
        <v/>
      </c>
      <c r="H50" s="27">
        <f>IF($D50="","",VLOOKUP($D50,RoleTitles!$A:$E,3,FALSE))</f>
        <v/>
      </c>
      <c r="I50" s="27">
        <f>IF($D50="","",IF($C50="Greek",VLOOKUP($D50,RoleTitles!$A:$E,4,FALSE),IF($C50="Aesir",VLOOKUP($D50,RoleTitles!$A:$E,5,FALSE),VLOOKUP($D50,RoleTitles!$A:$E,3,FALSE))))</f>
        <v/>
      </c>
      <c r="J50" s="27">
        <f>IF($D50="","",IF($E50&gt;=VLOOKUP($D50,RoleTitles!$A:$B,2,FALSE),"Yes","No"))</f>
        <v/>
      </c>
      <c r="K50" s="27">
        <f>IF($D50="","",IF($D50="T1","T2",IF($D50="T2","T3",IF($D50="T3","T4",IF($D50="T4","T5",IF($D50="T5","T6",IF($D50="T6","T7",IF($D50="T7","T8",IF($D50="T8","T9","")))))))))</f>
        <v/>
      </c>
      <c r="L50" s="28">
        <f>IF($K50="","",MAX(0,VLOOKUP($K50,RoleTitles!$A:$B,2,FALSE)-$E50))</f>
        <v/>
      </c>
    </row>
    <row r="51">
      <c r="A51" s="24">
        <f>IFERROR(INDEX(CoachRoster!$A$2:$A$1000,ROW()-1),"")</f>
        <v/>
      </c>
      <c r="B51" s="27">
        <f>IF($A51="","",VLOOKUP($A51,CoachRoster!$A:$E,2,FALSE))</f>
        <v/>
      </c>
      <c r="C51" s="27">
        <f>IF($A51="","",VLOOKUP($A51,CoachRoster!$A:$E,3,FALSE))</f>
        <v/>
      </c>
      <c r="D51" s="27">
        <f>IF($A51="","",VLOOKUP($A51,CoachRoster!$A:$E,4,FALSE))</f>
        <v/>
      </c>
      <c r="E51" s="27">
        <f>IF($A51="","",MIN(Settings!$B$8,IFERROR(SUMIF(Weekly_Coaching!$B:$B,$A51,Weekly_Coaching!$D:$D),0)+IFERROR(SUMIF(Monthly_Edu!$B:$B,$A51,Monthly_Edu!$D:$D),0)+IFERROR(SUMIF(Monthly_Ops!$B:$B,$A51,Monthly_Ops!$D:$D),0)+IFERROR(SUMIF(Monthly_Mentor!$B:$B,$A51,Monthly_Mentor!$D:$D),0)+IFERROR(SUMIF(Quarterly_Impact!$B:$B,$A51,Quarterly_Impact!$D:$D),0)+IFERROR(SUMIFS(XPLog!$M:$M,XPLog!$B:$B,$A51,XPLog!$J:$J,"Admin"),0)+IFERROR(SUMIFS(XPLog!$M:$M,XPLog!$B:$B,$A51,XPLog!$J:$J,"Seeding"),0)))</f>
        <v/>
      </c>
      <c r="F51" s="27">
        <f>IF($E51="","",LOOKUP($E51, XPBands!B$2:B$10, XPBands!A$2:A$10))</f>
        <v/>
      </c>
      <c r="G51" s="27">
        <f>IF($E51="","", VLOOKUP($F51, XPBands!A$2:G$10, 4, FALSE) + MIN(VLOOKUP($F51, XPBands!A$2:G$10, 5, FALSE) - VLOOKUP($F51, XPBands!A$2:G$10, 4, FALSE), FLOOR(( $E51 - VLOOKUP($F51, XPBands!A$2:G$10, 2, FALSE) ) / VLOOKUP($F51, XPBands!A$2:G$10, 7, FALSE),1)))</f>
        <v/>
      </c>
      <c r="H51" s="27">
        <f>IF($D51="","",VLOOKUP($D51,RoleTitles!$A:$E,3,FALSE))</f>
        <v/>
      </c>
      <c r="I51" s="27">
        <f>IF($D51="","",IF($C51="Greek",VLOOKUP($D51,RoleTitles!$A:$E,4,FALSE),IF($C51="Aesir",VLOOKUP($D51,RoleTitles!$A:$E,5,FALSE),VLOOKUP($D51,RoleTitles!$A:$E,3,FALSE))))</f>
        <v/>
      </c>
      <c r="J51" s="27">
        <f>IF($D51="","",IF($E51&gt;=VLOOKUP($D51,RoleTitles!$A:$B,2,FALSE),"Yes","No"))</f>
        <v/>
      </c>
      <c r="K51" s="27">
        <f>IF($D51="","",IF($D51="T1","T2",IF($D51="T2","T3",IF($D51="T3","T4",IF($D51="T4","T5",IF($D51="T5","T6",IF($D51="T6","T7",IF($D51="T7","T8",IF($D51="T8","T9","")))))))))</f>
        <v/>
      </c>
      <c r="L51" s="28">
        <f>IF($K51="","",MAX(0,VLOOKUP($K51,RoleTitles!$A:$B,2,FALSE)-$E51))</f>
        <v/>
      </c>
    </row>
    <row r="52">
      <c r="A52" s="24">
        <f>IFERROR(INDEX(CoachRoster!$A$2:$A$1000,ROW()-1),"")</f>
        <v/>
      </c>
      <c r="B52" s="27">
        <f>IF($A52="","",VLOOKUP($A52,CoachRoster!$A:$E,2,FALSE))</f>
        <v/>
      </c>
      <c r="C52" s="27">
        <f>IF($A52="","",VLOOKUP($A52,CoachRoster!$A:$E,3,FALSE))</f>
        <v/>
      </c>
      <c r="D52" s="27">
        <f>IF($A52="","",VLOOKUP($A52,CoachRoster!$A:$E,4,FALSE))</f>
        <v/>
      </c>
      <c r="E52" s="27">
        <f>IF($A52="","",MIN(Settings!$B$8,IFERROR(SUMIF(Weekly_Coaching!$B:$B,$A52,Weekly_Coaching!$D:$D),0)+IFERROR(SUMIF(Monthly_Edu!$B:$B,$A52,Monthly_Edu!$D:$D),0)+IFERROR(SUMIF(Monthly_Ops!$B:$B,$A52,Monthly_Ops!$D:$D),0)+IFERROR(SUMIF(Monthly_Mentor!$B:$B,$A52,Monthly_Mentor!$D:$D),0)+IFERROR(SUMIF(Quarterly_Impact!$B:$B,$A52,Quarterly_Impact!$D:$D),0)+IFERROR(SUMIFS(XPLog!$M:$M,XPLog!$B:$B,$A52,XPLog!$J:$J,"Admin"),0)+IFERROR(SUMIFS(XPLog!$M:$M,XPLog!$B:$B,$A52,XPLog!$J:$J,"Seeding"),0)))</f>
        <v/>
      </c>
      <c r="F52" s="27">
        <f>IF($E52="","",LOOKUP($E52, XPBands!B$2:B$10, XPBands!A$2:A$10))</f>
        <v/>
      </c>
      <c r="G52" s="27">
        <f>IF($E52="","", VLOOKUP($F52, XPBands!A$2:G$10, 4, FALSE) + MIN(VLOOKUP($F52, XPBands!A$2:G$10, 5, FALSE) - VLOOKUP($F52, XPBands!A$2:G$10, 4, FALSE), FLOOR(( $E52 - VLOOKUP($F52, XPBands!A$2:G$10, 2, FALSE) ) / VLOOKUP($F52, XPBands!A$2:G$10, 7, FALSE),1)))</f>
        <v/>
      </c>
      <c r="H52" s="27">
        <f>IF($D52="","",VLOOKUP($D52,RoleTitles!$A:$E,3,FALSE))</f>
        <v/>
      </c>
      <c r="I52" s="27">
        <f>IF($D52="","",IF($C52="Greek",VLOOKUP($D52,RoleTitles!$A:$E,4,FALSE),IF($C52="Aesir",VLOOKUP($D52,RoleTitles!$A:$E,5,FALSE),VLOOKUP($D52,RoleTitles!$A:$E,3,FALSE))))</f>
        <v/>
      </c>
      <c r="J52" s="27">
        <f>IF($D52="","",IF($E52&gt;=VLOOKUP($D52,RoleTitles!$A:$B,2,FALSE),"Yes","No"))</f>
        <v/>
      </c>
      <c r="K52" s="27">
        <f>IF($D52="","",IF($D52="T1","T2",IF($D52="T2","T3",IF($D52="T3","T4",IF($D52="T4","T5",IF($D52="T5","T6",IF($D52="T6","T7",IF($D52="T7","T8",IF($D52="T8","T9","")))))))))</f>
        <v/>
      </c>
      <c r="L52" s="28">
        <f>IF($K52="","",MAX(0,VLOOKUP($K52,RoleTitles!$A:$B,2,FALSE)-$E52))</f>
        <v/>
      </c>
    </row>
    <row r="53">
      <c r="A53" s="24">
        <f>IFERROR(INDEX(CoachRoster!$A$2:$A$1000,ROW()-1),"")</f>
        <v/>
      </c>
      <c r="B53" s="27">
        <f>IF($A53="","",VLOOKUP($A53,CoachRoster!$A:$E,2,FALSE))</f>
        <v/>
      </c>
      <c r="C53" s="27">
        <f>IF($A53="","",VLOOKUP($A53,CoachRoster!$A:$E,3,FALSE))</f>
        <v/>
      </c>
      <c r="D53" s="27">
        <f>IF($A53="","",VLOOKUP($A53,CoachRoster!$A:$E,4,FALSE))</f>
        <v/>
      </c>
      <c r="E53" s="27">
        <f>IF($A53="","",MIN(Settings!$B$8,IFERROR(SUMIF(Weekly_Coaching!$B:$B,$A53,Weekly_Coaching!$D:$D),0)+IFERROR(SUMIF(Monthly_Edu!$B:$B,$A53,Monthly_Edu!$D:$D),0)+IFERROR(SUMIF(Monthly_Ops!$B:$B,$A53,Monthly_Ops!$D:$D),0)+IFERROR(SUMIF(Monthly_Mentor!$B:$B,$A53,Monthly_Mentor!$D:$D),0)+IFERROR(SUMIF(Quarterly_Impact!$B:$B,$A53,Quarterly_Impact!$D:$D),0)+IFERROR(SUMIFS(XPLog!$M:$M,XPLog!$B:$B,$A53,XPLog!$J:$J,"Admin"),0)+IFERROR(SUMIFS(XPLog!$M:$M,XPLog!$B:$B,$A53,XPLog!$J:$J,"Seeding"),0)))</f>
        <v/>
      </c>
      <c r="F53" s="27">
        <f>IF($E53="","",LOOKUP($E53, XPBands!B$2:B$10, XPBands!A$2:A$10))</f>
        <v/>
      </c>
      <c r="G53" s="27">
        <f>IF($E53="","", VLOOKUP($F53, XPBands!A$2:G$10, 4, FALSE) + MIN(VLOOKUP($F53, XPBands!A$2:G$10, 5, FALSE) - VLOOKUP($F53, XPBands!A$2:G$10, 4, FALSE), FLOOR(( $E53 - VLOOKUP($F53, XPBands!A$2:G$10, 2, FALSE) ) / VLOOKUP($F53, XPBands!A$2:G$10, 7, FALSE),1)))</f>
        <v/>
      </c>
      <c r="H53" s="27">
        <f>IF($D53="","",VLOOKUP($D53,RoleTitles!$A:$E,3,FALSE))</f>
        <v/>
      </c>
      <c r="I53" s="27">
        <f>IF($D53="","",IF($C53="Greek",VLOOKUP($D53,RoleTitles!$A:$E,4,FALSE),IF($C53="Aesir",VLOOKUP($D53,RoleTitles!$A:$E,5,FALSE),VLOOKUP($D53,RoleTitles!$A:$E,3,FALSE))))</f>
        <v/>
      </c>
      <c r="J53" s="27">
        <f>IF($D53="","",IF($E53&gt;=VLOOKUP($D53,RoleTitles!$A:$B,2,FALSE),"Yes","No"))</f>
        <v/>
      </c>
      <c r="K53" s="27">
        <f>IF($D53="","",IF($D53="T1","T2",IF($D53="T2","T3",IF($D53="T3","T4",IF($D53="T4","T5",IF($D53="T5","T6",IF($D53="T6","T7",IF($D53="T7","T8",IF($D53="T8","T9","")))))))))</f>
        <v/>
      </c>
      <c r="L53" s="28">
        <f>IF($K53="","",MAX(0,VLOOKUP($K53,RoleTitles!$A:$B,2,FALSE)-$E53))</f>
        <v/>
      </c>
    </row>
    <row r="54">
      <c r="A54" s="24">
        <f>IFERROR(INDEX(CoachRoster!$A$2:$A$1000,ROW()-1),"")</f>
        <v/>
      </c>
      <c r="B54" s="27">
        <f>IF($A54="","",VLOOKUP($A54,CoachRoster!$A:$E,2,FALSE))</f>
        <v/>
      </c>
      <c r="C54" s="27">
        <f>IF($A54="","",VLOOKUP($A54,CoachRoster!$A:$E,3,FALSE))</f>
        <v/>
      </c>
      <c r="D54" s="27">
        <f>IF($A54="","",VLOOKUP($A54,CoachRoster!$A:$E,4,FALSE))</f>
        <v/>
      </c>
      <c r="E54" s="27">
        <f>IF($A54="","",MIN(Settings!$B$8,IFERROR(SUMIF(Weekly_Coaching!$B:$B,$A54,Weekly_Coaching!$D:$D),0)+IFERROR(SUMIF(Monthly_Edu!$B:$B,$A54,Monthly_Edu!$D:$D),0)+IFERROR(SUMIF(Monthly_Ops!$B:$B,$A54,Monthly_Ops!$D:$D),0)+IFERROR(SUMIF(Monthly_Mentor!$B:$B,$A54,Monthly_Mentor!$D:$D),0)+IFERROR(SUMIF(Quarterly_Impact!$B:$B,$A54,Quarterly_Impact!$D:$D),0)+IFERROR(SUMIFS(XPLog!$M:$M,XPLog!$B:$B,$A54,XPLog!$J:$J,"Admin"),0)+IFERROR(SUMIFS(XPLog!$M:$M,XPLog!$B:$B,$A54,XPLog!$J:$J,"Seeding"),0)))</f>
        <v/>
      </c>
      <c r="F54" s="27">
        <f>IF($E54="","",LOOKUP($E54, XPBands!B$2:B$10, XPBands!A$2:A$10))</f>
        <v/>
      </c>
      <c r="G54" s="27">
        <f>IF($E54="","", VLOOKUP($F54, XPBands!A$2:G$10, 4, FALSE) + MIN(VLOOKUP($F54, XPBands!A$2:G$10, 5, FALSE) - VLOOKUP($F54, XPBands!A$2:G$10, 4, FALSE), FLOOR(( $E54 - VLOOKUP($F54, XPBands!A$2:G$10, 2, FALSE) ) / VLOOKUP($F54, XPBands!A$2:G$10, 7, FALSE),1)))</f>
        <v/>
      </c>
      <c r="H54" s="27">
        <f>IF($D54="","",VLOOKUP($D54,RoleTitles!$A:$E,3,FALSE))</f>
        <v/>
      </c>
      <c r="I54" s="27">
        <f>IF($D54="","",IF($C54="Greek",VLOOKUP($D54,RoleTitles!$A:$E,4,FALSE),IF($C54="Aesir",VLOOKUP($D54,RoleTitles!$A:$E,5,FALSE),VLOOKUP($D54,RoleTitles!$A:$E,3,FALSE))))</f>
        <v/>
      </c>
      <c r="J54" s="27">
        <f>IF($D54="","",IF($E54&gt;=VLOOKUP($D54,RoleTitles!$A:$B,2,FALSE),"Yes","No"))</f>
        <v/>
      </c>
      <c r="K54" s="27">
        <f>IF($D54="","",IF($D54="T1","T2",IF($D54="T2","T3",IF($D54="T3","T4",IF($D54="T4","T5",IF($D54="T5","T6",IF($D54="T6","T7",IF($D54="T7","T8",IF($D54="T8","T9","")))))))))</f>
        <v/>
      </c>
      <c r="L54" s="28">
        <f>IF($K54="","",MAX(0,VLOOKUP($K54,RoleTitles!$A:$B,2,FALSE)-$E54))</f>
        <v/>
      </c>
    </row>
    <row r="55">
      <c r="A55" s="24">
        <f>IFERROR(INDEX(CoachRoster!$A$2:$A$1000,ROW()-1),"")</f>
        <v/>
      </c>
      <c r="B55" s="27">
        <f>IF($A55="","",VLOOKUP($A55,CoachRoster!$A:$E,2,FALSE))</f>
        <v/>
      </c>
      <c r="C55" s="27">
        <f>IF($A55="","",VLOOKUP($A55,CoachRoster!$A:$E,3,FALSE))</f>
        <v/>
      </c>
      <c r="D55" s="27">
        <f>IF($A55="","",VLOOKUP($A55,CoachRoster!$A:$E,4,FALSE))</f>
        <v/>
      </c>
      <c r="E55" s="27">
        <f>IF($A55="","",MIN(Settings!$B$8,IFERROR(SUMIF(Weekly_Coaching!$B:$B,$A55,Weekly_Coaching!$D:$D),0)+IFERROR(SUMIF(Monthly_Edu!$B:$B,$A55,Monthly_Edu!$D:$D),0)+IFERROR(SUMIF(Monthly_Ops!$B:$B,$A55,Monthly_Ops!$D:$D),0)+IFERROR(SUMIF(Monthly_Mentor!$B:$B,$A55,Monthly_Mentor!$D:$D),0)+IFERROR(SUMIF(Quarterly_Impact!$B:$B,$A55,Quarterly_Impact!$D:$D),0)+IFERROR(SUMIFS(XPLog!$M:$M,XPLog!$B:$B,$A55,XPLog!$J:$J,"Admin"),0)+IFERROR(SUMIFS(XPLog!$M:$M,XPLog!$B:$B,$A55,XPLog!$J:$J,"Seeding"),0)))</f>
        <v/>
      </c>
      <c r="F55" s="27">
        <f>IF($E55="","",LOOKUP($E55, XPBands!B$2:B$10, XPBands!A$2:A$10))</f>
        <v/>
      </c>
      <c r="G55" s="27">
        <f>IF($E55="","", VLOOKUP($F55, XPBands!A$2:G$10, 4, FALSE) + MIN(VLOOKUP($F55, XPBands!A$2:G$10, 5, FALSE) - VLOOKUP($F55, XPBands!A$2:G$10, 4, FALSE), FLOOR(( $E55 - VLOOKUP($F55, XPBands!A$2:G$10, 2, FALSE) ) / VLOOKUP($F55, XPBands!A$2:G$10, 7, FALSE),1)))</f>
        <v/>
      </c>
      <c r="H55" s="27">
        <f>IF($D55="","",VLOOKUP($D55,RoleTitles!$A:$E,3,FALSE))</f>
        <v/>
      </c>
      <c r="I55" s="27">
        <f>IF($D55="","",IF($C55="Greek",VLOOKUP($D55,RoleTitles!$A:$E,4,FALSE),IF($C55="Aesir",VLOOKUP($D55,RoleTitles!$A:$E,5,FALSE),VLOOKUP($D55,RoleTitles!$A:$E,3,FALSE))))</f>
        <v/>
      </c>
      <c r="J55" s="27">
        <f>IF($D55="","",IF($E55&gt;=VLOOKUP($D55,RoleTitles!$A:$B,2,FALSE),"Yes","No"))</f>
        <v/>
      </c>
      <c r="K55" s="27">
        <f>IF($D55="","",IF($D55="T1","T2",IF($D55="T2","T3",IF($D55="T3","T4",IF($D55="T4","T5",IF($D55="T5","T6",IF($D55="T6","T7",IF($D55="T7","T8",IF($D55="T8","T9","")))))))))</f>
        <v/>
      </c>
      <c r="L55" s="28">
        <f>IF($K55="","",MAX(0,VLOOKUP($K55,RoleTitles!$A:$B,2,FALSE)-$E55))</f>
        <v/>
      </c>
    </row>
    <row r="56">
      <c r="A56" s="24">
        <f>IFERROR(INDEX(CoachRoster!$A$2:$A$1000,ROW()-1),"")</f>
        <v/>
      </c>
      <c r="B56" s="27">
        <f>IF($A56="","",VLOOKUP($A56,CoachRoster!$A:$E,2,FALSE))</f>
        <v/>
      </c>
      <c r="C56" s="27">
        <f>IF($A56="","",VLOOKUP($A56,CoachRoster!$A:$E,3,FALSE))</f>
        <v/>
      </c>
      <c r="D56" s="27">
        <f>IF($A56="","",VLOOKUP($A56,CoachRoster!$A:$E,4,FALSE))</f>
        <v/>
      </c>
      <c r="E56" s="27">
        <f>IF($A56="","",MIN(Settings!$B$8,IFERROR(SUMIF(Weekly_Coaching!$B:$B,$A56,Weekly_Coaching!$D:$D),0)+IFERROR(SUMIF(Monthly_Edu!$B:$B,$A56,Monthly_Edu!$D:$D),0)+IFERROR(SUMIF(Monthly_Ops!$B:$B,$A56,Monthly_Ops!$D:$D),0)+IFERROR(SUMIF(Monthly_Mentor!$B:$B,$A56,Monthly_Mentor!$D:$D),0)+IFERROR(SUMIF(Quarterly_Impact!$B:$B,$A56,Quarterly_Impact!$D:$D),0)+IFERROR(SUMIFS(XPLog!$M:$M,XPLog!$B:$B,$A56,XPLog!$J:$J,"Admin"),0)+IFERROR(SUMIFS(XPLog!$M:$M,XPLog!$B:$B,$A56,XPLog!$J:$J,"Seeding"),0)))</f>
        <v/>
      </c>
      <c r="F56" s="27">
        <f>IF($E56="","",LOOKUP($E56, XPBands!B$2:B$10, XPBands!A$2:A$10))</f>
        <v/>
      </c>
      <c r="G56" s="27">
        <f>IF($E56="","", VLOOKUP($F56, XPBands!A$2:G$10, 4, FALSE) + MIN(VLOOKUP($F56, XPBands!A$2:G$10, 5, FALSE) - VLOOKUP($F56, XPBands!A$2:G$10, 4, FALSE), FLOOR(( $E56 - VLOOKUP($F56, XPBands!A$2:G$10, 2, FALSE) ) / VLOOKUP($F56, XPBands!A$2:G$10, 7, FALSE),1)))</f>
        <v/>
      </c>
      <c r="H56" s="27">
        <f>IF($D56="","",VLOOKUP($D56,RoleTitles!$A:$E,3,FALSE))</f>
        <v/>
      </c>
      <c r="I56" s="27">
        <f>IF($D56="","",IF($C56="Greek",VLOOKUP($D56,RoleTitles!$A:$E,4,FALSE),IF($C56="Aesir",VLOOKUP($D56,RoleTitles!$A:$E,5,FALSE),VLOOKUP($D56,RoleTitles!$A:$E,3,FALSE))))</f>
        <v/>
      </c>
      <c r="J56" s="27">
        <f>IF($D56="","",IF($E56&gt;=VLOOKUP($D56,RoleTitles!$A:$B,2,FALSE),"Yes","No"))</f>
        <v/>
      </c>
      <c r="K56" s="27">
        <f>IF($D56="","",IF($D56="T1","T2",IF($D56="T2","T3",IF($D56="T3","T4",IF($D56="T4","T5",IF($D56="T5","T6",IF($D56="T6","T7",IF($D56="T7","T8",IF($D56="T8","T9","")))))))))</f>
        <v/>
      </c>
      <c r="L56" s="28">
        <f>IF($K56="","",MAX(0,VLOOKUP($K56,RoleTitles!$A:$B,2,FALSE)-$E56))</f>
        <v/>
      </c>
    </row>
    <row r="57">
      <c r="A57" s="24">
        <f>IFERROR(INDEX(CoachRoster!$A$2:$A$1000,ROW()-1),"")</f>
        <v/>
      </c>
      <c r="B57" s="27">
        <f>IF($A57="","",VLOOKUP($A57,CoachRoster!$A:$E,2,FALSE))</f>
        <v/>
      </c>
      <c r="C57" s="27">
        <f>IF($A57="","",VLOOKUP($A57,CoachRoster!$A:$E,3,FALSE))</f>
        <v/>
      </c>
      <c r="D57" s="27">
        <f>IF($A57="","",VLOOKUP($A57,CoachRoster!$A:$E,4,FALSE))</f>
        <v/>
      </c>
      <c r="E57" s="27">
        <f>IF($A57="","",MIN(Settings!$B$8,IFERROR(SUMIF(Weekly_Coaching!$B:$B,$A57,Weekly_Coaching!$D:$D),0)+IFERROR(SUMIF(Monthly_Edu!$B:$B,$A57,Monthly_Edu!$D:$D),0)+IFERROR(SUMIF(Monthly_Ops!$B:$B,$A57,Monthly_Ops!$D:$D),0)+IFERROR(SUMIF(Monthly_Mentor!$B:$B,$A57,Monthly_Mentor!$D:$D),0)+IFERROR(SUMIF(Quarterly_Impact!$B:$B,$A57,Quarterly_Impact!$D:$D),0)+IFERROR(SUMIFS(XPLog!$M:$M,XPLog!$B:$B,$A57,XPLog!$J:$J,"Admin"),0)+IFERROR(SUMIFS(XPLog!$M:$M,XPLog!$B:$B,$A57,XPLog!$J:$J,"Seeding"),0)))</f>
        <v/>
      </c>
      <c r="F57" s="27">
        <f>IF($E57="","",LOOKUP($E57, XPBands!B$2:B$10, XPBands!A$2:A$10))</f>
        <v/>
      </c>
      <c r="G57" s="27">
        <f>IF($E57="","", VLOOKUP($F57, XPBands!A$2:G$10, 4, FALSE) + MIN(VLOOKUP($F57, XPBands!A$2:G$10, 5, FALSE) - VLOOKUP($F57, XPBands!A$2:G$10, 4, FALSE), FLOOR(( $E57 - VLOOKUP($F57, XPBands!A$2:G$10, 2, FALSE) ) / VLOOKUP($F57, XPBands!A$2:G$10, 7, FALSE),1)))</f>
        <v/>
      </c>
      <c r="H57" s="27">
        <f>IF($D57="","",VLOOKUP($D57,RoleTitles!$A:$E,3,FALSE))</f>
        <v/>
      </c>
      <c r="I57" s="27">
        <f>IF($D57="","",IF($C57="Greek",VLOOKUP($D57,RoleTitles!$A:$E,4,FALSE),IF($C57="Aesir",VLOOKUP($D57,RoleTitles!$A:$E,5,FALSE),VLOOKUP($D57,RoleTitles!$A:$E,3,FALSE))))</f>
        <v/>
      </c>
      <c r="J57" s="27">
        <f>IF($D57="","",IF($E57&gt;=VLOOKUP($D57,RoleTitles!$A:$B,2,FALSE),"Yes","No"))</f>
        <v/>
      </c>
      <c r="K57" s="27">
        <f>IF($D57="","",IF($D57="T1","T2",IF($D57="T2","T3",IF($D57="T3","T4",IF($D57="T4","T5",IF($D57="T5","T6",IF($D57="T6","T7",IF($D57="T7","T8",IF($D57="T8","T9","")))))))))</f>
        <v/>
      </c>
      <c r="L57" s="28">
        <f>IF($K57="","",MAX(0,VLOOKUP($K57,RoleTitles!$A:$B,2,FALSE)-$E57))</f>
        <v/>
      </c>
    </row>
    <row r="58">
      <c r="A58" s="24">
        <f>IFERROR(INDEX(CoachRoster!$A$2:$A$1000,ROW()-1),"")</f>
        <v/>
      </c>
      <c r="B58" s="27">
        <f>IF($A58="","",VLOOKUP($A58,CoachRoster!$A:$E,2,FALSE))</f>
        <v/>
      </c>
      <c r="C58" s="27">
        <f>IF($A58="","",VLOOKUP($A58,CoachRoster!$A:$E,3,FALSE))</f>
        <v/>
      </c>
      <c r="D58" s="27">
        <f>IF($A58="","",VLOOKUP($A58,CoachRoster!$A:$E,4,FALSE))</f>
        <v/>
      </c>
      <c r="E58" s="27">
        <f>IF($A58="","",MIN(Settings!$B$8,IFERROR(SUMIF(Weekly_Coaching!$B:$B,$A58,Weekly_Coaching!$D:$D),0)+IFERROR(SUMIF(Monthly_Edu!$B:$B,$A58,Monthly_Edu!$D:$D),0)+IFERROR(SUMIF(Monthly_Ops!$B:$B,$A58,Monthly_Ops!$D:$D),0)+IFERROR(SUMIF(Monthly_Mentor!$B:$B,$A58,Monthly_Mentor!$D:$D),0)+IFERROR(SUMIF(Quarterly_Impact!$B:$B,$A58,Quarterly_Impact!$D:$D),0)+IFERROR(SUMIFS(XPLog!$M:$M,XPLog!$B:$B,$A58,XPLog!$J:$J,"Admin"),0)+IFERROR(SUMIFS(XPLog!$M:$M,XPLog!$B:$B,$A58,XPLog!$J:$J,"Seeding"),0)))</f>
        <v/>
      </c>
      <c r="F58" s="27">
        <f>IF($E58="","",LOOKUP($E58, XPBands!B$2:B$10, XPBands!A$2:A$10))</f>
        <v/>
      </c>
      <c r="G58" s="27">
        <f>IF($E58="","", VLOOKUP($F58, XPBands!A$2:G$10, 4, FALSE) + MIN(VLOOKUP($F58, XPBands!A$2:G$10, 5, FALSE) - VLOOKUP($F58, XPBands!A$2:G$10, 4, FALSE), FLOOR(( $E58 - VLOOKUP($F58, XPBands!A$2:G$10, 2, FALSE) ) / VLOOKUP($F58, XPBands!A$2:G$10, 7, FALSE),1)))</f>
        <v/>
      </c>
      <c r="H58" s="27">
        <f>IF($D58="","",VLOOKUP($D58,RoleTitles!$A:$E,3,FALSE))</f>
        <v/>
      </c>
      <c r="I58" s="27">
        <f>IF($D58="","",IF($C58="Greek",VLOOKUP($D58,RoleTitles!$A:$E,4,FALSE),IF($C58="Aesir",VLOOKUP($D58,RoleTitles!$A:$E,5,FALSE),VLOOKUP($D58,RoleTitles!$A:$E,3,FALSE))))</f>
        <v/>
      </c>
      <c r="J58" s="27">
        <f>IF($D58="","",IF($E58&gt;=VLOOKUP($D58,RoleTitles!$A:$B,2,FALSE),"Yes","No"))</f>
        <v/>
      </c>
      <c r="K58" s="27">
        <f>IF($D58="","",IF($D58="T1","T2",IF($D58="T2","T3",IF($D58="T3","T4",IF($D58="T4","T5",IF($D58="T5","T6",IF($D58="T6","T7",IF($D58="T7","T8",IF($D58="T8","T9","")))))))))</f>
        <v/>
      </c>
      <c r="L58" s="28">
        <f>IF($K58="","",MAX(0,VLOOKUP($K58,RoleTitles!$A:$B,2,FALSE)-$E58))</f>
        <v/>
      </c>
    </row>
    <row r="59">
      <c r="A59" s="24">
        <f>IFERROR(INDEX(CoachRoster!$A$2:$A$1000,ROW()-1),"")</f>
        <v/>
      </c>
      <c r="B59" s="27">
        <f>IF($A59="","",VLOOKUP($A59,CoachRoster!$A:$E,2,FALSE))</f>
        <v/>
      </c>
      <c r="C59" s="27">
        <f>IF($A59="","",VLOOKUP($A59,CoachRoster!$A:$E,3,FALSE))</f>
        <v/>
      </c>
      <c r="D59" s="27">
        <f>IF($A59="","",VLOOKUP($A59,CoachRoster!$A:$E,4,FALSE))</f>
        <v/>
      </c>
      <c r="E59" s="27">
        <f>IF($A59="","",MIN(Settings!$B$8,IFERROR(SUMIF(Weekly_Coaching!$B:$B,$A59,Weekly_Coaching!$D:$D),0)+IFERROR(SUMIF(Monthly_Edu!$B:$B,$A59,Monthly_Edu!$D:$D),0)+IFERROR(SUMIF(Monthly_Ops!$B:$B,$A59,Monthly_Ops!$D:$D),0)+IFERROR(SUMIF(Monthly_Mentor!$B:$B,$A59,Monthly_Mentor!$D:$D),0)+IFERROR(SUMIF(Quarterly_Impact!$B:$B,$A59,Quarterly_Impact!$D:$D),0)+IFERROR(SUMIFS(XPLog!$M:$M,XPLog!$B:$B,$A59,XPLog!$J:$J,"Admin"),0)+IFERROR(SUMIFS(XPLog!$M:$M,XPLog!$B:$B,$A59,XPLog!$J:$J,"Seeding"),0)))</f>
        <v/>
      </c>
      <c r="F59" s="27">
        <f>IF($E59="","",LOOKUP($E59, XPBands!B$2:B$10, XPBands!A$2:A$10))</f>
        <v/>
      </c>
      <c r="G59" s="27">
        <f>IF($E59="","", VLOOKUP($F59, XPBands!A$2:G$10, 4, FALSE) + MIN(VLOOKUP($F59, XPBands!A$2:G$10, 5, FALSE) - VLOOKUP($F59, XPBands!A$2:G$10, 4, FALSE), FLOOR(( $E59 - VLOOKUP($F59, XPBands!A$2:G$10, 2, FALSE) ) / VLOOKUP($F59, XPBands!A$2:G$10, 7, FALSE),1)))</f>
        <v/>
      </c>
      <c r="H59" s="27">
        <f>IF($D59="","",VLOOKUP($D59,RoleTitles!$A:$E,3,FALSE))</f>
        <v/>
      </c>
      <c r="I59" s="27">
        <f>IF($D59="","",IF($C59="Greek",VLOOKUP($D59,RoleTitles!$A:$E,4,FALSE),IF($C59="Aesir",VLOOKUP($D59,RoleTitles!$A:$E,5,FALSE),VLOOKUP($D59,RoleTitles!$A:$E,3,FALSE))))</f>
        <v/>
      </c>
      <c r="J59" s="27">
        <f>IF($D59="","",IF($E59&gt;=VLOOKUP($D59,RoleTitles!$A:$B,2,FALSE),"Yes","No"))</f>
        <v/>
      </c>
      <c r="K59" s="27">
        <f>IF($D59="","",IF($D59="T1","T2",IF($D59="T2","T3",IF($D59="T3","T4",IF($D59="T4","T5",IF($D59="T5","T6",IF($D59="T6","T7",IF($D59="T7","T8",IF($D59="T8","T9","")))))))))</f>
        <v/>
      </c>
      <c r="L59" s="28">
        <f>IF($K59="","",MAX(0,VLOOKUP($K59,RoleTitles!$A:$B,2,FALSE)-$E59))</f>
        <v/>
      </c>
    </row>
    <row r="60">
      <c r="A60" s="24">
        <f>IFERROR(INDEX(CoachRoster!$A$2:$A$1000,ROW()-1),"")</f>
        <v/>
      </c>
      <c r="B60" s="27">
        <f>IF($A60="","",VLOOKUP($A60,CoachRoster!$A:$E,2,FALSE))</f>
        <v/>
      </c>
      <c r="C60" s="27">
        <f>IF($A60="","",VLOOKUP($A60,CoachRoster!$A:$E,3,FALSE))</f>
        <v/>
      </c>
      <c r="D60" s="27">
        <f>IF($A60="","",VLOOKUP($A60,CoachRoster!$A:$E,4,FALSE))</f>
        <v/>
      </c>
      <c r="E60" s="27">
        <f>IF($A60="","",MIN(Settings!$B$8,IFERROR(SUMIF(Weekly_Coaching!$B:$B,$A60,Weekly_Coaching!$D:$D),0)+IFERROR(SUMIF(Monthly_Edu!$B:$B,$A60,Monthly_Edu!$D:$D),0)+IFERROR(SUMIF(Monthly_Ops!$B:$B,$A60,Monthly_Ops!$D:$D),0)+IFERROR(SUMIF(Monthly_Mentor!$B:$B,$A60,Monthly_Mentor!$D:$D),0)+IFERROR(SUMIF(Quarterly_Impact!$B:$B,$A60,Quarterly_Impact!$D:$D),0)+IFERROR(SUMIFS(XPLog!$M:$M,XPLog!$B:$B,$A60,XPLog!$J:$J,"Admin"),0)+IFERROR(SUMIFS(XPLog!$M:$M,XPLog!$B:$B,$A60,XPLog!$J:$J,"Seeding"),0)))</f>
        <v/>
      </c>
      <c r="F60" s="27">
        <f>IF($E60="","",LOOKUP($E60, XPBands!B$2:B$10, XPBands!A$2:A$10))</f>
        <v/>
      </c>
      <c r="G60" s="27">
        <f>IF($E60="","", VLOOKUP($F60, XPBands!A$2:G$10, 4, FALSE) + MIN(VLOOKUP($F60, XPBands!A$2:G$10, 5, FALSE) - VLOOKUP($F60, XPBands!A$2:G$10, 4, FALSE), FLOOR(( $E60 - VLOOKUP($F60, XPBands!A$2:G$10, 2, FALSE) ) / VLOOKUP($F60, XPBands!A$2:G$10, 7, FALSE),1)))</f>
        <v/>
      </c>
      <c r="H60" s="27">
        <f>IF($D60="","",VLOOKUP($D60,RoleTitles!$A:$E,3,FALSE))</f>
        <v/>
      </c>
      <c r="I60" s="27">
        <f>IF($D60="","",IF($C60="Greek",VLOOKUP($D60,RoleTitles!$A:$E,4,FALSE),IF($C60="Aesir",VLOOKUP($D60,RoleTitles!$A:$E,5,FALSE),VLOOKUP($D60,RoleTitles!$A:$E,3,FALSE))))</f>
        <v/>
      </c>
      <c r="J60" s="27">
        <f>IF($D60="","",IF($E60&gt;=VLOOKUP($D60,RoleTitles!$A:$B,2,FALSE),"Yes","No"))</f>
        <v/>
      </c>
      <c r="K60" s="27">
        <f>IF($D60="","",IF($D60="T1","T2",IF($D60="T2","T3",IF($D60="T3","T4",IF($D60="T4","T5",IF($D60="T5","T6",IF($D60="T6","T7",IF($D60="T7","T8",IF($D60="T8","T9","")))))))))</f>
        <v/>
      </c>
      <c r="L60" s="28">
        <f>IF($K60="","",MAX(0,VLOOKUP($K60,RoleTitles!$A:$B,2,FALSE)-$E60))</f>
        <v/>
      </c>
    </row>
    <row r="61">
      <c r="A61" s="24">
        <f>IFERROR(INDEX(CoachRoster!$A$2:$A$1000,ROW()-1),"")</f>
        <v/>
      </c>
      <c r="B61" s="27">
        <f>IF($A61="","",VLOOKUP($A61,CoachRoster!$A:$E,2,FALSE))</f>
        <v/>
      </c>
      <c r="C61" s="27">
        <f>IF($A61="","",VLOOKUP($A61,CoachRoster!$A:$E,3,FALSE))</f>
        <v/>
      </c>
      <c r="D61" s="27">
        <f>IF($A61="","",VLOOKUP($A61,CoachRoster!$A:$E,4,FALSE))</f>
        <v/>
      </c>
      <c r="E61" s="27">
        <f>IF($A61="","",MIN(Settings!$B$8,IFERROR(SUMIF(Weekly_Coaching!$B:$B,$A61,Weekly_Coaching!$D:$D),0)+IFERROR(SUMIF(Monthly_Edu!$B:$B,$A61,Monthly_Edu!$D:$D),0)+IFERROR(SUMIF(Monthly_Ops!$B:$B,$A61,Monthly_Ops!$D:$D),0)+IFERROR(SUMIF(Monthly_Mentor!$B:$B,$A61,Monthly_Mentor!$D:$D),0)+IFERROR(SUMIF(Quarterly_Impact!$B:$B,$A61,Quarterly_Impact!$D:$D),0)+IFERROR(SUMIFS(XPLog!$M:$M,XPLog!$B:$B,$A61,XPLog!$J:$J,"Admin"),0)+IFERROR(SUMIFS(XPLog!$M:$M,XPLog!$B:$B,$A61,XPLog!$J:$J,"Seeding"),0)))</f>
        <v/>
      </c>
      <c r="F61" s="27">
        <f>IF($E61="","",LOOKUP($E61, XPBands!B$2:B$10, XPBands!A$2:A$10))</f>
        <v/>
      </c>
      <c r="G61" s="27">
        <f>IF($E61="","", VLOOKUP($F61, XPBands!A$2:G$10, 4, FALSE) + MIN(VLOOKUP($F61, XPBands!A$2:G$10, 5, FALSE) - VLOOKUP($F61, XPBands!A$2:G$10, 4, FALSE), FLOOR(( $E61 - VLOOKUP($F61, XPBands!A$2:G$10, 2, FALSE) ) / VLOOKUP($F61, XPBands!A$2:G$10, 7, FALSE),1)))</f>
        <v/>
      </c>
      <c r="H61" s="27">
        <f>IF($D61="","",VLOOKUP($D61,RoleTitles!$A:$E,3,FALSE))</f>
        <v/>
      </c>
      <c r="I61" s="27">
        <f>IF($D61="","",IF($C61="Greek",VLOOKUP($D61,RoleTitles!$A:$E,4,FALSE),IF($C61="Aesir",VLOOKUP($D61,RoleTitles!$A:$E,5,FALSE),VLOOKUP($D61,RoleTitles!$A:$E,3,FALSE))))</f>
        <v/>
      </c>
      <c r="J61" s="27">
        <f>IF($D61="","",IF($E61&gt;=VLOOKUP($D61,RoleTitles!$A:$B,2,FALSE),"Yes","No"))</f>
        <v/>
      </c>
      <c r="K61" s="27">
        <f>IF($D61="","",IF($D61="T1","T2",IF($D61="T2","T3",IF($D61="T3","T4",IF($D61="T4","T5",IF($D61="T5","T6",IF($D61="T6","T7",IF($D61="T7","T8",IF($D61="T8","T9","")))))))))</f>
        <v/>
      </c>
      <c r="L61" s="28">
        <f>IF($K61="","",MAX(0,VLOOKUP($K61,RoleTitles!$A:$B,2,FALSE)-$E61))</f>
        <v/>
      </c>
    </row>
    <row r="62">
      <c r="A62" s="24">
        <f>IFERROR(INDEX(CoachRoster!$A$2:$A$1000,ROW()-1),"")</f>
        <v/>
      </c>
      <c r="B62" s="27">
        <f>IF($A62="","",VLOOKUP($A62,CoachRoster!$A:$E,2,FALSE))</f>
        <v/>
      </c>
      <c r="C62" s="27">
        <f>IF($A62="","",VLOOKUP($A62,CoachRoster!$A:$E,3,FALSE))</f>
        <v/>
      </c>
      <c r="D62" s="27">
        <f>IF($A62="","",VLOOKUP($A62,CoachRoster!$A:$E,4,FALSE))</f>
        <v/>
      </c>
      <c r="E62" s="27">
        <f>IF($A62="","",MIN(Settings!$B$8,IFERROR(SUMIF(Weekly_Coaching!$B:$B,$A62,Weekly_Coaching!$D:$D),0)+IFERROR(SUMIF(Monthly_Edu!$B:$B,$A62,Monthly_Edu!$D:$D),0)+IFERROR(SUMIF(Monthly_Ops!$B:$B,$A62,Monthly_Ops!$D:$D),0)+IFERROR(SUMIF(Monthly_Mentor!$B:$B,$A62,Monthly_Mentor!$D:$D),0)+IFERROR(SUMIF(Quarterly_Impact!$B:$B,$A62,Quarterly_Impact!$D:$D),0)+IFERROR(SUMIFS(XPLog!$M:$M,XPLog!$B:$B,$A62,XPLog!$J:$J,"Admin"),0)+IFERROR(SUMIFS(XPLog!$M:$M,XPLog!$B:$B,$A62,XPLog!$J:$J,"Seeding"),0)))</f>
        <v/>
      </c>
      <c r="F62" s="27">
        <f>IF($E62="","",LOOKUP($E62, XPBands!B$2:B$10, XPBands!A$2:A$10))</f>
        <v/>
      </c>
      <c r="G62" s="27">
        <f>IF($E62="","", VLOOKUP($F62, XPBands!A$2:G$10, 4, FALSE) + MIN(VLOOKUP($F62, XPBands!A$2:G$10, 5, FALSE) - VLOOKUP($F62, XPBands!A$2:G$10, 4, FALSE), FLOOR(( $E62 - VLOOKUP($F62, XPBands!A$2:G$10, 2, FALSE) ) / VLOOKUP($F62, XPBands!A$2:G$10, 7, FALSE),1)))</f>
        <v/>
      </c>
      <c r="H62" s="27">
        <f>IF($D62="","",VLOOKUP($D62,RoleTitles!$A:$E,3,FALSE))</f>
        <v/>
      </c>
      <c r="I62" s="27">
        <f>IF($D62="","",IF($C62="Greek",VLOOKUP($D62,RoleTitles!$A:$E,4,FALSE),IF($C62="Aesir",VLOOKUP($D62,RoleTitles!$A:$E,5,FALSE),VLOOKUP($D62,RoleTitles!$A:$E,3,FALSE))))</f>
        <v/>
      </c>
      <c r="J62" s="27">
        <f>IF($D62="","",IF($E62&gt;=VLOOKUP($D62,RoleTitles!$A:$B,2,FALSE),"Yes","No"))</f>
        <v/>
      </c>
      <c r="K62" s="27">
        <f>IF($D62="","",IF($D62="T1","T2",IF($D62="T2","T3",IF($D62="T3","T4",IF($D62="T4","T5",IF($D62="T5","T6",IF($D62="T6","T7",IF($D62="T7","T8",IF($D62="T8","T9","")))))))))</f>
        <v/>
      </c>
      <c r="L62" s="28">
        <f>IF($K62="","",MAX(0,VLOOKUP($K62,RoleTitles!$A:$B,2,FALSE)-$E62))</f>
        <v/>
      </c>
    </row>
    <row r="63">
      <c r="A63" s="24">
        <f>IFERROR(INDEX(CoachRoster!$A$2:$A$1000,ROW()-1),"")</f>
        <v/>
      </c>
      <c r="B63" s="27">
        <f>IF($A63="","",VLOOKUP($A63,CoachRoster!$A:$E,2,FALSE))</f>
        <v/>
      </c>
      <c r="C63" s="27">
        <f>IF($A63="","",VLOOKUP($A63,CoachRoster!$A:$E,3,FALSE))</f>
        <v/>
      </c>
      <c r="D63" s="27">
        <f>IF($A63="","",VLOOKUP($A63,CoachRoster!$A:$E,4,FALSE))</f>
        <v/>
      </c>
      <c r="E63" s="27">
        <f>IF($A63="","",MIN(Settings!$B$8,IFERROR(SUMIF(Weekly_Coaching!$B:$B,$A63,Weekly_Coaching!$D:$D),0)+IFERROR(SUMIF(Monthly_Edu!$B:$B,$A63,Monthly_Edu!$D:$D),0)+IFERROR(SUMIF(Monthly_Ops!$B:$B,$A63,Monthly_Ops!$D:$D),0)+IFERROR(SUMIF(Monthly_Mentor!$B:$B,$A63,Monthly_Mentor!$D:$D),0)+IFERROR(SUMIF(Quarterly_Impact!$B:$B,$A63,Quarterly_Impact!$D:$D),0)+IFERROR(SUMIFS(XPLog!$M:$M,XPLog!$B:$B,$A63,XPLog!$J:$J,"Admin"),0)+IFERROR(SUMIFS(XPLog!$M:$M,XPLog!$B:$B,$A63,XPLog!$J:$J,"Seeding"),0)))</f>
        <v/>
      </c>
      <c r="F63" s="27">
        <f>IF($E63="","",LOOKUP($E63, XPBands!B$2:B$10, XPBands!A$2:A$10))</f>
        <v/>
      </c>
      <c r="G63" s="27">
        <f>IF($E63="","", VLOOKUP($F63, XPBands!A$2:G$10, 4, FALSE) + MIN(VLOOKUP($F63, XPBands!A$2:G$10, 5, FALSE) - VLOOKUP($F63, XPBands!A$2:G$10, 4, FALSE), FLOOR(( $E63 - VLOOKUP($F63, XPBands!A$2:G$10, 2, FALSE) ) / VLOOKUP($F63, XPBands!A$2:G$10, 7, FALSE),1)))</f>
        <v/>
      </c>
      <c r="H63" s="27">
        <f>IF($D63="","",VLOOKUP($D63,RoleTitles!$A:$E,3,FALSE))</f>
        <v/>
      </c>
      <c r="I63" s="27">
        <f>IF($D63="","",IF($C63="Greek",VLOOKUP($D63,RoleTitles!$A:$E,4,FALSE),IF($C63="Aesir",VLOOKUP($D63,RoleTitles!$A:$E,5,FALSE),VLOOKUP($D63,RoleTitles!$A:$E,3,FALSE))))</f>
        <v/>
      </c>
      <c r="J63" s="27">
        <f>IF($D63="","",IF($E63&gt;=VLOOKUP($D63,RoleTitles!$A:$B,2,FALSE),"Yes","No"))</f>
        <v/>
      </c>
      <c r="K63" s="27">
        <f>IF($D63="","",IF($D63="T1","T2",IF($D63="T2","T3",IF($D63="T3","T4",IF($D63="T4","T5",IF($D63="T5","T6",IF($D63="T6","T7",IF($D63="T7","T8",IF($D63="T8","T9","")))))))))</f>
        <v/>
      </c>
      <c r="L63" s="28">
        <f>IF($K63="","",MAX(0,VLOOKUP($K63,RoleTitles!$A:$B,2,FALSE)-$E63))</f>
        <v/>
      </c>
    </row>
    <row r="64">
      <c r="A64" s="24">
        <f>IFERROR(INDEX(CoachRoster!$A$2:$A$1000,ROW()-1),"")</f>
        <v/>
      </c>
      <c r="B64" s="27">
        <f>IF($A64="","",VLOOKUP($A64,CoachRoster!$A:$E,2,FALSE))</f>
        <v/>
      </c>
      <c r="C64" s="27">
        <f>IF($A64="","",VLOOKUP($A64,CoachRoster!$A:$E,3,FALSE))</f>
        <v/>
      </c>
      <c r="D64" s="27">
        <f>IF($A64="","",VLOOKUP($A64,CoachRoster!$A:$E,4,FALSE))</f>
        <v/>
      </c>
      <c r="E64" s="27">
        <f>IF($A64="","",MIN(Settings!$B$8,IFERROR(SUMIF(Weekly_Coaching!$B:$B,$A64,Weekly_Coaching!$D:$D),0)+IFERROR(SUMIF(Monthly_Edu!$B:$B,$A64,Monthly_Edu!$D:$D),0)+IFERROR(SUMIF(Monthly_Ops!$B:$B,$A64,Monthly_Ops!$D:$D),0)+IFERROR(SUMIF(Monthly_Mentor!$B:$B,$A64,Monthly_Mentor!$D:$D),0)+IFERROR(SUMIF(Quarterly_Impact!$B:$B,$A64,Quarterly_Impact!$D:$D),0)+IFERROR(SUMIFS(XPLog!$M:$M,XPLog!$B:$B,$A64,XPLog!$J:$J,"Admin"),0)+IFERROR(SUMIFS(XPLog!$M:$M,XPLog!$B:$B,$A64,XPLog!$J:$J,"Seeding"),0)))</f>
        <v/>
      </c>
      <c r="F64" s="27">
        <f>IF($E64="","",LOOKUP($E64, XPBands!B$2:B$10, XPBands!A$2:A$10))</f>
        <v/>
      </c>
      <c r="G64" s="27">
        <f>IF($E64="","", VLOOKUP($F64, XPBands!A$2:G$10, 4, FALSE) + MIN(VLOOKUP($F64, XPBands!A$2:G$10, 5, FALSE) - VLOOKUP($F64, XPBands!A$2:G$10, 4, FALSE), FLOOR(( $E64 - VLOOKUP($F64, XPBands!A$2:G$10, 2, FALSE) ) / VLOOKUP($F64, XPBands!A$2:G$10, 7, FALSE),1)))</f>
        <v/>
      </c>
      <c r="H64" s="27">
        <f>IF($D64="","",VLOOKUP($D64,RoleTitles!$A:$E,3,FALSE))</f>
        <v/>
      </c>
      <c r="I64" s="27">
        <f>IF($D64="","",IF($C64="Greek",VLOOKUP($D64,RoleTitles!$A:$E,4,FALSE),IF($C64="Aesir",VLOOKUP($D64,RoleTitles!$A:$E,5,FALSE),VLOOKUP($D64,RoleTitles!$A:$E,3,FALSE))))</f>
        <v/>
      </c>
      <c r="J64" s="27">
        <f>IF($D64="","",IF($E64&gt;=VLOOKUP($D64,RoleTitles!$A:$B,2,FALSE),"Yes","No"))</f>
        <v/>
      </c>
      <c r="K64" s="27">
        <f>IF($D64="","",IF($D64="T1","T2",IF($D64="T2","T3",IF($D64="T3","T4",IF($D64="T4","T5",IF($D64="T5","T6",IF($D64="T6","T7",IF($D64="T7","T8",IF($D64="T8","T9","")))))))))</f>
        <v/>
      </c>
      <c r="L64" s="28">
        <f>IF($K64="","",MAX(0,VLOOKUP($K64,RoleTitles!$A:$B,2,FALSE)-$E64))</f>
        <v/>
      </c>
    </row>
    <row r="65">
      <c r="A65" s="24">
        <f>IFERROR(INDEX(CoachRoster!$A$2:$A$1000,ROW()-1),"")</f>
        <v/>
      </c>
      <c r="B65" s="27">
        <f>IF($A65="","",VLOOKUP($A65,CoachRoster!$A:$E,2,FALSE))</f>
        <v/>
      </c>
      <c r="C65" s="27">
        <f>IF($A65="","",VLOOKUP($A65,CoachRoster!$A:$E,3,FALSE))</f>
        <v/>
      </c>
      <c r="D65" s="27">
        <f>IF($A65="","",VLOOKUP($A65,CoachRoster!$A:$E,4,FALSE))</f>
        <v/>
      </c>
      <c r="E65" s="27">
        <f>IF($A65="","",MIN(Settings!$B$8,IFERROR(SUMIF(Weekly_Coaching!$B:$B,$A65,Weekly_Coaching!$D:$D),0)+IFERROR(SUMIF(Monthly_Edu!$B:$B,$A65,Monthly_Edu!$D:$D),0)+IFERROR(SUMIF(Monthly_Ops!$B:$B,$A65,Monthly_Ops!$D:$D),0)+IFERROR(SUMIF(Monthly_Mentor!$B:$B,$A65,Monthly_Mentor!$D:$D),0)+IFERROR(SUMIF(Quarterly_Impact!$B:$B,$A65,Quarterly_Impact!$D:$D),0)+IFERROR(SUMIFS(XPLog!$M:$M,XPLog!$B:$B,$A65,XPLog!$J:$J,"Admin"),0)+IFERROR(SUMIFS(XPLog!$M:$M,XPLog!$B:$B,$A65,XPLog!$J:$J,"Seeding"),0)))</f>
        <v/>
      </c>
      <c r="F65" s="27">
        <f>IF($E65="","",LOOKUP($E65, XPBands!B$2:B$10, XPBands!A$2:A$10))</f>
        <v/>
      </c>
      <c r="G65" s="27">
        <f>IF($E65="","", VLOOKUP($F65, XPBands!A$2:G$10, 4, FALSE) + MIN(VLOOKUP($F65, XPBands!A$2:G$10, 5, FALSE) - VLOOKUP($F65, XPBands!A$2:G$10, 4, FALSE), FLOOR(( $E65 - VLOOKUP($F65, XPBands!A$2:G$10, 2, FALSE) ) / VLOOKUP($F65, XPBands!A$2:G$10, 7, FALSE),1)))</f>
        <v/>
      </c>
      <c r="H65" s="27">
        <f>IF($D65="","",VLOOKUP($D65,RoleTitles!$A:$E,3,FALSE))</f>
        <v/>
      </c>
      <c r="I65" s="27">
        <f>IF($D65="","",IF($C65="Greek",VLOOKUP($D65,RoleTitles!$A:$E,4,FALSE),IF($C65="Aesir",VLOOKUP($D65,RoleTitles!$A:$E,5,FALSE),VLOOKUP($D65,RoleTitles!$A:$E,3,FALSE))))</f>
        <v/>
      </c>
      <c r="J65" s="27">
        <f>IF($D65="","",IF($E65&gt;=VLOOKUP($D65,RoleTitles!$A:$B,2,FALSE),"Yes","No"))</f>
        <v/>
      </c>
      <c r="K65" s="27">
        <f>IF($D65="","",IF($D65="T1","T2",IF($D65="T2","T3",IF($D65="T3","T4",IF($D65="T4","T5",IF($D65="T5","T6",IF($D65="T6","T7",IF($D65="T7","T8",IF($D65="T8","T9","")))))))))</f>
        <v/>
      </c>
      <c r="L65" s="28">
        <f>IF($K65="","",MAX(0,VLOOKUP($K65,RoleTitles!$A:$B,2,FALSE)-$E65))</f>
        <v/>
      </c>
    </row>
    <row r="66">
      <c r="A66" s="24">
        <f>IFERROR(INDEX(CoachRoster!$A$2:$A$1000,ROW()-1),"")</f>
        <v/>
      </c>
      <c r="B66" s="27">
        <f>IF($A66="","",VLOOKUP($A66,CoachRoster!$A:$E,2,FALSE))</f>
        <v/>
      </c>
      <c r="C66" s="27">
        <f>IF($A66="","",VLOOKUP($A66,CoachRoster!$A:$E,3,FALSE))</f>
        <v/>
      </c>
      <c r="D66" s="27">
        <f>IF($A66="","",VLOOKUP($A66,CoachRoster!$A:$E,4,FALSE))</f>
        <v/>
      </c>
      <c r="E66" s="27">
        <f>IF($A66="","",MIN(Settings!$B$8,IFERROR(SUMIF(Weekly_Coaching!$B:$B,$A66,Weekly_Coaching!$D:$D),0)+IFERROR(SUMIF(Monthly_Edu!$B:$B,$A66,Monthly_Edu!$D:$D),0)+IFERROR(SUMIF(Monthly_Ops!$B:$B,$A66,Monthly_Ops!$D:$D),0)+IFERROR(SUMIF(Monthly_Mentor!$B:$B,$A66,Monthly_Mentor!$D:$D),0)+IFERROR(SUMIF(Quarterly_Impact!$B:$B,$A66,Quarterly_Impact!$D:$D),0)+IFERROR(SUMIFS(XPLog!$M:$M,XPLog!$B:$B,$A66,XPLog!$J:$J,"Admin"),0)+IFERROR(SUMIFS(XPLog!$M:$M,XPLog!$B:$B,$A66,XPLog!$J:$J,"Seeding"),0)))</f>
        <v/>
      </c>
      <c r="F66" s="27">
        <f>IF($E66="","",LOOKUP($E66, XPBands!B$2:B$10, XPBands!A$2:A$10))</f>
        <v/>
      </c>
      <c r="G66" s="27">
        <f>IF($E66="","", VLOOKUP($F66, XPBands!A$2:G$10, 4, FALSE) + MIN(VLOOKUP($F66, XPBands!A$2:G$10, 5, FALSE) - VLOOKUP($F66, XPBands!A$2:G$10, 4, FALSE), FLOOR(( $E66 - VLOOKUP($F66, XPBands!A$2:G$10, 2, FALSE) ) / VLOOKUP($F66, XPBands!A$2:G$10, 7, FALSE),1)))</f>
        <v/>
      </c>
      <c r="H66" s="27">
        <f>IF($D66="","",VLOOKUP($D66,RoleTitles!$A:$E,3,FALSE))</f>
        <v/>
      </c>
      <c r="I66" s="27">
        <f>IF($D66="","",IF($C66="Greek",VLOOKUP($D66,RoleTitles!$A:$E,4,FALSE),IF($C66="Aesir",VLOOKUP($D66,RoleTitles!$A:$E,5,FALSE),VLOOKUP($D66,RoleTitles!$A:$E,3,FALSE))))</f>
        <v/>
      </c>
      <c r="J66" s="27">
        <f>IF($D66="","",IF($E66&gt;=VLOOKUP($D66,RoleTitles!$A:$B,2,FALSE),"Yes","No"))</f>
        <v/>
      </c>
      <c r="K66" s="27">
        <f>IF($D66="","",IF($D66="T1","T2",IF($D66="T2","T3",IF($D66="T3","T4",IF($D66="T4","T5",IF($D66="T5","T6",IF($D66="T6","T7",IF($D66="T7","T8",IF($D66="T8","T9","")))))))))</f>
        <v/>
      </c>
      <c r="L66" s="28">
        <f>IF($K66="","",MAX(0,VLOOKUP($K66,RoleTitles!$A:$B,2,FALSE)-$E66))</f>
        <v/>
      </c>
    </row>
    <row r="67">
      <c r="A67" s="24">
        <f>IFERROR(INDEX(CoachRoster!$A$2:$A$1000,ROW()-1),"")</f>
        <v/>
      </c>
      <c r="B67" s="27">
        <f>IF($A67="","",VLOOKUP($A67,CoachRoster!$A:$E,2,FALSE))</f>
        <v/>
      </c>
      <c r="C67" s="27">
        <f>IF($A67="","",VLOOKUP($A67,CoachRoster!$A:$E,3,FALSE))</f>
        <v/>
      </c>
      <c r="D67" s="27">
        <f>IF($A67="","",VLOOKUP($A67,CoachRoster!$A:$E,4,FALSE))</f>
        <v/>
      </c>
      <c r="E67" s="27">
        <f>IF($A67="","",MIN(Settings!$B$8,IFERROR(SUMIF(Weekly_Coaching!$B:$B,$A67,Weekly_Coaching!$D:$D),0)+IFERROR(SUMIF(Monthly_Edu!$B:$B,$A67,Monthly_Edu!$D:$D),0)+IFERROR(SUMIF(Monthly_Ops!$B:$B,$A67,Monthly_Ops!$D:$D),0)+IFERROR(SUMIF(Monthly_Mentor!$B:$B,$A67,Monthly_Mentor!$D:$D),0)+IFERROR(SUMIF(Quarterly_Impact!$B:$B,$A67,Quarterly_Impact!$D:$D),0)+IFERROR(SUMIFS(XPLog!$M:$M,XPLog!$B:$B,$A67,XPLog!$J:$J,"Admin"),0)+IFERROR(SUMIFS(XPLog!$M:$M,XPLog!$B:$B,$A67,XPLog!$J:$J,"Seeding"),0)))</f>
        <v/>
      </c>
      <c r="F67" s="27">
        <f>IF($E67="","",LOOKUP($E67, XPBands!B$2:B$10, XPBands!A$2:A$10))</f>
        <v/>
      </c>
      <c r="G67" s="27">
        <f>IF($E67="","", VLOOKUP($F67, XPBands!A$2:G$10, 4, FALSE) + MIN(VLOOKUP($F67, XPBands!A$2:G$10, 5, FALSE) - VLOOKUP($F67, XPBands!A$2:G$10, 4, FALSE), FLOOR(( $E67 - VLOOKUP($F67, XPBands!A$2:G$10, 2, FALSE) ) / VLOOKUP($F67, XPBands!A$2:G$10, 7, FALSE),1)))</f>
        <v/>
      </c>
      <c r="H67" s="27">
        <f>IF($D67="","",VLOOKUP($D67,RoleTitles!$A:$E,3,FALSE))</f>
        <v/>
      </c>
      <c r="I67" s="27">
        <f>IF($D67="","",IF($C67="Greek",VLOOKUP($D67,RoleTitles!$A:$E,4,FALSE),IF($C67="Aesir",VLOOKUP($D67,RoleTitles!$A:$E,5,FALSE),VLOOKUP($D67,RoleTitles!$A:$E,3,FALSE))))</f>
        <v/>
      </c>
      <c r="J67" s="27">
        <f>IF($D67="","",IF($E67&gt;=VLOOKUP($D67,RoleTitles!$A:$B,2,FALSE),"Yes","No"))</f>
        <v/>
      </c>
      <c r="K67" s="27">
        <f>IF($D67="","",IF($D67="T1","T2",IF($D67="T2","T3",IF($D67="T3","T4",IF($D67="T4","T5",IF($D67="T5","T6",IF($D67="T6","T7",IF($D67="T7","T8",IF($D67="T8","T9","")))))))))</f>
        <v/>
      </c>
      <c r="L67" s="28">
        <f>IF($K67="","",MAX(0,VLOOKUP($K67,RoleTitles!$A:$B,2,FALSE)-$E67))</f>
        <v/>
      </c>
    </row>
    <row r="68">
      <c r="A68" s="24">
        <f>IFERROR(INDEX(CoachRoster!$A$2:$A$1000,ROW()-1),"")</f>
        <v/>
      </c>
      <c r="B68" s="27">
        <f>IF($A68="","",VLOOKUP($A68,CoachRoster!$A:$E,2,FALSE))</f>
        <v/>
      </c>
      <c r="C68" s="27">
        <f>IF($A68="","",VLOOKUP($A68,CoachRoster!$A:$E,3,FALSE))</f>
        <v/>
      </c>
      <c r="D68" s="27">
        <f>IF($A68="","",VLOOKUP($A68,CoachRoster!$A:$E,4,FALSE))</f>
        <v/>
      </c>
      <c r="E68" s="27">
        <f>IF($A68="","",MIN(Settings!$B$8,IFERROR(SUMIF(Weekly_Coaching!$B:$B,$A68,Weekly_Coaching!$D:$D),0)+IFERROR(SUMIF(Monthly_Edu!$B:$B,$A68,Monthly_Edu!$D:$D),0)+IFERROR(SUMIF(Monthly_Ops!$B:$B,$A68,Monthly_Ops!$D:$D),0)+IFERROR(SUMIF(Monthly_Mentor!$B:$B,$A68,Monthly_Mentor!$D:$D),0)+IFERROR(SUMIF(Quarterly_Impact!$B:$B,$A68,Quarterly_Impact!$D:$D),0)+IFERROR(SUMIFS(XPLog!$M:$M,XPLog!$B:$B,$A68,XPLog!$J:$J,"Admin"),0)+IFERROR(SUMIFS(XPLog!$M:$M,XPLog!$B:$B,$A68,XPLog!$J:$J,"Seeding"),0)))</f>
        <v/>
      </c>
      <c r="F68" s="27">
        <f>IF($E68="","",LOOKUP($E68, XPBands!B$2:B$10, XPBands!A$2:A$10))</f>
        <v/>
      </c>
      <c r="G68" s="27">
        <f>IF($E68="","", VLOOKUP($F68, XPBands!A$2:G$10, 4, FALSE) + MIN(VLOOKUP($F68, XPBands!A$2:G$10, 5, FALSE) - VLOOKUP($F68, XPBands!A$2:G$10, 4, FALSE), FLOOR(( $E68 - VLOOKUP($F68, XPBands!A$2:G$10, 2, FALSE) ) / VLOOKUP($F68, XPBands!A$2:G$10, 7, FALSE),1)))</f>
        <v/>
      </c>
      <c r="H68" s="27">
        <f>IF($D68="","",VLOOKUP($D68,RoleTitles!$A:$E,3,FALSE))</f>
        <v/>
      </c>
      <c r="I68" s="27">
        <f>IF($D68="","",IF($C68="Greek",VLOOKUP($D68,RoleTitles!$A:$E,4,FALSE),IF($C68="Aesir",VLOOKUP($D68,RoleTitles!$A:$E,5,FALSE),VLOOKUP($D68,RoleTitles!$A:$E,3,FALSE))))</f>
        <v/>
      </c>
      <c r="J68" s="27">
        <f>IF($D68="","",IF($E68&gt;=VLOOKUP($D68,RoleTitles!$A:$B,2,FALSE),"Yes","No"))</f>
        <v/>
      </c>
      <c r="K68" s="27">
        <f>IF($D68="","",IF($D68="T1","T2",IF($D68="T2","T3",IF($D68="T3","T4",IF($D68="T4","T5",IF($D68="T5","T6",IF($D68="T6","T7",IF($D68="T7","T8",IF($D68="T8","T9","")))))))))</f>
        <v/>
      </c>
      <c r="L68" s="28">
        <f>IF($K68="","",MAX(0,VLOOKUP($K68,RoleTitles!$A:$B,2,FALSE)-$E68))</f>
        <v/>
      </c>
    </row>
    <row r="69">
      <c r="A69" s="24">
        <f>IFERROR(INDEX(CoachRoster!$A$2:$A$1000,ROW()-1),"")</f>
        <v/>
      </c>
      <c r="B69" s="27">
        <f>IF($A69="","",VLOOKUP($A69,CoachRoster!$A:$E,2,FALSE))</f>
        <v/>
      </c>
      <c r="C69" s="27">
        <f>IF($A69="","",VLOOKUP($A69,CoachRoster!$A:$E,3,FALSE))</f>
        <v/>
      </c>
      <c r="D69" s="27">
        <f>IF($A69="","",VLOOKUP($A69,CoachRoster!$A:$E,4,FALSE))</f>
        <v/>
      </c>
      <c r="E69" s="27">
        <f>IF($A69="","",MIN(Settings!$B$8,IFERROR(SUMIF(Weekly_Coaching!$B:$B,$A69,Weekly_Coaching!$D:$D),0)+IFERROR(SUMIF(Monthly_Edu!$B:$B,$A69,Monthly_Edu!$D:$D),0)+IFERROR(SUMIF(Monthly_Ops!$B:$B,$A69,Monthly_Ops!$D:$D),0)+IFERROR(SUMIF(Monthly_Mentor!$B:$B,$A69,Monthly_Mentor!$D:$D),0)+IFERROR(SUMIF(Quarterly_Impact!$B:$B,$A69,Quarterly_Impact!$D:$D),0)+IFERROR(SUMIFS(XPLog!$M:$M,XPLog!$B:$B,$A69,XPLog!$J:$J,"Admin"),0)+IFERROR(SUMIFS(XPLog!$M:$M,XPLog!$B:$B,$A69,XPLog!$J:$J,"Seeding"),0)))</f>
        <v/>
      </c>
      <c r="F69" s="27">
        <f>IF($E69="","",LOOKUP($E69, XPBands!B$2:B$10, XPBands!A$2:A$10))</f>
        <v/>
      </c>
      <c r="G69" s="27">
        <f>IF($E69="","", VLOOKUP($F69, XPBands!A$2:G$10, 4, FALSE) + MIN(VLOOKUP($F69, XPBands!A$2:G$10, 5, FALSE) - VLOOKUP($F69, XPBands!A$2:G$10, 4, FALSE), FLOOR(( $E69 - VLOOKUP($F69, XPBands!A$2:G$10, 2, FALSE) ) / VLOOKUP($F69, XPBands!A$2:G$10, 7, FALSE),1)))</f>
        <v/>
      </c>
      <c r="H69" s="27">
        <f>IF($D69="","",VLOOKUP($D69,RoleTitles!$A:$E,3,FALSE))</f>
        <v/>
      </c>
      <c r="I69" s="27">
        <f>IF($D69="","",IF($C69="Greek",VLOOKUP($D69,RoleTitles!$A:$E,4,FALSE),IF($C69="Aesir",VLOOKUP($D69,RoleTitles!$A:$E,5,FALSE),VLOOKUP($D69,RoleTitles!$A:$E,3,FALSE))))</f>
        <v/>
      </c>
      <c r="J69" s="27">
        <f>IF($D69="","",IF($E69&gt;=VLOOKUP($D69,RoleTitles!$A:$B,2,FALSE),"Yes","No"))</f>
        <v/>
      </c>
      <c r="K69" s="27">
        <f>IF($D69="","",IF($D69="T1","T2",IF($D69="T2","T3",IF($D69="T3","T4",IF($D69="T4","T5",IF($D69="T5","T6",IF($D69="T6","T7",IF($D69="T7","T8",IF($D69="T8","T9","")))))))))</f>
        <v/>
      </c>
      <c r="L69" s="28">
        <f>IF($K69="","",MAX(0,VLOOKUP($K69,RoleTitles!$A:$B,2,FALSE)-$E69))</f>
        <v/>
      </c>
    </row>
    <row r="70">
      <c r="A70" s="24">
        <f>IFERROR(INDEX(CoachRoster!$A$2:$A$1000,ROW()-1),"")</f>
        <v/>
      </c>
      <c r="B70" s="27">
        <f>IF($A70="","",VLOOKUP($A70,CoachRoster!$A:$E,2,FALSE))</f>
        <v/>
      </c>
      <c r="C70" s="27">
        <f>IF($A70="","",VLOOKUP($A70,CoachRoster!$A:$E,3,FALSE))</f>
        <v/>
      </c>
      <c r="D70" s="27">
        <f>IF($A70="","",VLOOKUP($A70,CoachRoster!$A:$E,4,FALSE))</f>
        <v/>
      </c>
      <c r="E70" s="27">
        <f>IF($A70="","",MIN(Settings!$B$8,IFERROR(SUMIF(Weekly_Coaching!$B:$B,$A70,Weekly_Coaching!$D:$D),0)+IFERROR(SUMIF(Monthly_Edu!$B:$B,$A70,Monthly_Edu!$D:$D),0)+IFERROR(SUMIF(Monthly_Ops!$B:$B,$A70,Monthly_Ops!$D:$D),0)+IFERROR(SUMIF(Monthly_Mentor!$B:$B,$A70,Monthly_Mentor!$D:$D),0)+IFERROR(SUMIF(Quarterly_Impact!$B:$B,$A70,Quarterly_Impact!$D:$D),0)+IFERROR(SUMIFS(XPLog!$M:$M,XPLog!$B:$B,$A70,XPLog!$J:$J,"Admin"),0)+IFERROR(SUMIFS(XPLog!$M:$M,XPLog!$B:$B,$A70,XPLog!$J:$J,"Seeding"),0)))</f>
        <v/>
      </c>
      <c r="F70" s="27">
        <f>IF($E70="","",LOOKUP($E70, XPBands!B$2:B$10, XPBands!A$2:A$10))</f>
        <v/>
      </c>
      <c r="G70" s="27">
        <f>IF($E70="","", VLOOKUP($F70, XPBands!A$2:G$10, 4, FALSE) + MIN(VLOOKUP($F70, XPBands!A$2:G$10, 5, FALSE) - VLOOKUP($F70, XPBands!A$2:G$10, 4, FALSE), FLOOR(( $E70 - VLOOKUP($F70, XPBands!A$2:G$10, 2, FALSE) ) / VLOOKUP($F70, XPBands!A$2:G$10, 7, FALSE),1)))</f>
        <v/>
      </c>
      <c r="H70" s="27">
        <f>IF($D70="","",VLOOKUP($D70,RoleTitles!$A:$E,3,FALSE))</f>
        <v/>
      </c>
      <c r="I70" s="27">
        <f>IF($D70="","",IF($C70="Greek",VLOOKUP($D70,RoleTitles!$A:$E,4,FALSE),IF($C70="Aesir",VLOOKUP($D70,RoleTitles!$A:$E,5,FALSE),VLOOKUP($D70,RoleTitles!$A:$E,3,FALSE))))</f>
        <v/>
      </c>
      <c r="J70" s="27">
        <f>IF($D70="","",IF($E70&gt;=VLOOKUP($D70,RoleTitles!$A:$B,2,FALSE),"Yes","No"))</f>
        <v/>
      </c>
      <c r="K70" s="27">
        <f>IF($D70="","",IF($D70="T1","T2",IF($D70="T2","T3",IF($D70="T3","T4",IF($D70="T4","T5",IF($D70="T5","T6",IF($D70="T6","T7",IF($D70="T7","T8",IF($D70="T8","T9","")))))))))</f>
        <v/>
      </c>
      <c r="L70" s="28">
        <f>IF($K70="","",MAX(0,VLOOKUP($K70,RoleTitles!$A:$B,2,FALSE)-$E70))</f>
        <v/>
      </c>
    </row>
    <row r="71">
      <c r="A71" s="24">
        <f>IFERROR(INDEX(CoachRoster!$A$2:$A$1000,ROW()-1),"")</f>
        <v/>
      </c>
      <c r="B71" s="27">
        <f>IF($A71="","",VLOOKUP($A71,CoachRoster!$A:$E,2,FALSE))</f>
        <v/>
      </c>
      <c r="C71" s="27">
        <f>IF($A71="","",VLOOKUP($A71,CoachRoster!$A:$E,3,FALSE))</f>
        <v/>
      </c>
      <c r="D71" s="27">
        <f>IF($A71="","",VLOOKUP($A71,CoachRoster!$A:$E,4,FALSE))</f>
        <v/>
      </c>
      <c r="E71" s="27">
        <f>IF($A71="","",MIN(Settings!$B$8,IFERROR(SUMIF(Weekly_Coaching!$B:$B,$A71,Weekly_Coaching!$D:$D),0)+IFERROR(SUMIF(Monthly_Edu!$B:$B,$A71,Monthly_Edu!$D:$D),0)+IFERROR(SUMIF(Monthly_Ops!$B:$B,$A71,Monthly_Ops!$D:$D),0)+IFERROR(SUMIF(Monthly_Mentor!$B:$B,$A71,Monthly_Mentor!$D:$D),0)+IFERROR(SUMIF(Quarterly_Impact!$B:$B,$A71,Quarterly_Impact!$D:$D),0)+IFERROR(SUMIFS(XPLog!$M:$M,XPLog!$B:$B,$A71,XPLog!$J:$J,"Admin"),0)+IFERROR(SUMIFS(XPLog!$M:$M,XPLog!$B:$B,$A71,XPLog!$J:$J,"Seeding"),0)))</f>
        <v/>
      </c>
      <c r="F71" s="27">
        <f>IF($E71="","",LOOKUP($E71, XPBands!B$2:B$10, XPBands!A$2:A$10))</f>
        <v/>
      </c>
      <c r="G71" s="27">
        <f>IF($E71="","", VLOOKUP($F71, XPBands!A$2:G$10, 4, FALSE) + MIN(VLOOKUP($F71, XPBands!A$2:G$10, 5, FALSE) - VLOOKUP($F71, XPBands!A$2:G$10, 4, FALSE), FLOOR(( $E71 - VLOOKUP($F71, XPBands!A$2:G$10, 2, FALSE) ) / VLOOKUP($F71, XPBands!A$2:G$10, 7, FALSE),1)))</f>
        <v/>
      </c>
      <c r="H71" s="27">
        <f>IF($D71="","",VLOOKUP($D71,RoleTitles!$A:$E,3,FALSE))</f>
        <v/>
      </c>
      <c r="I71" s="27">
        <f>IF($D71="","",IF($C71="Greek",VLOOKUP($D71,RoleTitles!$A:$E,4,FALSE),IF($C71="Aesir",VLOOKUP($D71,RoleTitles!$A:$E,5,FALSE),VLOOKUP($D71,RoleTitles!$A:$E,3,FALSE))))</f>
        <v/>
      </c>
      <c r="J71" s="27">
        <f>IF($D71="","",IF($E71&gt;=VLOOKUP($D71,RoleTitles!$A:$B,2,FALSE),"Yes","No"))</f>
        <v/>
      </c>
      <c r="K71" s="27">
        <f>IF($D71="","",IF($D71="T1","T2",IF($D71="T2","T3",IF($D71="T3","T4",IF($D71="T4","T5",IF($D71="T5","T6",IF($D71="T6","T7",IF($D71="T7","T8",IF($D71="T8","T9","")))))))))</f>
        <v/>
      </c>
      <c r="L71" s="28">
        <f>IF($K71="","",MAX(0,VLOOKUP($K71,RoleTitles!$A:$B,2,FALSE)-$E71))</f>
        <v/>
      </c>
    </row>
    <row r="72">
      <c r="A72" s="24">
        <f>IFERROR(INDEX(CoachRoster!$A$2:$A$1000,ROW()-1),"")</f>
        <v/>
      </c>
      <c r="B72" s="27">
        <f>IF($A72="","",VLOOKUP($A72,CoachRoster!$A:$E,2,FALSE))</f>
        <v/>
      </c>
      <c r="C72" s="27">
        <f>IF($A72="","",VLOOKUP($A72,CoachRoster!$A:$E,3,FALSE))</f>
        <v/>
      </c>
      <c r="D72" s="27">
        <f>IF($A72="","",VLOOKUP($A72,CoachRoster!$A:$E,4,FALSE))</f>
        <v/>
      </c>
      <c r="E72" s="27">
        <f>IF($A72="","",MIN(Settings!$B$8,IFERROR(SUMIF(Weekly_Coaching!$B:$B,$A72,Weekly_Coaching!$D:$D),0)+IFERROR(SUMIF(Monthly_Edu!$B:$B,$A72,Monthly_Edu!$D:$D),0)+IFERROR(SUMIF(Monthly_Ops!$B:$B,$A72,Monthly_Ops!$D:$D),0)+IFERROR(SUMIF(Monthly_Mentor!$B:$B,$A72,Monthly_Mentor!$D:$D),0)+IFERROR(SUMIF(Quarterly_Impact!$B:$B,$A72,Quarterly_Impact!$D:$D),0)+IFERROR(SUMIFS(XPLog!$M:$M,XPLog!$B:$B,$A72,XPLog!$J:$J,"Admin"),0)+IFERROR(SUMIFS(XPLog!$M:$M,XPLog!$B:$B,$A72,XPLog!$J:$J,"Seeding"),0)))</f>
        <v/>
      </c>
      <c r="F72" s="27">
        <f>IF($E72="","",LOOKUP($E72, XPBands!B$2:B$10, XPBands!A$2:A$10))</f>
        <v/>
      </c>
      <c r="G72" s="27">
        <f>IF($E72="","", VLOOKUP($F72, XPBands!A$2:G$10, 4, FALSE) + MIN(VLOOKUP($F72, XPBands!A$2:G$10, 5, FALSE) - VLOOKUP($F72, XPBands!A$2:G$10, 4, FALSE), FLOOR(( $E72 - VLOOKUP($F72, XPBands!A$2:G$10, 2, FALSE) ) / VLOOKUP($F72, XPBands!A$2:G$10, 7, FALSE),1)))</f>
        <v/>
      </c>
      <c r="H72" s="27">
        <f>IF($D72="","",VLOOKUP($D72,RoleTitles!$A:$E,3,FALSE))</f>
        <v/>
      </c>
      <c r="I72" s="27">
        <f>IF($D72="","",IF($C72="Greek",VLOOKUP($D72,RoleTitles!$A:$E,4,FALSE),IF($C72="Aesir",VLOOKUP($D72,RoleTitles!$A:$E,5,FALSE),VLOOKUP($D72,RoleTitles!$A:$E,3,FALSE))))</f>
        <v/>
      </c>
      <c r="J72" s="27">
        <f>IF($D72="","",IF($E72&gt;=VLOOKUP($D72,RoleTitles!$A:$B,2,FALSE),"Yes","No"))</f>
        <v/>
      </c>
      <c r="K72" s="27">
        <f>IF($D72="","",IF($D72="T1","T2",IF($D72="T2","T3",IF($D72="T3","T4",IF($D72="T4","T5",IF($D72="T5","T6",IF($D72="T6","T7",IF($D72="T7","T8",IF($D72="T8","T9","")))))))))</f>
        <v/>
      </c>
      <c r="L72" s="28">
        <f>IF($K72="","",MAX(0,VLOOKUP($K72,RoleTitles!$A:$B,2,FALSE)-$E72))</f>
        <v/>
      </c>
    </row>
    <row r="73">
      <c r="A73" s="24">
        <f>IFERROR(INDEX(CoachRoster!$A$2:$A$1000,ROW()-1),"")</f>
        <v/>
      </c>
      <c r="B73" s="27">
        <f>IF($A73="","",VLOOKUP($A73,CoachRoster!$A:$E,2,FALSE))</f>
        <v/>
      </c>
      <c r="C73" s="27">
        <f>IF($A73="","",VLOOKUP($A73,CoachRoster!$A:$E,3,FALSE))</f>
        <v/>
      </c>
      <c r="D73" s="27">
        <f>IF($A73="","",VLOOKUP($A73,CoachRoster!$A:$E,4,FALSE))</f>
        <v/>
      </c>
      <c r="E73" s="27">
        <f>IF($A73="","",MIN(Settings!$B$8,IFERROR(SUMIF(Weekly_Coaching!$B:$B,$A73,Weekly_Coaching!$D:$D),0)+IFERROR(SUMIF(Monthly_Edu!$B:$B,$A73,Monthly_Edu!$D:$D),0)+IFERROR(SUMIF(Monthly_Ops!$B:$B,$A73,Monthly_Ops!$D:$D),0)+IFERROR(SUMIF(Monthly_Mentor!$B:$B,$A73,Monthly_Mentor!$D:$D),0)+IFERROR(SUMIF(Quarterly_Impact!$B:$B,$A73,Quarterly_Impact!$D:$D),0)+IFERROR(SUMIFS(XPLog!$M:$M,XPLog!$B:$B,$A73,XPLog!$J:$J,"Admin"),0)+IFERROR(SUMIFS(XPLog!$M:$M,XPLog!$B:$B,$A73,XPLog!$J:$J,"Seeding"),0)))</f>
        <v/>
      </c>
      <c r="F73" s="27">
        <f>IF($E73="","",LOOKUP($E73, XPBands!B$2:B$10, XPBands!A$2:A$10))</f>
        <v/>
      </c>
      <c r="G73" s="27">
        <f>IF($E73="","", VLOOKUP($F73, XPBands!A$2:G$10, 4, FALSE) + MIN(VLOOKUP($F73, XPBands!A$2:G$10, 5, FALSE) - VLOOKUP($F73, XPBands!A$2:G$10, 4, FALSE), FLOOR(( $E73 - VLOOKUP($F73, XPBands!A$2:G$10, 2, FALSE) ) / VLOOKUP($F73, XPBands!A$2:G$10, 7, FALSE),1)))</f>
        <v/>
      </c>
      <c r="H73" s="27">
        <f>IF($D73="","",VLOOKUP($D73,RoleTitles!$A:$E,3,FALSE))</f>
        <v/>
      </c>
      <c r="I73" s="27">
        <f>IF($D73="","",IF($C73="Greek",VLOOKUP($D73,RoleTitles!$A:$E,4,FALSE),IF($C73="Aesir",VLOOKUP($D73,RoleTitles!$A:$E,5,FALSE),VLOOKUP($D73,RoleTitles!$A:$E,3,FALSE))))</f>
        <v/>
      </c>
      <c r="J73" s="27">
        <f>IF($D73="","",IF($E73&gt;=VLOOKUP($D73,RoleTitles!$A:$B,2,FALSE),"Yes","No"))</f>
        <v/>
      </c>
      <c r="K73" s="27">
        <f>IF($D73="","",IF($D73="T1","T2",IF($D73="T2","T3",IF($D73="T3","T4",IF($D73="T4","T5",IF($D73="T5","T6",IF($D73="T6","T7",IF($D73="T7","T8",IF($D73="T8","T9","")))))))))</f>
        <v/>
      </c>
      <c r="L73" s="28">
        <f>IF($K73="","",MAX(0,VLOOKUP($K73,RoleTitles!$A:$B,2,FALSE)-$E73))</f>
        <v/>
      </c>
    </row>
    <row r="74">
      <c r="A74" s="24">
        <f>IFERROR(INDEX(CoachRoster!$A$2:$A$1000,ROW()-1),"")</f>
        <v/>
      </c>
      <c r="B74" s="27">
        <f>IF($A74="","",VLOOKUP($A74,CoachRoster!$A:$E,2,FALSE))</f>
        <v/>
      </c>
      <c r="C74" s="27">
        <f>IF($A74="","",VLOOKUP($A74,CoachRoster!$A:$E,3,FALSE))</f>
        <v/>
      </c>
      <c r="D74" s="27">
        <f>IF($A74="","",VLOOKUP($A74,CoachRoster!$A:$E,4,FALSE))</f>
        <v/>
      </c>
      <c r="E74" s="27">
        <f>IF($A74="","",MIN(Settings!$B$8,IFERROR(SUMIF(Weekly_Coaching!$B:$B,$A74,Weekly_Coaching!$D:$D),0)+IFERROR(SUMIF(Monthly_Edu!$B:$B,$A74,Monthly_Edu!$D:$D),0)+IFERROR(SUMIF(Monthly_Ops!$B:$B,$A74,Monthly_Ops!$D:$D),0)+IFERROR(SUMIF(Monthly_Mentor!$B:$B,$A74,Monthly_Mentor!$D:$D),0)+IFERROR(SUMIF(Quarterly_Impact!$B:$B,$A74,Quarterly_Impact!$D:$D),0)+IFERROR(SUMIFS(XPLog!$M:$M,XPLog!$B:$B,$A74,XPLog!$J:$J,"Admin"),0)+IFERROR(SUMIFS(XPLog!$M:$M,XPLog!$B:$B,$A74,XPLog!$J:$J,"Seeding"),0)))</f>
        <v/>
      </c>
      <c r="F74" s="27">
        <f>IF($E74="","",LOOKUP($E74, XPBands!B$2:B$10, XPBands!A$2:A$10))</f>
        <v/>
      </c>
      <c r="G74" s="27">
        <f>IF($E74="","", VLOOKUP($F74, XPBands!A$2:G$10, 4, FALSE) + MIN(VLOOKUP($F74, XPBands!A$2:G$10, 5, FALSE) - VLOOKUP($F74, XPBands!A$2:G$10, 4, FALSE), FLOOR(( $E74 - VLOOKUP($F74, XPBands!A$2:G$10, 2, FALSE) ) / VLOOKUP($F74, XPBands!A$2:G$10, 7, FALSE),1)))</f>
        <v/>
      </c>
      <c r="H74" s="27">
        <f>IF($D74="","",VLOOKUP($D74,RoleTitles!$A:$E,3,FALSE))</f>
        <v/>
      </c>
      <c r="I74" s="27">
        <f>IF($D74="","",IF($C74="Greek",VLOOKUP($D74,RoleTitles!$A:$E,4,FALSE),IF($C74="Aesir",VLOOKUP($D74,RoleTitles!$A:$E,5,FALSE),VLOOKUP($D74,RoleTitles!$A:$E,3,FALSE))))</f>
        <v/>
      </c>
      <c r="J74" s="27">
        <f>IF($D74="","",IF($E74&gt;=VLOOKUP($D74,RoleTitles!$A:$B,2,FALSE),"Yes","No"))</f>
        <v/>
      </c>
      <c r="K74" s="27">
        <f>IF($D74="","",IF($D74="T1","T2",IF($D74="T2","T3",IF($D74="T3","T4",IF($D74="T4","T5",IF($D74="T5","T6",IF($D74="T6","T7",IF($D74="T7","T8",IF($D74="T8","T9","")))))))))</f>
        <v/>
      </c>
      <c r="L74" s="28">
        <f>IF($K74="","",MAX(0,VLOOKUP($K74,RoleTitles!$A:$B,2,FALSE)-$E74))</f>
        <v/>
      </c>
    </row>
    <row r="75">
      <c r="A75" s="24">
        <f>IFERROR(INDEX(CoachRoster!$A$2:$A$1000,ROW()-1),"")</f>
        <v/>
      </c>
      <c r="B75" s="27">
        <f>IF($A75="","",VLOOKUP($A75,CoachRoster!$A:$E,2,FALSE))</f>
        <v/>
      </c>
      <c r="C75" s="27">
        <f>IF($A75="","",VLOOKUP($A75,CoachRoster!$A:$E,3,FALSE))</f>
        <v/>
      </c>
      <c r="D75" s="27">
        <f>IF($A75="","",VLOOKUP($A75,CoachRoster!$A:$E,4,FALSE))</f>
        <v/>
      </c>
      <c r="E75" s="27">
        <f>IF($A75="","",MIN(Settings!$B$8,IFERROR(SUMIF(Weekly_Coaching!$B:$B,$A75,Weekly_Coaching!$D:$D),0)+IFERROR(SUMIF(Monthly_Edu!$B:$B,$A75,Monthly_Edu!$D:$D),0)+IFERROR(SUMIF(Monthly_Ops!$B:$B,$A75,Monthly_Ops!$D:$D),0)+IFERROR(SUMIF(Monthly_Mentor!$B:$B,$A75,Monthly_Mentor!$D:$D),0)+IFERROR(SUMIF(Quarterly_Impact!$B:$B,$A75,Quarterly_Impact!$D:$D),0)+IFERROR(SUMIFS(XPLog!$M:$M,XPLog!$B:$B,$A75,XPLog!$J:$J,"Admin"),0)+IFERROR(SUMIFS(XPLog!$M:$M,XPLog!$B:$B,$A75,XPLog!$J:$J,"Seeding"),0)))</f>
        <v/>
      </c>
      <c r="F75" s="27">
        <f>IF($E75="","",LOOKUP($E75, XPBands!B$2:B$10, XPBands!A$2:A$10))</f>
        <v/>
      </c>
      <c r="G75" s="27">
        <f>IF($E75="","", VLOOKUP($F75, XPBands!A$2:G$10, 4, FALSE) + MIN(VLOOKUP($F75, XPBands!A$2:G$10, 5, FALSE) - VLOOKUP($F75, XPBands!A$2:G$10, 4, FALSE), FLOOR(( $E75 - VLOOKUP($F75, XPBands!A$2:G$10, 2, FALSE) ) / VLOOKUP($F75, XPBands!A$2:G$10, 7, FALSE),1)))</f>
        <v/>
      </c>
      <c r="H75" s="27">
        <f>IF($D75="","",VLOOKUP($D75,RoleTitles!$A:$E,3,FALSE))</f>
        <v/>
      </c>
      <c r="I75" s="27">
        <f>IF($D75="","",IF($C75="Greek",VLOOKUP($D75,RoleTitles!$A:$E,4,FALSE),IF($C75="Aesir",VLOOKUP($D75,RoleTitles!$A:$E,5,FALSE),VLOOKUP($D75,RoleTitles!$A:$E,3,FALSE))))</f>
        <v/>
      </c>
      <c r="J75" s="27">
        <f>IF($D75="","",IF($E75&gt;=VLOOKUP($D75,RoleTitles!$A:$B,2,FALSE),"Yes","No"))</f>
        <v/>
      </c>
      <c r="K75" s="27">
        <f>IF($D75="","",IF($D75="T1","T2",IF($D75="T2","T3",IF($D75="T3","T4",IF($D75="T4","T5",IF($D75="T5","T6",IF($D75="T6","T7",IF($D75="T7","T8",IF($D75="T8","T9","")))))))))</f>
        <v/>
      </c>
      <c r="L75" s="28">
        <f>IF($K75="","",MAX(0,VLOOKUP($K75,RoleTitles!$A:$B,2,FALSE)-$E75))</f>
        <v/>
      </c>
    </row>
    <row r="76">
      <c r="A76" s="24">
        <f>IFERROR(INDEX(CoachRoster!$A$2:$A$1000,ROW()-1),"")</f>
        <v/>
      </c>
      <c r="B76" s="27">
        <f>IF($A76="","",VLOOKUP($A76,CoachRoster!$A:$E,2,FALSE))</f>
        <v/>
      </c>
      <c r="C76" s="27">
        <f>IF($A76="","",VLOOKUP($A76,CoachRoster!$A:$E,3,FALSE))</f>
        <v/>
      </c>
      <c r="D76" s="27">
        <f>IF($A76="","",VLOOKUP($A76,CoachRoster!$A:$E,4,FALSE))</f>
        <v/>
      </c>
      <c r="E76" s="27">
        <f>IF($A76="","",MIN(Settings!$B$8,IFERROR(SUMIF(Weekly_Coaching!$B:$B,$A76,Weekly_Coaching!$D:$D),0)+IFERROR(SUMIF(Monthly_Edu!$B:$B,$A76,Monthly_Edu!$D:$D),0)+IFERROR(SUMIF(Monthly_Ops!$B:$B,$A76,Monthly_Ops!$D:$D),0)+IFERROR(SUMIF(Monthly_Mentor!$B:$B,$A76,Monthly_Mentor!$D:$D),0)+IFERROR(SUMIF(Quarterly_Impact!$B:$B,$A76,Quarterly_Impact!$D:$D),0)+IFERROR(SUMIFS(XPLog!$M:$M,XPLog!$B:$B,$A76,XPLog!$J:$J,"Admin"),0)+IFERROR(SUMIFS(XPLog!$M:$M,XPLog!$B:$B,$A76,XPLog!$J:$J,"Seeding"),0)))</f>
        <v/>
      </c>
      <c r="F76" s="27">
        <f>IF($E76="","",LOOKUP($E76, XPBands!B$2:B$10, XPBands!A$2:A$10))</f>
        <v/>
      </c>
      <c r="G76" s="27">
        <f>IF($E76="","", VLOOKUP($F76, XPBands!A$2:G$10, 4, FALSE) + MIN(VLOOKUP($F76, XPBands!A$2:G$10, 5, FALSE) - VLOOKUP($F76, XPBands!A$2:G$10, 4, FALSE), FLOOR(( $E76 - VLOOKUP($F76, XPBands!A$2:G$10, 2, FALSE) ) / VLOOKUP($F76, XPBands!A$2:G$10, 7, FALSE),1)))</f>
        <v/>
      </c>
      <c r="H76" s="27">
        <f>IF($D76="","",VLOOKUP($D76,RoleTitles!$A:$E,3,FALSE))</f>
        <v/>
      </c>
      <c r="I76" s="27">
        <f>IF($D76="","",IF($C76="Greek",VLOOKUP($D76,RoleTitles!$A:$E,4,FALSE),IF($C76="Aesir",VLOOKUP($D76,RoleTitles!$A:$E,5,FALSE),VLOOKUP($D76,RoleTitles!$A:$E,3,FALSE))))</f>
        <v/>
      </c>
      <c r="J76" s="27">
        <f>IF($D76="","",IF($E76&gt;=VLOOKUP($D76,RoleTitles!$A:$B,2,FALSE),"Yes","No"))</f>
        <v/>
      </c>
      <c r="K76" s="27">
        <f>IF($D76="","",IF($D76="T1","T2",IF($D76="T2","T3",IF($D76="T3","T4",IF($D76="T4","T5",IF($D76="T5","T6",IF($D76="T6","T7",IF($D76="T7","T8",IF($D76="T8","T9","")))))))))</f>
        <v/>
      </c>
      <c r="L76" s="28">
        <f>IF($K76="","",MAX(0,VLOOKUP($K76,RoleTitles!$A:$B,2,FALSE)-$E76))</f>
        <v/>
      </c>
    </row>
    <row r="77">
      <c r="A77" s="24">
        <f>IFERROR(INDEX(CoachRoster!$A$2:$A$1000,ROW()-1),"")</f>
        <v/>
      </c>
      <c r="B77" s="27">
        <f>IF($A77="","",VLOOKUP($A77,CoachRoster!$A:$E,2,FALSE))</f>
        <v/>
      </c>
      <c r="C77" s="27">
        <f>IF($A77="","",VLOOKUP($A77,CoachRoster!$A:$E,3,FALSE))</f>
        <v/>
      </c>
      <c r="D77" s="27">
        <f>IF($A77="","",VLOOKUP($A77,CoachRoster!$A:$E,4,FALSE))</f>
        <v/>
      </c>
      <c r="E77" s="27">
        <f>IF($A77="","",MIN(Settings!$B$8,IFERROR(SUMIF(Weekly_Coaching!$B:$B,$A77,Weekly_Coaching!$D:$D),0)+IFERROR(SUMIF(Monthly_Edu!$B:$B,$A77,Monthly_Edu!$D:$D),0)+IFERROR(SUMIF(Monthly_Ops!$B:$B,$A77,Monthly_Ops!$D:$D),0)+IFERROR(SUMIF(Monthly_Mentor!$B:$B,$A77,Monthly_Mentor!$D:$D),0)+IFERROR(SUMIF(Quarterly_Impact!$B:$B,$A77,Quarterly_Impact!$D:$D),0)+IFERROR(SUMIFS(XPLog!$M:$M,XPLog!$B:$B,$A77,XPLog!$J:$J,"Admin"),0)+IFERROR(SUMIFS(XPLog!$M:$M,XPLog!$B:$B,$A77,XPLog!$J:$J,"Seeding"),0)))</f>
        <v/>
      </c>
      <c r="F77" s="27">
        <f>IF($E77="","",LOOKUP($E77, XPBands!B$2:B$10, XPBands!A$2:A$10))</f>
        <v/>
      </c>
      <c r="G77" s="27">
        <f>IF($E77="","", VLOOKUP($F77, XPBands!A$2:G$10, 4, FALSE) + MIN(VLOOKUP($F77, XPBands!A$2:G$10, 5, FALSE) - VLOOKUP($F77, XPBands!A$2:G$10, 4, FALSE), FLOOR(( $E77 - VLOOKUP($F77, XPBands!A$2:G$10, 2, FALSE) ) / VLOOKUP($F77, XPBands!A$2:G$10, 7, FALSE),1)))</f>
        <v/>
      </c>
      <c r="H77" s="27">
        <f>IF($D77="","",VLOOKUP($D77,RoleTitles!$A:$E,3,FALSE))</f>
        <v/>
      </c>
      <c r="I77" s="27">
        <f>IF($D77="","",IF($C77="Greek",VLOOKUP($D77,RoleTitles!$A:$E,4,FALSE),IF($C77="Aesir",VLOOKUP($D77,RoleTitles!$A:$E,5,FALSE),VLOOKUP($D77,RoleTitles!$A:$E,3,FALSE))))</f>
        <v/>
      </c>
      <c r="J77" s="27">
        <f>IF($D77="","",IF($E77&gt;=VLOOKUP($D77,RoleTitles!$A:$B,2,FALSE),"Yes","No"))</f>
        <v/>
      </c>
      <c r="K77" s="27">
        <f>IF($D77="","",IF($D77="T1","T2",IF($D77="T2","T3",IF($D77="T3","T4",IF($D77="T4","T5",IF($D77="T5","T6",IF($D77="T6","T7",IF($D77="T7","T8",IF($D77="T8","T9","")))))))))</f>
        <v/>
      </c>
      <c r="L77" s="28">
        <f>IF($K77="","",MAX(0,VLOOKUP($K77,RoleTitles!$A:$B,2,FALSE)-$E77))</f>
        <v/>
      </c>
    </row>
    <row r="78">
      <c r="A78" s="24">
        <f>IFERROR(INDEX(CoachRoster!$A$2:$A$1000,ROW()-1),"")</f>
        <v/>
      </c>
      <c r="B78" s="27">
        <f>IF($A78="","",VLOOKUP($A78,CoachRoster!$A:$E,2,FALSE))</f>
        <v/>
      </c>
      <c r="C78" s="27">
        <f>IF($A78="","",VLOOKUP($A78,CoachRoster!$A:$E,3,FALSE))</f>
        <v/>
      </c>
      <c r="D78" s="27">
        <f>IF($A78="","",VLOOKUP($A78,CoachRoster!$A:$E,4,FALSE))</f>
        <v/>
      </c>
      <c r="E78" s="27">
        <f>IF($A78="","",MIN(Settings!$B$8,IFERROR(SUMIF(Weekly_Coaching!$B:$B,$A78,Weekly_Coaching!$D:$D),0)+IFERROR(SUMIF(Monthly_Edu!$B:$B,$A78,Monthly_Edu!$D:$D),0)+IFERROR(SUMIF(Monthly_Ops!$B:$B,$A78,Monthly_Ops!$D:$D),0)+IFERROR(SUMIF(Monthly_Mentor!$B:$B,$A78,Monthly_Mentor!$D:$D),0)+IFERROR(SUMIF(Quarterly_Impact!$B:$B,$A78,Quarterly_Impact!$D:$D),0)+IFERROR(SUMIFS(XPLog!$M:$M,XPLog!$B:$B,$A78,XPLog!$J:$J,"Admin"),0)+IFERROR(SUMIFS(XPLog!$M:$M,XPLog!$B:$B,$A78,XPLog!$J:$J,"Seeding"),0)))</f>
        <v/>
      </c>
      <c r="F78" s="27">
        <f>IF($E78="","",LOOKUP($E78, XPBands!B$2:B$10, XPBands!A$2:A$10))</f>
        <v/>
      </c>
      <c r="G78" s="27">
        <f>IF($E78="","", VLOOKUP($F78, XPBands!A$2:G$10, 4, FALSE) + MIN(VLOOKUP($F78, XPBands!A$2:G$10, 5, FALSE) - VLOOKUP($F78, XPBands!A$2:G$10, 4, FALSE), FLOOR(( $E78 - VLOOKUP($F78, XPBands!A$2:G$10, 2, FALSE) ) / VLOOKUP($F78, XPBands!A$2:G$10, 7, FALSE),1)))</f>
        <v/>
      </c>
      <c r="H78" s="27">
        <f>IF($D78="","",VLOOKUP($D78,RoleTitles!$A:$E,3,FALSE))</f>
        <v/>
      </c>
      <c r="I78" s="27">
        <f>IF($D78="","",IF($C78="Greek",VLOOKUP($D78,RoleTitles!$A:$E,4,FALSE),IF($C78="Aesir",VLOOKUP($D78,RoleTitles!$A:$E,5,FALSE),VLOOKUP($D78,RoleTitles!$A:$E,3,FALSE))))</f>
        <v/>
      </c>
      <c r="J78" s="27">
        <f>IF($D78="","",IF($E78&gt;=VLOOKUP($D78,RoleTitles!$A:$B,2,FALSE),"Yes","No"))</f>
        <v/>
      </c>
      <c r="K78" s="27">
        <f>IF($D78="","",IF($D78="T1","T2",IF($D78="T2","T3",IF($D78="T3","T4",IF($D78="T4","T5",IF($D78="T5","T6",IF($D78="T6","T7",IF($D78="T7","T8",IF($D78="T8","T9","")))))))))</f>
        <v/>
      </c>
      <c r="L78" s="28">
        <f>IF($K78="","",MAX(0,VLOOKUP($K78,RoleTitles!$A:$B,2,FALSE)-$E78))</f>
        <v/>
      </c>
    </row>
    <row r="79">
      <c r="A79" s="24">
        <f>IFERROR(INDEX(CoachRoster!$A$2:$A$1000,ROW()-1),"")</f>
        <v/>
      </c>
      <c r="B79" s="27">
        <f>IF($A79="","",VLOOKUP($A79,CoachRoster!$A:$E,2,FALSE))</f>
        <v/>
      </c>
      <c r="C79" s="27">
        <f>IF($A79="","",VLOOKUP($A79,CoachRoster!$A:$E,3,FALSE))</f>
        <v/>
      </c>
      <c r="D79" s="27">
        <f>IF($A79="","",VLOOKUP($A79,CoachRoster!$A:$E,4,FALSE))</f>
        <v/>
      </c>
      <c r="E79" s="27">
        <f>IF($A79="","",MIN(Settings!$B$8,IFERROR(SUMIF(Weekly_Coaching!$B:$B,$A79,Weekly_Coaching!$D:$D),0)+IFERROR(SUMIF(Monthly_Edu!$B:$B,$A79,Monthly_Edu!$D:$D),0)+IFERROR(SUMIF(Monthly_Ops!$B:$B,$A79,Monthly_Ops!$D:$D),0)+IFERROR(SUMIF(Monthly_Mentor!$B:$B,$A79,Monthly_Mentor!$D:$D),0)+IFERROR(SUMIF(Quarterly_Impact!$B:$B,$A79,Quarterly_Impact!$D:$D),0)+IFERROR(SUMIFS(XPLog!$M:$M,XPLog!$B:$B,$A79,XPLog!$J:$J,"Admin"),0)+IFERROR(SUMIFS(XPLog!$M:$M,XPLog!$B:$B,$A79,XPLog!$J:$J,"Seeding"),0)))</f>
        <v/>
      </c>
      <c r="F79" s="27">
        <f>IF($E79="","",LOOKUP($E79, XPBands!B$2:B$10, XPBands!A$2:A$10))</f>
        <v/>
      </c>
      <c r="G79" s="27">
        <f>IF($E79="","", VLOOKUP($F79, XPBands!A$2:G$10, 4, FALSE) + MIN(VLOOKUP($F79, XPBands!A$2:G$10, 5, FALSE) - VLOOKUP($F79, XPBands!A$2:G$10, 4, FALSE), FLOOR(( $E79 - VLOOKUP($F79, XPBands!A$2:G$10, 2, FALSE) ) / VLOOKUP($F79, XPBands!A$2:G$10, 7, FALSE),1)))</f>
        <v/>
      </c>
      <c r="H79" s="27">
        <f>IF($D79="","",VLOOKUP($D79,RoleTitles!$A:$E,3,FALSE))</f>
        <v/>
      </c>
      <c r="I79" s="27">
        <f>IF($D79="","",IF($C79="Greek",VLOOKUP($D79,RoleTitles!$A:$E,4,FALSE),IF($C79="Aesir",VLOOKUP($D79,RoleTitles!$A:$E,5,FALSE),VLOOKUP($D79,RoleTitles!$A:$E,3,FALSE))))</f>
        <v/>
      </c>
      <c r="J79" s="27">
        <f>IF($D79="","",IF($E79&gt;=VLOOKUP($D79,RoleTitles!$A:$B,2,FALSE),"Yes","No"))</f>
        <v/>
      </c>
      <c r="K79" s="27">
        <f>IF($D79="","",IF($D79="T1","T2",IF($D79="T2","T3",IF($D79="T3","T4",IF($D79="T4","T5",IF($D79="T5","T6",IF($D79="T6","T7",IF($D79="T7","T8",IF($D79="T8","T9","")))))))))</f>
        <v/>
      </c>
      <c r="L79" s="28">
        <f>IF($K79="","",MAX(0,VLOOKUP($K79,RoleTitles!$A:$B,2,FALSE)-$E79))</f>
        <v/>
      </c>
    </row>
    <row r="80">
      <c r="A80" s="24">
        <f>IFERROR(INDEX(CoachRoster!$A$2:$A$1000,ROW()-1),"")</f>
        <v/>
      </c>
      <c r="B80" s="27">
        <f>IF($A80="","",VLOOKUP($A80,CoachRoster!$A:$E,2,FALSE))</f>
        <v/>
      </c>
      <c r="C80" s="27">
        <f>IF($A80="","",VLOOKUP($A80,CoachRoster!$A:$E,3,FALSE))</f>
        <v/>
      </c>
      <c r="D80" s="27">
        <f>IF($A80="","",VLOOKUP($A80,CoachRoster!$A:$E,4,FALSE))</f>
        <v/>
      </c>
      <c r="E80" s="27">
        <f>IF($A80="","",MIN(Settings!$B$8,IFERROR(SUMIF(Weekly_Coaching!$B:$B,$A80,Weekly_Coaching!$D:$D),0)+IFERROR(SUMIF(Monthly_Edu!$B:$B,$A80,Monthly_Edu!$D:$D),0)+IFERROR(SUMIF(Monthly_Ops!$B:$B,$A80,Monthly_Ops!$D:$D),0)+IFERROR(SUMIF(Monthly_Mentor!$B:$B,$A80,Monthly_Mentor!$D:$D),0)+IFERROR(SUMIF(Quarterly_Impact!$B:$B,$A80,Quarterly_Impact!$D:$D),0)+IFERROR(SUMIFS(XPLog!$M:$M,XPLog!$B:$B,$A80,XPLog!$J:$J,"Admin"),0)+IFERROR(SUMIFS(XPLog!$M:$M,XPLog!$B:$B,$A80,XPLog!$J:$J,"Seeding"),0)))</f>
        <v/>
      </c>
      <c r="F80" s="27">
        <f>IF($E80="","",LOOKUP($E80, XPBands!B$2:B$10, XPBands!A$2:A$10))</f>
        <v/>
      </c>
      <c r="G80" s="27">
        <f>IF($E80="","", VLOOKUP($F80, XPBands!A$2:G$10, 4, FALSE) + MIN(VLOOKUP($F80, XPBands!A$2:G$10, 5, FALSE) - VLOOKUP($F80, XPBands!A$2:G$10, 4, FALSE), FLOOR(( $E80 - VLOOKUP($F80, XPBands!A$2:G$10, 2, FALSE) ) / VLOOKUP($F80, XPBands!A$2:G$10, 7, FALSE),1)))</f>
        <v/>
      </c>
      <c r="H80" s="27">
        <f>IF($D80="","",VLOOKUP($D80,RoleTitles!$A:$E,3,FALSE))</f>
        <v/>
      </c>
      <c r="I80" s="27">
        <f>IF($D80="","",IF($C80="Greek",VLOOKUP($D80,RoleTitles!$A:$E,4,FALSE),IF($C80="Aesir",VLOOKUP($D80,RoleTitles!$A:$E,5,FALSE),VLOOKUP($D80,RoleTitles!$A:$E,3,FALSE))))</f>
        <v/>
      </c>
      <c r="J80" s="27">
        <f>IF($D80="","",IF($E80&gt;=VLOOKUP($D80,RoleTitles!$A:$B,2,FALSE),"Yes","No"))</f>
        <v/>
      </c>
      <c r="K80" s="27">
        <f>IF($D80="","",IF($D80="T1","T2",IF($D80="T2","T3",IF($D80="T3","T4",IF($D80="T4","T5",IF($D80="T5","T6",IF($D80="T6","T7",IF($D80="T7","T8",IF($D80="T8","T9","")))))))))</f>
        <v/>
      </c>
      <c r="L80" s="28">
        <f>IF($K80="","",MAX(0,VLOOKUP($K80,RoleTitles!$A:$B,2,FALSE)-$E80))</f>
        <v/>
      </c>
    </row>
    <row r="81">
      <c r="A81" s="24">
        <f>IFERROR(INDEX(CoachRoster!$A$2:$A$1000,ROW()-1),"")</f>
        <v/>
      </c>
      <c r="B81" s="27">
        <f>IF($A81="","",VLOOKUP($A81,CoachRoster!$A:$E,2,FALSE))</f>
        <v/>
      </c>
      <c r="C81" s="27">
        <f>IF($A81="","",VLOOKUP($A81,CoachRoster!$A:$E,3,FALSE))</f>
        <v/>
      </c>
      <c r="D81" s="27">
        <f>IF($A81="","",VLOOKUP($A81,CoachRoster!$A:$E,4,FALSE))</f>
        <v/>
      </c>
      <c r="E81" s="27">
        <f>IF($A81="","",MIN(Settings!$B$8,IFERROR(SUMIF(Weekly_Coaching!$B:$B,$A81,Weekly_Coaching!$D:$D),0)+IFERROR(SUMIF(Monthly_Edu!$B:$B,$A81,Monthly_Edu!$D:$D),0)+IFERROR(SUMIF(Monthly_Ops!$B:$B,$A81,Monthly_Ops!$D:$D),0)+IFERROR(SUMIF(Monthly_Mentor!$B:$B,$A81,Monthly_Mentor!$D:$D),0)+IFERROR(SUMIF(Quarterly_Impact!$B:$B,$A81,Quarterly_Impact!$D:$D),0)+IFERROR(SUMIFS(XPLog!$M:$M,XPLog!$B:$B,$A81,XPLog!$J:$J,"Admin"),0)+IFERROR(SUMIFS(XPLog!$M:$M,XPLog!$B:$B,$A81,XPLog!$J:$J,"Seeding"),0)))</f>
        <v/>
      </c>
      <c r="F81" s="27">
        <f>IF($E81="","",LOOKUP($E81, XPBands!B$2:B$10, XPBands!A$2:A$10))</f>
        <v/>
      </c>
      <c r="G81" s="27">
        <f>IF($E81="","", VLOOKUP($F81, XPBands!A$2:G$10, 4, FALSE) + MIN(VLOOKUP($F81, XPBands!A$2:G$10, 5, FALSE) - VLOOKUP($F81, XPBands!A$2:G$10, 4, FALSE), FLOOR(( $E81 - VLOOKUP($F81, XPBands!A$2:G$10, 2, FALSE) ) / VLOOKUP($F81, XPBands!A$2:G$10, 7, FALSE),1)))</f>
        <v/>
      </c>
      <c r="H81" s="27">
        <f>IF($D81="","",VLOOKUP($D81,RoleTitles!$A:$E,3,FALSE))</f>
        <v/>
      </c>
      <c r="I81" s="27">
        <f>IF($D81="","",IF($C81="Greek",VLOOKUP($D81,RoleTitles!$A:$E,4,FALSE),IF($C81="Aesir",VLOOKUP($D81,RoleTitles!$A:$E,5,FALSE),VLOOKUP($D81,RoleTitles!$A:$E,3,FALSE))))</f>
        <v/>
      </c>
      <c r="J81" s="27">
        <f>IF($D81="","",IF($E81&gt;=VLOOKUP($D81,RoleTitles!$A:$B,2,FALSE),"Yes","No"))</f>
        <v/>
      </c>
      <c r="K81" s="27">
        <f>IF($D81="","",IF($D81="T1","T2",IF($D81="T2","T3",IF($D81="T3","T4",IF($D81="T4","T5",IF($D81="T5","T6",IF($D81="T6","T7",IF($D81="T7","T8",IF($D81="T8","T9","")))))))))</f>
        <v/>
      </c>
      <c r="L81" s="28">
        <f>IF($K81="","",MAX(0,VLOOKUP($K81,RoleTitles!$A:$B,2,FALSE)-$E81))</f>
        <v/>
      </c>
    </row>
    <row r="82">
      <c r="A82" s="24">
        <f>IFERROR(INDEX(CoachRoster!$A$2:$A$1000,ROW()-1),"")</f>
        <v/>
      </c>
      <c r="B82" s="27">
        <f>IF($A82="","",VLOOKUP($A82,CoachRoster!$A:$E,2,FALSE))</f>
        <v/>
      </c>
      <c r="C82" s="27">
        <f>IF($A82="","",VLOOKUP($A82,CoachRoster!$A:$E,3,FALSE))</f>
        <v/>
      </c>
      <c r="D82" s="27">
        <f>IF($A82="","",VLOOKUP($A82,CoachRoster!$A:$E,4,FALSE))</f>
        <v/>
      </c>
      <c r="E82" s="27">
        <f>IF($A82="","",MIN(Settings!$B$8,IFERROR(SUMIF(Weekly_Coaching!$B:$B,$A82,Weekly_Coaching!$D:$D),0)+IFERROR(SUMIF(Monthly_Edu!$B:$B,$A82,Monthly_Edu!$D:$D),0)+IFERROR(SUMIF(Monthly_Ops!$B:$B,$A82,Monthly_Ops!$D:$D),0)+IFERROR(SUMIF(Monthly_Mentor!$B:$B,$A82,Monthly_Mentor!$D:$D),0)+IFERROR(SUMIF(Quarterly_Impact!$B:$B,$A82,Quarterly_Impact!$D:$D),0)+IFERROR(SUMIFS(XPLog!$M:$M,XPLog!$B:$B,$A82,XPLog!$J:$J,"Admin"),0)+IFERROR(SUMIFS(XPLog!$M:$M,XPLog!$B:$B,$A82,XPLog!$J:$J,"Seeding"),0)))</f>
        <v/>
      </c>
      <c r="F82" s="27">
        <f>IF($E82="","",LOOKUP($E82, XPBands!B$2:B$10, XPBands!A$2:A$10))</f>
        <v/>
      </c>
      <c r="G82" s="27">
        <f>IF($E82="","", VLOOKUP($F82, XPBands!A$2:G$10, 4, FALSE) + MIN(VLOOKUP($F82, XPBands!A$2:G$10, 5, FALSE) - VLOOKUP($F82, XPBands!A$2:G$10, 4, FALSE), FLOOR(( $E82 - VLOOKUP($F82, XPBands!A$2:G$10, 2, FALSE) ) / VLOOKUP($F82, XPBands!A$2:G$10, 7, FALSE),1)))</f>
        <v/>
      </c>
      <c r="H82" s="27">
        <f>IF($D82="","",VLOOKUP($D82,RoleTitles!$A:$E,3,FALSE))</f>
        <v/>
      </c>
      <c r="I82" s="27">
        <f>IF($D82="","",IF($C82="Greek",VLOOKUP($D82,RoleTitles!$A:$E,4,FALSE),IF($C82="Aesir",VLOOKUP($D82,RoleTitles!$A:$E,5,FALSE),VLOOKUP($D82,RoleTitles!$A:$E,3,FALSE))))</f>
        <v/>
      </c>
      <c r="J82" s="27">
        <f>IF($D82="","",IF($E82&gt;=VLOOKUP($D82,RoleTitles!$A:$B,2,FALSE),"Yes","No"))</f>
        <v/>
      </c>
      <c r="K82" s="27">
        <f>IF($D82="","",IF($D82="T1","T2",IF($D82="T2","T3",IF($D82="T3","T4",IF($D82="T4","T5",IF($D82="T5","T6",IF($D82="T6","T7",IF($D82="T7","T8",IF($D82="T8","T9","")))))))))</f>
        <v/>
      </c>
      <c r="L82" s="28">
        <f>IF($K82="","",MAX(0,VLOOKUP($K82,RoleTitles!$A:$B,2,FALSE)-$E82))</f>
        <v/>
      </c>
    </row>
    <row r="83">
      <c r="A83" s="24">
        <f>IFERROR(INDEX(CoachRoster!$A$2:$A$1000,ROW()-1),"")</f>
        <v/>
      </c>
      <c r="B83" s="27">
        <f>IF($A83="","",VLOOKUP($A83,CoachRoster!$A:$E,2,FALSE))</f>
        <v/>
      </c>
      <c r="C83" s="27">
        <f>IF($A83="","",VLOOKUP($A83,CoachRoster!$A:$E,3,FALSE))</f>
        <v/>
      </c>
      <c r="D83" s="27">
        <f>IF($A83="","",VLOOKUP($A83,CoachRoster!$A:$E,4,FALSE))</f>
        <v/>
      </c>
      <c r="E83" s="27">
        <f>IF($A83="","",MIN(Settings!$B$8,IFERROR(SUMIF(Weekly_Coaching!$B:$B,$A83,Weekly_Coaching!$D:$D),0)+IFERROR(SUMIF(Monthly_Edu!$B:$B,$A83,Monthly_Edu!$D:$D),0)+IFERROR(SUMIF(Monthly_Ops!$B:$B,$A83,Monthly_Ops!$D:$D),0)+IFERROR(SUMIF(Monthly_Mentor!$B:$B,$A83,Monthly_Mentor!$D:$D),0)+IFERROR(SUMIF(Quarterly_Impact!$B:$B,$A83,Quarterly_Impact!$D:$D),0)+IFERROR(SUMIFS(XPLog!$M:$M,XPLog!$B:$B,$A83,XPLog!$J:$J,"Admin"),0)+IFERROR(SUMIFS(XPLog!$M:$M,XPLog!$B:$B,$A83,XPLog!$J:$J,"Seeding"),0)))</f>
        <v/>
      </c>
      <c r="F83" s="27">
        <f>IF($E83="","",LOOKUP($E83, XPBands!B$2:B$10, XPBands!A$2:A$10))</f>
        <v/>
      </c>
      <c r="G83" s="27">
        <f>IF($E83="","", VLOOKUP($F83, XPBands!A$2:G$10, 4, FALSE) + MIN(VLOOKUP($F83, XPBands!A$2:G$10, 5, FALSE) - VLOOKUP($F83, XPBands!A$2:G$10, 4, FALSE), FLOOR(( $E83 - VLOOKUP($F83, XPBands!A$2:G$10, 2, FALSE) ) / VLOOKUP($F83, XPBands!A$2:G$10, 7, FALSE),1)))</f>
        <v/>
      </c>
      <c r="H83" s="27">
        <f>IF($D83="","",VLOOKUP($D83,RoleTitles!$A:$E,3,FALSE))</f>
        <v/>
      </c>
      <c r="I83" s="27">
        <f>IF($D83="","",IF($C83="Greek",VLOOKUP($D83,RoleTitles!$A:$E,4,FALSE),IF($C83="Aesir",VLOOKUP($D83,RoleTitles!$A:$E,5,FALSE),VLOOKUP($D83,RoleTitles!$A:$E,3,FALSE))))</f>
        <v/>
      </c>
      <c r="J83" s="27">
        <f>IF($D83="","",IF($E83&gt;=VLOOKUP($D83,RoleTitles!$A:$B,2,FALSE),"Yes","No"))</f>
        <v/>
      </c>
      <c r="K83" s="27">
        <f>IF($D83="","",IF($D83="T1","T2",IF($D83="T2","T3",IF($D83="T3","T4",IF($D83="T4","T5",IF($D83="T5","T6",IF($D83="T6","T7",IF($D83="T7","T8",IF($D83="T8","T9","")))))))))</f>
        <v/>
      </c>
      <c r="L83" s="28">
        <f>IF($K83="","",MAX(0,VLOOKUP($K83,RoleTitles!$A:$B,2,FALSE)-$E83))</f>
        <v/>
      </c>
    </row>
    <row r="84">
      <c r="A84" s="24">
        <f>IFERROR(INDEX(CoachRoster!$A$2:$A$1000,ROW()-1),"")</f>
        <v/>
      </c>
      <c r="B84" s="27">
        <f>IF($A84="","",VLOOKUP($A84,CoachRoster!$A:$E,2,FALSE))</f>
        <v/>
      </c>
      <c r="C84" s="27">
        <f>IF($A84="","",VLOOKUP($A84,CoachRoster!$A:$E,3,FALSE))</f>
        <v/>
      </c>
      <c r="D84" s="27">
        <f>IF($A84="","",VLOOKUP($A84,CoachRoster!$A:$E,4,FALSE))</f>
        <v/>
      </c>
      <c r="E84" s="27">
        <f>IF($A84="","",MIN(Settings!$B$8,IFERROR(SUMIF(Weekly_Coaching!$B:$B,$A84,Weekly_Coaching!$D:$D),0)+IFERROR(SUMIF(Monthly_Edu!$B:$B,$A84,Monthly_Edu!$D:$D),0)+IFERROR(SUMIF(Monthly_Ops!$B:$B,$A84,Monthly_Ops!$D:$D),0)+IFERROR(SUMIF(Monthly_Mentor!$B:$B,$A84,Monthly_Mentor!$D:$D),0)+IFERROR(SUMIF(Quarterly_Impact!$B:$B,$A84,Quarterly_Impact!$D:$D),0)+IFERROR(SUMIFS(XPLog!$M:$M,XPLog!$B:$B,$A84,XPLog!$J:$J,"Admin"),0)+IFERROR(SUMIFS(XPLog!$M:$M,XPLog!$B:$B,$A84,XPLog!$J:$J,"Seeding"),0)))</f>
        <v/>
      </c>
      <c r="F84" s="27">
        <f>IF($E84="","",LOOKUP($E84, XPBands!B$2:B$10, XPBands!A$2:A$10))</f>
        <v/>
      </c>
      <c r="G84" s="27">
        <f>IF($E84="","", VLOOKUP($F84, XPBands!A$2:G$10, 4, FALSE) + MIN(VLOOKUP($F84, XPBands!A$2:G$10, 5, FALSE) - VLOOKUP($F84, XPBands!A$2:G$10, 4, FALSE), FLOOR(( $E84 - VLOOKUP($F84, XPBands!A$2:G$10, 2, FALSE) ) / VLOOKUP($F84, XPBands!A$2:G$10, 7, FALSE),1)))</f>
        <v/>
      </c>
      <c r="H84" s="27">
        <f>IF($D84="","",VLOOKUP($D84,RoleTitles!$A:$E,3,FALSE))</f>
        <v/>
      </c>
      <c r="I84" s="27">
        <f>IF($D84="","",IF($C84="Greek",VLOOKUP($D84,RoleTitles!$A:$E,4,FALSE),IF($C84="Aesir",VLOOKUP($D84,RoleTitles!$A:$E,5,FALSE),VLOOKUP($D84,RoleTitles!$A:$E,3,FALSE))))</f>
        <v/>
      </c>
      <c r="J84" s="27">
        <f>IF($D84="","",IF($E84&gt;=VLOOKUP($D84,RoleTitles!$A:$B,2,FALSE),"Yes","No"))</f>
        <v/>
      </c>
      <c r="K84" s="27">
        <f>IF($D84="","",IF($D84="T1","T2",IF($D84="T2","T3",IF($D84="T3","T4",IF($D84="T4","T5",IF($D84="T5","T6",IF($D84="T6","T7",IF($D84="T7","T8",IF($D84="T8","T9","")))))))))</f>
        <v/>
      </c>
      <c r="L84" s="28">
        <f>IF($K84="","",MAX(0,VLOOKUP($K84,RoleTitles!$A:$B,2,FALSE)-$E84))</f>
        <v/>
      </c>
    </row>
    <row r="85">
      <c r="A85" s="24">
        <f>IFERROR(INDEX(CoachRoster!$A$2:$A$1000,ROW()-1),"")</f>
        <v/>
      </c>
      <c r="B85" s="27">
        <f>IF($A85="","",VLOOKUP($A85,CoachRoster!$A:$E,2,FALSE))</f>
        <v/>
      </c>
      <c r="C85" s="27">
        <f>IF($A85="","",VLOOKUP($A85,CoachRoster!$A:$E,3,FALSE))</f>
        <v/>
      </c>
      <c r="D85" s="27">
        <f>IF($A85="","",VLOOKUP($A85,CoachRoster!$A:$E,4,FALSE))</f>
        <v/>
      </c>
      <c r="E85" s="27">
        <f>IF($A85="","",MIN(Settings!$B$8,IFERROR(SUMIF(Weekly_Coaching!$B:$B,$A85,Weekly_Coaching!$D:$D),0)+IFERROR(SUMIF(Monthly_Edu!$B:$B,$A85,Monthly_Edu!$D:$D),0)+IFERROR(SUMIF(Monthly_Ops!$B:$B,$A85,Monthly_Ops!$D:$D),0)+IFERROR(SUMIF(Monthly_Mentor!$B:$B,$A85,Monthly_Mentor!$D:$D),0)+IFERROR(SUMIF(Quarterly_Impact!$B:$B,$A85,Quarterly_Impact!$D:$D),0)+IFERROR(SUMIFS(XPLog!$M:$M,XPLog!$B:$B,$A85,XPLog!$J:$J,"Admin"),0)+IFERROR(SUMIFS(XPLog!$M:$M,XPLog!$B:$B,$A85,XPLog!$J:$J,"Seeding"),0)))</f>
        <v/>
      </c>
      <c r="F85" s="27">
        <f>IF($E85="","",LOOKUP($E85, XPBands!B$2:B$10, XPBands!A$2:A$10))</f>
        <v/>
      </c>
      <c r="G85" s="27">
        <f>IF($E85="","", VLOOKUP($F85, XPBands!A$2:G$10, 4, FALSE) + MIN(VLOOKUP($F85, XPBands!A$2:G$10, 5, FALSE) - VLOOKUP($F85, XPBands!A$2:G$10, 4, FALSE), FLOOR(( $E85 - VLOOKUP($F85, XPBands!A$2:G$10, 2, FALSE) ) / VLOOKUP($F85, XPBands!A$2:G$10, 7, FALSE),1)))</f>
        <v/>
      </c>
      <c r="H85" s="27">
        <f>IF($D85="","",VLOOKUP($D85,RoleTitles!$A:$E,3,FALSE))</f>
        <v/>
      </c>
      <c r="I85" s="27">
        <f>IF($D85="","",IF($C85="Greek",VLOOKUP($D85,RoleTitles!$A:$E,4,FALSE),IF($C85="Aesir",VLOOKUP($D85,RoleTitles!$A:$E,5,FALSE),VLOOKUP($D85,RoleTitles!$A:$E,3,FALSE))))</f>
        <v/>
      </c>
      <c r="J85" s="27">
        <f>IF($D85="","",IF($E85&gt;=VLOOKUP($D85,RoleTitles!$A:$B,2,FALSE),"Yes","No"))</f>
        <v/>
      </c>
      <c r="K85" s="27">
        <f>IF($D85="","",IF($D85="T1","T2",IF($D85="T2","T3",IF($D85="T3","T4",IF($D85="T4","T5",IF($D85="T5","T6",IF($D85="T6","T7",IF($D85="T7","T8",IF($D85="T8","T9","")))))))))</f>
        <v/>
      </c>
      <c r="L85" s="28">
        <f>IF($K85="","",MAX(0,VLOOKUP($K85,RoleTitles!$A:$B,2,FALSE)-$E85))</f>
        <v/>
      </c>
    </row>
    <row r="86">
      <c r="A86" s="24">
        <f>IFERROR(INDEX(CoachRoster!$A$2:$A$1000,ROW()-1),"")</f>
        <v/>
      </c>
      <c r="B86" s="27">
        <f>IF($A86="","",VLOOKUP($A86,CoachRoster!$A:$E,2,FALSE))</f>
        <v/>
      </c>
      <c r="C86" s="27">
        <f>IF($A86="","",VLOOKUP($A86,CoachRoster!$A:$E,3,FALSE))</f>
        <v/>
      </c>
      <c r="D86" s="27">
        <f>IF($A86="","",VLOOKUP($A86,CoachRoster!$A:$E,4,FALSE))</f>
        <v/>
      </c>
      <c r="E86" s="27">
        <f>IF($A86="","",MIN(Settings!$B$8,IFERROR(SUMIF(Weekly_Coaching!$B:$B,$A86,Weekly_Coaching!$D:$D),0)+IFERROR(SUMIF(Monthly_Edu!$B:$B,$A86,Monthly_Edu!$D:$D),0)+IFERROR(SUMIF(Monthly_Ops!$B:$B,$A86,Monthly_Ops!$D:$D),0)+IFERROR(SUMIF(Monthly_Mentor!$B:$B,$A86,Monthly_Mentor!$D:$D),0)+IFERROR(SUMIF(Quarterly_Impact!$B:$B,$A86,Quarterly_Impact!$D:$D),0)+IFERROR(SUMIFS(XPLog!$M:$M,XPLog!$B:$B,$A86,XPLog!$J:$J,"Admin"),0)+IFERROR(SUMIFS(XPLog!$M:$M,XPLog!$B:$B,$A86,XPLog!$J:$J,"Seeding"),0)))</f>
        <v/>
      </c>
      <c r="F86" s="27">
        <f>IF($E86="","",LOOKUP($E86, XPBands!B$2:B$10, XPBands!A$2:A$10))</f>
        <v/>
      </c>
      <c r="G86" s="27">
        <f>IF($E86="","", VLOOKUP($F86, XPBands!A$2:G$10, 4, FALSE) + MIN(VLOOKUP($F86, XPBands!A$2:G$10, 5, FALSE) - VLOOKUP($F86, XPBands!A$2:G$10, 4, FALSE), FLOOR(( $E86 - VLOOKUP($F86, XPBands!A$2:G$10, 2, FALSE) ) / VLOOKUP($F86, XPBands!A$2:G$10, 7, FALSE),1)))</f>
        <v/>
      </c>
      <c r="H86" s="27">
        <f>IF($D86="","",VLOOKUP($D86,RoleTitles!$A:$E,3,FALSE))</f>
        <v/>
      </c>
      <c r="I86" s="27">
        <f>IF($D86="","",IF($C86="Greek",VLOOKUP($D86,RoleTitles!$A:$E,4,FALSE),IF($C86="Aesir",VLOOKUP($D86,RoleTitles!$A:$E,5,FALSE),VLOOKUP($D86,RoleTitles!$A:$E,3,FALSE))))</f>
        <v/>
      </c>
      <c r="J86" s="27">
        <f>IF($D86="","",IF($E86&gt;=VLOOKUP($D86,RoleTitles!$A:$B,2,FALSE),"Yes","No"))</f>
        <v/>
      </c>
      <c r="K86" s="27">
        <f>IF($D86="","",IF($D86="T1","T2",IF($D86="T2","T3",IF($D86="T3","T4",IF($D86="T4","T5",IF($D86="T5","T6",IF($D86="T6","T7",IF($D86="T7","T8",IF($D86="T8","T9","")))))))))</f>
        <v/>
      </c>
      <c r="L86" s="28">
        <f>IF($K86="","",MAX(0,VLOOKUP($K86,RoleTitles!$A:$B,2,FALSE)-$E86))</f>
        <v/>
      </c>
    </row>
    <row r="87">
      <c r="A87" s="24">
        <f>IFERROR(INDEX(CoachRoster!$A$2:$A$1000,ROW()-1),"")</f>
        <v/>
      </c>
      <c r="B87" s="27">
        <f>IF($A87="","",VLOOKUP($A87,CoachRoster!$A:$E,2,FALSE))</f>
        <v/>
      </c>
      <c r="C87" s="27">
        <f>IF($A87="","",VLOOKUP($A87,CoachRoster!$A:$E,3,FALSE))</f>
        <v/>
      </c>
      <c r="D87" s="27">
        <f>IF($A87="","",VLOOKUP($A87,CoachRoster!$A:$E,4,FALSE))</f>
        <v/>
      </c>
      <c r="E87" s="27">
        <f>IF($A87="","",MIN(Settings!$B$8,IFERROR(SUMIF(Weekly_Coaching!$B:$B,$A87,Weekly_Coaching!$D:$D),0)+IFERROR(SUMIF(Monthly_Edu!$B:$B,$A87,Monthly_Edu!$D:$D),0)+IFERROR(SUMIF(Monthly_Ops!$B:$B,$A87,Monthly_Ops!$D:$D),0)+IFERROR(SUMIF(Monthly_Mentor!$B:$B,$A87,Monthly_Mentor!$D:$D),0)+IFERROR(SUMIF(Quarterly_Impact!$B:$B,$A87,Quarterly_Impact!$D:$D),0)+IFERROR(SUMIFS(XPLog!$M:$M,XPLog!$B:$B,$A87,XPLog!$J:$J,"Admin"),0)+IFERROR(SUMIFS(XPLog!$M:$M,XPLog!$B:$B,$A87,XPLog!$J:$J,"Seeding"),0)))</f>
        <v/>
      </c>
      <c r="F87" s="27">
        <f>IF($E87="","",LOOKUP($E87, XPBands!B$2:B$10, XPBands!A$2:A$10))</f>
        <v/>
      </c>
      <c r="G87" s="27">
        <f>IF($E87="","", VLOOKUP($F87, XPBands!A$2:G$10, 4, FALSE) + MIN(VLOOKUP($F87, XPBands!A$2:G$10, 5, FALSE) - VLOOKUP($F87, XPBands!A$2:G$10, 4, FALSE), FLOOR(( $E87 - VLOOKUP($F87, XPBands!A$2:G$10, 2, FALSE) ) / VLOOKUP($F87, XPBands!A$2:G$10, 7, FALSE),1)))</f>
        <v/>
      </c>
      <c r="H87" s="27">
        <f>IF($D87="","",VLOOKUP($D87,RoleTitles!$A:$E,3,FALSE))</f>
        <v/>
      </c>
      <c r="I87" s="27">
        <f>IF($D87="","",IF($C87="Greek",VLOOKUP($D87,RoleTitles!$A:$E,4,FALSE),IF($C87="Aesir",VLOOKUP($D87,RoleTitles!$A:$E,5,FALSE),VLOOKUP($D87,RoleTitles!$A:$E,3,FALSE))))</f>
        <v/>
      </c>
      <c r="J87" s="27">
        <f>IF($D87="","",IF($E87&gt;=VLOOKUP($D87,RoleTitles!$A:$B,2,FALSE),"Yes","No"))</f>
        <v/>
      </c>
      <c r="K87" s="27">
        <f>IF($D87="","",IF($D87="T1","T2",IF($D87="T2","T3",IF($D87="T3","T4",IF($D87="T4","T5",IF($D87="T5","T6",IF($D87="T6","T7",IF($D87="T7","T8",IF($D87="T8","T9","")))))))))</f>
        <v/>
      </c>
      <c r="L87" s="28">
        <f>IF($K87="","",MAX(0,VLOOKUP($K87,RoleTitles!$A:$B,2,FALSE)-$E87))</f>
        <v/>
      </c>
    </row>
    <row r="88">
      <c r="A88" s="24">
        <f>IFERROR(INDEX(CoachRoster!$A$2:$A$1000,ROW()-1),"")</f>
        <v/>
      </c>
      <c r="B88" s="27">
        <f>IF($A88="","",VLOOKUP($A88,CoachRoster!$A:$E,2,FALSE))</f>
        <v/>
      </c>
      <c r="C88" s="27">
        <f>IF($A88="","",VLOOKUP($A88,CoachRoster!$A:$E,3,FALSE))</f>
        <v/>
      </c>
      <c r="D88" s="27">
        <f>IF($A88="","",VLOOKUP($A88,CoachRoster!$A:$E,4,FALSE))</f>
        <v/>
      </c>
      <c r="E88" s="27">
        <f>IF($A88="","",MIN(Settings!$B$8,IFERROR(SUMIF(Weekly_Coaching!$B:$B,$A88,Weekly_Coaching!$D:$D),0)+IFERROR(SUMIF(Monthly_Edu!$B:$B,$A88,Monthly_Edu!$D:$D),0)+IFERROR(SUMIF(Monthly_Ops!$B:$B,$A88,Monthly_Ops!$D:$D),0)+IFERROR(SUMIF(Monthly_Mentor!$B:$B,$A88,Monthly_Mentor!$D:$D),0)+IFERROR(SUMIF(Quarterly_Impact!$B:$B,$A88,Quarterly_Impact!$D:$D),0)+IFERROR(SUMIFS(XPLog!$M:$M,XPLog!$B:$B,$A88,XPLog!$J:$J,"Admin"),0)+IFERROR(SUMIFS(XPLog!$M:$M,XPLog!$B:$B,$A88,XPLog!$J:$J,"Seeding"),0)))</f>
        <v/>
      </c>
      <c r="F88" s="27">
        <f>IF($E88="","",LOOKUP($E88, XPBands!B$2:B$10, XPBands!A$2:A$10))</f>
        <v/>
      </c>
      <c r="G88" s="27">
        <f>IF($E88="","", VLOOKUP($F88, XPBands!A$2:G$10, 4, FALSE) + MIN(VLOOKUP($F88, XPBands!A$2:G$10, 5, FALSE) - VLOOKUP($F88, XPBands!A$2:G$10, 4, FALSE), FLOOR(( $E88 - VLOOKUP($F88, XPBands!A$2:G$10, 2, FALSE) ) / VLOOKUP($F88, XPBands!A$2:G$10, 7, FALSE),1)))</f>
        <v/>
      </c>
      <c r="H88" s="27">
        <f>IF($D88="","",VLOOKUP($D88,RoleTitles!$A:$E,3,FALSE))</f>
        <v/>
      </c>
      <c r="I88" s="27">
        <f>IF($D88="","",IF($C88="Greek",VLOOKUP($D88,RoleTitles!$A:$E,4,FALSE),IF($C88="Aesir",VLOOKUP($D88,RoleTitles!$A:$E,5,FALSE),VLOOKUP($D88,RoleTitles!$A:$E,3,FALSE))))</f>
        <v/>
      </c>
      <c r="J88" s="27">
        <f>IF($D88="","",IF($E88&gt;=VLOOKUP($D88,RoleTitles!$A:$B,2,FALSE),"Yes","No"))</f>
        <v/>
      </c>
      <c r="K88" s="27">
        <f>IF($D88="","",IF($D88="T1","T2",IF($D88="T2","T3",IF($D88="T3","T4",IF($D88="T4","T5",IF($D88="T5","T6",IF($D88="T6","T7",IF($D88="T7","T8",IF($D88="T8","T9","")))))))))</f>
        <v/>
      </c>
      <c r="L88" s="28">
        <f>IF($K88="","",MAX(0,VLOOKUP($K88,RoleTitles!$A:$B,2,FALSE)-$E88))</f>
        <v/>
      </c>
    </row>
    <row r="89">
      <c r="A89" s="24">
        <f>IFERROR(INDEX(CoachRoster!$A$2:$A$1000,ROW()-1),"")</f>
        <v/>
      </c>
      <c r="B89" s="27">
        <f>IF($A89="","",VLOOKUP($A89,CoachRoster!$A:$E,2,FALSE))</f>
        <v/>
      </c>
      <c r="C89" s="27">
        <f>IF($A89="","",VLOOKUP($A89,CoachRoster!$A:$E,3,FALSE))</f>
        <v/>
      </c>
      <c r="D89" s="27">
        <f>IF($A89="","",VLOOKUP($A89,CoachRoster!$A:$E,4,FALSE))</f>
        <v/>
      </c>
      <c r="E89" s="27">
        <f>IF($A89="","",MIN(Settings!$B$8,IFERROR(SUMIF(Weekly_Coaching!$B:$B,$A89,Weekly_Coaching!$D:$D),0)+IFERROR(SUMIF(Monthly_Edu!$B:$B,$A89,Monthly_Edu!$D:$D),0)+IFERROR(SUMIF(Monthly_Ops!$B:$B,$A89,Monthly_Ops!$D:$D),0)+IFERROR(SUMIF(Monthly_Mentor!$B:$B,$A89,Monthly_Mentor!$D:$D),0)+IFERROR(SUMIF(Quarterly_Impact!$B:$B,$A89,Quarterly_Impact!$D:$D),0)+IFERROR(SUMIFS(XPLog!$M:$M,XPLog!$B:$B,$A89,XPLog!$J:$J,"Admin"),0)+IFERROR(SUMIFS(XPLog!$M:$M,XPLog!$B:$B,$A89,XPLog!$J:$J,"Seeding"),0)))</f>
        <v/>
      </c>
      <c r="F89" s="27">
        <f>IF($E89="","",LOOKUP($E89, XPBands!B$2:B$10, XPBands!A$2:A$10))</f>
        <v/>
      </c>
      <c r="G89" s="27">
        <f>IF($E89="","", VLOOKUP($F89, XPBands!A$2:G$10, 4, FALSE) + MIN(VLOOKUP($F89, XPBands!A$2:G$10, 5, FALSE) - VLOOKUP($F89, XPBands!A$2:G$10, 4, FALSE), FLOOR(( $E89 - VLOOKUP($F89, XPBands!A$2:G$10, 2, FALSE) ) / VLOOKUP($F89, XPBands!A$2:G$10, 7, FALSE),1)))</f>
        <v/>
      </c>
      <c r="H89" s="27">
        <f>IF($D89="","",VLOOKUP($D89,RoleTitles!$A:$E,3,FALSE))</f>
        <v/>
      </c>
      <c r="I89" s="27">
        <f>IF($D89="","",IF($C89="Greek",VLOOKUP($D89,RoleTitles!$A:$E,4,FALSE),IF($C89="Aesir",VLOOKUP($D89,RoleTitles!$A:$E,5,FALSE),VLOOKUP($D89,RoleTitles!$A:$E,3,FALSE))))</f>
        <v/>
      </c>
      <c r="J89" s="27">
        <f>IF($D89="","",IF($E89&gt;=VLOOKUP($D89,RoleTitles!$A:$B,2,FALSE),"Yes","No"))</f>
        <v/>
      </c>
      <c r="K89" s="27">
        <f>IF($D89="","",IF($D89="T1","T2",IF($D89="T2","T3",IF($D89="T3","T4",IF($D89="T4","T5",IF($D89="T5","T6",IF($D89="T6","T7",IF($D89="T7","T8",IF($D89="T8","T9","")))))))))</f>
        <v/>
      </c>
      <c r="L89" s="28">
        <f>IF($K89="","",MAX(0,VLOOKUP($K89,RoleTitles!$A:$B,2,FALSE)-$E89))</f>
        <v/>
      </c>
    </row>
    <row r="90">
      <c r="A90" s="24">
        <f>IFERROR(INDEX(CoachRoster!$A$2:$A$1000,ROW()-1),"")</f>
        <v/>
      </c>
      <c r="B90" s="27">
        <f>IF($A90="","",VLOOKUP($A90,CoachRoster!$A:$E,2,FALSE))</f>
        <v/>
      </c>
      <c r="C90" s="27">
        <f>IF($A90="","",VLOOKUP($A90,CoachRoster!$A:$E,3,FALSE))</f>
        <v/>
      </c>
      <c r="D90" s="27">
        <f>IF($A90="","",VLOOKUP($A90,CoachRoster!$A:$E,4,FALSE))</f>
        <v/>
      </c>
      <c r="E90" s="27">
        <f>IF($A90="","",MIN(Settings!$B$8,IFERROR(SUMIF(Weekly_Coaching!$B:$B,$A90,Weekly_Coaching!$D:$D),0)+IFERROR(SUMIF(Monthly_Edu!$B:$B,$A90,Monthly_Edu!$D:$D),0)+IFERROR(SUMIF(Monthly_Ops!$B:$B,$A90,Monthly_Ops!$D:$D),0)+IFERROR(SUMIF(Monthly_Mentor!$B:$B,$A90,Monthly_Mentor!$D:$D),0)+IFERROR(SUMIF(Quarterly_Impact!$B:$B,$A90,Quarterly_Impact!$D:$D),0)+IFERROR(SUMIFS(XPLog!$M:$M,XPLog!$B:$B,$A90,XPLog!$J:$J,"Admin"),0)+IFERROR(SUMIFS(XPLog!$M:$M,XPLog!$B:$B,$A90,XPLog!$J:$J,"Seeding"),0)))</f>
        <v/>
      </c>
      <c r="F90" s="27">
        <f>IF($E90="","",LOOKUP($E90, XPBands!B$2:B$10, XPBands!A$2:A$10))</f>
        <v/>
      </c>
      <c r="G90" s="27">
        <f>IF($E90="","", VLOOKUP($F90, XPBands!A$2:G$10, 4, FALSE) + MIN(VLOOKUP($F90, XPBands!A$2:G$10, 5, FALSE) - VLOOKUP($F90, XPBands!A$2:G$10, 4, FALSE), FLOOR(( $E90 - VLOOKUP($F90, XPBands!A$2:G$10, 2, FALSE) ) / VLOOKUP($F90, XPBands!A$2:G$10, 7, FALSE),1)))</f>
        <v/>
      </c>
      <c r="H90" s="27">
        <f>IF($D90="","",VLOOKUP($D90,RoleTitles!$A:$E,3,FALSE))</f>
        <v/>
      </c>
      <c r="I90" s="27">
        <f>IF($D90="","",IF($C90="Greek",VLOOKUP($D90,RoleTitles!$A:$E,4,FALSE),IF($C90="Aesir",VLOOKUP($D90,RoleTitles!$A:$E,5,FALSE),VLOOKUP($D90,RoleTitles!$A:$E,3,FALSE))))</f>
        <v/>
      </c>
      <c r="J90" s="27">
        <f>IF($D90="","",IF($E90&gt;=VLOOKUP($D90,RoleTitles!$A:$B,2,FALSE),"Yes","No"))</f>
        <v/>
      </c>
      <c r="K90" s="27">
        <f>IF($D90="","",IF($D90="T1","T2",IF($D90="T2","T3",IF($D90="T3","T4",IF($D90="T4","T5",IF($D90="T5","T6",IF($D90="T6","T7",IF($D90="T7","T8",IF($D90="T8","T9","")))))))))</f>
        <v/>
      </c>
      <c r="L90" s="28">
        <f>IF($K90="","",MAX(0,VLOOKUP($K90,RoleTitles!$A:$B,2,FALSE)-$E90))</f>
        <v/>
      </c>
    </row>
    <row r="91">
      <c r="A91" s="24">
        <f>IFERROR(INDEX(CoachRoster!$A$2:$A$1000,ROW()-1),"")</f>
        <v/>
      </c>
      <c r="B91" s="27">
        <f>IF($A91="","",VLOOKUP($A91,CoachRoster!$A:$E,2,FALSE))</f>
        <v/>
      </c>
      <c r="C91" s="27">
        <f>IF($A91="","",VLOOKUP($A91,CoachRoster!$A:$E,3,FALSE))</f>
        <v/>
      </c>
      <c r="D91" s="27">
        <f>IF($A91="","",VLOOKUP($A91,CoachRoster!$A:$E,4,FALSE))</f>
        <v/>
      </c>
      <c r="E91" s="27">
        <f>IF($A91="","",MIN(Settings!$B$8,IFERROR(SUMIF(Weekly_Coaching!$B:$B,$A91,Weekly_Coaching!$D:$D),0)+IFERROR(SUMIF(Monthly_Edu!$B:$B,$A91,Monthly_Edu!$D:$D),0)+IFERROR(SUMIF(Monthly_Ops!$B:$B,$A91,Monthly_Ops!$D:$D),0)+IFERROR(SUMIF(Monthly_Mentor!$B:$B,$A91,Monthly_Mentor!$D:$D),0)+IFERROR(SUMIF(Quarterly_Impact!$B:$B,$A91,Quarterly_Impact!$D:$D),0)+IFERROR(SUMIFS(XPLog!$M:$M,XPLog!$B:$B,$A91,XPLog!$J:$J,"Admin"),0)+IFERROR(SUMIFS(XPLog!$M:$M,XPLog!$B:$B,$A91,XPLog!$J:$J,"Seeding"),0)))</f>
        <v/>
      </c>
      <c r="F91" s="27">
        <f>IF($E91="","",LOOKUP($E91, XPBands!B$2:B$10, XPBands!A$2:A$10))</f>
        <v/>
      </c>
      <c r="G91" s="27">
        <f>IF($E91="","", VLOOKUP($F91, XPBands!A$2:G$10, 4, FALSE) + MIN(VLOOKUP($F91, XPBands!A$2:G$10, 5, FALSE) - VLOOKUP($F91, XPBands!A$2:G$10, 4, FALSE), FLOOR(( $E91 - VLOOKUP($F91, XPBands!A$2:G$10, 2, FALSE) ) / VLOOKUP($F91, XPBands!A$2:G$10, 7, FALSE),1)))</f>
        <v/>
      </c>
      <c r="H91" s="27">
        <f>IF($D91="","",VLOOKUP($D91,RoleTitles!$A:$E,3,FALSE))</f>
        <v/>
      </c>
      <c r="I91" s="27">
        <f>IF($D91="","",IF($C91="Greek",VLOOKUP($D91,RoleTitles!$A:$E,4,FALSE),IF($C91="Aesir",VLOOKUP($D91,RoleTitles!$A:$E,5,FALSE),VLOOKUP($D91,RoleTitles!$A:$E,3,FALSE))))</f>
        <v/>
      </c>
      <c r="J91" s="27">
        <f>IF($D91="","",IF($E91&gt;=VLOOKUP($D91,RoleTitles!$A:$B,2,FALSE),"Yes","No"))</f>
        <v/>
      </c>
      <c r="K91" s="27">
        <f>IF($D91="","",IF($D91="T1","T2",IF($D91="T2","T3",IF($D91="T3","T4",IF($D91="T4","T5",IF($D91="T5","T6",IF($D91="T6","T7",IF($D91="T7","T8",IF($D91="T8","T9","")))))))))</f>
        <v/>
      </c>
      <c r="L91" s="28">
        <f>IF($K91="","",MAX(0,VLOOKUP($K91,RoleTitles!$A:$B,2,FALSE)-$E91))</f>
        <v/>
      </c>
    </row>
    <row r="92">
      <c r="A92" s="24">
        <f>IFERROR(INDEX(CoachRoster!$A$2:$A$1000,ROW()-1),"")</f>
        <v/>
      </c>
      <c r="B92" s="27">
        <f>IF($A92="","",VLOOKUP($A92,CoachRoster!$A:$E,2,FALSE))</f>
        <v/>
      </c>
      <c r="C92" s="27">
        <f>IF($A92="","",VLOOKUP($A92,CoachRoster!$A:$E,3,FALSE))</f>
        <v/>
      </c>
      <c r="D92" s="27">
        <f>IF($A92="","",VLOOKUP($A92,CoachRoster!$A:$E,4,FALSE))</f>
        <v/>
      </c>
      <c r="E92" s="27">
        <f>IF($A92="","",MIN(Settings!$B$8,IFERROR(SUMIF(Weekly_Coaching!$B:$B,$A92,Weekly_Coaching!$D:$D),0)+IFERROR(SUMIF(Monthly_Edu!$B:$B,$A92,Monthly_Edu!$D:$D),0)+IFERROR(SUMIF(Monthly_Ops!$B:$B,$A92,Monthly_Ops!$D:$D),0)+IFERROR(SUMIF(Monthly_Mentor!$B:$B,$A92,Monthly_Mentor!$D:$D),0)+IFERROR(SUMIF(Quarterly_Impact!$B:$B,$A92,Quarterly_Impact!$D:$D),0)+IFERROR(SUMIFS(XPLog!$M:$M,XPLog!$B:$B,$A92,XPLog!$J:$J,"Admin"),0)+IFERROR(SUMIFS(XPLog!$M:$M,XPLog!$B:$B,$A92,XPLog!$J:$J,"Seeding"),0)))</f>
        <v/>
      </c>
      <c r="F92" s="27">
        <f>IF($E92="","",LOOKUP($E92, XPBands!B$2:B$10, XPBands!A$2:A$10))</f>
        <v/>
      </c>
      <c r="G92" s="27">
        <f>IF($E92="","", VLOOKUP($F92, XPBands!A$2:G$10, 4, FALSE) + MIN(VLOOKUP($F92, XPBands!A$2:G$10, 5, FALSE) - VLOOKUP($F92, XPBands!A$2:G$10, 4, FALSE), FLOOR(( $E92 - VLOOKUP($F92, XPBands!A$2:G$10, 2, FALSE) ) / VLOOKUP($F92, XPBands!A$2:G$10, 7, FALSE),1)))</f>
        <v/>
      </c>
      <c r="H92" s="27">
        <f>IF($D92="","",VLOOKUP($D92,RoleTitles!$A:$E,3,FALSE))</f>
        <v/>
      </c>
      <c r="I92" s="27">
        <f>IF($D92="","",IF($C92="Greek",VLOOKUP($D92,RoleTitles!$A:$E,4,FALSE),IF($C92="Aesir",VLOOKUP($D92,RoleTitles!$A:$E,5,FALSE),VLOOKUP($D92,RoleTitles!$A:$E,3,FALSE))))</f>
        <v/>
      </c>
      <c r="J92" s="27">
        <f>IF($D92="","",IF($E92&gt;=VLOOKUP($D92,RoleTitles!$A:$B,2,FALSE),"Yes","No"))</f>
        <v/>
      </c>
      <c r="K92" s="27">
        <f>IF($D92="","",IF($D92="T1","T2",IF($D92="T2","T3",IF($D92="T3","T4",IF($D92="T4","T5",IF($D92="T5","T6",IF($D92="T6","T7",IF($D92="T7","T8",IF($D92="T8","T9","")))))))))</f>
        <v/>
      </c>
      <c r="L92" s="28">
        <f>IF($K92="","",MAX(0,VLOOKUP($K92,RoleTitles!$A:$B,2,FALSE)-$E92))</f>
        <v/>
      </c>
    </row>
    <row r="93">
      <c r="A93" s="24">
        <f>IFERROR(INDEX(CoachRoster!$A$2:$A$1000,ROW()-1),"")</f>
        <v/>
      </c>
      <c r="B93" s="27">
        <f>IF($A93="","",VLOOKUP($A93,CoachRoster!$A:$E,2,FALSE))</f>
        <v/>
      </c>
      <c r="C93" s="27">
        <f>IF($A93="","",VLOOKUP($A93,CoachRoster!$A:$E,3,FALSE))</f>
        <v/>
      </c>
      <c r="D93" s="27">
        <f>IF($A93="","",VLOOKUP($A93,CoachRoster!$A:$E,4,FALSE))</f>
        <v/>
      </c>
      <c r="E93" s="27">
        <f>IF($A93="","",MIN(Settings!$B$8,IFERROR(SUMIF(Weekly_Coaching!$B:$B,$A93,Weekly_Coaching!$D:$D),0)+IFERROR(SUMIF(Monthly_Edu!$B:$B,$A93,Monthly_Edu!$D:$D),0)+IFERROR(SUMIF(Monthly_Ops!$B:$B,$A93,Monthly_Ops!$D:$D),0)+IFERROR(SUMIF(Monthly_Mentor!$B:$B,$A93,Monthly_Mentor!$D:$D),0)+IFERROR(SUMIF(Quarterly_Impact!$B:$B,$A93,Quarterly_Impact!$D:$D),0)+IFERROR(SUMIFS(XPLog!$M:$M,XPLog!$B:$B,$A93,XPLog!$J:$J,"Admin"),0)+IFERROR(SUMIFS(XPLog!$M:$M,XPLog!$B:$B,$A93,XPLog!$J:$J,"Seeding"),0)))</f>
        <v/>
      </c>
      <c r="F93" s="27">
        <f>IF($E93="","",LOOKUP($E93, XPBands!B$2:B$10, XPBands!A$2:A$10))</f>
        <v/>
      </c>
      <c r="G93" s="27">
        <f>IF($E93="","", VLOOKUP($F93, XPBands!A$2:G$10, 4, FALSE) + MIN(VLOOKUP($F93, XPBands!A$2:G$10, 5, FALSE) - VLOOKUP($F93, XPBands!A$2:G$10, 4, FALSE), FLOOR(( $E93 - VLOOKUP($F93, XPBands!A$2:G$10, 2, FALSE) ) / VLOOKUP($F93, XPBands!A$2:G$10, 7, FALSE),1)))</f>
        <v/>
      </c>
      <c r="H93" s="27">
        <f>IF($D93="","",VLOOKUP($D93,RoleTitles!$A:$E,3,FALSE))</f>
        <v/>
      </c>
      <c r="I93" s="27">
        <f>IF($D93="","",IF($C93="Greek",VLOOKUP($D93,RoleTitles!$A:$E,4,FALSE),IF($C93="Aesir",VLOOKUP($D93,RoleTitles!$A:$E,5,FALSE),VLOOKUP($D93,RoleTitles!$A:$E,3,FALSE))))</f>
        <v/>
      </c>
      <c r="J93" s="27">
        <f>IF($D93="","",IF($E93&gt;=VLOOKUP($D93,RoleTitles!$A:$B,2,FALSE),"Yes","No"))</f>
        <v/>
      </c>
      <c r="K93" s="27">
        <f>IF($D93="","",IF($D93="T1","T2",IF($D93="T2","T3",IF($D93="T3","T4",IF($D93="T4","T5",IF($D93="T5","T6",IF($D93="T6","T7",IF($D93="T7","T8",IF($D93="T8","T9","")))))))))</f>
        <v/>
      </c>
      <c r="L93" s="28">
        <f>IF($K93="","",MAX(0,VLOOKUP($K93,RoleTitles!$A:$B,2,FALSE)-$E93))</f>
        <v/>
      </c>
    </row>
    <row r="94">
      <c r="A94" s="24">
        <f>IFERROR(INDEX(CoachRoster!$A$2:$A$1000,ROW()-1),"")</f>
        <v/>
      </c>
      <c r="B94" s="27">
        <f>IF($A94="","",VLOOKUP($A94,CoachRoster!$A:$E,2,FALSE))</f>
        <v/>
      </c>
      <c r="C94" s="27">
        <f>IF($A94="","",VLOOKUP($A94,CoachRoster!$A:$E,3,FALSE))</f>
        <v/>
      </c>
      <c r="D94" s="27">
        <f>IF($A94="","",VLOOKUP($A94,CoachRoster!$A:$E,4,FALSE))</f>
        <v/>
      </c>
      <c r="E94" s="27">
        <f>IF($A94="","",MIN(Settings!$B$8,IFERROR(SUMIF(Weekly_Coaching!$B:$B,$A94,Weekly_Coaching!$D:$D),0)+IFERROR(SUMIF(Monthly_Edu!$B:$B,$A94,Monthly_Edu!$D:$D),0)+IFERROR(SUMIF(Monthly_Ops!$B:$B,$A94,Monthly_Ops!$D:$D),0)+IFERROR(SUMIF(Monthly_Mentor!$B:$B,$A94,Monthly_Mentor!$D:$D),0)+IFERROR(SUMIF(Quarterly_Impact!$B:$B,$A94,Quarterly_Impact!$D:$D),0)+IFERROR(SUMIFS(XPLog!$M:$M,XPLog!$B:$B,$A94,XPLog!$J:$J,"Admin"),0)+IFERROR(SUMIFS(XPLog!$M:$M,XPLog!$B:$B,$A94,XPLog!$J:$J,"Seeding"),0)))</f>
        <v/>
      </c>
      <c r="F94" s="27">
        <f>IF($E94="","",LOOKUP($E94, XPBands!B$2:B$10, XPBands!A$2:A$10))</f>
        <v/>
      </c>
      <c r="G94" s="27">
        <f>IF($E94="","", VLOOKUP($F94, XPBands!A$2:G$10, 4, FALSE) + MIN(VLOOKUP($F94, XPBands!A$2:G$10, 5, FALSE) - VLOOKUP($F94, XPBands!A$2:G$10, 4, FALSE), FLOOR(( $E94 - VLOOKUP($F94, XPBands!A$2:G$10, 2, FALSE) ) / VLOOKUP($F94, XPBands!A$2:G$10, 7, FALSE),1)))</f>
        <v/>
      </c>
      <c r="H94" s="27">
        <f>IF($D94="","",VLOOKUP($D94,RoleTitles!$A:$E,3,FALSE))</f>
        <v/>
      </c>
      <c r="I94" s="27">
        <f>IF($D94="","",IF($C94="Greek",VLOOKUP($D94,RoleTitles!$A:$E,4,FALSE),IF($C94="Aesir",VLOOKUP($D94,RoleTitles!$A:$E,5,FALSE),VLOOKUP($D94,RoleTitles!$A:$E,3,FALSE))))</f>
        <v/>
      </c>
      <c r="J94" s="27">
        <f>IF($D94="","",IF($E94&gt;=VLOOKUP($D94,RoleTitles!$A:$B,2,FALSE),"Yes","No"))</f>
        <v/>
      </c>
      <c r="K94" s="27">
        <f>IF($D94="","",IF($D94="T1","T2",IF($D94="T2","T3",IF($D94="T3","T4",IF($D94="T4","T5",IF($D94="T5","T6",IF($D94="T6","T7",IF($D94="T7","T8",IF($D94="T8","T9","")))))))))</f>
        <v/>
      </c>
      <c r="L94" s="28">
        <f>IF($K94="","",MAX(0,VLOOKUP($K94,RoleTitles!$A:$B,2,FALSE)-$E94))</f>
        <v/>
      </c>
    </row>
    <row r="95">
      <c r="A95" s="24">
        <f>IFERROR(INDEX(CoachRoster!$A$2:$A$1000,ROW()-1),"")</f>
        <v/>
      </c>
      <c r="B95" s="27">
        <f>IF($A95="","",VLOOKUP($A95,CoachRoster!$A:$E,2,FALSE))</f>
        <v/>
      </c>
      <c r="C95" s="27">
        <f>IF($A95="","",VLOOKUP($A95,CoachRoster!$A:$E,3,FALSE))</f>
        <v/>
      </c>
      <c r="D95" s="27">
        <f>IF($A95="","",VLOOKUP($A95,CoachRoster!$A:$E,4,FALSE))</f>
        <v/>
      </c>
      <c r="E95" s="27">
        <f>IF($A95="","",MIN(Settings!$B$8,IFERROR(SUMIF(Weekly_Coaching!$B:$B,$A95,Weekly_Coaching!$D:$D),0)+IFERROR(SUMIF(Monthly_Edu!$B:$B,$A95,Monthly_Edu!$D:$D),0)+IFERROR(SUMIF(Monthly_Ops!$B:$B,$A95,Monthly_Ops!$D:$D),0)+IFERROR(SUMIF(Monthly_Mentor!$B:$B,$A95,Monthly_Mentor!$D:$D),0)+IFERROR(SUMIF(Quarterly_Impact!$B:$B,$A95,Quarterly_Impact!$D:$D),0)+IFERROR(SUMIFS(XPLog!$M:$M,XPLog!$B:$B,$A95,XPLog!$J:$J,"Admin"),0)+IFERROR(SUMIFS(XPLog!$M:$M,XPLog!$B:$B,$A95,XPLog!$J:$J,"Seeding"),0)))</f>
        <v/>
      </c>
      <c r="F95" s="27">
        <f>IF($E95="","",LOOKUP($E95, XPBands!B$2:B$10, XPBands!A$2:A$10))</f>
        <v/>
      </c>
      <c r="G95" s="27">
        <f>IF($E95="","", VLOOKUP($F95, XPBands!A$2:G$10, 4, FALSE) + MIN(VLOOKUP($F95, XPBands!A$2:G$10, 5, FALSE) - VLOOKUP($F95, XPBands!A$2:G$10, 4, FALSE), FLOOR(( $E95 - VLOOKUP($F95, XPBands!A$2:G$10, 2, FALSE) ) / VLOOKUP($F95, XPBands!A$2:G$10, 7, FALSE),1)))</f>
        <v/>
      </c>
      <c r="H95" s="27">
        <f>IF($D95="","",VLOOKUP($D95,RoleTitles!$A:$E,3,FALSE))</f>
        <v/>
      </c>
      <c r="I95" s="27">
        <f>IF($D95="","",IF($C95="Greek",VLOOKUP($D95,RoleTitles!$A:$E,4,FALSE),IF($C95="Aesir",VLOOKUP($D95,RoleTitles!$A:$E,5,FALSE),VLOOKUP($D95,RoleTitles!$A:$E,3,FALSE))))</f>
        <v/>
      </c>
      <c r="J95" s="27">
        <f>IF($D95="","",IF($E95&gt;=VLOOKUP($D95,RoleTitles!$A:$B,2,FALSE),"Yes","No"))</f>
        <v/>
      </c>
      <c r="K95" s="27">
        <f>IF($D95="","",IF($D95="T1","T2",IF($D95="T2","T3",IF($D95="T3","T4",IF($D95="T4","T5",IF($D95="T5","T6",IF($D95="T6","T7",IF($D95="T7","T8",IF($D95="T8","T9","")))))))))</f>
        <v/>
      </c>
      <c r="L95" s="28">
        <f>IF($K95="","",MAX(0,VLOOKUP($K95,RoleTitles!$A:$B,2,FALSE)-$E95))</f>
        <v/>
      </c>
    </row>
    <row r="96">
      <c r="A96" s="24">
        <f>IFERROR(INDEX(CoachRoster!$A$2:$A$1000,ROW()-1),"")</f>
        <v/>
      </c>
      <c r="B96" s="27">
        <f>IF($A96="","",VLOOKUP($A96,CoachRoster!$A:$E,2,FALSE))</f>
        <v/>
      </c>
      <c r="C96" s="27">
        <f>IF($A96="","",VLOOKUP($A96,CoachRoster!$A:$E,3,FALSE))</f>
        <v/>
      </c>
      <c r="D96" s="27">
        <f>IF($A96="","",VLOOKUP($A96,CoachRoster!$A:$E,4,FALSE))</f>
        <v/>
      </c>
      <c r="E96" s="27">
        <f>IF($A96="","",MIN(Settings!$B$8,IFERROR(SUMIF(Weekly_Coaching!$B:$B,$A96,Weekly_Coaching!$D:$D),0)+IFERROR(SUMIF(Monthly_Edu!$B:$B,$A96,Monthly_Edu!$D:$D),0)+IFERROR(SUMIF(Monthly_Ops!$B:$B,$A96,Monthly_Ops!$D:$D),0)+IFERROR(SUMIF(Monthly_Mentor!$B:$B,$A96,Monthly_Mentor!$D:$D),0)+IFERROR(SUMIF(Quarterly_Impact!$B:$B,$A96,Quarterly_Impact!$D:$D),0)+IFERROR(SUMIFS(XPLog!$M:$M,XPLog!$B:$B,$A96,XPLog!$J:$J,"Admin"),0)+IFERROR(SUMIFS(XPLog!$M:$M,XPLog!$B:$B,$A96,XPLog!$J:$J,"Seeding"),0)))</f>
        <v/>
      </c>
      <c r="F96" s="27">
        <f>IF($E96="","",LOOKUP($E96, XPBands!B$2:B$10, XPBands!A$2:A$10))</f>
        <v/>
      </c>
      <c r="G96" s="27">
        <f>IF($E96="","", VLOOKUP($F96, XPBands!A$2:G$10, 4, FALSE) + MIN(VLOOKUP($F96, XPBands!A$2:G$10, 5, FALSE) - VLOOKUP($F96, XPBands!A$2:G$10, 4, FALSE), FLOOR(( $E96 - VLOOKUP($F96, XPBands!A$2:G$10, 2, FALSE) ) / VLOOKUP($F96, XPBands!A$2:G$10, 7, FALSE),1)))</f>
        <v/>
      </c>
      <c r="H96" s="27">
        <f>IF($D96="","",VLOOKUP($D96,RoleTitles!$A:$E,3,FALSE))</f>
        <v/>
      </c>
      <c r="I96" s="27">
        <f>IF($D96="","",IF($C96="Greek",VLOOKUP($D96,RoleTitles!$A:$E,4,FALSE),IF($C96="Aesir",VLOOKUP($D96,RoleTitles!$A:$E,5,FALSE),VLOOKUP($D96,RoleTitles!$A:$E,3,FALSE))))</f>
        <v/>
      </c>
      <c r="J96" s="27">
        <f>IF($D96="","",IF($E96&gt;=VLOOKUP($D96,RoleTitles!$A:$B,2,FALSE),"Yes","No"))</f>
        <v/>
      </c>
      <c r="K96" s="27">
        <f>IF($D96="","",IF($D96="T1","T2",IF($D96="T2","T3",IF($D96="T3","T4",IF($D96="T4","T5",IF($D96="T5","T6",IF($D96="T6","T7",IF($D96="T7","T8",IF($D96="T8","T9","")))))))))</f>
        <v/>
      </c>
      <c r="L96" s="28">
        <f>IF($K96="","",MAX(0,VLOOKUP($K96,RoleTitles!$A:$B,2,FALSE)-$E96))</f>
        <v/>
      </c>
    </row>
    <row r="97">
      <c r="A97" s="24">
        <f>IFERROR(INDEX(CoachRoster!$A$2:$A$1000,ROW()-1),"")</f>
        <v/>
      </c>
      <c r="B97" s="27">
        <f>IF($A97="","",VLOOKUP($A97,CoachRoster!$A:$E,2,FALSE))</f>
        <v/>
      </c>
      <c r="C97" s="27">
        <f>IF($A97="","",VLOOKUP($A97,CoachRoster!$A:$E,3,FALSE))</f>
        <v/>
      </c>
      <c r="D97" s="27">
        <f>IF($A97="","",VLOOKUP($A97,CoachRoster!$A:$E,4,FALSE))</f>
        <v/>
      </c>
      <c r="E97" s="27">
        <f>IF($A97="","",MIN(Settings!$B$8,IFERROR(SUMIF(Weekly_Coaching!$B:$B,$A97,Weekly_Coaching!$D:$D),0)+IFERROR(SUMIF(Monthly_Edu!$B:$B,$A97,Monthly_Edu!$D:$D),0)+IFERROR(SUMIF(Monthly_Ops!$B:$B,$A97,Monthly_Ops!$D:$D),0)+IFERROR(SUMIF(Monthly_Mentor!$B:$B,$A97,Monthly_Mentor!$D:$D),0)+IFERROR(SUMIF(Quarterly_Impact!$B:$B,$A97,Quarterly_Impact!$D:$D),0)+IFERROR(SUMIFS(XPLog!$M:$M,XPLog!$B:$B,$A97,XPLog!$J:$J,"Admin"),0)+IFERROR(SUMIFS(XPLog!$M:$M,XPLog!$B:$B,$A97,XPLog!$J:$J,"Seeding"),0)))</f>
        <v/>
      </c>
      <c r="F97" s="27">
        <f>IF($E97="","",LOOKUP($E97, XPBands!B$2:B$10, XPBands!A$2:A$10))</f>
        <v/>
      </c>
      <c r="G97" s="27">
        <f>IF($E97="","", VLOOKUP($F97, XPBands!A$2:G$10, 4, FALSE) + MIN(VLOOKUP($F97, XPBands!A$2:G$10, 5, FALSE) - VLOOKUP($F97, XPBands!A$2:G$10, 4, FALSE), FLOOR(( $E97 - VLOOKUP($F97, XPBands!A$2:G$10, 2, FALSE) ) / VLOOKUP($F97, XPBands!A$2:G$10, 7, FALSE),1)))</f>
        <v/>
      </c>
      <c r="H97" s="27">
        <f>IF($D97="","",VLOOKUP($D97,RoleTitles!$A:$E,3,FALSE))</f>
        <v/>
      </c>
      <c r="I97" s="27">
        <f>IF($D97="","",IF($C97="Greek",VLOOKUP($D97,RoleTitles!$A:$E,4,FALSE),IF($C97="Aesir",VLOOKUP($D97,RoleTitles!$A:$E,5,FALSE),VLOOKUP($D97,RoleTitles!$A:$E,3,FALSE))))</f>
        <v/>
      </c>
      <c r="J97" s="27">
        <f>IF($D97="","",IF($E97&gt;=VLOOKUP($D97,RoleTitles!$A:$B,2,FALSE),"Yes","No"))</f>
        <v/>
      </c>
      <c r="K97" s="27">
        <f>IF($D97="","",IF($D97="T1","T2",IF($D97="T2","T3",IF($D97="T3","T4",IF($D97="T4","T5",IF($D97="T5","T6",IF($D97="T6","T7",IF($D97="T7","T8",IF($D97="T8","T9","")))))))))</f>
        <v/>
      </c>
      <c r="L97" s="28">
        <f>IF($K97="","",MAX(0,VLOOKUP($K97,RoleTitles!$A:$B,2,FALSE)-$E97))</f>
        <v/>
      </c>
    </row>
    <row r="98">
      <c r="A98" s="24">
        <f>IFERROR(INDEX(CoachRoster!$A$2:$A$1000,ROW()-1),"")</f>
        <v/>
      </c>
      <c r="B98" s="27">
        <f>IF($A98="","",VLOOKUP($A98,CoachRoster!$A:$E,2,FALSE))</f>
        <v/>
      </c>
      <c r="C98" s="27">
        <f>IF($A98="","",VLOOKUP($A98,CoachRoster!$A:$E,3,FALSE))</f>
        <v/>
      </c>
      <c r="D98" s="27">
        <f>IF($A98="","",VLOOKUP($A98,CoachRoster!$A:$E,4,FALSE))</f>
        <v/>
      </c>
      <c r="E98" s="27">
        <f>IF($A98="","",MIN(Settings!$B$8,IFERROR(SUMIF(Weekly_Coaching!$B:$B,$A98,Weekly_Coaching!$D:$D),0)+IFERROR(SUMIF(Monthly_Edu!$B:$B,$A98,Monthly_Edu!$D:$D),0)+IFERROR(SUMIF(Monthly_Ops!$B:$B,$A98,Monthly_Ops!$D:$D),0)+IFERROR(SUMIF(Monthly_Mentor!$B:$B,$A98,Monthly_Mentor!$D:$D),0)+IFERROR(SUMIF(Quarterly_Impact!$B:$B,$A98,Quarterly_Impact!$D:$D),0)+IFERROR(SUMIFS(XPLog!$M:$M,XPLog!$B:$B,$A98,XPLog!$J:$J,"Admin"),0)+IFERROR(SUMIFS(XPLog!$M:$M,XPLog!$B:$B,$A98,XPLog!$J:$J,"Seeding"),0)))</f>
        <v/>
      </c>
      <c r="F98" s="27">
        <f>IF($E98="","",LOOKUP($E98, XPBands!B$2:B$10, XPBands!A$2:A$10))</f>
        <v/>
      </c>
      <c r="G98" s="27">
        <f>IF($E98="","", VLOOKUP($F98, XPBands!A$2:G$10, 4, FALSE) + MIN(VLOOKUP($F98, XPBands!A$2:G$10, 5, FALSE) - VLOOKUP($F98, XPBands!A$2:G$10, 4, FALSE), FLOOR(( $E98 - VLOOKUP($F98, XPBands!A$2:G$10, 2, FALSE) ) / VLOOKUP($F98, XPBands!A$2:G$10, 7, FALSE),1)))</f>
        <v/>
      </c>
      <c r="H98" s="27">
        <f>IF($D98="","",VLOOKUP($D98,RoleTitles!$A:$E,3,FALSE))</f>
        <v/>
      </c>
      <c r="I98" s="27">
        <f>IF($D98="","",IF($C98="Greek",VLOOKUP($D98,RoleTitles!$A:$E,4,FALSE),IF($C98="Aesir",VLOOKUP($D98,RoleTitles!$A:$E,5,FALSE),VLOOKUP($D98,RoleTitles!$A:$E,3,FALSE))))</f>
        <v/>
      </c>
      <c r="J98" s="27">
        <f>IF($D98="","",IF($E98&gt;=VLOOKUP($D98,RoleTitles!$A:$B,2,FALSE),"Yes","No"))</f>
        <v/>
      </c>
      <c r="K98" s="27">
        <f>IF($D98="","",IF($D98="T1","T2",IF($D98="T2","T3",IF($D98="T3","T4",IF($D98="T4","T5",IF($D98="T5","T6",IF($D98="T6","T7",IF($D98="T7","T8",IF($D98="T8","T9","")))))))))</f>
        <v/>
      </c>
      <c r="L98" s="28">
        <f>IF($K98="","",MAX(0,VLOOKUP($K98,RoleTitles!$A:$B,2,FALSE)-$E98))</f>
        <v/>
      </c>
    </row>
    <row r="99">
      <c r="A99" s="24">
        <f>IFERROR(INDEX(CoachRoster!$A$2:$A$1000,ROW()-1),"")</f>
        <v/>
      </c>
      <c r="B99" s="27">
        <f>IF($A99="","",VLOOKUP($A99,CoachRoster!$A:$E,2,FALSE))</f>
        <v/>
      </c>
      <c r="C99" s="27">
        <f>IF($A99="","",VLOOKUP($A99,CoachRoster!$A:$E,3,FALSE))</f>
        <v/>
      </c>
      <c r="D99" s="27">
        <f>IF($A99="","",VLOOKUP($A99,CoachRoster!$A:$E,4,FALSE))</f>
        <v/>
      </c>
      <c r="E99" s="27">
        <f>IF($A99="","",MIN(Settings!$B$8,IFERROR(SUMIF(Weekly_Coaching!$B:$B,$A99,Weekly_Coaching!$D:$D),0)+IFERROR(SUMIF(Monthly_Edu!$B:$B,$A99,Monthly_Edu!$D:$D),0)+IFERROR(SUMIF(Monthly_Ops!$B:$B,$A99,Monthly_Ops!$D:$D),0)+IFERROR(SUMIF(Monthly_Mentor!$B:$B,$A99,Monthly_Mentor!$D:$D),0)+IFERROR(SUMIF(Quarterly_Impact!$B:$B,$A99,Quarterly_Impact!$D:$D),0)+IFERROR(SUMIFS(XPLog!$M:$M,XPLog!$B:$B,$A99,XPLog!$J:$J,"Admin"),0)+IFERROR(SUMIFS(XPLog!$M:$M,XPLog!$B:$B,$A99,XPLog!$J:$J,"Seeding"),0)))</f>
        <v/>
      </c>
      <c r="F99" s="27">
        <f>IF($E99="","",LOOKUP($E99, XPBands!B$2:B$10, XPBands!A$2:A$10))</f>
        <v/>
      </c>
      <c r="G99" s="27">
        <f>IF($E99="","", VLOOKUP($F99, XPBands!A$2:G$10, 4, FALSE) + MIN(VLOOKUP($F99, XPBands!A$2:G$10, 5, FALSE) - VLOOKUP($F99, XPBands!A$2:G$10, 4, FALSE), FLOOR(( $E99 - VLOOKUP($F99, XPBands!A$2:G$10, 2, FALSE) ) / VLOOKUP($F99, XPBands!A$2:G$10, 7, FALSE),1)))</f>
        <v/>
      </c>
      <c r="H99" s="27">
        <f>IF($D99="","",VLOOKUP($D99,RoleTitles!$A:$E,3,FALSE))</f>
        <v/>
      </c>
      <c r="I99" s="27">
        <f>IF($D99="","",IF($C99="Greek",VLOOKUP($D99,RoleTitles!$A:$E,4,FALSE),IF($C99="Aesir",VLOOKUP($D99,RoleTitles!$A:$E,5,FALSE),VLOOKUP($D99,RoleTitles!$A:$E,3,FALSE))))</f>
        <v/>
      </c>
      <c r="J99" s="27">
        <f>IF($D99="","",IF($E99&gt;=VLOOKUP($D99,RoleTitles!$A:$B,2,FALSE),"Yes","No"))</f>
        <v/>
      </c>
      <c r="K99" s="27">
        <f>IF($D99="","",IF($D99="T1","T2",IF($D99="T2","T3",IF($D99="T3","T4",IF($D99="T4","T5",IF($D99="T5","T6",IF($D99="T6","T7",IF($D99="T7","T8",IF($D99="T8","T9","")))))))))</f>
        <v/>
      </c>
      <c r="L99" s="28">
        <f>IF($K99="","",MAX(0,VLOOKUP($K99,RoleTitles!$A:$B,2,FALSE)-$E99))</f>
        <v/>
      </c>
    </row>
    <row r="100">
      <c r="A100" s="24">
        <f>IFERROR(INDEX(CoachRoster!$A$2:$A$1000,ROW()-1),"")</f>
        <v/>
      </c>
      <c r="B100" s="27">
        <f>IF($A100="","",VLOOKUP($A100,CoachRoster!$A:$E,2,FALSE))</f>
        <v/>
      </c>
      <c r="C100" s="27">
        <f>IF($A100="","",VLOOKUP($A100,CoachRoster!$A:$E,3,FALSE))</f>
        <v/>
      </c>
      <c r="D100" s="27">
        <f>IF($A100="","",VLOOKUP($A100,CoachRoster!$A:$E,4,FALSE))</f>
        <v/>
      </c>
      <c r="E100" s="27">
        <f>IF($A100="","",MIN(Settings!$B$8,IFERROR(SUMIF(Weekly_Coaching!$B:$B,$A100,Weekly_Coaching!$D:$D),0)+IFERROR(SUMIF(Monthly_Edu!$B:$B,$A100,Monthly_Edu!$D:$D),0)+IFERROR(SUMIF(Monthly_Ops!$B:$B,$A100,Monthly_Ops!$D:$D),0)+IFERROR(SUMIF(Monthly_Mentor!$B:$B,$A100,Monthly_Mentor!$D:$D),0)+IFERROR(SUMIF(Quarterly_Impact!$B:$B,$A100,Quarterly_Impact!$D:$D),0)+IFERROR(SUMIFS(XPLog!$M:$M,XPLog!$B:$B,$A100,XPLog!$J:$J,"Admin"),0)+IFERROR(SUMIFS(XPLog!$M:$M,XPLog!$B:$B,$A100,XPLog!$J:$J,"Seeding"),0)))</f>
        <v/>
      </c>
      <c r="F100" s="27">
        <f>IF($E100="","",LOOKUP($E100, XPBands!B$2:B$10, XPBands!A$2:A$10))</f>
        <v/>
      </c>
      <c r="G100" s="27">
        <f>IF($E100="","", VLOOKUP($F100, XPBands!A$2:G$10, 4, FALSE) + MIN(VLOOKUP($F100, XPBands!A$2:G$10, 5, FALSE) - VLOOKUP($F100, XPBands!A$2:G$10, 4, FALSE), FLOOR(( $E100 - VLOOKUP($F100, XPBands!A$2:G$10, 2, FALSE) ) / VLOOKUP($F100, XPBands!A$2:G$10, 7, FALSE),1)))</f>
        <v/>
      </c>
      <c r="H100" s="27">
        <f>IF($D100="","",VLOOKUP($D100,RoleTitles!$A:$E,3,FALSE))</f>
        <v/>
      </c>
      <c r="I100" s="27">
        <f>IF($D100="","",IF($C100="Greek",VLOOKUP($D100,RoleTitles!$A:$E,4,FALSE),IF($C100="Aesir",VLOOKUP($D100,RoleTitles!$A:$E,5,FALSE),VLOOKUP($D100,RoleTitles!$A:$E,3,FALSE))))</f>
        <v/>
      </c>
      <c r="J100" s="27">
        <f>IF($D100="","",IF($E100&gt;=VLOOKUP($D100,RoleTitles!$A:$B,2,FALSE),"Yes","No"))</f>
        <v/>
      </c>
      <c r="K100" s="27">
        <f>IF($D100="","",IF($D100="T1","T2",IF($D100="T2","T3",IF($D100="T3","T4",IF($D100="T4","T5",IF($D100="T5","T6",IF($D100="T6","T7",IF($D100="T7","T8",IF($D100="T8","T9","")))))))))</f>
        <v/>
      </c>
      <c r="L100" s="28">
        <f>IF($K100="","",MAX(0,VLOOKUP($K100,RoleTitles!$A:$B,2,FALSE)-$E100))</f>
        <v/>
      </c>
    </row>
    <row r="101">
      <c r="A101" s="24">
        <f>IFERROR(INDEX(CoachRoster!$A$2:$A$1000,ROW()-1),"")</f>
        <v/>
      </c>
      <c r="B101" s="27">
        <f>IF($A101="","",VLOOKUP($A101,CoachRoster!$A:$E,2,FALSE))</f>
        <v/>
      </c>
      <c r="C101" s="27">
        <f>IF($A101="","",VLOOKUP($A101,CoachRoster!$A:$E,3,FALSE))</f>
        <v/>
      </c>
      <c r="D101" s="27">
        <f>IF($A101="","",VLOOKUP($A101,CoachRoster!$A:$E,4,FALSE))</f>
        <v/>
      </c>
      <c r="E101" s="27">
        <f>IF($A101="","",MIN(Settings!$B$8,IFERROR(SUMIF(Weekly_Coaching!$B:$B,$A101,Weekly_Coaching!$D:$D),0)+IFERROR(SUMIF(Monthly_Edu!$B:$B,$A101,Monthly_Edu!$D:$D),0)+IFERROR(SUMIF(Monthly_Ops!$B:$B,$A101,Monthly_Ops!$D:$D),0)+IFERROR(SUMIF(Monthly_Mentor!$B:$B,$A101,Monthly_Mentor!$D:$D),0)+IFERROR(SUMIF(Quarterly_Impact!$B:$B,$A101,Quarterly_Impact!$D:$D),0)+IFERROR(SUMIFS(XPLog!$M:$M,XPLog!$B:$B,$A101,XPLog!$J:$J,"Admin"),0)+IFERROR(SUMIFS(XPLog!$M:$M,XPLog!$B:$B,$A101,XPLog!$J:$J,"Seeding"),0)))</f>
        <v/>
      </c>
      <c r="F101" s="27">
        <f>IF($E101="","",LOOKUP($E101, XPBands!B$2:B$10, XPBands!A$2:A$10))</f>
        <v/>
      </c>
      <c r="G101" s="27">
        <f>IF($E101="","", VLOOKUP($F101, XPBands!A$2:G$10, 4, FALSE) + MIN(VLOOKUP($F101, XPBands!A$2:G$10, 5, FALSE) - VLOOKUP($F101, XPBands!A$2:G$10, 4, FALSE), FLOOR(( $E101 - VLOOKUP($F101, XPBands!A$2:G$10, 2, FALSE) ) / VLOOKUP($F101, XPBands!A$2:G$10, 7, FALSE),1)))</f>
        <v/>
      </c>
      <c r="H101" s="27">
        <f>IF($D101="","",VLOOKUP($D101,RoleTitles!$A:$E,3,FALSE))</f>
        <v/>
      </c>
      <c r="I101" s="27">
        <f>IF($D101="","",IF($C101="Greek",VLOOKUP($D101,RoleTitles!$A:$E,4,FALSE),IF($C101="Aesir",VLOOKUP($D101,RoleTitles!$A:$E,5,FALSE),VLOOKUP($D101,RoleTitles!$A:$E,3,FALSE))))</f>
        <v/>
      </c>
      <c r="J101" s="27">
        <f>IF($D101="","",IF($E101&gt;=VLOOKUP($D101,RoleTitles!$A:$B,2,FALSE),"Yes","No"))</f>
        <v/>
      </c>
      <c r="K101" s="27">
        <f>IF($D101="","",IF($D101="T1","T2",IF($D101="T2","T3",IF($D101="T3","T4",IF($D101="T4","T5",IF($D101="T5","T6",IF($D101="T6","T7",IF($D101="T7","T8",IF($D101="T8","T9","")))))))))</f>
        <v/>
      </c>
      <c r="L101" s="28">
        <f>IF($K101="","",MAX(0,VLOOKUP($K101,RoleTitles!$A:$B,2,FALSE)-$E101))</f>
        <v/>
      </c>
    </row>
    <row r="102">
      <c r="A102" s="24">
        <f>IFERROR(INDEX(CoachRoster!$A$2:$A$1000,ROW()-1),"")</f>
        <v/>
      </c>
      <c r="B102" s="27">
        <f>IF($A102="","",VLOOKUP($A102,CoachRoster!$A:$E,2,FALSE))</f>
        <v/>
      </c>
      <c r="C102" s="27">
        <f>IF($A102="","",VLOOKUP($A102,CoachRoster!$A:$E,3,FALSE))</f>
        <v/>
      </c>
      <c r="D102" s="27">
        <f>IF($A102="","",VLOOKUP($A102,CoachRoster!$A:$E,4,FALSE))</f>
        <v/>
      </c>
      <c r="E102" s="27">
        <f>IF($A102="","",MIN(Settings!$B$8,IFERROR(SUMIF(Weekly_Coaching!$B:$B,$A102,Weekly_Coaching!$D:$D),0)+IFERROR(SUMIF(Monthly_Edu!$B:$B,$A102,Monthly_Edu!$D:$D),0)+IFERROR(SUMIF(Monthly_Ops!$B:$B,$A102,Monthly_Ops!$D:$D),0)+IFERROR(SUMIF(Monthly_Mentor!$B:$B,$A102,Monthly_Mentor!$D:$D),0)+IFERROR(SUMIF(Quarterly_Impact!$B:$B,$A102,Quarterly_Impact!$D:$D),0)+IFERROR(SUMIFS(XPLog!$M:$M,XPLog!$B:$B,$A102,XPLog!$J:$J,"Admin"),0)+IFERROR(SUMIFS(XPLog!$M:$M,XPLog!$B:$B,$A102,XPLog!$J:$J,"Seeding"),0)))</f>
        <v/>
      </c>
      <c r="F102" s="27">
        <f>IF($E102="","",LOOKUP($E102, XPBands!B$2:B$10, XPBands!A$2:A$10))</f>
        <v/>
      </c>
      <c r="G102" s="27">
        <f>IF($E102="","", VLOOKUP($F102, XPBands!A$2:G$10, 4, FALSE) + MIN(VLOOKUP($F102, XPBands!A$2:G$10, 5, FALSE) - VLOOKUP($F102, XPBands!A$2:G$10, 4, FALSE), FLOOR(( $E102 - VLOOKUP($F102, XPBands!A$2:G$10, 2, FALSE) ) / VLOOKUP($F102, XPBands!A$2:G$10, 7, FALSE),1)))</f>
        <v/>
      </c>
      <c r="H102" s="27">
        <f>IF($D102="","",VLOOKUP($D102,RoleTitles!$A:$E,3,FALSE))</f>
        <v/>
      </c>
      <c r="I102" s="27">
        <f>IF($D102="","",IF($C102="Greek",VLOOKUP($D102,RoleTitles!$A:$E,4,FALSE),IF($C102="Aesir",VLOOKUP($D102,RoleTitles!$A:$E,5,FALSE),VLOOKUP($D102,RoleTitles!$A:$E,3,FALSE))))</f>
        <v/>
      </c>
      <c r="J102" s="27">
        <f>IF($D102="","",IF($E102&gt;=VLOOKUP($D102,RoleTitles!$A:$B,2,FALSE),"Yes","No"))</f>
        <v/>
      </c>
      <c r="K102" s="27">
        <f>IF($D102="","",IF($D102="T1","T2",IF($D102="T2","T3",IF($D102="T3","T4",IF($D102="T4","T5",IF($D102="T5","T6",IF($D102="T6","T7",IF($D102="T7","T8",IF($D102="T8","T9","")))))))))</f>
        <v/>
      </c>
      <c r="L102" s="28">
        <f>IF($K102="","",MAX(0,VLOOKUP($K102,RoleTitles!$A:$B,2,FALSE)-$E102))</f>
        <v/>
      </c>
    </row>
    <row r="103">
      <c r="A103" s="24">
        <f>IFERROR(INDEX(CoachRoster!$A$2:$A$1000,ROW()-1),"")</f>
        <v/>
      </c>
      <c r="B103" s="27">
        <f>IF($A103="","",VLOOKUP($A103,CoachRoster!$A:$E,2,FALSE))</f>
        <v/>
      </c>
      <c r="C103" s="27">
        <f>IF($A103="","",VLOOKUP($A103,CoachRoster!$A:$E,3,FALSE))</f>
        <v/>
      </c>
      <c r="D103" s="27">
        <f>IF($A103="","",VLOOKUP($A103,CoachRoster!$A:$E,4,FALSE))</f>
        <v/>
      </c>
      <c r="E103" s="27">
        <f>IF($A103="","",MIN(Settings!$B$8,IFERROR(SUMIF(Weekly_Coaching!$B:$B,$A103,Weekly_Coaching!$D:$D),0)+IFERROR(SUMIF(Monthly_Edu!$B:$B,$A103,Monthly_Edu!$D:$D),0)+IFERROR(SUMIF(Monthly_Ops!$B:$B,$A103,Monthly_Ops!$D:$D),0)+IFERROR(SUMIF(Monthly_Mentor!$B:$B,$A103,Monthly_Mentor!$D:$D),0)+IFERROR(SUMIF(Quarterly_Impact!$B:$B,$A103,Quarterly_Impact!$D:$D),0)+IFERROR(SUMIFS(XPLog!$M:$M,XPLog!$B:$B,$A103,XPLog!$J:$J,"Admin"),0)+IFERROR(SUMIFS(XPLog!$M:$M,XPLog!$B:$B,$A103,XPLog!$J:$J,"Seeding"),0)))</f>
        <v/>
      </c>
      <c r="F103" s="27">
        <f>IF($E103="","",LOOKUP($E103, XPBands!B$2:B$10, XPBands!A$2:A$10))</f>
        <v/>
      </c>
      <c r="G103" s="27">
        <f>IF($E103="","", VLOOKUP($F103, XPBands!A$2:G$10, 4, FALSE) + MIN(VLOOKUP($F103, XPBands!A$2:G$10, 5, FALSE) - VLOOKUP($F103, XPBands!A$2:G$10, 4, FALSE), FLOOR(( $E103 - VLOOKUP($F103, XPBands!A$2:G$10, 2, FALSE) ) / VLOOKUP($F103, XPBands!A$2:G$10, 7, FALSE),1)))</f>
        <v/>
      </c>
      <c r="H103" s="27">
        <f>IF($D103="","",VLOOKUP($D103,RoleTitles!$A:$E,3,FALSE))</f>
        <v/>
      </c>
      <c r="I103" s="27">
        <f>IF($D103="","",IF($C103="Greek",VLOOKUP($D103,RoleTitles!$A:$E,4,FALSE),IF($C103="Aesir",VLOOKUP($D103,RoleTitles!$A:$E,5,FALSE),VLOOKUP($D103,RoleTitles!$A:$E,3,FALSE))))</f>
        <v/>
      </c>
      <c r="J103" s="27">
        <f>IF($D103="","",IF($E103&gt;=VLOOKUP($D103,RoleTitles!$A:$B,2,FALSE),"Yes","No"))</f>
        <v/>
      </c>
      <c r="K103" s="27">
        <f>IF($D103="","",IF($D103="T1","T2",IF($D103="T2","T3",IF($D103="T3","T4",IF($D103="T4","T5",IF($D103="T5","T6",IF($D103="T6","T7",IF($D103="T7","T8",IF($D103="T8","T9","")))))))))</f>
        <v/>
      </c>
      <c r="L103" s="28">
        <f>IF($K103="","",MAX(0,VLOOKUP($K103,RoleTitles!$A:$B,2,FALSE)-$E103))</f>
        <v/>
      </c>
    </row>
    <row r="104">
      <c r="A104" s="24">
        <f>IFERROR(INDEX(CoachRoster!$A$2:$A$1000,ROW()-1),"")</f>
        <v/>
      </c>
      <c r="B104" s="27">
        <f>IF($A104="","",VLOOKUP($A104,CoachRoster!$A:$E,2,FALSE))</f>
        <v/>
      </c>
      <c r="C104" s="27">
        <f>IF($A104="","",VLOOKUP($A104,CoachRoster!$A:$E,3,FALSE))</f>
        <v/>
      </c>
      <c r="D104" s="27">
        <f>IF($A104="","",VLOOKUP($A104,CoachRoster!$A:$E,4,FALSE))</f>
        <v/>
      </c>
      <c r="E104" s="27">
        <f>IF($A104="","",MIN(Settings!$B$8,IFERROR(SUMIF(Weekly_Coaching!$B:$B,$A104,Weekly_Coaching!$D:$D),0)+IFERROR(SUMIF(Monthly_Edu!$B:$B,$A104,Monthly_Edu!$D:$D),0)+IFERROR(SUMIF(Monthly_Ops!$B:$B,$A104,Monthly_Ops!$D:$D),0)+IFERROR(SUMIF(Monthly_Mentor!$B:$B,$A104,Monthly_Mentor!$D:$D),0)+IFERROR(SUMIF(Quarterly_Impact!$B:$B,$A104,Quarterly_Impact!$D:$D),0)+IFERROR(SUMIFS(XPLog!$M:$M,XPLog!$B:$B,$A104,XPLog!$J:$J,"Admin"),0)+IFERROR(SUMIFS(XPLog!$M:$M,XPLog!$B:$B,$A104,XPLog!$J:$J,"Seeding"),0)))</f>
        <v/>
      </c>
      <c r="F104" s="27">
        <f>IF($E104="","",LOOKUP($E104, XPBands!B$2:B$10, XPBands!A$2:A$10))</f>
        <v/>
      </c>
      <c r="G104" s="27">
        <f>IF($E104="","", VLOOKUP($F104, XPBands!A$2:G$10, 4, FALSE) + MIN(VLOOKUP($F104, XPBands!A$2:G$10, 5, FALSE) - VLOOKUP($F104, XPBands!A$2:G$10, 4, FALSE), FLOOR(( $E104 - VLOOKUP($F104, XPBands!A$2:G$10, 2, FALSE) ) / VLOOKUP($F104, XPBands!A$2:G$10, 7, FALSE),1)))</f>
        <v/>
      </c>
      <c r="H104" s="27">
        <f>IF($D104="","",VLOOKUP($D104,RoleTitles!$A:$E,3,FALSE))</f>
        <v/>
      </c>
      <c r="I104" s="27">
        <f>IF($D104="","",IF($C104="Greek",VLOOKUP($D104,RoleTitles!$A:$E,4,FALSE),IF($C104="Aesir",VLOOKUP($D104,RoleTitles!$A:$E,5,FALSE),VLOOKUP($D104,RoleTitles!$A:$E,3,FALSE))))</f>
        <v/>
      </c>
      <c r="J104" s="27">
        <f>IF($D104="","",IF($E104&gt;=VLOOKUP($D104,RoleTitles!$A:$B,2,FALSE),"Yes","No"))</f>
        <v/>
      </c>
      <c r="K104" s="27">
        <f>IF($D104="","",IF($D104="T1","T2",IF($D104="T2","T3",IF($D104="T3","T4",IF($D104="T4","T5",IF($D104="T5","T6",IF($D104="T6","T7",IF($D104="T7","T8",IF($D104="T8","T9","")))))))))</f>
        <v/>
      </c>
      <c r="L104" s="28">
        <f>IF($K104="","",MAX(0,VLOOKUP($K104,RoleTitles!$A:$B,2,FALSE)-$E104))</f>
        <v/>
      </c>
    </row>
    <row r="105">
      <c r="A105" s="24">
        <f>IFERROR(INDEX(CoachRoster!$A$2:$A$1000,ROW()-1),"")</f>
        <v/>
      </c>
      <c r="B105" s="27">
        <f>IF($A105="","",VLOOKUP($A105,CoachRoster!$A:$E,2,FALSE))</f>
        <v/>
      </c>
      <c r="C105" s="27">
        <f>IF($A105="","",VLOOKUP($A105,CoachRoster!$A:$E,3,FALSE))</f>
        <v/>
      </c>
      <c r="D105" s="27">
        <f>IF($A105="","",VLOOKUP($A105,CoachRoster!$A:$E,4,FALSE))</f>
        <v/>
      </c>
      <c r="E105" s="27">
        <f>IF($A105="","",MIN(Settings!$B$8,IFERROR(SUMIF(Weekly_Coaching!$B:$B,$A105,Weekly_Coaching!$D:$D),0)+IFERROR(SUMIF(Monthly_Edu!$B:$B,$A105,Monthly_Edu!$D:$D),0)+IFERROR(SUMIF(Monthly_Ops!$B:$B,$A105,Monthly_Ops!$D:$D),0)+IFERROR(SUMIF(Monthly_Mentor!$B:$B,$A105,Monthly_Mentor!$D:$D),0)+IFERROR(SUMIF(Quarterly_Impact!$B:$B,$A105,Quarterly_Impact!$D:$D),0)+IFERROR(SUMIFS(XPLog!$M:$M,XPLog!$B:$B,$A105,XPLog!$J:$J,"Admin"),0)+IFERROR(SUMIFS(XPLog!$M:$M,XPLog!$B:$B,$A105,XPLog!$J:$J,"Seeding"),0)))</f>
        <v/>
      </c>
      <c r="F105" s="27">
        <f>IF($E105="","",LOOKUP($E105, XPBands!B$2:B$10, XPBands!A$2:A$10))</f>
        <v/>
      </c>
      <c r="G105" s="27">
        <f>IF($E105="","", VLOOKUP($F105, XPBands!A$2:G$10, 4, FALSE) + MIN(VLOOKUP($F105, XPBands!A$2:G$10, 5, FALSE) - VLOOKUP($F105, XPBands!A$2:G$10, 4, FALSE), FLOOR(( $E105 - VLOOKUP($F105, XPBands!A$2:G$10, 2, FALSE) ) / VLOOKUP($F105, XPBands!A$2:G$10, 7, FALSE),1)))</f>
        <v/>
      </c>
      <c r="H105" s="27">
        <f>IF($D105="","",VLOOKUP($D105,RoleTitles!$A:$E,3,FALSE))</f>
        <v/>
      </c>
      <c r="I105" s="27">
        <f>IF($D105="","",IF($C105="Greek",VLOOKUP($D105,RoleTitles!$A:$E,4,FALSE),IF($C105="Aesir",VLOOKUP($D105,RoleTitles!$A:$E,5,FALSE),VLOOKUP($D105,RoleTitles!$A:$E,3,FALSE))))</f>
        <v/>
      </c>
      <c r="J105" s="27">
        <f>IF($D105="","",IF($E105&gt;=VLOOKUP($D105,RoleTitles!$A:$B,2,FALSE),"Yes","No"))</f>
        <v/>
      </c>
      <c r="K105" s="27">
        <f>IF($D105="","",IF($D105="T1","T2",IF($D105="T2","T3",IF($D105="T3","T4",IF($D105="T4","T5",IF($D105="T5","T6",IF($D105="T6","T7",IF($D105="T7","T8",IF($D105="T8","T9","")))))))))</f>
        <v/>
      </c>
      <c r="L105" s="28">
        <f>IF($K105="","",MAX(0,VLOOKUP($K105,RoleTitles!$A:$B,2,FALSE)-$E105))</f>
        <v/>
      </c>
    </row>
    <row r="106">
      <c r="A106" s="24">
        <f>IFERROR(INDEX(CoachRoster!$A$2:$A$1000,ROW()-1),"")</f>
        <v/>
      </c>
      <c r="B106" s="27">
        <f>IF($A106="","",VLOOKUP($A106,CoachRoster!$A:$E,2,FALSE))</f>
        <v/>
      </c>
      <c r="C106" s="27">
        <f>IF($A106="","",VLOOKUP($A106,CoachRoster!$A:$E,3,FALSE))</f>
        <v/>
      </c>
      <c r="D106" s="27">
        <f>IF($A106="","",VLOOKUP($A106,CoachRoster!$A:$E,4,FALSE))</f>
        <v/>
      </c>
      <c r="E106" s="27">
        <f>IF($A106="","",MIN(Settings!$B$8,IFERROR(SUMIF(Weekly_Coaching!$B:$B,$A106,Weekly_Coaching!$D:$D),0)+IFERROR(SUMIF(Monthly_Edu!$B:$B,$A106,Monthly_Edu!$D:$D),0)+IFERROR(SUMIF(Monthly_Ops!$B:$B,$A106,Monthly_Ops!$D:$D),0)+IFERROR(SUMIF(Monthly_Mentor!$B:$B,$A106,Monthly_Mentor!$D:$D),0)+IFERROR(SUMIF(Quarterly_Impact!$B:$B,$A106,Quarterly_Impact!$D:$D),0)+IFERROR(SUMIFS(XPLog!$M:$M,XPLog!$B:$B,$A106,XPLog!$J:$J,"Admin"),0)+IFERROR(SUMIFS(XPLog!$M:$M,XPLog!$B:$B,$A106,XPLog!$J:$J,"Seeding"),0)))</f>
        <v/>
      </c>
      <c r="F106" s="27">
        <f>IF($E106="","",LOOKUP($E106, XPBands!B$2:B$10, XPBands!A$2:A$10))</f>
        <v/>
      </c>
      <c r="G106" s="27">
        <f>IF($E106="","", VLOOKUP($F106, XPBands!A$2:G$10, 4, FALSE) + MIN(VLOOKUP($F106, XPBands!A$2:G$10, 5, FALSE) - VLOOKUP($F106, XPBands!A$2:G$10, 4, FALSE), FLOOR(( $E106 - VLOOKUP($F106, XPBands!A$2:G$10, 2, FALSE) ) / VLOOKUP($F106, XPBands!A$2:G$10, 7, FALSE),1)))</f>
        <v/>
      </c>
      <c r="H106" s="27">
        <f>IF($D106="","",VLOOKUP($D106,RoleTitles!$A:$E,3,FALSE))</f>
        <v/>
      </c>
      <c r="I106" s="27">
        <f>IF($D106="","",IF($C106="Greek",VLOOKUP($D106,RoleTitles!$A:$E,4,FALSE),IF($C106="Aesir",VLOOKUP($D106,RoleTitles!$A:$E,5,FALSE),VLOOKUP($D106,RoleTitles!$A:$E,3,FALSE))))</f>
        <v/>
      </c>
      <c r="J106" s="27">
        <f>IF($D106="","",IF($E106&gt;=VLOOKUP($D106,RoleTitles!$A:$B,2,FALSE),"Yes","No"))</f>
        <v/>
      </c>
      <c r="K106" s="27">
        <f>IF($D106="","",IF($D106="T1","T2",IF($D106="T2","T3",IF($D106="T3","T4",IF($D106="T4","T5",IF($D106="T5","T6",IF($D106="T6","T7",IF($D106="T7","T8",IF($D106="T8","T9","")))))))))</f>
        <v/>
      </c>
      <c r="L106" s="28">
        <f>IF($K106="","",MAX(0,VLOOKUP($K106,RoleTitles!$A:$B,2,FALSE)-$E106))</f>
        <v/>
      </c>
    </row>
    <row r="107">
      <c r="A107" s="24">
        <f>IFERROR(INDEX(CoachRoster!$A$2:$A$1000,ROW()-1),"")</f>
        <v/>
      </c>
      <c r="B107" s="27">
        <f>IF($A107="","",VLOOKUP($A107,CoachRoster!$A:$E,2,FALSE))</f>
        <v/>
      </c>
      <c r="C107" s="27">
        <f>IF($A107="","",VLOOKUP($A107,CoachRoster!$A:$E,3,FALSE))</f>
        <v/>
      </c>
      <c r="D107" s="27">
        <f>IF($A107="","",VLOOKUP($A107,CoachRoster!$A:$E,4,FALSE))</f>
        <v/>
      </c>
      <c r="E107" s="27">
        <f>IF($A107="","",MIN(Settings!$B$8,IFERROR(SUMIF(Weekly_Coaching!$B:$B,$A107,Weekly_Coaching!$D:$D),0)+IFERROR(SUMIF(Monthly_Edu!$B:$B,$A107,Monthly_Edu!$D:$D),0)+IFERROR(SUMIF(Monthly_Ops!$B:$B,$A107,Monthly_Ops!$D:$D),0)+IFERROR(SUMIF(Monthly_Mentor!$B:$B,$A107,Monthly_Mentor!$D:$D),0)+IFERROR(SUMIF(Quarterly_Impact!$B:$B,$A107,Quarterly_Impact!$D:$D),0)+IFERROR(SUMIFS(XPLog!$M:$M,XPLog!$B:$B,$A107,XPLog!$J:$J,"Admin"),0)+IFERROR(SUMIFS(XPLog!$M:$M,XPLog!$B:$B,$A107,XPLog!$J:$J,"Seeding"),0)))</f>
        <v/>
      </c>
      <c r="F107" s="27">
        <f>IF($E107="","",LOOKUP($E107, XPBands!B$2:B$10, XPBands!A$2:A$10))</f>
        <v/>
      </c>
      <c r="G107" s="27">
        <f>IF($E107="","", VLOOKUP($F107, XPBands!A$2:G$10, 4, FALSE) + MIN(VLOOKUP($F107, XPBands!A$2:G$10, 5, FALSE) - VLOOKUP($F107, XPBands!A$2:G$10, 4, FALSE), FLOOR(( $E107 - VLOOKUP($F107, XPBands!A$2:G$10, 2, FALSE) ) / VLOOKUP($F107, XPBands!A$2:G$10, 7, FALSE),1)))</f>
        <v/>
      </c>
      <c r="H107" s="27">
        <f>IF($D107="","",VLOOKUP($D107,RoleTitles!$A:$E,3,FALSE))</f>
        <v/>
      </c>
      <c r="I107" s="27">
        <f>IF($D107="","",IF($C107="Greek",VLOOKUP($D107,RoleTitles!$A:$E,4,FALSE),IF($C107="Aesir",VLOOKUP($D107,RoleTitles!$A:$E,5,FALSE),VLOOKUP($D107,RoleTitles!$A:$E,3,FALSE))))</f>
        <v/>
      </c>
      <c r="J107" s="27">
        <f>IF($D107="","",IF($E107&gt;=VLOOKUP($D107,RoleTitles!$A:$B,2,FALSE),"Yes","No"))</f>
        <v/>
      </c>
      <c r="K107" s="27">
        <f>IF($D107="","",IF($D107="T1","T2",IF($D107="T2","T3",IF($D107="T3","T4",IF($D107="T4","T5",IF($D107="T5","T6",IF($D107="T6","T7",IF($D107="T7","T8",IF($D107="T8","T9","")))))))))</f>
        <v/>
      </c>
      <c r="L107" s="28">
        <f>IF($K107="","",MAX(0,VLOOKUP($K107,RoleTitles!$A:$B,2,FALSE)-$E107))</f>
        <v/>
      </c>
    </row>
    <row r="108">
      <c r="A108" s="24">
        <f>IFERROR(INDEX(CoachRoster!$A$2:$A$1000,ROW()-1),"")</f>
        <v/>
      </c>
      <c r="B108" s="27">
        <f>IF($A108="","",VLOOKUP($A108,CoachRoster!$A:$E,2,FALSE))</f>
        <v/>
      </c>
      <c r="C108" s="27">
        <f>IF($A108="","",VLOOKUP($A108,CoachRoster!$A:$E,3,FALSE))</f>
        <v/>
      </c>
      <c r="D108" s="27">
        <f>IF($A108="","",VLOOKUP($A108,CoachRoster!$A:$E,4,FALSE))</f>
        <v/>
      </c>
      <c r="E108" s="27">
        <f>IF($A108="","",MIN(Settings!$B$8,IFERROR(SUMIF(Weekly_Coaching!$B:$B,$A108,Weekly_Coaching!$D:$D),0)+IFERROR(SUMIF(Monthly_Edu!$B:$B,$A108,Monthly_Edu!$D:$D),0)+IFERROR(SUMIF(Monthly_Ops!$B:$B,$A108,Monthly_Ops!$D:$D),0)+IFERROR(SUMIF(Monthly_Mentor!$B:$B,$A108,Monthly_Mentor!$D:$D),0)+IFERROR(SUMIF(Quarterly_Impact!$B:$B,$A108,Quarterly_Impact!$D:$D),0)+IFERROR(SUMIFS(XPLog!$M:$M,XPLog!$B:$B,$A108,XPLog!$J:$J,"Admin"),0)+IFERROR(SUMIFS(XPLog!$M:$M,XPLog!$B:$B,$A108,XPLog!$J:$J,"Seeding"),0)))</f>
        <v/>
      </c>
      <c r="F108" s="27">
        <f>IF($E108="","",LOOKUP($E108, XPBands!B$2:B$10, XPBands!A$2:A$10))</f>
        <v/>
      </c>
      <c r="G108" s="27">
        <f>IF($E108="","", VLOOKUP($F108, XPBands!A$2:G$10, 4, FALSE) + MIN(VLOOKUP($F108, XPBands!A$2:G$10, 5, FALSE) - VLOOKUP($F108, XPBands!A$2:G$10, 4, FALSE), FLOOR(( $E108 - VLOOKUP($F108, XPBands!A$2:G$10, 2, FALSE) ) / VLOOKUP($F108, XPBands!A$2:G$10, 7, FALSE),1)))</f>
        <v/>
      </c>
      <c r="H108" s="27">
        <f>IF($D108="","",VLOOKUP($D108,RoleTitles!$A:$E,3,FALSE))</f>
        <v/>
      </c>
      <c r="I108" s="27">
        <f>IF($D108="","",IF($C108="Greek",VLOOKUP($D108,RoleTitles!$A:$E,4,FALSE),IF($C108="Aesir",VLOOKUP($D108,RoleTitles!$A:$E,5,FALSE),VLOOKUP($D108,RoleTitles!$A:$E,3,FALSE))))</f>
        <v/>
      </c>
      <c r="J108" s="27">
        <f>IF($D108="","",IF($E108&gt;=VLOOKUP($D108,RoleTitles!$A:$B,2,FALSE),"Yes","No"))</f>
        <v/>
      </c>
      <c r="K108" s="27">
        <f>IF($D108="","",IF($D108="T1","T2",IF($D108="T2","T3",IF($D108="T3","T4",IF($D108="T4","T5",IF($D108="T5","T6",IF($D108="T6","T7",IF($D108="T7","T8",IF($D108="T8","T9","")))))))))</f>
        <v/>
      </c>
      <c r="L108" s="28">
        <f>IF($K108="","",MAX(0,VLOOKUP($K108,RoleTitles!$A:$B,2,FALSE)-$E108))</f>
        <v/>
      </c>
    </row>
    <row r="109">
      <c r="A109" s="24">
        <f>IFERROR(INDEX(CoachRoster!$A$2:$A$1000,ROW()-1),"")</f>
        <v/>
      </c>
      <c r="B109" s="27">
        <f>IF($A109="","",VLOOKUP($A109,CoachRoster!$A:$E,2,FALSE))</f>
        <v/>
      </c>
      <c r="C109" s="27">
        <f>IF($A109="","",VLOOKUP($A109,CoachRoster!$A:$E,3,FALSE))</f>
        <v/>
      </c>
      <c r="D109" s="27">
        <f>IF($A109="","",VLOOKUP($A109,CoachRoster!$A:$E,4,FALSE))</f>
        <v/>
      </c>
      <c r="E109" s="27">
        <f>IF($A109="","",MIN(Settings!$B$8,IFERROR(SUMIF(Weekly_Coaching!$B:$B,$A109,Weekly_Coaching!$D:$D),0)+IFERROR(SUMIF(Monthly_Edu!$B:$B,$A109,Monthly_Edu!$D:$D),0)+IFERROR(SUMIF(Monthly_Ops!$B:$B,$A109,Monthly_Ops!$D:$D),0)+IFERROR(SUMIF(Monthly_Mentor!$B:$B,$A109,Monthly_Mentor!$D:$D),0)+IFERROR(SUMIF(Quarterly_Impact!$B:$B,$A109,Quarterly_Impact!$D:$D),0)+IFERROR(SUMIFS(XPLog!$M:$M,XPLog!$B:$B,$A109,XPLog!$J:$J,"Admin"),0)+IFERROR(SUMIFS(XPLog!$M:$M,XPLog!$B:$B,$A109,XPLog!$J:$J,"Seeding"),0)))</f>
        <v/>
      </c>
      <c r="F109" s="27">
        <f>IF($E109="","",LOOKUP($E109, XPBands!B$2:B$10, XPBands!A$2:A$10))</f>
        <v/>
      </c>
      <c r="G109" s="27">
        <f>IF($E109="","", VLOOKUP($F109, XPBands!A$2:G$10, 4, FALSE) + MIN(VLOOKUP($F109, XPBands!A$2:G$10, 5, FALSE) - VLOOKUP($F109, XPBands!A$2:G$10, 4, FALSE), FLOOR(( $E109 - VLOOKUP($F109, XPBands!A$2:G$10, 2, FALSE) ) / VLOOKUP($F109, XPBands!A$2:G$10, 7, FALSE),1)))</f>
        <v/>
      </c>
      <c r="H109" s="27">
        <f>IF($D109="","",VLOOKUP($D109,RoleTitles!$A:$E,3,FALSE))</f>
        <v/>
      </c>
      <c r="I109" s="27">
        <f>IF($D109="","",IF($C109="Greek",VLOOKUP($D109,RoleTitles!$A:$E,4,FALSE),IF($C109="Aesir",VLOOKUP($D109,RoleTitles!$A:$E,5,FALSE),VLOOKUP($D109,RoleTitles!$A:$E,3,FALSE))))</f>
        <v/>
      </c>
      <c r="J109" s="27">
        <f>IF($D109="","",IF($E109&gt;=VLOOKUP($D109,RoleTitles!$A:$B,2,FALSE),"Yes","No"))</f>
        <v/>
      </c>
      <c r="K109" s="27">
        <f>IF($D109="","",IF($D109="T1","T2",IF($D109="T2","T3",IF($D109="T3","T4",IF($D109="T4","T5",IF($D109="T5","T6",IF($D109="T6","T7",IF($D109="T7","T8",IF($D109="T8","T9","")))))))))</f>
        <v/>
      </c>
      <c r="L109" s="28">
        <f>IF($K109="","",MAX(0,VLOOKUP($K109,RoleTitles!$A:$B,2,FALSE)-$E109))</f>
        <v/>
      </c>
    </row>
    <row r="110">
      <c r="A110" s="24">
        <f>IFERROR(INDEX(CoachRoster!$A$2:$A$1000,ROW()-1),"")</f>
        <v/>
      </c>
      <c r="B110" s="27">
        <f>IF($A110="","",VLOOKUP($A110,CoachRoster!$A:$E,2,FALSE))</f>
        <v/>
      </c>
      <c r="C110" s="27">
        <f>IF($A110="","",VLOOKUP($A110,CoachRoster!$A:$E,3,FALSE))</f>
        <v/>
      </c>
      <c r="D110" s="27">
        <f>IF($A110="","",VLOOKUP($A110,CoachRoster!$A:$E,4,FALSE))</f>
        <v/>
      </c>
      <c r="E110" s="27">
        <f>IF($A110="","",MIN(Settings!$B$8,IFERROR(SUMIF(Weekly_Coaching!$B:$B,$A110,Weekly_Coaching!$D:$D),0)+IFERROR(SUMIF(Monthly_Edu!$B:$B,$A110,Monthly_Edu!$D:$D),0)+IFERROR(SUMIF(Monthly_Ops!$B:$B,$A110,Monthly_Ops!$D:$D),0)+IFERROR(SUMIF(Monthly_Mentor!$B:$B,$A110,Monthly_Mentor!$D:$D),0)+IFERROR(SUMIF(Quarterly_Impact!$B:$B,$A110,Quarterly_Impact!$D:$D),0)+IFERROR(SUMIFS(XPLog!$M:$M,XPLog!$B:$B,$A110,XPLog!$J:$J,"Admin"),0)+IFERROR(SUMIFS(XPLog!$M:$M,XPLog!$B:$B,$A110,XPLog!$J:$J,"Seeding"),0)))</f>
        <v/>
      </c>
      <c r="F110" s="27">
        <f>IF($E110="","",LOOKUP($E110, XPBands!B$2:B$10, XPBands!A$2:A$10))</f>
        <v/>
      </c>
      <c r="G110" s="27">
        <f>IF($E110="","", VLOOKUP($F110, XPBands!A$2:G$10, 4, FALSE) + MIN(VLOOKUP($F110, XPBands!A$2:G$10, 5, FALSE) - VLOOKUP($F110, XPBands!A$2:G$10, 4, FALSE), FLOOR(( $E110 - VLOOKUP($F110, XPBands!A$2:G$10, 2, FALSE) ) / VLOOKUP($F110, XPBands!A$2:G$10, 7, FALSE),1)))</f>
        <v/>
      </c>
      <c r="H110" s="27">
        <f>IF($D110="","",VLOOKUP($D110,RoleTitles!$A:$E,3,FALSE))</f>
        <v/>
      </c>
      <c r="I110" s="27">
        <f>IF($D110="","",IF($C110="Greek",VLOOKUP($D110,RoleTitles!$A:$E,4,FALSE),IF($C110="Aesir",VLOOKUP($D110,RoleTitles!$A:$E,5,FALSE),VLOOKUP($D110,RoleTitles!$A:$E,3,FALSE))))</f>
        <v/>
      </c>
      <c r="J110" s="27">
        <f>IF($D110="","",IF($E110&gt;=VLOOKUP($D110,RoleTitles!$A:$B,2,FALSE),"Yes","No"))</f>
        <v/>
      </c>
      <c r="K110" s="27">
        <f>IF($D110="","",IF($D110="T1","T2",IF($D110="T2","T3",IF($D110="T3","T4",IF($D110="T4","T5",IF($D110="T5","T6",IF($D110="T6","T7",IF($D110="T7","T8",IF($D110="T8","T9","")))))))))</f>
        <v/>
      </c>
      <c r="L110" s="28">
        <f>IF($K110="","",MAX(0,VLOOKUP($K110,RoleTitles!$A:$B,2,FALSE)-$E110))</f>
        <v/>
      </c>
    </row>
    <row r="111">
      <c r="A111" s="24">
        <f>IFERROR(INDEX(CoachRoster!$A$2:$A$1000,ROW()-1),"")</f>
        <v/>
      </c>
      <c r="B111" s="27">
        <f>IF($A111="","",VLOOKUP($A111,CoachRoster!$A:$E,2,FALSE))</f>
        <v/>
      </c>
      <c r="C111" s="27">
        <f>IF($A111="","",VLOOKUP($A111,CoachRoster!$A:$E,3,FALSE))</f>
        <v/>
      </c>
      <c r="D111" s="27">
        <f>IF($A111="","",VLOOKUP($A111,CoachRoster!$A:$E,4,FALSE))</f>
        <v/>
      </c>
      <c r="E111" s="27">
        <f>IF($A111="","",MIN(Settings!$B$8,IFERROR(SUMIF(Weekly_Coaching!$B:$B,$A111,Weekly_Coaching!$D:$D),0)+IFERROR(SUMIF(Monthly_Edu!$B:$B,$A111,Monthly_Edu!$D:$D),0)+IFERROR(SUMIF(Monthly_Ops!$B:$B,$A111,Monthly_Ops!$D:$D),0)+IFERROR(SUMIF(Monthly_Mentor!$B:$B,$A111,Monthly_Mentor!$D:$D),0)+IFERROR(SUMIF(Quarterly_Impact!$B:$B,$A111,Quarterly_Impact!$D:$D),0)+IFERROR(SUMIFS(XPLog!$M:$M,XPLog!$B:$B,$A111,XPLog!$J:$J,"Admin"),0)+IFERROR(SUMIFS(XPLog!$M:$M,XPLog!$B:$B,$A111,XPLog!$J:$J,"Seeding"),0)))</f>
        <v/>
      </c>
      <c r="F111" s="27">
        <f>IF($E111="","",LOOKUP($E111, XPBands!B$2:B$10, XPBands!A$2:A$10))</f>
        <v/>
      </c>
      <c r="G111" s="27">
        <f>IF($E111="","", VLOOKUP($F111, XPBands!A$2:G$10, 4, FALSE) + MIN(VLOOKUP($F111, XPBands!A$2:G$10, 5, FALSE) - VLOOKUP($F111, XPBands!A$2:G$10, 4, FALSE), FLOOR(( $E111 - VLOOKUP($F111, XPBands!A$2:G$10, 2, FALSE) ) / VLOOKUP($F111, XPBands!A$2:G$10, 7, FALSE),1)))</f>
        <v/>
      </c>
      <c r="H111" s="27">
        <f>IF($D111="","",VLOOKUP($D111,RoleTitles!$A:$E,3,FALSE))</f>
        <v/>
      </c>
      <c r="I111" s="27">
        <f>IF($D111="","",IF($C111="Greek",VLOOKUP($D111,RoleTitles!$A:$E,4,FALSE),IF($C111="Aesir",VLOOKUP($D111,RoleTitles!$A:$E,5,FALSE),VLOOKUP($D111,RoleTitles!$A:$E,3,FALSE))))</f>
        <v/>
      </c>
      <c r="J111" s="27">
        <f>IF($D111="","",IF($E111&gt;=VLOOKUP($D111,RoleTitles!$A:$B,2,FALSE),"Yes","No"))</f>
        <v/>
      </c>
      <c r="K111" s="27">
        <f>IF($D111="","",IF($D111="T1","T2",IF($D111="T2","T3",IF($D111="T3","T4",IF($D111="T4","T5",IF($D111="T5","T6",IF($D111="T6","T7",IF($D111="T7","T8",IF($D111="T8","T9","")))))))))</f>
        <v/>
      </c>
      <c r="L111" s="28">
        <f>IF($K111="","",MAX(0,VLOOKUP($K111,RoleTitles!$A:$B,2,FALSE)-$E111))</f>
        <v/>
      </c>
    </row>
    <row r="112">
      <c r="A112" s="24">
        <f>IFERROR(INDEX(CoachRoster!$A$2:$A$1000,ROW()-1),"")</f>
        <v/>
      </c>
      <c r="B112" s="27">
        <f>IF($A112="","",VLOOKUP($A112,CoachRoster!$A:$E,2,FALSE))</f>
        <v/>
      </c>
      <c r="C112" s="27">
        <f>IF($A112="","",VLOOKUP($A112,CoachRoster!$A:$E,3,FALSE))</f>
        <v/>
      </c>
      <c r="D112" s="27">
        <f>IF($A112="","",VLOOKUP($A112,CoachRoster!$A:$E,4,FALSE))</f>
        <v/>
      </c>
      <c r="E112" s="27">
        <f>IF($A112="","",MIN(Settings!$B$8,IFERROR(SUMIF(Weekly_Coaching!$B:$B,$A112,Weekly_Coaching!$D:$D),0)+IFERROR(SUMIF(Monthly_Edu!$B:$B,$A112,Monthly_Edu!$D:$D),0)+IFERROR(SUMIF(Monthly_Ops!$B:$B,$A112,Monthly_Ops!$D:$D),0)+IFERROR(SUMIF(Monthly_Mentor!$B:$B,$A112,Monthly_Mentor!$D:$D),0)+IFERROR(SUMIF(Quarterly_Impact!$B:$B,$A112,Quarterly_Impact!$D:$D),0)+IFERROR(SUMIFS(XPLog!$M:$M,XPLog!$B:$B,$A112,XPLog!$J:$J,"Admin"),0)+IFERROR(SUMIFS(XPLog!$M:$M,XPLog!$B:$B,$A112,XPLog!$J:$J,"Seeding"),0)))</f>
        <v/>
      </c>
      <c r="F112" s="27">
        <f>IF($E112="","",LOOKUP($E112, XPBands!B$2:B$10, XPBands!A$2:A$10))</f>
        <v/>
      </c>
      <c r="G112" s="27">
        <f>IF($E112="","", VLOOKUP($F112, XPBands!A$2:G$10, 4, FALSE) + MIN(VLOOKUP($F112, XPBands!A$2:G$10, 5, FALSE) - VLOOKUP($F112, XPBands!A$2:G$10, 4, FALSE), FLOOR(( $E112 - VLOOKUP($F112, XPBands!A$2:G$10, 2, FALSE) ) / VLOOKUP($F112, XPBands!A$2:G$10, 7, FALSE),1)))</f>
        <v/>
      </c>
      <c r="H112" s="27">
        <f>IF($D112="","",VLOOKUP($D112,RoleTitles!$A:$E,3,FALSE))</f>
        <v/>
      </c>
      <c r="I112" s="27">
        <f>IF($D112="","",IF($C112="Greek",VLOOKUP($D112,RoleTitles!$A:$E,4,FALSE),IF($C112="Aesir",VLOOKUP($D112,RoleTitles!$A:$E,5,FALSE),VLOOKUP($D112,RoleTitles!$A:$E,3,FALSE))))</f>
        <v/>
      </c>
      <c r="J112" s="27">
        <f>IF($D112="","",IF($E112&gt;=VLOOKUP($D112,RoleTitles!$A:$B,2,FALSE),"Yes","No"))</f>
        <v/>
      </c>
      <c r="K112" s="27">
        <f>IF($D112="","",IF($D112="T1","T2",IF($D112="T2","T3",IF($D112="T3","T4",IF($D112="T4","T5",IF($D112="T5","T6",IF($D112="T6","T7",IF($D112="T7","T8",IF($D112="T8","T9","")))))))))</f>
        <v/>
      </c>
      <c r="L112" s="28">
        <f>IF($K112="","",MAX(0,VLOOKUP($K112,RoleTitles!$A:$B,2,FALSE)-$E112))</f>
        <v/>
      </c>
    </row>
    <row r="113">
      <c r="A113" s="24">
        <f>IFERROR(INDEX(CoachRoster!$A$2:$A$1000,ROW()-1),"")</f>
        <v/>
      </c>
      <c r="B113" s="27">
        <f>IF($A113="","",VLOOKUP($A113,CoachRoster!$A:$E,2,FALSE))</f>
        <v/>
      </c>
      <c r="C113" s="27">
        <f>IF($A113="","",VLOOKUP($A113,CoachRoster!$A:$E,3,FALSE))</f>
        <v/>
      </c>
      <c r="D113" s="27">
        <f>IF($A113="","",VLOOKUP($A113,CoachRoster!$A:$E,4,FALSE))</f>
        <v/>
      </c>
      <c r="E113" s="27">
        <f>IF($A113="","",MIN(Settings!$B$8,IFERROR(SUMIF(Weekly_Coaching!$B:$B,$A113,Weekly_Coaching!$D:$D),0)+IFERROR(SUMIF(Monthly_Edu!$B:$B,$A113,Monthly_Edu!$D:$D),0)+IFERROR(SUMIF(Monthly_Ops!$B:$B,$A113,Monthly_Ops!$D:$D),0)+IFERROR(SUMIF(Monthly_Mentor!$B:$B,$A113,Monthly_Mentor!$D:$D),0)+IFERROR(SUMIF(Quarterly_Impact!$B:$B,$A113,Quarterly_Impact!$D:$D),0)+IFERROR(SUMIFS(XPLog!$M:$M,XPLog!$B:$B,$A113,XPLog!$J:$J,"Admin"),0)+IFERROR(SUMIFS(XPLog!$M:$M,XPLog!$B:$B,$A113,XPLog!$J:$J,"Seeding"),0)))</f>
        <v/>
      </c>
      <c r="F113" s="27">
        <f>IF($E113="","",LOOKUP($E113, XPBands!B$2:B$10, XPBands!A$2:A$10))</f>
        <v/>
      </c>
      <c r="G113" s="27">
        <f>IF($E113="","", VLOOKUP($F113, XPBands!A$2:G$10, 4, FALSE) + MIN(VLOOKUP($F113, XPBands!A$2:G$10, 5, FALSE) - VLOOKUP($F113, XPBands!A$2:G$10, 4, FALSE), FLOOR(( $E113 - VLOOKUP($F113, XPBands!A$2:G$10, 2, FALSE) ) / VLOOKUP($F113, XPBands!A$2:G$10, 7, FALSE),1)))</f>
        <v/>
      </c>
      <c r="H113" s="27">
        <f>IF($D113="","",VLOOKUP($D113,RoleTitles!$A:$E,3,FALSE))</f>
        <v/>
      </c>
      <c r="I113" s="27">
        <f>IF($D113="","",IF($C113="Greek",VLOOKUP($D113,RoleTitles!$A:$E,4,FALSE),IF($C113="Aesir",VLOOKUP($D113,RoleTitles!$A:$E,5,FALSE),VLOOKUP($D113,RoleTitles!$A:$E,3,FALSE))))</f>
        <v/>
      </c>
      <c r="J113" s="27">
        <f>IF($D113="","",IF($E113&gt;=VLOOKUP($D113,RoleTitles!$A:$B,2,FALSE),"Yes","No"))</f>
        <v/>
      </c>
      <c r="K113" s="27">
        <f>IF($D113="","",IF($D113="T1","T2",IF($D113="T2","T3",IF($D113="T3","T4",IF($D113="T4","T5",IF($D113="T5","T6",IF($D113="T6","T7",IF($D113="T7","T8",IF($D113="T8","T9","")))))))))</f>
        <v/>
      </c>
      <c r="L113" s="28">
        <f>IF($K113="","",MAX(0,VLOOKUP($K113,RoleTitles!$A:$B,2,FALSE)-$E113))</f>
        <v/>
      </c>
    </row>
    <row r="114">
      <c r="A114" s="24">
        <f>IFERROR(INDEX(CoachRoster!$A$2:$A$1000,ROW()-1),"")</f>
        <v/>
      </c>
      <c r="B114" s="27">
        <f>IF($A114="","",VLOOKUP($A114,CoachRoster!$A:$E,2,FALSE))</f>
        <v/>
      </c>
      <c r="C114" s="27">
        <f>IF($A114="","",VLOOKUP($A114,CoachRoster!$A:$E,3,FALSE))</f>
        <v/>
      </c>
      <c r="D114" s="27">
        <f>IF($A114="","",VLOOKUP($A114,CoachRoster!$A:$E,4,FALSE))</f>
        <v/>
      </c>
      <c r="E114" s="27">
        <f>IF($A114="","",MIN(Settings!$B$8,IFERROR(SUMIF(Weekly_Coaching!$B:$B,$A114,Weekly_Coaching!$D:$D),0)+IFERROR(SUMIF(Monthly_Edu!$B:$B,$A114,Monthly_Edu!$D:$D),0)+IFERROR(SUMIF(Monthly_Ops!$B:$B,$A114,Monthly_Ops!$D:$D),0)+IFERROR(SUMIF(Monthly_Mentor!$B:$B,$A114,Monthly_Mentor!$D:$D),0)+IFERROR(SUMIF(Quarterly_Impact!$B:$B,$A114,Quarterly_Impact!$D:$D),0)+IFERROR(SUMIFS(XPLog!$M:$M,XPLog!$B:$B,$A114,XPLog!$J:$J,"Admin"),0)+IFERROR(SUMIFS(XPLog!$M:$M,XPLog!$B:$B,$A114,XPLog!$J:$J,"Seeding"),0)))</f>
        <v/>
      </c>
      <c r="F114" s="27">
        <f>IF($E114="","",LOOKUP($E114, XPBands!B$2:B$10, XPBands!A$2:A$10))</f>
        <v/>
      </c>
      <c r="G114" s="27">
        <f>IF($E114="","", VLOOKUP($F114, XPBands!A$2:G$10, 4, FALSE) + MIN(VLOOKUP($F114, XPBands!A$2:G$10, 5, FALSE) - VLOOKUP($F114, XPBands!A$2:G$10, 4, FALSE), FLOOR(( $E114 - VLOOKUP($F114, XPBands!A$2:G$10, 2, FALSE) ) / VLOOKUP($F114, XPBands!A$2:G$10, 7, FALSE),1)))</f>
        <v/>
      </c>
      <c r="H114" s="27">
        <f>IF($D114="","",VLOOKUP($D114,RoleTitles!$A:$E,3,FALSE))</f>
        <v/>
      </c>
      <c r="I114" s="27">
        <f>IF($D114="","",IF($C114="Greek",VLOOKUP($D114,RoleTitles!$A:$E,4,FALSE),IF($C114="Aesir",VLOOKUP($D114,RoleTitles!$A:$E,5,FALSE),VLOOKUP($D114,RoleTitles!$A:$E,3,FALSE))))</f>
        <v/>
      </c>
      <c r="J114" s="27">
        <f>IF($D114="","",IF($E114&gt;=VLOOKUP($D114,RoleTitles!$A:$B,2,FALSE),"Yes","No"))</f>
        <v/>
      </c>
      <c r="K114" s="27">
        <f>IF($D114="","",IF($D114="T1","T2",IF($D114="T2","T3",IF($D114="T3","T4",IF($D114="T4","T5",IF($D114="T5","T6",IF($D114="T6","T7",IF($D114="T7","T8",IF($D114="T8","T9","")))))))))</f>
        <v/>
      </c>
      <c r="L114" s="28">
        <f>IF($K114="","",MAX(0,VLOOKUP($K114,RoleTitles!$A:$B,2,FALSE)-$E114))</f>
        <v/>
      </c>
    </row>
    <row r="115">
      <c r="A115" s="24">
        <f>IFERROR(INDEX(CoachRoster!$A$2:$A$1000,ROW()-1),"")</f>
        <v/>
      </c>
      <c r="B115" s="27">
        <f>IF($A115="","",VLOOKUP($A115,CoachRoster!$A:$E,2,FALSE))</f>
        <v/>
      </c>
      <c r="C115" s="27">
        <f>IF($A115="","",VLOOKUP($A115,CoachRoster!$A:$E,3,FALSE))</f>
        <v/>
      </c>
      <c r="D115" s="27">
        <f>IF($A115="","",VLOOKUP($A115,CoachRoster!$A:$E,4,FALSE))</f>
        <v/>
      </c>
      <c r="E115" s="27">
        <f>IF($A115="","",MIN(Settings!$B$8,IFERROR(SUMIF(Weekly_Coaching!$B:$B,$A115,Weekly_Coaching!$D:$D),0)+IFERROR(SUMIF(Monthly_Edu!$B:$B,$A115,Monthly_Edu!$D:$D),0)+IFERROR(SUMIF(Monthly_Ops!$B:$B,$A115,Monthly_Ops!$D:$D),0)+IFERROR(SUMIF(Monthly_Mentor!$B:$B,$A115,Monthly_Mentor!$D:$D),0)+IFERROR(SUMIF(Quarterly_Impact!$B:$B,$A115,Quarterly_Impact!$D:$D),0)+IFERROR(SUMIFS(XPLog!$M:$M,XPLog!$B:$B,$A115,XPLog!$J:$J,"Admin"),0)+IFERROR(SUMIFS(XPLog!$M:$M,XPLog!$B:$B,$A115,XPLog!$J:$J,"Seeding"),0)))</f>
        <v/>
      </c>
      <c r="F115" s="27">
        <f>IF($E115="","",LOOKUP($E115, XPBands!B$2:B$10, XPBands!A$2:A$10))</f>
        <v/>
      </c>
      <c r="G115" s="27">
        <f>IF($E115="","", VLOOKUP($F115, XPBands!A$2:G$10, 4, FALSE) + MIN(VLOOKUP($F115, XPBands!A$2:G$10, 5, FALSE) - VLOOKUP($F115, XPBands!A$2:G$10, 4, FALSE), FLOOR(( $E115 - VLOOKUP($F115, XPBands!A$2:G$10, 2, FALSE) ) / VLOOKUP($F115, XPBands!A$2:G$10, 7, FALSE),1)))</f>
        <v/>
      </c>
      <c r="H115" s="27">
        <f>IF($D115="","",VLOOKUP($D115,RoleTitles!$A:$E,3,FALSE))</f>
        <v/>
      </c>
      <c r="I115" s="27">
        <f>IF($D115="","",IF($C115="Greek",VLOOKUP($D115,RoleTitles!$A:$E,4,FALSE),IF($C115="Aesir",VLOOKUP($D115,RoleTitles!$A:$E,5,FALSE),VLOOKUP($D115,RoleTitles!$A:$E,3,FALSE))))</f>
        <v/>
      </c>
      <c r="J115" s="27">
        <f>IF($D115="","",IF($E115&gt;=VLOOKUP($D115,RoleTitles!$A:$B,2,FALSE),"Yes","No"))</f>
        <v/>
      </c>
      <c r="K115" s="27">
        <f>IF($D115="","",IF($D115="T1","T2",IF($D115="T2","T3",IF($D115="T3","T4",IF($D115="T4","T5",IF($D115="T5","T6",IF($D115="T6","T7",IF($D115="T7","T8",IF($D115="T8","T9","")))))))))</f>
        <v/>
      </c>
      <c r="L115" s="28">
        <f>IF($K115="","",MAX(0,VLOOKUP($K115,RoleTitles!$A:$B,2,FALSE)-$E115))</f>
        <v/>
      </c>
    </row>
    <row r="116">
      <c r="A116" s="24">
        <f>IFERROR(INDEX(CoachRoster!$A$2:$A$1000,ROW()-1),"")</f>
        <v/>
      </c>
      <c r="B116" s="27">
        <f>IF($A116="","",VLOOKUP($A116,CoachRoster!$A:$E,2,FALSE))</f>
        <v/>
      </c>
      <c r="C116" s="27">
        <f>IF($A116="","",VLOOKUP($A116,CoachRoster!$A:$E,3,FALSE))</f>
        <v/>
      </c>
      <c r="D116" s="27">
        <f>IF($A116="","",VLOOKUP($A116,CoachRoster!$A:$E,4,FALSE))</f>
        <v/>
      </c>
      <c r="E116" s="27">
        <f>IF($A116="","",MIN(Settings!$B$8,IFERROR(SUMIF(Weekly_Coaching!$B:$B,$A116,Weekly_Coaching!$D:$D),0)+IFERROR(SUMIF(Monthly_Edu!$B:$B,$A116,Monthly_Edu!$D:$D),0)+IFERROR(SUMIF(Monthly_Ops!$B:$B,$A116,Monthly_Ops!$D:$D),0)+IFERROR(SUMIF(Monthly_Mentor!$B:$B,$A116,Monthly_Mentor!$D:$D),0)+IFERROR(SUMIF(Quarterly_Impact!$B:$B,$A116,Quarterly_Impact!$D:$D),0)+IFERROR(SUMIFS(XPLog!$M:$M,XPLog!$B:$B,$A116,XPLog!$J:$J,"Admin"),0)+IFERROR(SUMIFS(XPLog!$M:$M,XPLog!$B:$B,$A116,XPLog!$J:$J,"Seeding"),0)))</f>
        <v/>
      </c>
      <c r="F116" s="27">
        <f>IF($E116="","",LOOKUP($E116, XPBands!B$2:B$10, XPBands!A$2:A$10))</f>
        <v/>
      </c>
      <c r="G116" s="27">
        <f>IF($E116="","", VLOOKUP($F116, XPBands!A$2:G$10, 4, FALSE) + MIN(VLOOKUP($F116, XPBands!A$2:G$10, 5, FALSE) - VLOOKUP($F116, XPBands!A$2:G$10, 4, FALSE), FLOOR(( $E116 - VLOOKUP($F116, XPBands!A$2:G$10, 2, FALSE) ) / VLOOKUP($F116, XPBands!A$2:G$10, 7, FALSE),1)))</f>
        <v/>
      </c>
      <c r="H116" s="27">
        <f>IF($D116="","",VLOOKUP($D116,RoleTitles!$A:$E,3,FALSE))</f>
        <v/>
      </c>
      <c r="I116" s="27">
        <f>IF($D116="","",IF($C116="Greek",VLOOKUP($D116,RoleTitles!$A:$E,4,FALSE),IF($C116="Aesir",VLOOKUP($D116,RoleTitles!$A:$E,5,FALSE),VLOOKUP($D116,RoleTitles!$A:$E,3,FALSE))))</f>
        <v/>
      </c>
      <c r="J116" s="27">
        <f>IF($D116="","",IF($E116&gt;=VLOOKUP($D116,RoleTitles!$A:$B,2,FALSE),"Yes","No"))</f>
        <v/>
      </c>
      <c r="K116" s="27">
        <f>IF($D116="","",IF($D116="T1","T2",IF($D116="T2","T3",IF($D116="T3","T4",IF($D116="T4","T5",IF($D116="T5","T6",IF($D116="T6","T7",IF($D116="T7","T8",IF($D116="T8","T9","")))))))))</f>
        <v/>
      </c>
      <c r="L116" s="28">
        <f>IF($K116="","",MAX(0,VLOOKUP($K116,RoleTitles!$A:$B,2,FALSE)-$E116))</f>
        <v/>
      </c>
    </row>
    <row r="117">
      <c r="A117" s="24">
        <f>IFERROR(INDEX(CoachRoster!$A$2:$A$1000,ROW()-1),"")</f>
        <v/>
      </c>
      <c r="B117" s="27">
        <f>IF($A117="","",VLOOKUP($A117,CoachRoster!$A:$E,2,FALSE))</f>
        <v/>
      </c>
      <c r="C117" s="27">
        <f>IF($A117="","",VLOOKUP($A117,CoachRoster!$A:$E,3,FALSE))</f>
        <v/>
      </c>
      <c r="D117" s="27">
        <f>IF($A117="","",VLOOKUP($A117,CoachRoster!$A:$E,4,FALSE))</f>
        <v/>
      </c>
      <c r="E117" s="27">
        <f>IF($A117="","",MIN(Settings!$B$8,IFERROR(SUMIF(Weekly_Coaching!$B:$B,$A117,Weekly_Coaching!$D:$D),0)+IFERROR(SUMIF(Monthly_Edu!$B:$B,$A117,Monthly_Edu!$D:$D),0)+IFERROR(SUMIF(Monthly_Ops!$B:$B,$A117,Monthly_Ops!$D:$D),0)+IFERROR(SUMIF(Monthly_Mentor!$B:$B,$A117,Monthly_Mentor!$D:$D),0)+IFERROR(SUMIF(Quarterly_Impact!$B:$B,$A117,Quarterly_Impact!$D:$D),0)+IFERROR(SUMIFS(XPLog!$M:$M,XPLog!$B:$B,$A117,XPLog!$J:$J,"Admin"),0)+IFERROR(SUMIFS(XPLog!$M:$M,XPLog!$B:$B,$A117,XPLog!$J:$J,"Seeding"),0)))</f>
        <v/>
      </c>
      <c r="F117" s="27">
        <f>IF($E117="","",LOOKUP($E117, XPBands!B$2:B$10, XPBands!A$2:A$10))</f>
        <v/>
      </c>
      <c r="G117" s="27">
        <f>IF($E117="","", VLOOKUP($F117, XPBands!A$2:G$10, 4, FALSE) + MIN(VLOOKUP($F117, XPBands!A$2:G$10, 5, FALSE) - VLOOKUP($F117, XPBands!A$2:G$10, 4, FALSE), FLOOR(( $E117 - VLOOKUP($F117, XPBands!A$2:G$10, 2, FALSE) ) / VLOOKUP($F117, XPBands!A$2:G$10, 7, FALSE),1)))</f>
        <v/>
      </c>
      <c r="H117" s="27">
        <f>IF($D117="","",VLOOKUP($D117,RoleTitles!$A:$E,3,FALSE))</f>
        <v/>
      </c>
      <c r="I117" s="27">
        <f>IF($D117="","",IF($C117="Greek",VLOOKUP($D117,RoleTitles!$A:$E,4,FALSE),IF($C117="Aesir",VLOOKUP($D117,RoleTitles!$A:$E,5,FALSE),VLOOKUP($D117,RoleTitles!$A:$E,3,FALSE))))</f>
        <v/>
      </c>
      <c r="J117" s="27">
        <f>IF($D117="","",IF($E117&gt;=VLOOKUP($D117,RoleTitles!$A:$B,2,FALSE),"Yes","No"))</f>
        <v/>
      </c>
      <c r="K117" s="27">
        <f>IF($D117="","",IF($D117="T1","T2",IF($D117="T2","T3",IF($D117="T3","T4",IF($D117="T4","T5",IF($D117="T5","T6",IF($D117="T6","T7",IF($D117="T7","T8",IF($D117="T8","T9","")))))))))</f>
        <v/>
      </c>
      <c r="L117" s="28">
        <f>IF($K117="","",MAX(0,VLOOKUP($K117,RoleTitles!$A:$B,2,FALSE)-$E117))</f>
        <v/>
      </c>
    </row>
    <row r="118">
      <c r="A118" s="24">
        <f>IFERROR(INDEX(CoachRoster!$A$2:$A$1000,ROW()-1),"")</f>
        <v/>
      </c>
      <c r="B118" s="27">
        <f>IF($A118="","",VLOOKUP($A118,CoachRoster!$A:$E,2,FALSE))</f>
        <v/>
      </c>
      <c r="C118" s="27">
        <f>IF($A118="","",VLOOKUP($A118,CoachRoster!$A:$E,3,FALSE))</f>
        <v/>
      </c>
      <c r="D118" s="27">
        <f>IF($A118="","",VLOOKUP($A118,CoachRoster!$A:$E,4,FALSE))</f>
        <v/>
      </c>
      <c r="E118" s="27">
        <f>IF($A118="","",MIN(Settings!$B$8,IFERROR(SUMIF(Weekly_Coaching!$B:$B,$A118,Weekly_Coaching!$D:$D),0)+IFERROR(SUMIF(Monthly_Edu!$B:$B,$A118,Monthly_Edu!$D:$D),0)+IFERROR(SUMIF(Monthly_Ops!$B:$B,$A118,Monthly_Ops!$D:$D),0)+IFERROR(SUMIF(Monthly_Mentor!$B:$B,$A118,Monthly_Mentor!$D:$D),0)+IFERROR(SUMIF(Quarterly_Impact!$B:$B,$A118,Quarterly_Impact!$D:$D),0)+IFERROR(SUMIFS(XPLog!$M:$M,XPLog!$B:$B,$A118,XPLog!$J:$J,"Admin"),0)+IFERROR(SUMIFS(XPLog!$M:$M,XPLog!$B:$B,$A118,XPLog!$J:$J,"Seeding"),0)))</f>
        <v/>
      </c>
      <c r="F118" s="27">
        <f>IF($E118="","",LOOKUP($E118, XPBands!B$2:B$10, XPBands!A$2:A$10))</f>
        <v/>
      </c>
      <c r="G118" s="27">
        <f>IF($E118="","", VLOOKUP($F118, XPBands!A$2:G$10, 4, FALSE) + MIN(VLOOKUP($F118, XPBands!A$2:G$10, 5, FALSE) - VLOOKUP($F118, XPBands!A$2:G$10, 4, FALSE), FLOOR(( $E118 - VLOOKUP($F118, XPBands!A$2:G$10, 2, FALSE) ) / VLOOKUP($F118, XPBands!A$2:G$10, 7, FALSE),1)))</f>
        <v/>
      </c>
      <c r="H118" s="27">
        <f>IF($D118="","",VLOOKUP($D118,RoleTitles!$A:$E,3,FALSE))</f>
        <v/>
      </c>
      <c r="I118" s="27">
        <f>IF($D118="","",IF($C118="Greek",VLOOKUP($D118,RoleTitles!$A:$E,4,FALSE),IF($C118="Aesir",VLOOKUP($D118,RoleTitles!$A:$E,5,FALSE),VLOOKUP($D118,RoleTitles!$A:$E,3,FALSE))))</f>
        <v/>
      </c>
      <c r="J118" s="27">
        <f>IF($D118="","",IF($E118&gt;=VLOOKUP($D118,RoleTitles!$A:$B,2,FALSE),"Yes","No"))</f>
        <v/>
      </c>
      <c r="K118" s="27">
        <f>IF($D118="","",IF($D118="T1","T2",IF($D118="T2","T3",IF($D118="T3","T4",IF($D118="T4","T5",IF($D118="T5","T6",IF($D118="T6","T7",IF($D118="T7","T8",IF($D118="T8","T9","")))))))))</f>
        <v/>
      </c>
      <c r="L118" s="28">
        <f>IF($K118="","",MAX(0,VLOOKUP($K118,RoleTitles!$A:$B,2,FALSE)-$E118))</f>
        <v/>
      </c>
    </row>
    <row r="119">
      <c r="A119" s="24">
        <f>IFERROR(INDEX(CoachRoster!$A$2:$A$1000,ROW()-1),"")</f>
        <v/>
      </c>
      <c r="B119" s="27">
        <f>IF($A119="","",VLOOKUP($A119,CoachRoster!$A:$E,2,FALSE))</f>
        <v/>
      </c>
      <c r="C119" s="27">
        <f>IF($A119="","",VLOOKUP($A119,CoachRoster!$A:$E,3,FALSE))</f>
        <v/>
      </c>
      <c r="D119" s="27">
        <f>IF($A119="","",VLOOKUP($A119,CoachRoster!$A:$E,4,FALSE))</f>
        <v/>
      </c>
      <c r="E119" s="27">
        <f>IF($A119="","",MIN(Settings!$B$8,IFERROR(SUMIF(Weekly_Coaching!$B:$B,$A119,Weekly_Coaching!$D:$D),0)+IFERROR(SUMIF(Monthly_Edu!$B:$B,$A119,Monthly_Edu!$D:$D),0)+IFERROR(SUMIF(Monthly_Ops!$B:$B,$A119,Monthly_Ops!$D:$D),0)+IFERROR(SUMIF(Monthly_Mentor!$B:$B,$A119,Monthly_Mentor!$D:$D),0)+IFERROR(SUMIF(Quarterly_Impact!$B:$B,$A119,Quarterly_Impact!$D:$D),0)+IFERROR(SUMIFS(XPLog!$M:$M,XPLog!$B:$B,$A119,XPLog!$J:$J,"Admin"),0)+IFERROR(SUMIFS(XPLog!$M:$M,XPLog!$B:$B,$A119,XPLog!$J:$J,"Seeding"),0)))</f>
        <v/>
      </c>
      <c r="F119" s="27">
        <f>IF($E119="","",LOOKUP($E119, XPBands!B$2:B$10, XPBands!A$2:A$10))</f>
        <v/>
      </c>
      <c r="G119" s="27">
        <f>IF($E119="","", VLOOKUP($F119, XPBands!A$2:G$10, 4, FALSE) + MIN(VLOOKUP($F119, XPBands!A$2:G$10, 5, FALSE) - VLOOKUP($F119, XPBands!A$2:G$10, 4, FALSE), FLOOR(( $E119 - VLOOKUP($F119, XPBands!A$2:G$10, 2, FALSE) ) / VLOOKUP($F119, XPBands!A$2:G$10, 7, FALSE),1)))</f>
        <v/>
      </c>
      <c r="H119" s="27">
        <f>IF($D119="","",VLOOKUP($D119,RoleTitles!$A:$E,3,FALSE))</f>
        <v/>
      </c>
      <c r="I119" s="27">
        <f>IF($D119="","",IF($C119="Greek",VLOOKUP($D119,RoleTitles!$A:$E,4,FALSE),IF($C119="Aesir",VLOOKUP($D119,RoleTitles!$A:$E,5,FALSE),VLOOKUP($D119,RoleTitles!$A:$E,3,FALSE))))</f>
        <v/>
      </c>
      <c r="J119" s="27">
        <f>IF($D119="","",IF($E119&gt;=VLOOKUP($D119,RoleTitles!$A:$B,2,FALSE),"Yes","No"))</f>
        <v/>
      </c>
      <c r="K119" s="27">
        <f>IF($D119="","",IF($D119="T1","T2",IF($D119="T2","T3",IF($D119="T3","T4",IF($D119="T4","T5",IF($D119="T5","T6",IF($D119="T6","T7",IF($D119="T7","T8",IF($D119="T8","T9","")))))))))</f>
        <v/>
      </c>
      <c r="L119" s="28">
        <f>IF($K119="","",MAX(0,VLOOKUP($K119,RoleTitles!$A:$B,2,FALSE)-$E119))</f>
        <v/>
      </c>
    </row>
    <row r="120">
      <c r="A120" s="24">
        <f>IFERROR(INDEX(CoachRoster!$A$2:$A$1000,ROW()-1),"")</f>
        <v/>
      </c>
      <c r="B120" s="27">
        <f>IF($A120="","",VLOOKUP($A120,CoachRoster!$A:$E,2,FALSE))</f>
        <v/>
      </c>
      <c r="C120" s="27">
        <f>IF($A120="","",VLOOKUP($A120,CoachRoster!$A:$E,3,FALSE))</f>
        <v/>
      </c>
      <c r="D120" s="27">
        <f>IF($A120="","",VLOOKUP($A120,CoachRoster!$A:$E,4,FALSE))</f>
        <v/>
      </c>
      <c r="E120" s="27">
        <f>IF($A120="","",MIN(Settings!$B$8,IFERROR(SUMIF(Weekly_Coaching!$B:$B,$A120,Weekly_Coaching!$D:$D),0)+IFERROR(SUMIF(Monthly_Edu!$B:$B,$A120,Monthly_Edu!$D:$D),0)+IFERROR(SUMIF(Monthly_Ops!$B:$B,$A120,Monthly_Ops!$D:$D),0)+IFERROR(SUMIF(Monthly_Mentor!$B:$B,$A120,Monthly_Mentor!$D:$D),0)+IFERROR(SUMIF(Quarterly_Impact!$B:$B,$A120,Quarterly_Impact!$D:$D),0)+IFERROR(SUMIFS(XPLog!$M:$M,XPLog!$B:$B,$A120,XPLog!$J:$J,"Admin"),0)+IFERROR(SUMIFS(XPLog!$M:$M,XPLog!$B:$B,$A120,XPLog!$J:$J,"Seeding"),0)))</f>
        <v/>
      </c>
      <c r="F120" s="27">
        <f>IF($E120="","",LOOKUP($E120, XPBands!B$2:B$10, XPBands!A$2:A$10))</f>
        <v/>
      </c>
      <c r="G120" s="27">
        <f>IF($E120="","", VLOOKUP($F120, XPBands!A$2:G$10, 4, FALSE) + MIN(VLOOKUP($F120, XPBands!A$2:G$10, 5, FALSE) - VLOOKUP($F120, XPBands!A$2:G$10, 4, FALSE), FLOOR(( $E120 - VLOOKUP($F120, XPBands!A$2:G$10, 2, FALSE) ) / VLOOKUP($F120, XPBands!A$2:G$10, 7, FALSE),1)))</f>
        <v/>
      </c>
      <c r="H120" s="27">
        <f>IF($D120="","",VLOOKUP($D120,RoleTitles!$A:$E,3,FALSE))</f>
        <v/>
      </c>
      <c r="I120" s="27">
        <f>IF($D120="","",IF($C120="Greek",VLOOKUP($D120,RoleTitles!$A:$E,4,FALSE),IF($C120="Aesir",VLOOKUP($D120,RoleTitles!$A:$E,5,FALSE),VLOOKUP($D120,RoleTitles!$A:$E,3,FALSE))))</f>
        <v/>
      </c>
      <c r="J120" s="27">
        <f>IF($D120="","",IF($E120&gt;=VLOOKUP($D120,RoleTitles!$A:$B,2,FALSE),"Yes","No"))</f>
        <v/>
      </c>
      <c r="K120" s="27">
        <f>IF($D120="","",IF($D120="T1","T2",IF($D120="T2","T3",IF($D120="T3","T4",IF($D120="T4","T5",IF($D120="T5","T6",IF($D120="T6","T7",IF($D120="T7","T8",IF($D120="T8","T9","")))))))))</f>
        <v/>
      </c>
      <c r="L120" s="28">
        <f>IF($K120="","",MAX(0,VLOOKUP($K120,RoleTitles!$A:$B,2,FALSE)-$E120))</f>
        <v/>
      </c>
    </row>
    <row r="121">
      <c r="A121" s="24">
        <f>IFERROR(INDEX(CoachRoster!$A$2:$A$1000,ROW()-1),"")</f>
        <v/>
      </c>
      <c r="B121" s="27">
        <f>IF($A121="","",VLOOKUP($A121,CoachRoster!$A:$E,2,FALSE))</f>
        <v/>
      </c>
      <c r="C121" s="27">
        <f>IF($A121="","",VLOOKUP($A121,CoachRoster!$A:$E,3,FALSE))</f>
        <v/>
      </c>
      <c r="D121" s="27">
        <f>IF($A121="","",VLOOKUP($A121,CoachRoster!$A:$E,4,FALSE))</f>
        <v/>
      </c>
      <c r="E121" s="27">
        <f>IF($A121="","",MIN(Settings!$B$8,IFERROR(SUMIF(Weekly_Coaching!$B:$B,$A121,Weekly_Coaching!$D:$D),0)+IFERROR(SUMIF(Monthly_Edu!$B:$B,$A121,Monthly_Edu!$D:$D),0)+IFERROR(SUMIF(Monthly_Ops!$B:$B,$A121,Monthly_Ops!$D:$D),0)+IFERROR(SUMIF(Monthly_Mentor!$B:$B,$A121,Monthly_Mentor!$D:$D),0)+IFERROR(SUMIF(Quarterly_Impact!$B:$B,$A121,Quarterly_Impact!$D:$D),0)+IFERROR(SUMIFS(XPLog!$M:$M,XPLog!$B:$B,$A121,XPLog!$J:$J,"Admin"),0)+IFERROR(SUMIFS(XPLog!$M:$M,XPLog!$B:$B,$A121,XPLog!$J:$J,"Seeding"),0)))</f>
        <v/>
      </c>
      <c r="F121" s="27">
        <f>IF($E121="","",LOOKUP($E121, XPBands!B$2:B$10, XPBands!A$2:A$10))</f>
        <v/>
      </c>
      <c r="G121" s="27">
        <f>IF($E121="","", VLOOKUP($F121, XPBands!A$2:G$10, 4, FALSE) + MIN(VLOOKUP($F121, XPBands!A$2:G$10, 5, FALSE) - VLOOKUP($F121, XPBands!A$2:G$10, 4, FALSE), FLOOR(( $E121 - VLOOKUP($F121, XPBands!A$2:G$10, 2, FALSE) ) / VLOOKUP($F121, XPBands!A$2:G$10, 7, FALSE),1)))</f>
        <v/>
      </c>
      <c r="H121" s="27">
        <f>IF($D121="","",VLOOKUP($D121,RoleTitles!$A:$E,3,FALSE))</f>
        <v/>
      </c>
      <c r="I121" s="27">
        <f>IF($D121="","",IF($C121="Greek",VLOOKUP($D121,RoleTitles!$A:$E,4,FALSE),IF($C121="Aesir",VLOOKUP($D121,RoleTitles!$A:$E,5,FALSE),VLOOKUP($D121,RoleTitles!$A:$E,3,FALSE))))</f>
        <v/>
      </c>
      <c r="J121" s="27">
        <f>IF($D121="","",IF($E121&gt;=VLOOKUP($D121,RoleTitles!$A:$B,2,FALSE),"Yes","No"))</f>
        <v/>
      </c>
      <c r="K121" s="27">
        <f>IF($D121="","",IF($D121="T1","T2",IF($D121="T2","T3",IF($D121="T3","T4",IF($D121="T4","T5",IF($D121="T5","T6",IF($D121="T6","T7",IF($D121="T7","T8",IF($D121="T8","T9","")))))))))</f>
        <v/>
      </c>
      <c r="L121" s="28">
        <f>IF($K121="","",MAX(0,VLOOKUP($K121,RoleTitles!$A:$B,2,FALSE)-$E121))</f>
        <v/>
      </c>
    </row>
    <row r="122">
      <c r="A122" s="24">
        <f>IFERROR(INDEX(CoachRoster!$A$2:$A$1000,ROW()-1),"")</f>
        <v/>
      </c>
      <c r="B122" s="27">
        <f>IF($A122="","",VLOOKUP($A122,CoachRoster!$A:$E,2,FALSE))</f>
        <v/>
      </c>
      <c r="C122" s="27">
        <f>IF($A122="","",VLOOKUP($A122,CoachRoster!$A:$E,3,FALSE))</f>
        <v/>
      </c>
      <c r="D122" s="27">
        <f>IF($A122="","",VLOOKUP($A122,CoachRoster!$A:$E,4,FALSE))</f>
        <v/>
      </c>
      <c r="E122" s="27">
        <f>IF($A122="","",MIN(Settings!$B$8,IFERROR(SUMIF(Weekly_Coaching!$B:$B,$A122,Weekly_Coaching!$D:$D),0)+IFERROR(SUMIF(Monthly_Edu!$B:$B,$A122,Monthly_Edu!$D:$D),0)+IFERROR(SUMIF(Monthly_Ops!$B:$B,$A122,Monthly_Ops!$D:$D),0)+IFERROR(SUMIF(Monthly_Mentor!$B:$B,$A122,Monthly_Mentor!$D:$D),0)+IFERROR(SUMIF(Quarterly_Impact!$B:$B,$A122,Quarterly_Impact!$D:$D),0)+IFERROR(SUMIFS(XPLog!$M:$M,XPLog!$B:$B,$A122,XPLog!$J:$J,"Admin"),0)+IFERROR(SUMIFS(XPLog!$M:$M,XPLog!$B:$B,$A122,XPLog!$J:$J,"Seeding"),0)))</f>
        <v/>
      </c>
      <c r="F122" s="27">
        <f>IF($E122="","",LOOKUP($E122, XPBands!B$2:B$10, XPBands!A$2:A$10))</f>
        <v/>
      </c>
      <c r="G122" s="27">
        <f>IF($E122="","", VLOOKUP($F122, XPBands!A$2:G$10, 4, FALSE) + MIN(VLOOKUP($F122, XPBands!A$2:G$10, 5, FALSE) - VLOOKUP($F122, XPBands!A$2:G$10, 4, FALSE), FLOOR(( $E122 - VLOOKUP($F122, XPBands!A$2:G$10, 2, FALSE) ) / VLOOKUP($F122, XPBands!A$2:G$10, 7, FALSE),1)))</f>
        <v/>
      </c>
      <c r="H122" s="27">
        <f>IF($D122="","",VLOOKUP($D122,RoleTitles!$A:$E,3,FALSE))</f>
        <v/>
      </c>
      <c r="I122" s="27">
        <f>IF($D122="","",IF($C122="Greek",VLOOKUP($D122,RoleTitles!$A:$E,4,FALSE),IF($C122="Aesir",VLOOKUP($D122,RoleTitles!$A:$E,5,FALSE),VLOOKUP($D122,RoleTitles!$A:$E,3,FALSE))))</f>
        <v/>
      </c>
      <c r="J122" s="27">
        <f>IF($D122="","",IF($E122&gt;=VLOOKUP($D122,RoleTitles!$A:$B,2,FALSE),"Yes","No"))</f>
        <v/>
      </c>
      <c r="K122" s="27">
        <f>IF($D122="","",IF($D122="T1","T2",IF($D122="T2","T3",IF($D122="T3","T4",IF($D122="T4","T5",IF($D122="T5","T6",IF($D122="T6","T7",IF($D122="T7","T8",IF($D122="T8","T9","")))))))))</f>
        <v/>
      </c>
      <c r="L122" s="28">
        <f>IF($K122="","",MAX(0,VLOOKUP($K122,RoleTitles!$A:$B,2,FALSE)-$E122))</f>
        <v/>
      </c>
    </row>
    <row r="123">
      <c r="A123" s="24">
        <f>IFERROR(INDEX(CoachRoster!$A$2:$A$1000,ROW()-1),"")</f>
        <v/>
      </c>
      <c r="B123" s="27">
        <f>IF($A123="","",VLOOKUP($A123,CoachRoster!$A:$E,2,FALSE))</f>
        <v/>
      </c>
      <c r="C123" s="27">
        <f>IF($A123="","",VLOOKUP($A123,CoachRoster!$A:$E,3,FALSE))</f>
        <v/>
      </c>
      <c r="D123" s="27">
        <f>IF($A123="","",VLOOKUP($A123,CoachRoster!$A:$E,4,FALSE))</f>
        <v/>
      </c>
      <c r="E123" s="27">
        <f>IF($A123="","",MIN(Settings!$B$8,IFERROR(SUMIF(Weekly_Coaching!$B:$B,$A123,Weekly_Coaching!$D:$D),0)+IFERROR(SUMIF(Monthly_Edu!$B:$B,$A123,Monthly_Edu!$D:$D),0)+IFERROR(SUMIF(Monthly_Ops!$B:$B,$A123,Monthly_Ops!$D:$D),0)+IFERROR(SUMIF(Monthly_Mentor!$B:$B,$A123,Monthly_Mentor!$D:$D),0)+IFERROR(SUMIF(Quarterly_Impact!$B:$B,$A123,Quarterly_Impact!$D:$D),0)+IFERROR(SUMIFS(XPLog!$M:$M,XPLog!$B:$B,$A123,XPLog!$J:$J,"Admin"),0)+IFERROR(SUMIFS(XPLog!$M:$M,XPLog!$B:$B,$A123,XPLog!$J:$J,"Seeding"),0)))</f>
        <v/>
      </c>
      <c r="F123" s="27">
        <f>IF($E123="","",LOOKUP($E123, XPBands!B$2:B$10, XPBands!A$2:A$10))</f>
        <v/>
      </c>
      <c r="G123" s="27">
        <f>IF($E123="","", VLOOKUP($F123, XPBands!A$2:G$10, 4, FALSE) + MIN(VLOOKUP($F123, XPBands!A$2:G$10, 5, FALSE) - VLOOKUP($F123, XPBands!A$2:G$10, 4, FALSE), FLOOR(( $E123 - VLOOKUP($F123, XPBands!A$2:G$10, 2, FALSE) ) / VLOOKUP($F123, XPBands!A$2:G$10, 7, FALSE),1)))</f>
        <v/>
      </c>
      <c r="H123" s="27">
        <f>IF($D123="","",VLOOKUP($D123,RoleTitles!$A:$E,3,FALSE))</f>
        <v/>
      </c>
      <c r="I123" s="27">
        <f>IF($D123="","",IF($C123="Greek",VLOOKUP($D123,RoleTitles!$A:$E,4,FALSE),IF($C123="Aesir",VLOOKUP($D123,RoleTitles!$A:$E,5,FALSE),VLOOKUP($D123,RoleTitles!$A:$E,3,FALSE))))</f>
        <v/>
      </c>
      <c r="J123" s="27">
        <f>IF($D123="","",IF($E123&gt;=VLOOKUP($D123,RoleTitles!$A:$B,2,FALSE),"Yes","No"))</f>
        <v/>
      </c>
      <c r="K123" s="27">
        <f>IF($D123="","",IF($D123="T1","T2",IF($D123="T2","T3",IF($D123="T3","T4",IF($D123="T4","T5",IF($D123="T5","T6",IF($D123="T6","T7",IF($D123="T7","T8",IF($D123="T8","T9","")))))))))</f>
        <v/>
      </c>
      <c r="L123" s="28">
        <f>IF($K123="","",MAX(0,VLOOKUP($K123,RoleTitles!$A:$B,2,FALSE)-$E123))</f>
        <v/>
      </c>
    </row>
    <row r="124">
      <c r="A124" s="24">
        <f>IFERROR(INDEX(CoachRoster!$A$2:$A$1000,ROW()-1),"")</f>
        <v/>
      </c>
      <c r="B124" s="27">
        <f>IF($A124="","",VLOOKUP($A124,CoachRoster!$A:$E,2,FALSE))</f>
        <v/>
      </c>
      <c r="C124" s="27">
        <f>IF($A124="","",VLOOKUP($A124,CoachRoster!$A:$E,3,FALSE))</f>
        <v/>
      </c>
      <c r="D124" s="27">
        <f>IF($A124="","",VLOOKUP($A124,CoachRoster!$A:$E,4,FALSE))</f>
        <v/>
      </c>
      <c r="E124" s="27">
        <f>IF($A124="","",MIN(Settings!$B$8,IFERROR(SUMIF(Weekly_Coaching!$B:$B,$A124,Weekly_Coaching!$D:$D),0)+IFERROR(SUMIF(Monthly_Edu!$B:$B,$A124,Monthly_Edu!$D:$D),0)+IFERROR(SUMIF(Monthly_Ops!$B:$B,$A124,Monthly_Ops!$D:$D),0)+IFERROR(SUMIF(Monthly_Mentor!$B:$B,$A124,Monthly_Mentor!$D:$D),0)+IFERROR(SUMIF(Quarterly_Impact!$B:$B,$A124,Quarterly_Impact!$D:$D),0)+IFERROR(SUMIFS(XPLog!$M:$M,XPLog!$B:$B,$A124,XPLog!$J:$J,"Admin"),0)+IFERROR(SUMIFS(XPLog!$M:$M,XPLog!$B:$B,$A124,XPLog!$J:$J,"Seeding"),0)))</f>
        <v/>
      </c>
      <c r="F124" s="27">
        <f>IF($E124="","",LOOKUP($E124, XPBands!B$2:B$10, XPBands!A$2:A$10))</f>
        <v/>
      </c>
      <c r="G124" s="27">
        <f>IF($E124="","", VLOOKUP($F124, XPBands!A$2:G$10, 4, FALSE) + MIN(VLOOKUP($F124, XPBands!A$2:G$10, 5, FALSE) - VLOOKUP($F124, XPBands!A$2:G$10, 4, FALSE), FLOOR(( $E124 - VLOOKUP($F124, XPBands!A$2:G$10, 2, FALSE) ) / VLOOKUP($F124, XPBands!A$2:G$10, 7, FALSE),1)))</f>
        <v/>
      </c>
      <c r="H124" s="27">
        <f>IF($D124="","",VLOOKUP($D124,RoleTitles!$A:$E,3,FALSE))</f>
        <v/>
      </c>
      <c r="I124" s="27">
        <f>IF($D124="","",IF($C124="Greek",VLOOKUP($D124,RoleTitles!$A:$E,4,FALSE),IF($C124="Aesir",VLOOKUP($D124,RoleTitles!$A:$E,5,FALSE),VLOOKUP($D124,RoleTitles!$A:$E,3,FALSE))))</f>
        <v/>
      </c>
      <c r="J124" s="27">
        <f>IF($D124="","",IF($E124&gt;=VLOOKUP($D124,RoleTitles!$A:$B,2,FALSE),"Yes","No"))</f>
        <v/>
      </c>
      <c r="K124" s="27">
        <f>IF($D124="","",IF($D124="T1","T2",IF($D124="T2","T3",IF($D124="T3","T4",IF($D124="T4","T5",IF($D124="T5","T6",IF($D124="T6","T7",IF($D124="T7","T8",IF($D124="T8","T9","")))))))))</f>
        <v/>
      </c>
      <c r="L124" s="28">
        <f>IF($K124="","",MAX(0,VLOOKUP($K124,RoleTitles!$A:$B,2,FALSE)-$E124))</f>
        <v/>
      </c>
    </row>
    <row r="125">
      <c r="A125" s="24">
        <f>IFERROR(INDEX(CoachRoster!$A$2:$A$1000,ROW()-1),"")</f>
        <v/>
      </c>
      <c r="B125" s="27">
        <f>IF($A125="","",VLOOKUP($A125,CoachRoster!$A:$E,2,FALSE))</f>
        <v/>
      </c>
      <c r="C125" s="27">
        <f>IF($A125="","",VLOOKUP($A125,CoachRoster!$A:$E,3,FALSE))</f>
        <v/>
      </c>
      <c r="D125" s="27">
        <f>IF($A125="","",VLOOKUP($A125,CoachRoster!$A:$E,4,FALSE))</f>
        <v/>
      </c>
      <c r="E125" s="27">
        <f>IF($A125="","",MIN(Settings!$B$8,IFERROR(SUMIF(Weekly_Coaching!$B:$B,$A125,Weekly_Coaching!$D:$D),0)+IFERROR(SUMIF(Monthly_Edu!$B:$B,$A125,Monthly_Edu!$D:$D),0)+IFERROR(SUMIF(Monthly_Ops!$B:$B,$A125,Monthly_Ops!$D:$D),0)+IFERROR(SUMIF(Monthly_Mentor!$B:$B,$A125,Monthly_Mentor!$D:$D),0)+IFERROR(SUMIF(Quarterly_Impact!$B:$B,$A125,Quarterly_Impact!$D:$D),0)+IFERROR(SUMIFS(XPLog!$M:$M,XPLog!$B:$B,$A125,XPLog!$J:$J,"Admin"),0)+IFERROR(SUMIFS(XPLog!$M:$M,XPLog!$B:$B,$A125,XPLog!$J:$J,"Seeding"),0)))</f>
        <v/>
      </c>
      <c r="F125" s="27">
        <f>IF($E125="","",LOOKUP($E125, XPBands!B$2:B$10, XPBands!A$2:A$10))</f>
        <v/>
      </c>
      <c r="G125" s="27">
        <f>IF($E125="","", VLOOKUP($F125, XPBands!A$2:G$10, 4, FALSE) + MIN(VLOOKUP($F125, XPBands!A$2:G$10, 5, FALSE) - VLOOKUP($F125, XPBands!A$2:G$10, 4, FALSE), FLOOR(( $E125 - VLOOKUP($F125, XPBands!A$2:G$10, 2, FALSE) ) / VLOOKUP($F125, XPBands!A$2:G$10, 7, FALSE),1)))</f>
        <v/>
      </c>
      <c r="H125" s="27">
        <f>IF($D125="","",VLOOKUP($D125,RoleTitles!$A:$E,3,FALSE))</f>
        <v/>
      </c>
      <c r="I125" s="27">
        <f>IF($D125="","",IF($C125="Greek",VLOOKUP($D125,RoleTitles!$A:$E,4,FALSE),IF($C125="Aesir",VLOOKUP($D125,RoleTitles!$A:$E,5,FALSE),VLOOKUP($D125,RoleTitles!$A:$E,3,FALSE))))</f>
        <v/>
      </c>
      <c r="J125" s="27">
        <f>IF($D125="","",IF($E125&gt;=VLOOKUP($D125,RoleTitles!$A:$B,2,FALSE),"Yes","No"))</f>
        <v/>
      </c>
      <c r="K125" s="27">
        <f>IF($D125="","",IF($D125="T1","T2",IF($D125="T2","T3",IF($D125="T3","T4",IF($D125="T4","T5",IF($D125="T5","T6",IF($D125="T6","T7",IF($D125="T7","T8",IF($D125="T8","T9","")))))))))</f>
        <v/>
      </c>
      <c r="L125" s="28">
        <f>IF($K125="","",MAX(0,VLOOKUP($K125,RoleTitles!$A:$B,2,FALSE)-$E125))</f>
        <v/>
      </c>
    </row>
    <row r="126">
      <c r="A126" s="24">
        <f>IFERROR(INDEX(CoachRoster!$A$2:$A$1000,ROW()-1),"")</f>
        <v/>
      </c>
      <c r="B126" s="27">
        <f>IF($A126="","",VLOOKUP($A126,CoachRoster!$A:$E,2,FALSE))</f>
        <v/>
      </c>
      <c r="C126" s="27">
        <f>IF($A126="","",VLOOKUP($A126,CoachRoster!$A:$E,3,FALSE))</f>
        <v/>
      </c>
      <c r="D126" s="27">
        <f>IF($A126="","",VLOOKUP($A126,CoachRoster!$A:$E,4,FALSE))</f>
        <v/>
      </c>
      <c r="E126" s="27">
        <f>IF($A126="","",MIN(Settings!$B$8,IFERROR(SUMIF(Weekly_Coaching!$B:$B,$A126,Weekly_Coaching!$D:$D),0)+IFERROR(SUMIF(Monthly_Edu!$B:$B,$A126,Monthly_Edu!$D:$D),0)+IFERROR(SUMIF(Monthly_Ops!$B:$B,$A126,Monthly_Ops!$D:$D),0)+IFERROR(SUMIF(Monthly_Mentor!$B:$B,$A126,Monthly_Mentor!$D:$D),0)+IFERROR(SUMIF(Quarterly_Impact!$B:$B,$A126,Quarterly_Impact!$D:$D),0)+IFERROR(SUMIFS(XPLog!$M:$M,XPLog!$B:$B,$A126,XPLog!$J:$J,"Admin"),0)+IFERROR(SUMIFS(XPLog!$M:$M,XPLog!$B:$B,$A126,XPLog!$J:$J,"Seeding"),0)))</f>
        <v/>
      </c>
      <c r="F126" s="27">
        <f>IF($E126="","",LOOKUP($E126, XPBands!B$2:B$10, XPBands!A$2:A$10))</f>
        <v/>
      </c>
      <c r="G126" s="27">
        <f>IF($E126="","", VLOOKUP($F126, XPBands!A$2:G$10, 4, FALSE) + MIN(VLOOKUP($F126, XPBands!A$2:G$10, 5, FALSE) - VLOOKUP($F126, XPBands!A$2:G$10, 4, FALSE), FLOOR(( $E126 - VLOOKUP($F126, XPBands!A$2:G$10, 2, FALSE) ) / VLOOKUP($F126, XPBands!A$2:G$10, 7, FALSE),1)))</f>
        <v/>
      </c>
      <c r="H126" s="27">
        <f>IF($D126="","",VLOOKUP($D126,RoleTitles!$A:$E,3,FALSE))</f>
        <v/>
      </c>
      <c r="I126" s="27">
        <f>IF($D126="","",IF($C126="Greek",VLOOKUP($D126,RoleTitles!$A:$E,4,FALSE),IF($C126="Aesir",VLOOKUP($D126,RoleTitles!$A:$E,5,FALSE),VLOOKUP($D126,RoleTitles!$A:$E,3,FALSE))))</f>
        <v/>
      </c>
      <c r="J126" s="27">
        <f>IF($D126="","",IF($E126&gt;=VLOOKUP($D126,RoleTitles!$A:$B,2,FALSE),"Yes","No"))</f>
        <v/>
      </c>
      <c r="K126" s="27">
        <f>IF($D126="","",IF($D126="T1","T2",IF($D126="T2","T3",IF($D126="T3","T4",IF($D126="T4","T5",IF($D126="T5","T6",IF($D126="T6","T7",IF($D126="T7","T8",IF($D126="T8","T9","")))))))))</f>
        <v/>
      </c>
      <c r="L126" s="28">
        <f>IF($K126="","",MAX(0,VLOOKUP($K126,RoleTitles!$A:$B,2,FALSE)-$E126))</f>
        <v/>
      </c>
    </row>
    <row r="127">
      <c r="A127" s="24">
        <f>IFERROR(INDEX(CoachRoster!$A$2:$A$1000,ROW()-1),"")</f>
        <v/>
      </c>
      <c r="B127" s="27">
        <f>IF($A127="","",VLOOKUP($A127,CoachRoster!$A:$E,2,FALSE))</f>
        <v/>
      </c>
      <c r="C127" s="27">
        <f>IF($A127="","",VLOOKUP($A127,CoachRoster!$A:$E,3,FALSE))</f>
        <v/>
      </c>
      <c r="D127" s="27">
        <f>IF($A127="","",VLOOKUP($A127,CoachRoster!$A:$E,4,FALSE))</f>
        <v/>
      </c>
      <c r="E127" s="27">
        <f>IF($A127="","",MIN(Settings!$B$8,IFERROR(SUMIF(Weekly_Coaching!$B:$B,$A127,Weekly_Coaching!$D:$D),0)+IFERROR(SUMIF(Monthly_Edu!$B:$B,$A127,Monthly_Edu!$D:$D),0)+IFERROR(SUMIF(Monthly_Ops!$B:$B,$A127,Monthly_Ops!$D:$D),0)+IFERROR(SUMIF(Monthly_Mentor!$B:$B,$A127,Monthly_Mentor!$D:$D),0)+IFERROR(SUMIF(Quarterly_Impact!$B:$B,$A127,Quarterly_Impact!$D:$D),0)+IFERROR(SUMIFS(XPLog!$M:$M,XPLog!$B:$B,$A127,XPLog!$J:$J,"Admin"),0)+IFERROR(SUMIFS(XPLog!$M:$M,XPLog!$B:$B,$A127,XPLog!$J:$J,"Seeding"),0)))</f>
        <v/>
      </c>
      <c r="F127" s="27">
        <f>IF($E127="","",LOOKUP($E127, XPBands!B$2:B$10, XPBands!A$2:A$10))</f>
        <v/>
      </c>
      <c r="G127" s="27">
        <f>IF($E127="","", VLOOKUP($F127, XPBands!A$2:G$10, 4, FALSE) + MIN(VLOOKUP($F127, XPBands!A$2:G$10, 5, FALSE) - VLOOKUP($F127, XPBands!A$2:G$10, 4, FALSE), FLOOR(( $E127 - VLOOKUP($F127, XPBands!A$2:G$10, 2, FALSE) ) / VLOOKUP($F127, XPBands!A$2:G$10, 7, FALSE),1)))</f>
        <v/>
      </c>
      <c r="H127" s="27">
        <f>IF($D127="","",VLOOKUP($D127,RoleTitles!$A:$E,3,FALSE))</f>
        <v/>
      </c>
      <c r="I127" s="27">
        <f>IF($D127="","",IF($C127="Greek",VLOOKUP($D127,RoleTitles!$A:$E,4,FALSE),IF($C127="Aesir",VLOOKUP($D127,RoleTitles!$A:$E,5,FALSE),VLOOKUP($D127,RoleTitles!$A:$E,3,FALSE))))</f>
        <v/>
      </c>
      <c r="J127" s="27">
        <f>IF($D127="","",IF($E127&gt;=VLOOKUP($D127,RoleTitles!$A:$B,2,FALSE),"Yes","No"))</f>
        <v/>
      </c>
      <c r="K127" s="27">
        <f>IF($D127="","",IF($D127="T1","T2",IF($D127="T2","T3",IF($D127="T3","T4",IF($D127="T4","T5",IF($D127="T5","T6",IF($D127="T6","T7",IF($D127="T7","T8",IF($D127="T8","T9","")))))))))</f>
        <v/>
      </c>
      <c r="L127" s="28">
        <f>IF($K127="","",MAX(0,VLOOKUP($K127,RoleTitles!$A:$B,2,FALSE)-$E127))</f>
        <v/>
      </c>
    </row>
    <row r="128">
      <c r="A128" s="24">
        <f>IFERROR(INDEX(CoachRoster!$A$2:$A$1000,ROW()-1),"")</f>
        <v/>
      </c>
      <c r="B128" s="27">
        <f>IF($A128="","",VLOOKUP($A128,CoachRoster!$A:$E,2,FALSE))</f>
        <v/>
      </c>
      <c r="C128" s="27">
        <f>IF($A128="","",VLOOKUP($A128,CoachRoster!$A:$E,3,FALSE))</f>
        <v/>
      </c>
      <c r="D128" s="27">
        <f>IF($A128="","",VLOOKUP($A128,CoachRoster!$A:$E,4,FALSE))</f>
        <v/>
      </c>
      <c r="E128" s="27">
        <f>IF($A128="","",MIN(Settings!$B$8,IFERROR(SUMIF(Weekly_Coaching!$B:$B,$A128,Weekly_Coaching!$D:$D),0)+IFERROR(SUMIF(Monthly_Edu!$B:$B,$A128,Monthly_Edu!$D:$D),0)+IFERROR(SUMIF(Monthly_Ops!$B:$B,$A128,Monthly_Ops!$D:$D),0)+IFERROR(SUMIF(Monthly_Mentor!$B:$B,$A128,Monthly_Mentor!$D:$D),0)+IFERROR(SUMIF(Quarterly_Impact!$B:$B,$A128,Quarterly_Impact!$D:$D),0)+IFERROR(SUMIFS(XPLog!$M:$M,XPLog!$B:$B,$A128,XPLog!$J:$J,"Admin"),0)+IFERROR(SUMIFS(XPLog!$M:$M,XPLog!$B:$B,$A128,XPLog!$J:$J,"Seeding"),0)))</f>
        <v/>
      </c>
      <c r="F128" s="27">
        <f>IF($E128="","",LOOKUP($E128, XPBands!B$2:B$10, XPBands!A$2:A$10))</f>
        <v/>
      </c>
      <c r="G128" s="27">
        <f>IF($E128="","", VLOOKUP($F128, XPBands!A$2:G$10, 4, FALSE) + MIN(VLOOKUP($F128, XPBands!A$2:G$10, 5, FALSE) - VLOOKUP($F128, XPBands!A$2:G$10, 4, FALSE), FLOOR(( $E128 - VLOOKUP($F128, XPBands!A$2:G$10, 2, FALSE) ) / VLOOKUP($F128, XPBands!A$2:G$10, 7, FALSE),1)))</f>
        <v/>
      </c>
      <c r="H128" s="27">
        <f>IF($D128="","",VLOOKUP($D128,RoleTitles!$A:$E,3,FALSE))</f>
        <v/>
      </c>
      <c r="I128" s="27">
        <f>IF($D128="","",IF($C128="Greek",VLOOKUP($D128,RoleTitles!$A:$E,4,FALSE),IF($C128="Aesir",VLOOKUP($D128,RoleTitles!$A:$E,5,FALSE),VLOOKUP($D128,RoleTitles!$A:$E,3,FALSE))))</f>
        <v/>
      </c>
      <c r="J128" s="27">
        <f>IF($D128="","",IF($E128&gt;=VLOOKUP($D128,RoleTitles!$A:$B,2,FALSE),"Yes","No"))</f>
        <v/>
      </c>
      <c r="K128" s="27">
        <f>IF($D128="","",IF($D128="T1","T2",IF($D128="T2","T3",IF($D128="T3","T4",IF($D128="T4","T5",IF($D128="T5","T6",IF($D128="T6","T7",IF($D128="T7","T8",IF($D128="T8","T9","")))))))))</f>
        <v/>
      </c>
      <c r="L128" s="28">
        <f>IF($K128="","",MAX(0,VLOOKUP($K128,RoleTitles!$A:$B,2,FALSE)-$E128))</f>
        <v/>
      </c>
    </row>
    <row r="129">
      <c r="A129" s="24">
        <f>IFERROR(INDEX(CoachRoster!$A$2:$A$1000,ROW()-1),"")</f>
        <v/>
      </c>
      <c r="B129" s="27">
        <f>IF($A129="","",VLOOKUP($A129,CoachRoster!$A:$E,2,FALSE))</f>
        <v/>
      </c>
      <c r="C129" s="27">
        <f>IF($A129="","",VLOOKUP($A129,CoachRoster!$A:$E,3,FALSE))</f>
        <v/>
      </c>
      <c r="D129" s="27">
        <f>IF($A129="","",VLOOKUP($A129,CoachRoster!$A:$E,4,FALSE))</f>
        <v/>
      </c>
      <c r="E129" s="27">
        <f>IF($A129="","",MIN(Settings!$B$8,IFERROR(SUMIF(Weekly_Coaching!$B:$B,$A129,Weekly_Coaching!$D:$D),0)+IFERROR(SUMIF(Monthly_Edu!$B:$B,$A129,Monthly_Edu!$D:$D),0)+IFERROR(SUMIF(Monthly_Ops!$B:$B,$A129,Monthly_Ops!$D:$D),0)+IFERROR(SUMIF(Monthly_Mentor!$B:$B,$A129,Monthly_Mentor!$D:$D),0)+IFERROR(SUMIF(Quarterly_Impact!$B:$B,$A129,Quarterly_Impact!$D:$D),0)+IFERROR(SUMIFS(XPLog!$M:$M,XPLog!$B:$B,$A129,XPLog!$J:$J,"Admin"),0)+IFERROR(SUMIFS(XPLog!$M:$M,XPLog!$B:$B,$A129,XPLog!$J:$J,"Seeding"),0)))</f>
        <v/>
      </c>
      <c r="F129" s="27">
        <f>IF($E129="","",LOOKUP($E129, XPBands!B$2:B$10, XPBands!A$2:A$10))</f>
        <v/>
      </c>
      <c r="G129" s="27">
        <f>IF($E129="","", VLOOKUP($F129, XPBands!A$2:G$10, 4, FALSE) + MIN(VLOOKUP($F129, XPBands!A$2:G$10, 5, FALSE) - VLOOKUP($F129, XPBands!A$2:G$10, 4, FALSE), FLOOR(( $E129 - VLOOKUP($F129, XPBands!A$2:G$10, 2, FALSE) ) / VLOOKUP($F129, XPBands!A$2:G$10, 7, FALSE),1)))</f>
        <v/>
      </c>
      <c r="H129" s="27">
        <f>IF($D129="","",VLOOKUP($D129,RoleTitles!$A:$E,3,FALSE))</f>
        <v/>
      </c>
      <c r="I129" s="27">
        <f>IF($D129="","",IF($C129="Greek",VLOOKUP($D129,RoleTitles!$A:$E,4,FALSE),IF($C129="Aesir",VLOOKUP($D129,RoleTitles!$A:$E,5,FALSE),VLOOKUP($D129,RoleTitles!$A:$E,3,FALSE))))</f>
        <v/>
      </c>
      <c r="J129" s="27">
        <f>IF($D129="","",IF($E129&gt;=VLOOKUP($D129,RoleTitles!$A:$B,2,FALSE),"Yes","No"))</f>
        <v/>
      </c>
      <c r="K129" s="27">
        <f>IF($D129="","",IF($D129="T1","T2",IF($D129="T2","T3",IF($D129="T3","T4",IF($D129="T4","T5",IF($D129="T5","T6",IF($D129="T6","T7",IF($D129="T7","T8",IF($D129="T8","T9","")))))))))</f>
        <v/>
      </c>
      <c r="L129" s="28">
        <f>IF($K129="","",MAX(0,VLOOKUP($K129,RoleTitles!$A:$B,2,FALSE)-$E129))</f>
        <v/>
      </c>
    </row>
    <row r="130">
      <c r="A130" s="24">
        <f>IFERROR(INDEX(CoachRoster!$A$2:$A$1000,ROW()-1),"")</f>
        <v/>
      </c>
      <c r="B130" s="27">
        <f>IF($A130="","",VLOOKUP($A130,CoachRoster!$A:$E,2,FALSE))</f>
        <v/>
      </c>
      <c r="C130" s="27">
        <f>IF($A130="","",VLOOKUP($A130,CoachRoster!$A:$E,3,FALSE))</f>
        <v/>
      </c>
      <c r="D130" s="27">
        <f>IF($A130="","",VLOOKUP($A130,CoachRoster!$A:$E,4,FALSE))</f>
        <v/>
      </c>
      <c r="E130" s="27">
        <f>IF($A130="","",MIN(Settings!$B$8,IFERROR(SUMIF(Weekly_Coaching!$B:$B,$A130,Weekly_Coaching!$D:$D),0)+IFERROR(SUMIF(Monthly_Edu!$B:$B,$A130,Monthly_Edu!$D:$D),0)+IFERROR(SUMIF(Monthly_Ops!$B:$B,$A130,Monthly_Ops!$D:$D),0)+IFERROR(SUMIF(Monthly_Mentor!$B:$B,$A130,Monthly_Mentor!$D:$D),0)+IFERROR(SUMIF(Quarterly_Impact!$B:$B,$A130,Quarterly_Impact!$D:$D),0)+IFERROR(SUMIFS(XPLog!$M:$M,XPLog!$B:$B,$A130,XPLog!$J:$J,"Admin"),0)+IFERROR(SUMIFS(XPLog!$M:$M,XPLog!$B:$B,$A130,XPLog!$J:$J,"Seeding"),0)))</f>
        <v/>
      </c>
      <c r="F130" s="27">
        <f>IF($E130="","",LOOKUP($E130, XPBands!B$2:B$10, XPBands!A$2:A$10))</f>
        <v/>
      </c>
      <c r="G130" s="27">
        <f>IF($E130="","", VLOOKUP($F130, XPBands!A$2:G$10, 4, FALSE) + MIN(VLOOKUP($F130, XPBands!A$2:G$10, 5, FALSE) - VLOOKUP($F130, XPBands!A$2:G$10, 4, FALSE), FLOOR(( $E130 - VLOOKUP($F130, XPBands!A$2:G$10, 2, FALSE) ) / VLOOKUP($F130, XPBands!A$2:G$10, 7, FALSE),1)))</f>
        <v/>
      </c>
      <c r="H130" s="27">
        <f>IF($D130="","",VLOOKUP($D130,RoleTitles!$A:$E,3,FALSE))</f>
        <v/>
      </c>
      <c r="I130" s="27">
        <f>IF($D130="","",IF($C130="Greek",VLOOKUP($D130,RoleTitles!$A:$E,4,FALSE),IF($C130="Aesir",VLOOKUP($D130,RoleTitles!$A:$E,5,FALSE),VLOOKUP($D130,RoleTitles!$A:$E,3,FALSE))))</f>
        <v/>
      </c>
      <c r="J130" s="27">
        <f>IF($D130="","",IF($E130&gt;=VLOOKUP($D130,RoleTitles!$A:$B,2,FALSE),"Yes","No"))</f>
        <v/>
      </c>
      <c r="K130" s="27">
        <f>IF($D130="","",IF($D130="T1","T2",IF($D130="T2","T3",IF($D130="T3","T4",IF($D130="T4","T5",IF($D130="T5","T6",IF($D130="T6","T7",IF($D130="T7","T8",IF($D130="T8","T9","")))))))))</f>
        <v/>
      </c>
      <c r="L130" s="28">
        <f>IF($K130="","",MAX(0,VLOOKUP($K130,RoleTitles!$A:$B,2,FALSE)-$E130))</f>
        <v/>
      </c>
    </row>
    <row r="131">
      <c r="A131" s="24">
        <f>IFERROR(INDEX(CoachRoster!$A$2:$A$1000,ROW()-1),"")</f>
        <v/>
      </c>
      <c r="B131" s="27">
        <f>IF($A131="","",VLOOKUP($A131,CoachRoster!$A:$E,2,FALSE))</f>
        <v/>
      </c>
      <c r="C131" s="27">
        <f>IF($A131="","",VLOOKUP($A131,CoachRoster!$A:$E,3,FALSE))</f>
        <v/>
      </c>
      <c r="D131" s="27">
        <f>IF($A131="","",VLOOKUP($A131,CoachRoster!$A:$E,4,FALSE))</f>
        <v/>
      </c>
      <c r="E131" s="27">
        <f>IF($A131="","",MIN(Settings!$B$8,IFERROR(SUMIF(Weekly_Coaching!$B:$B,$A131,Weekly_Coaching!$D:$D),0)+IFERROR(SUMIF(Monthly_Edu!$B:$B,$A131,Monthly_Edu!$D:$D),0)+IFERROR(SUMIF(Monthly_Ops!$B:$B,$A131,Monthly_Ops!$D:$D),0)+IFERROR(SUMIF(Monthly_Mentor!$B:$B,$A131,Monthly_Mentor!$D:$D),0)+IFERROR(SUMIF(Quarterly_Impact!$B:$B,$A131,Quarterly_Impact!$D:$D),0)+IFERROR(SUMIFS(XPLog!$M:$M,XPLog!$B:$B,$A131,XPLog!$J:$J,"Admin"),0)+IFERROR(SUMIFS(XPLog!$M:$M,XPLog!$B:$B,$A131,XPLog!$J:$J,"Seeding"),0)))</f>
        <v/>
      </c>
      <c r="F131" s="27">
        <f>IF($E131="","",LOOKUP($E131, XPBands!B$2:B$10, XPBands!A$2:A$10))</f>
        <v/>
      </c>
      <c r="G131" s="27">
        <f>IF($E131="","", VLOOKUP($F131, XPBands!A$2:G$10, 4, FALSE) + MIN(VLOOKUP($F131, XPBands!A$2:G$10, 5, FALSE) - VLOOKUP($F131, XPBands!A$2:G$10, 4, FALSE), FLOOR(( $E131 - VLOOKUP($F131, XPBands!A$2:G$10, 2, FALSE) ) / VLOOKUP($F131, XPBands!A$2:G$10, 7, FALSE),1)))</f>
        <v/>
      </c>
      <c r="H131" s="27">
        <f>IF($D131="","",VLOOKUP($D131,RoleTitles!$A:$E,3,FALSE))</f>
        <v/>
      </c>
      <c r="I131" s="27">
        <f>IF($D131="","",IF($C131="Greek",VLOOKUP($D131,RoleTitles!$A:$E,4,FALSE),IF($C131="Aesir",VLOOKUP($D131,RoleTitles!$A:$E,5,FALSE),VLOOKUP($D131,RoleTitles!$A:$E,3,FALSE))))</f>
        <v/>
      </c>
      <c r="J131" s="27">
        <f>IF($D131="","",IF($E131&gt;=VLOOKUP($D131,RoleTitles!$A:$B,2,FALSE),"Yes","No"))</f>
        <v/>
      </c>
      <c r="K131" s="27">
        <f>IF($D131="","",IF($D131="T1","T2",IF($D131="T2","T3",IF($D131="T3","T4",IF($D131="T4","T5",IF($D131="T5","T6",IF($D131="T6","T7",IF($D131="T7","T8",IF($D131="T8","T9","")))))))))</f>
        <v/>
      </c>
      <c r="L131" s="28">
        <f>IF($K131="","",MAX(0,VLOOKUP($K131,RoleTitles!$A:$B,2,FALSE)-$E131))</f>
        <v/>
      </c>
    </row>
    <row r="132">
      <c r="A132" s="24">
        <f>IFERROR(INDEX(CoachRoster!$A$2:$A$1000,ROW()-1),"")</f>
        <v/>
      </c>
      <c r="B132" s="27">
        <f>IF($A132="","",VLOOKUP($A132,CoachRoster!$A:$E,2,FALSE))</f>
        <v/>
      </c>
      <c r="C132" s="27">
        <f>IF($A132="","",VLOOKUP($A132,CoachRoster!$A:$E,3,FALSE))</f>
        <v/>
      </c>
      <c r="D132" s="27">
        <f>IF($A132="","",VLOOKUP($A132,CoachRoster!$A:$E,4,FALSE))</f>
        <v/>
      </c>
      <c r="E132" s="27">
        <f>IF($A132="","",MIN(Settings!$B$8,IFERROR(SUMIF(Weekly_Coaching!$B:$B,$A132,Weekly_Coaching!$D:$D),0)+IFERROR(SUMIF(Monthly_Edu!$B:$B,$A132,Monthly_Edu!$D:$D),0)+IFERROR(SUMIF(Monthly_Ops!$B:$B,$A132,Monthly_Ops!$D:$D),0)+IFERROR(SUMIF(Monthly_Mentor!$B:$B,$A132,Monthly_Mentor!$D:$D),0)+IFERROR(SUMIF(Quarterly_Impact!$B:$B,$A132,Quarterly_Impact!$D:$D),0)+IFERROR(SUMIFS(XPLog!$M:$M,XPLog!$B:$B,$A132,XPLog!$J:$J,"Admin"),0)+IFERROR(SUMIFS(XPLog!$M:$M,XPLog!$B:$B,$A132,XPLog!$J:$J,"Seeding"),0)))</f>
        <v/>
      </c>
      <c r="F132" s="27">
        <f>IF($E132="","",LOOKUP($E132, XPBands!B$2:B$10, XPBands!A$2:A$10))</f>
        <v/>
      </c>
      <c r="G132" s="27">
        <f>IF($E132="","", VLOOKUP($F132, XPBands!A$2:G$10, 4, FALSE) + MIN(VLOOKUP($F132, XPBands!A$2:G$10, 5, FALSE) - VLOOKUP($F132, XPBands!A$2:G$10, 4, FALSE), FLOOR(( $E132 - VLOOKUP($F132, XPBands!A$2:G$10, 2, FALSE) ) / VLOOKUP($F132, XPBands!A$2:G$10, 7, FALSE),1)))</f>
        <v/>
      </c>
      <c r="H132" s="27">
        <f>IF($D132="","",VLOOKUP($D132,RoleTitles!$A:$E,3,FALSE))</f>
        <v/>
      </c>
      <c r="I132" s="27">
        <f>IF($D132="","",IF($C132="Greek",VLOOKUP($D132,RoleTitles!$A:$E,4,FALSE),IF($C132="Aesir",VLOOKUP($D132,RoleTitles!$A:$E,5,FALSE),VLOOKUP($D132,RoleTitles!$A:$E,3,FALSE))))</f>
        <v/>
      </c>
      <c r="J132" s="27">
        <f>IF($D132="","",IF($E132&gt;=VLOOKUP($D132,RoleTitles!$A:$B,2,FALSE),"Yes","No"))</f>
        <v/>
      </c>
      <c r="K132" s="27">
        <f>IF($D132="","",IF($D132="T1","T2",IF($D132="T2","T3",IF($D132="T3","T4",IF($D132="T4","T5",IF($D132="T5","T6",IF($D132="T6","T7",IF($D132="T7","T8",IF($D132="T8","T9","")))))))))</f>
        <v/>
      </c>
      <c r="L132" s="28">
        <f>IF($K132="","",MAX(0,VLOOKUP($K132,RoleTitles!$A:$B,2,FALSE)-$E132))</f>
        <v/>
      </c>
    </row>
    <row r="133">
      <c r="A133" s="24">
        <f>IFERROR(INDEX(CoachRoster!$A$2:$A$1000,ROW()-1),"")</f>
        <v/>
      </c>
      <c r="B133" s="27">
        <f>IF($A133="","",VLOOKUP($A133,CoachRoster!$A:$E,2,FALSE))</f>
        <v/>
      </c>
      <c r="C133" s="27">
        <f>IF($A133="","",VLOOKUP($A133,CoachRoster!$A:$E,3,FALSE))</f>
        <v/>
      </c>
      <c r="D133" s="27">
        <f>IF($A133="","",VLOOKUP($A133,CoachRoster!$A:$E,4,FALSE))</f>
        <v/>
      </c>
      <c r="E133" s="27">
        <f>IF($A133="","",MIN(Settings!$B$8,IFERROR(SUMIF(Weekly_Coaching!$B:$B,$A133,Weekly_Coaching!$D:$D),0)+IFERROR(SUMIF(Monthly_Edu!$B:$B,$A133,Monthly_Edu!$D:$D),0)+IFERROR(SUMIF(Monthly_Ops!$B:$B,$A133,Monthly_Ops!$D:$D),0)+IFERROR(SUMIF(Monthly_Mentor!$B:$B,$A133,Monthly_Mentor!$D:$D),0)+IFERROR(SUMIF(Quarterly_Impact!$B:$B,$A133,Quarterly_Impact!$D:$D),0)+IFERROR(SUMIFS(XPLog!$M:$M,XPLog!$B:$B,$A133,XPLog!$J:$J,"Admin"),0)+IFERROR(SUMIFS(XPLog!$M:$M,XPLog!$B:$B,$A133,XPLog!$J:$J,"Seeding"),0)))</f>
        <v/>
      </c>
      <c r="F133" s="27">
        <f>IF($E133="","",LOOKUP($E133, XPBands!B$2:B$10, XPBands!A$2:A$10))</f>
        <v/>
      </c>
      <c r="G133" s="27">
        <f>IF($E133="","", VLOOKUP($F133, XPBands!A$2:G$10, 4, FALSE) + MIN(VLOOKUP($F133, XPBands!A$2:G$10, 5, FALSE) - VLOOKUP($F133, XPBands!A$2:G$10, 4, FALSE), FLOOR(( $E133 - VLOOKUP($F133, XPBands!A$2:G$10, 2, FALSE) ) / VLOOKUP($F133, XPBands!A$2:G$10, 7, FALSE),1)))</f>
        <v/>
      </c>
      <c r="H133" s="27">
        <f>IF($D133="","",VLOOKUP($D133,RoleTitles!$A:$E,3,FALSE))</f>
        <v/>
      </c>
      <c r="I133" s="27">
        <f>IF($D133="","",IF($C133="Greek",VLOOKUP($D133,RoleTitles!$A:$E,4,FALSE),IF($C133="Aesir",VLOOKUP($D133,RoleTitles!$A:$E,5,FALSE),VLOOKUP($D133,RoleTitles!$A:$E,3,FALSE))))</f>
        <v/>
      </c>
      <c r="J133" s="27">
        <f>IF($D133="","",IF($E133&gt;=VLOOKUP($D133,RoleTitles!$A:$B,2,FALSE),"Yes","No"))</f>
        <v/>
      </c>
      <c r="K133" s="27">
        <f>IF($D133="","",IF($D133="T1","T2",IF($D133="T2","T3",IF($D133="T3","T4",IF($D133="T4","T5",IF($D133="T5","T6",IF($D133="T6","T7",IF($D133="T7","T8",IF($D133="T8","T9","")))))))))</f>
        <v/>
      </c>
      <c r="L133" s="28">
        <f>IF($K133="","",MAX(0,VLOOKUP($K133,RoleTitles!$A:$B,2,FALSE)-$E133))</f>
        <v/>
      </c>
    </row>
    <row r="134">
      <c r="A134" s="24">
        <f>IFERROR(INDEX(CoachRoster!$A$2:$A$1000,ROW()-1),"")</f>
        <v/>
      </c>
      <c r="B134" s="27">
        <f>IF($A134="","",VLOOKUP($A134,CoachRoster!$A:$E,2,FALSE))</f>
        <v/>
      </c>
      <c r="C134" s="27">
        <f>IF($A134="","",VLOOKUP($A134,CoachRoster!$A:$E,3,FALSE))</f>
        <v/>
      </c>
      <c r="D134" s="27">
        <f>IF($A134="","",VLOOKUP($A134,CoachRoster!$A:$E,4,FALSE))</f>
        <v/>
      </c>
      <c r="E134" s="27">
        <f>IF($A134="","",MIN(Settings!$B$8,IFERROR(SUMIF(Weekly_Coaching!$B:$B,$A134,Weekly_Coaching!$D:$D),0)+IFERROR(SUMIF(Monthly_Edu!$B:$B,$A134,Monthly_Edu!$D:$D),0)+IFERROR(SUMIF(Monthly_Ops!$B:$B,$A134,Monthly_Ops!$D:$D),0)+IFERROR(SUMIF(Monthly_Mentor!$B:$B,$A134,Monthly_Mentor!$D:$D),0)+IFERROR(SUMIF(Quarterly_Impact!$B:$B,$A134,Quarterly_Impact!$D:$D),0)+IFERROR(SUMIFS(XPLog!$M:$M,XPLog!$B:$B,$A134,XPLog!$J:$J,"Admin"),0)+IFERROR(SUMIFS(XPLog!$M:$M,XPLog!$B:$B,$A134,XPLog!$J:$J,"Seeding"),0)))</f>
        <v/>
      </c>
      <c r="F134" s="27">
        <f>IF($E134="","",LOOKUP($E134, XPBands!B$2:B$10, XPBands!A$2:A$10))</f>
        <v/>
      </c>
      <c r="G134" s="27">
        <f>IF($E134="","", VLOOKUP($F134, XPBands!A$2:G$10, 4, FALSE) + MIN(VLOOKUP($F134, XPBands!A$2:G$10, 5, FALSE) - VLOOKUP($F134, XPBands!A$2:G$10, 4, FALSE), FLOOR(( $E134 - VLOOKUP($F134, XPBands!A$2:G$10, 2, FALSE) ) / VLOOKUP($F134, XPBands!A$2:G$10, 7, FALSE),1)))</f>
        <v/>
      </c>
      <c r="H134" s="27">
        <f>IF($D134="","",VLOOKUP($D134,RoleTitles!$A:$E,3,FALSE))</f>
        <v/>
      </c>
      <c r="I134" s="27">
        <f>IF($D134="","",IF($C134="Greek",VLOOKUP($D134,RoleTitles!$A:$E,4,FALSE),IF($C134="Aesir",VLOOKUP($D134,RoleTitles!$A:$E,5,FALSE),VLOOKUP($D134,RoleTitles!$A:$E,3,FALSE))))</f>
        <v/>
      </c>
      <c r="J134" s="27">
        <f>IF($D134="","",IF($E134&gt;=VLOOKUP($D134,RoleTitles!$A:$B,2,FALSE),"Yes","No"))</f>
        <v/>
      </c>
      <c r="K134" s="27">
        <f>IF($D134="","",IF($D134="T1","T2",IF($D134="T2","T3",IF($D134="T3","T4",IF($D134="T4","T5",IF($D134="T5","T6",IF($D134="T6","T7",IF($D134="T7","T8",IF($D134="T8","T9","")))))))))</f>
        <v/>
      </c>
      <c r="L134" s="28">
        <f>IF($K134="","",MAX(0,VLOOKUP($K134,RoleTitles!$A:$B,2,FALSE)-$E134))</f>
        <v/>
      </c>
    </row>
    <row r="135">
      <c r="A135" s="24">
        <f>IFERROR(INDEX(CoachRoster!$A$2:$A$1000,ROW()-1),"")</f>
        <v/>
      </c>
      <c r="B135" s="27">
        <f>IF($A135="","",VLOOKUP($A135,CoachRoster!$A:$E,2,FALSE))</f>
        <v/>
      </c>
      <c r="C135" s="27">
        <f>IF($A135="","",VLOOKUP($A135,CoachRoster!$A:$E,3,FALSE))</f>
        <v/>
      </c>
      <c r="D135" s="27">
        <f>IF($A135="","",VLOOKUP($A135,CoachRoster!$A:$E,4,FALSE))</f>
        <v/>
      </c>
      <c r="E135" s="27">
        <f>IF($A135="","",MIN(Settings!$B$8,IFERROR(SUMIF(Weekly_Coaching!$B:$B,$A135,Weekly_Coaching!$D:$D),0)+IFERROR(SUMIF(Monthly_Edu!$B:$B,$A135,Monthly_Edu!$D:$D),0)+IFERROR(SUMIF(Monthly_Ops!$B:$B,$A135,Monthly_Ops!$D:$D),0)+IFERROR(SUMIF(Monthly_Mentor!$B:$B,$A135,Monthly_Mentor!$D:$D),0)+IFERROR(SUMIF(Quarterly_Impact!$B:$B,$A135,Quarterly_Impact!$D:$D),0)+IFERROR(SUMIFS(XPLog!$M:$M,XPLog!$B:$B,$A135,XPLog!$J:$J,"Admin"),0)+IFERROR(SUMIFS(XPLog!$M:$M,XPLog!$B:$B,$A135,XPLog!$J:$J,"Seeding"),0)))</f>
        <v/>
      </c>
      <c r="F135" s="27">
        <f>IF($E135="","",LOOKUP($E135, XPBands!B$2:B$10, XPBands!A$2:A$10))</f>
        <v/>
      </c>
      <c r="G135" s="27">
        <f>IF($E135="","", VLOOKUP($F135, XPBands!A$2:G$10, 4, FALSE) + MIN(VLOOKUP($F135, XPBands!A$2:G$10, 5, FALSE) - VLOOKUP($F135, XPBands!A$2:G$10, 4, FALSE), FLOOR(( $E135 - VLOOKUP($F135, XPBands!A$2:G$10, 2, FALSE) ) / VLOOKUP($F135, XPBands!A$2:G$10, 7, FALSE),1)))</f>
        <v/>
      </c>
      <c r="H135" s="27">
        <f>IF($D135="","",VLOOKUP($D135,RoleTitles!$A:$E,3,FALSE))</f>
        <v/>
      </c>
      <c r="I135" s="27">
        <f>IF($D135="","",IF($C135="Greek",VLOOKUP($D135,RoleTitles!$A:$E,4,FALSE),IF($C135="Aesir",VLOOKUP($D135,RoleTitles!$A:$E,5,FALSE),VLOOKUP($D135,RoleTitles!$A:$E,3,FALSE))))</f>
        <v/>
      </c>
      <c r="J135" s="27">
        <f>IF($D135="","",IF($E135&gt;=VLOOKUP($D135,RoleTitles!$A:$B,2,FALSE),"Yes","No"))</f>
        <v/>
      </c>
      <c r="K135" s="27">
        <f>IF($D135="","",IF($D135="T1","T2",IF($D135="T2","T3",IF($D135="T3","T4",IF($D135="T4","T5",IF($D135="T5","T6",IF($D135="T6","T7",IF($D135="T7","T8",IF($D135="T8","T9","")))))))))</f>
        <v/>
      </c>
      <c r="L135" s="28">
        <f>IF($K135="","",MAX(0,VLOOKUP($K135,RoleTitles!$A:$B,2,FALSE)-$E135))</f>
        <v/>
      </c>
    </row>
    <row r="136">
      <c r="A136" s="24">
        <f>IFERROR(INDEX(CoachRoster!$A$2:$A$1000,ROW()-1),"")</f>
        <v/>
      </c>
      <c r="B136" s="27">
        <f>IF($A136="","",VLOOKUP($A136,CoachRoster!$A:$E,2,FALSE))</f>
        <v/>
      </c>
      <c r="C136" s="27">
        <f>IF($A136="","",VLOOKUP($A136,CoachRoster!$A:$E,3,FALSE))</f>
        <v/>
      </c>
      <c r="D136" s="27">
        <f>IF($A136="","",VLOOKUP($A136,CoachRoster!$A:$E,4,FALSE))</f>
        <v/>
      </c>
      <c r="E136" s="27">
        <f>IF($A136="","",MIN(Settings!$B$8,IFERROR(SUMIF(Weekly_Coaching!$B:$B,$A136,Weekly_Coaching!$D:$D),0)+IFERROR(SUMIF(Monthly_Edu!$B:$B,$A136,Monthly_Edu!$D:$D),0)+IFERROR(SUMIF(Monthly_Ops!$B:$B,$A136,Monthly_Ops!$D:$D),0)+IFERROR(SUMIF(Monthly_Mentor!$B:$B,$A136,Monthly_Mentor!$D:$D),0)+IFERROR(SUMIF(Quarterly_Impact!$B:$B,$A136,Quarterly_Impact!$D:$D),0)+IFERROR(SUMIFS(XPLog!$M:$M,XPLog!$B:$B,$A136,XPLog!$J:$J,"Admin"),0)+IFERROR(SUMIFS(XPLog!$M:$M,XPLog!$B:$B,$A136,XPLog!$J:$J,"Seeding"),0)))</f>
        <v/>
      </c>
      <c r="F136" s="27">
        <f>IF($E136="","",LOOKUP($E136, XPBands!B$2:B$10, XPBands!A$2:A$10))</f>
        <v/>
      </c>
      <c r="G136" s="27">
        <f>IF($E136="","", VLOOKUP($F136, XPBands!A$2:G$10, 4, FALSE) + MIN(VLOOKUP($F136, XPBands!A$2:G$10, 5, FALSE) - VLOOKUP($F136, XPBands!A$2:G$10, 4, FALSE), FLOOR(( $E136 - VLOOKUP($F136, XPBands!A$2:G$10, 2, FALSE) ) / VLOOKUP($F136, XPBands!A$2:G$10, 7, FALSE),1)))</f>
        <v/>
      </c>
      <c r="H136" s="27">
        <f>IF($D136="","",VLOOKUP($D136,RoleTitles!$A:$E,3,FALSE))</f>
        <v/>
      </c>
      <c r="I136" s="27">
        <f>IF($D136="","",IF($C136="Greek",VLOOKUP($D136,RoleTitles!$A:$E,4,FALSE),IF($C136="Aesir",VLOOKUP($D136,RoleTitles!$A:$E,5,FALSE),VLOOKUP($D136,RoleTitles!$A:$E,3,FALSE))))</f>
        <v/>
      </c>
      <c r="J136" s="27">
        <f>IF($D136="","",IF($E136&gt;=VLOOKUP($D136,RoleTitles!$A:$B,2,FALSE),"Yes","No"))</f>
        <v/>
      </c>
      <c r="K136" s="27">
        <f>IF($D136="","",IF($D136="T1","T2",IF($D136="T2","T3",IF($D136="T3","T4",IF($D136="T4","T5",IF($D136="T5","T6",IF($D136="T6","T7",IF($D136="T7","T8",IF($D136="T8","T9","")))))))))</f>
        <v/>
      </c>
      <c r="L136" s="28">
        <f>IF($K136="","",MAX(0,VLOOKUP($K136,RoleTitles!$A:$B,2,FALSE)-$E136))</f>
        <v/>
      </c>
    </row>
    <row r="137">
      <c r="A137" s="24">
        <f>IFERROR(INDEX(CoachRoster!$A$2:$A$1000,ROW()-1),"")</f>
        <v/>
      </c>
      <c r="B137" s="27">
        <f>IF($A137="","",VLOOKUP($A137,CoachRoster!$A:$E,2,FALSE))</f>
        <v/>
      </c>
      <c r="C137" s="27">
        <f>IF($A137="","",VLOOKUP($A137,CoachRoster!$A:$E,3,FALSE))</f>
        <v/>
      </c>
      <c r="D137" s="27">
        <f>IF($A137="","",VLOOKUP($A137,CoachRoster!$A:$E,4,FALSE))</f>
        <v/>
      </c>
      <c r="E137" s="27">
        <f>IF($A137="","",MIN(Settings!$B$8,IFERROR(SUMIF(Weekly_Coaching!$B:$B,$A137,Weekly_Coaching!$D:$D),0)+IFERROR(SUMIF(Monthly_Edu!$B:$B,$A137,Monthly_Edu!$D:$D),0)+IFERROR(SUMIF(Monthly_Ops!$B:$B,$A137,Monthly_Ops!$D:$D),0)+IFERROR(SUMIF(Monthly_Mentor!$B:$B,$A137,Monthly_Mentor!$D:$D),0)+IFERROR(SUMIF(Quarterly_Impact!$B:$B,$A137,Quarterly_Impact!$D:$D),0)+IFERROR(SUMIFS(XPLog!$M:$M,XPLog!$B:$B,$A137,XPLog!$J:$J,"Admin"),0)+IFERROR(SUMIFS(XPLog!$M:$M,XPLog!$B:$B,$A137,XPLog!$J:$J,"Seeding"),0)))</f>
        <v/>
      </c>
      <c r="F137" s="27">
        <f>IF($E137="","",LOOKUP($E137, XPBands!B$2:B$10, XPBands!A$2:A$10))</f>
        <v/>
      </c>
      <c r="G137" s="27">
        <f>IF($E137="","", VLOOKUP($F137, XPBands!A$2:G$10, 4, FALSE) + MIN(VLOOKUP($F137, XPBands!A$2:G$10, 5, FALSE) - VLOOKUP($F137, XPBands!A$2:G$10, 4, FALSE), FLOOR(( $E137 - VLOOKUP($F137, XPBands!A$2:G$10, 2, FALSE) ) / VLOOKUP($F137, XPBands!A$2:G$10, 7, FALSE),1)))</f>
        <v/>
      </c>
      <c r="H137" s="27">
        <f>IF($D137="","",VLOOKUP($D137,RoleTitles!$A:$E,3,FALSE))</f>
        <v/>
      </c>
      <c r="I137" s="27">
        <f>IF($D137="","",IF($C137="Greek",VLOOKUP($D137,RoleTitles!$A:$E,4,FALSE),IF($C137="Aesir",VLOOKUP($D137,RoleTitles!$A:$E,5,FALSE),VLOOKUP($D137,RoleTitles!$A:$E,3,FALSE))))</f>
        <v/>
      </c>
      <c r="J137" s="27">
        <f>IF($D137="","",IF($E137&gt;=VLOOKUP($D137,RoleTitles!$A:$B,2,FALSE),"Yes","No"))</f>
        <v/>
      </c>
      <c r="K137" s="27">
        <f>IF($D137="","",IF($D137="T1","T2",IF($D137="T2","T3",IF($D137="T3","T4",IF($D137="T4","T5",IF($D137="T5","T6",IF($D137="T6","T7",IF($D137="T7","T8",IF($D137="T8","T9","")))))))))</f>
        <v/>
      </c>
      <c r="L137" s="28">
        <f>IF($K137="","",MAX(0,VLOOKUP($K137,RoleTitles!$A:$B,2,FALSE)-$E137))</f>
        <v/>
      </c>
    </row>
    <row r="138">
      <c r="A138" s="24">
        <f>IFERROR(INDEX(CoachRoster!$A$2:$A$1000,ROW()-1),"")</f>
        <v/>
      </c>
      <c r="B138" s="27">
        <f>IF($A138="","",VLOOKUP($A138,CoachRoster!$A:$E,2,FALSE))</f>
        <v/>
      </c>
      <c r="C138" s="27">
        <f>IF($A138="","",VLOOKUP($A138,CoachRoster!$A:$E,3,FALSE))</f>
        <v/>
      </c>
      <c r="D138" s="27">
        <f>IF($A138="","",VLOOKUP($A138,CoachRoster!$A:$E,4,FALSE))</f>
        <v/>
      </c>
      <c r="E138" s="27">
        <f>IF($A138="","",MIN(Settings!$B$8,IFERROR(SUMIF(Weekly_Coaching!$B:$B,$A138,Weekly_Coaching!$D:$D),0)+IFERROR(SUMIF(Monthly_Edu!$B:$B,$A138,Monthly_Edu!$D:$D),0)+IFERROR(SUMIF(Monthly_Ops!$B:$B,$A138,Monthly_Ops!$D:$D),0)+IFERROR(SUMIF(Monthly_Mentor!$B:$B,$A138,Monthly_Mentor!$D:$D),0)+IFERROR(SUMIF(Quarterly_Impact!$B:$B,$A138,Quarterly_Impact!$D:$D),0)+IFERROR(SUMIFS(XPLog!$M:$M,XPLog!$B:$B,$A138,XPLog!$J:$J,"Admin"),0)+IFERROR(SUMIFS(XPLog!$M:$M,XPLog!$B:$B,$A138,XPLog!$J:$J,"Seeding"),0)))</f>
        <v/>
      </c>
      <c r="F138" s="27">
        <f>IF($E138="","",LOOKUP($E138, XPBands!B$2:B$10, XPBands!A$2:A$10))</f>
        <v/>
      </c>
      <c r="G138" s="27">
        <f>IF($E138="","", VLOOKUP($F138, XPBands!A$2:G$10, 4, FALSE) + MIN(VLOOKUP($F138, XPBands!A$2:G$10, 5, FALSE) - VLOOKUP($F138, XPBands!A$2:G$10, 4, FALSE), FLOOR(( $E138 - VLOOKUP($F138, XPBands!A$2:G$10, 2, FALSE) ) / VLOOKUP($F138, XPBands!A$2:G$10, 7, FALSE),1)))</f>
        <v/>
      </c>
      <c r="H138" s="27">
        <f>IF($D138="","",VLOOKUP($D138,RoleTitles!$A:$E,3,FALSE))</f>
        <v/>
      </c>
      <c r="I138" s="27">
        <f>IF($D138="","",IF($C138="Greek",VLOOKUP($D138,RoleTitles!$A:$E,4,FALSE),IF($C138="Aesir",VLOOKUP($D138,RoleTitles!$A:$E,5,FALSE),VLOOKUP($D138,RoleTitles!$A:$E,3,FALSE))))</f>
        <v/>
      </c>
      <c r="J138" s="27">
        <f>IF($D138="","",IF($E138&gt;=VLOOKUP($D138,RoleTitles!$A:$B,2,FALSE),"Yes","No"))</f>
        <v/>
      </c>
      <c r="K138" s="27">
        <f>IF($D138="","",IF($D138="T1","T2",IF($D138="T2","T3",IF($D138="T3","T4",IF($D138="T4","T5",IF($D138="T5","T6",IF($D138="T6","T7",IF($D138="T7","T8",IF($D138="T8","T9","")))))))))</f>
        <v/>
      </c>
      <c r="L138" s="28">
        <f>IF($K138="","",MAX(0,VLOOKUP($K138,RoleTitles!$A:$B,2,FALSE)-$E138))</f>
        <v/>
      </c>
    </row>
    <row r="139">
      <c r="A139" s="24">
        <f>IFERROR(INDEX(CoachRoster!$A$2:$A$1000,ROW()-1),"")</f>
        <v/>
      </c>
      <c r="B139" s="27">
        <f>IF($A139="","",VLOOKUP($A139,CoachRoster!$A:$E,2,FALSE))</f>
        <v/>
      </c>
      <c r="C139" s="27">
        <f>IF($A139="","",VLOOKUP($A139,CoachRoster!$A:$E,3,FALSE))</f>
        <v/>
      </c>
      <c r="D139" s="27">
        <f>IF($A139="","",VLOOKUP($A139,CoachRoster!$A:$E,4,FALSE))</f>
        <v/>
      </c>
      <c r="E139" s="27">
        <f>IF($A139="","",MIN(Settings!$B$8,IFERROR(SUMIF(Weekly_Coaching!$B:$B,$A139,Weekly_Coaching!$D:$D),0)+IFERROR(SUMIF(Monthly_Edu!$B:$B,$A139,Monthly_Edu!$D:$D),0)+IFERROR(SUMIF(Monthly_Ops!$B:$B,$A139,Monthly_Ops!$D:$D),0)+IFERROR(SUMIF(Monthly_Mentor!$B:$B,$A139,Monthly_Mentor!$D:$D),0)+IFERROR(SUMIF(Quarterly_Impact!$B:$B,$A139,Quarterly_Impact!$D:$D),0)+IFERROR(SUMIFS(XPLog!$M:$M,XPLog!$B:$B,$A139,XPLog!$J:$J,"Admin"),0)+IFERROR(SUMIFS(XPLog!$M:$M,XPLog!$B:$B,$A139,XPLog!$J:$J,"Seeding"),0)))</f>
        <v/>
      </c>
      <c r="F139" s="27">
        <f>IF($E139="","",LOOKUP($E139, XPBands!B$2:B$10, XPBands!A$2:A$10))</f>
        <v/>
      </c>
      <c r="G139" s="27">
        <f>IF($E139="","", VLOOKUP($F139, XPBands!A$2:G$10, 4, FALSE) + MIN(VLOOKUP($F139, XPBands!A$2:G$10, 5, FALSE) - VLOOKUP($F139, XPBands!A$2:G$10, 4, FALSE), FLOOR(( $E139 - VLOOKUP($F139, XPBands!A$2:G$10, 2, FALSE) ) / VLOOKUP($F139, XPBands!A$2:G$10, 7, FALSE),1)))</f>
        <v/>
      </c>
      <c r="H139" s="27">
        <f>IF($D139="","",VLOOKUP($D139,RoleTitles!$A:$E,3,FALSE))</f>
        <v/>
      </c>
      <c r="I139" s="27">
        <f>IF($D139="","",IF($C139="Greek",VLOOKUP($D139,RoleTitles!$A:$E,4,FALSE),IF($C139="Aesir",VLOOKUP($D139,RoleTitles!$A:$E,5,FALSE),VLOOKUP($D139,RoleTitles!$A:$E,3,FALSE))))</f>
        <v/>
      </c>
      <c r="J139" s="27">
        <f>IF($D139="","",IF($E139&gt;=VLOOKUP($D139,RoleTitles!$A:$B,2,FALSE),"Yes","No"))</f>
        <v/>
      </c>
      <c r="K139" s="27">
        <f>IF($D139="","",IF($D139="T1","T2",IF($D139="T2","T3",IF($D139="T3","T4",IF($D139="T4","T5",IF($D139="T5","T6",IF($D139="T6","T7",IF($D139="T7","T8",IF($D139="T8","T9","")))))))))</f>
        <v/>
      </c>
      <c r="L139" s="28">
        <f>IF($K139="","",MAX(0,VLOOKUP($K139,RoleTitles!$A:$B,2,FALSE)-$E139))</f>
        <v/>
      </c>
    </row>
    <row r="140">
      <c r="A140" s="24">
        <f>IFERROR(INDEX(CoachRoster!$A$2:$A$1000,ROW()-1),"")</f>
        <v/>
      </c>
      <c r="B140" s="27">
        <f>IF($A140="","",VLOOKUP($A140,CoachRoster!$A:$E,2,FALSE))</f>
        <v/>
      </c>
      <c r="C140" s="27">
        <f>IF($A140="","",VLOOKUP($A140,CoachRoster!$A:$E,3,FALSE))</f>
        <v/>
      </c>
      <c r="D140" s="27">
        <f>IF($A140="","",VLOOKUP($A140,CoachRoster!$A:$E,4,FALSE))</f>
        <v/>
      </c>
      <c r="E140" s="27">
        <f>IF($A140="","",MIN(Settings!$B$8,IFERROR(SUMIF(Weekly_Coaching!$B:$B,$A140,Weekly_Coaching!$D:$D),0)+IFERROR(SUMIF(Monthly_Edu!$B:$B,$A140,Monthly_Edu!$D:$D),0)+IFERROR(SUMIF(Monthly_Ops!$B:$B,$A140,Monthly_Ops!$D:$D),0)+IFERROR(SUMIF(Monthly_Mentor!$B:$B,$A140,Monthly_Mentor!$D:$D),0)+IFERROR(SUMIF(Quarterly_Impact!$B:$B,$A140,Quarterly_Impact!$D:$D),0)+IFERROR(SUMIFS(XPLog!$M:$M,XPLog!$B:$B,$A140,XPLog!$J:$J,"Admin"),0)+IFERROR(SUMIFS(XPLog!$M:$M,XPLog!$B:$B,$A140,XPLog!$J:$J,"Seeding"),0)))</f>
        <v/>
      </c>
      <c r="F140" s="27">
        <f>IF($E140="","",LOOKUP($E140, XPBands!B$2:B$10, XPBands!A$2:A$10))</f>
        <v/>
      </c>
      <c r="G140" s="27">
        <f>IF($E140="","", VLOOKUP($F140, XPBands!A$2:G$10, 4, FALSE) + MIN(VLOOKUP($F140, XPBands!A$2:G$10, 5, FALSE) - VLOOKUP($F140, XPBands!A$2:G$10, 4, FALSE), FLOOR(( $E140 - VLOOKUP($F140, XPBands!A$2:G$10, 2, FALSE) ) / VLOOKUP($F140, XPBands!A$2:G$10, 7, FALSE),1)))</f>
        <v/>
      </c>
      <c r="H140" s="27">
        <f>IF($D140="","",VLOOKUP($D140,RoleTitles!$A:$E,3,FALSE))</f>
        <v/>
      </c>
      <c r="I140" s="27">
        <f>IF($D140="","",IF($C140="Greek",VLOOKUP($D140,RoleTitles!$A:$E,4,FALSE),IF($C140="Aesir",VLOOKUP($D140,RoleTitles!$A:$E,5,FALSE),VLOOKUP($D140,RoleTitles!$A:$E,3,FALSE))))</f>
        <v/>
      </c>
      <c r="J140" s="27">
        <f>IF($D140="","",IF($E140&gt;=VLOOKUP($D140,RoleTitles!$A:$B,2,FALSE),"Yes","No"))</f>
        <v/>
      </c>
      <c r="K140" s="27">
        <f>IF($D140="","",IF($D140="T1","T2",IF($D140="T2","T3",IF($D140="T3","T4",IF($D140="T4","T5",IF($D140="T5","T6",IF($D140="T6","T7",IF($D140="T7","T8",IF($D140="T8","T9","")))))))))</f>
        <v/>
      </c>
      <c r="L140" s="28">
        <f>IF($K140="","",MAX(0,VLOOKUP($K140,RoleTitles!$A:$B,2,FALSE)-$E140))</f>
        <v/>
      </c>
    </row>
    <row r="141">
      <c r="A141" s="24">
        <f>IFERROR(INDEX(CoachRoster!$A$2:$A$1000,ROW()-1),"")</f>
        <v/>
      </c>
      <c r="B141" s="27">
        <f>IF($A141="","",VLOOKUP($A141,CoachRoster!$A:$E,2,FALSE))</f>
        <v/>
      </c>
      <c r="C141" s="27">
        <f>IF($A141="","",VLOOKUP($A141,CoachRoster!$A:$E,3,FALSE))</f>
        <v/>
      </c>
      <c r="D141" s="27">
        <f>IF($A141="","",VLOOKUP($A141,CoachRoster!$A:$E,4,FALSE))</f>
        <v/>
      </c>
      <c r="E141" s="27">
        <f>IF($A141="","",MIN(Settings!$B$8,IFERROR(SUMIF(Weekly_Coaching!$B:$B,$A141,Weekly_Coaching!$D:$D),0)+IFERROR(SUMIF(Monthly_Edu!$B:$B,$A141,Monthly_Edu!$D:$D),0)+IFERROR(SUMIF(Monthly_Ops!$B:$B,$A141,Monthly_Ops!$D:$D),0)+IFERROR(SUMIF(Monthly_Mentor!$B:$B,$A141,Monthly_Mentor!$D:$D),0)+IFERROR(SUMIF(Quarterly_Impact!$B:$B,$A141,Quarterly_Impact!$D:$D),0)+IFERROR(SUMIFS(XPLog!$M:$M,XPLog!$B:$B,$A141,XPLog!$J:$J,"Admin"),0)+IFERROR(SUMIFS(XPLog!$M:$M,XPLog!$B:$B,$A141,XPLog!$J:$J,"Seeding"),0)))</f>
        <v/>
      </c>
      <c r="F141" s="27">
        <f>IF($E141="","",LOOKUP($E141, XPBands!B$2:B$10, XPBands!A$2:A$10))</f>
        <v/>
      </c>
      <c r="G141" s="27">
        <f>IF($E141="","", VLOOKUP($F141, XPBands!A$2:G$10, 4, FALSE) + MIN(VLOOKUP($F141, XPBands!A$2:G$10, 5, FALSE) - VLOOKUP($F141, XPBands!A$2:G$10, 4, FALSE), FLOOR(( $E141 - VLOOKUP($F141, XPBands!A$2:G$10, 2, FALSE) ) / VLOOKUP($F141, XPBands!A$2:G$10, 7, FALSE),1)))</f>
        <v/>
      </c>
      <c r="H141" s="27">
        <f>IF($D141="","",VLOOKUP($D141,RoleTitles!$A:$E,3,FALSE))</f>
        <v/>
      </c>
      <c r="I141" s="27">
        <f>IF($D141="","",IF($C141="Greek",VLOOKUP($D141,RoleTitles!$A:$E,4,FALSE),IF($C141="Aesir",VLOOKUP($D141,RoleTitles!$A:$E,5,FALSE),VLOOKUP($D141,RoleTitles!$A:$E,3,FALSE))))</f>
        <v/>
      </c>
      <c r="J141" s="27">
        <f>IF($D141="","",IF($E141&gt;=VLOOKUP($D141,RoleTitles!$A:$B,2,FALSE),"Yes","No"))</f>
        <v/>
      </c>
      <c r="K141" s="27">
        <f>IF($D141="","",IF($D141="T1","T2",IF($D141="T2","T3",IF($D141="T3","T4",IF($D141="T4","T5",IF($D141="T5","T6",IF($D141="T6","T7",IF($D141="T7","T8",IF($D141="T8","T9","")))))))))</f>
        <v/>
      </c>
      <c r="L141" s="28">
        <f>IF($K141="","",MAX(0,VLOOKUP($K141,RoleTitles!$A:$B,2,FALSE)-$E141))</f>
        <v/>
      </c>
    </row>
    <row r="142">
      <c r="A142" s="24">
        <f>IFERROR(INDEX(CoachRoster!$A$2:$A$1000,ROW()-1),"")</f>
        <v/>
      </c>
      <c r="B142" s="27">
        <f>IF($A142="","",VLOOKUP($A142,CoachRoster!$A:$E,2,FALSE))</f>
        <v/>
      </c>
      <c r="C142" s="27">
        <f>IF($A142="","",VLOOKUP($A142,CoachRoster!$A:$E,3,FALSE))</f>
        <v/>
      </c>
      <c r="D142" s="27">
        <f>IF($A142="","",VLOOKUP($A142,CoachRoster!$A:$E,4,FALSE))</f>
        <v/>
      </c>
      <c r="E142" s="27">
        <f>IF($A142="","",MIN(Settings!$B$8,IFERROR(SUMIF(Weekly_Coaching!$B:$B,$A142,Weekly_Coaching!$D:$D),0)+IFERROR(SUMIF(Monthly_Edu!$B:$B,$A142,Monthly_Edu!$D:$D),0)+IFERROR(SUMIF(Monthly_Ops!$B:$B,$A142,Monthly_Ops!$D:$D),0)+IFERROR(SUMIF(Monthly_Mentor!$B:$B,$A142,Monthly_Mentor!$D:$D),0)+IFERROR(SUMIF(Quarterly_Impact!$B:$B,$A142,Quarterly_Impact!$D:$D),0)+IFERROR(SUMIFS(XPLog!$M:$M,XPLog!$B:$B,$A142,XPLog!$J:$J,"Admin"),0)+IFERROR(SUMIFS(XPLog!$M:$M,XPLog!$B:$B,$A142,XPLog!$J:$J,"Seeding"),0)))</f>
        <v/>
      </c>
      <c r="F142" s="27">
        <f>IF($E142="","",LOOKUP($E142, XPBands!B$2:B$10, XPBands!A$2:A$10))</f>
        <v/>
      </c>
      <c r="G142" s="27">
        <f>IF($E142="","", VLOOKUP($F142, XPBands!A$2:G$10, 4, FALSE) + MIN(VLOOKUP($F142, XPBands!A$2:G$10, 5, FALSE) - VLOOKUP($F142, XPBands!A$2:G$10, 4, FALSE), FLOOR(( $E142 - VLOOKUP($F142, XPBands!A$2:G$10, 2, FALSE) ) / VLOOKUP($F142, XPBands!A$2:G$10, 7, FALSE),1)))</f>
        <v/>
      </c>
      <c r="H142" s="27">
        <f>IF($D142="","",VLOOKUP($D142,RoleTitles!$A:$E,3,FALSE))</f>
        <v/>
      </c>
      <c r="I142" s="27">
        <f>IF($D142="","",IF($C142="Greek",VLOOKUP($D142,RoleTitles!$A:$E,4,FALSE),IF($C142="Aesir",VLOOKUP($D142,RoleTitles!$A:$E,5,FALSE),VLOOKUP($D142,RoleTitles!$A:$E,3,FALSE))))</f>
        <v/>
      </c>
      <c r="J142" s="27">
        <f>IF($D142="","",IF($E142&gt;=VLOOKUP($D142,RoleTitles!$A:$B,2,FALSE),"Yes","No"))</f>
        <v/>
      </c>
      <c r="K142" s="27">
        <f>IF($D142="","",IF($D142="T1","T2",IF($D142="T2","T3",IF($D142="T3","T4",IF($D142="T4","T5",IF($D142="T5","T6",IF($D142="T6","T7",IF($D142="T7","T8",IF($D142="T8","T9","")))))))))</f>
        <v/>
      </c>
      <c r="L142" s="28">
        <f>IF($K142="","",MAX(0,VLOOKUP($K142,RoleTitles!$A:$B,2,FALSE)-$E142))</f>
        <v/>
      </c>
    </row>
    <row r="143">
      <c r="A143" s="24">
        <f>IFERROR(INDEX(CoachRoster!$A$2:$A$1000,ROW()-1),"")</f>
        <v/>
      </c>
      <c r="B143" s="27">
        <f>IF($A143="","",VLOOKUP($A143,CoachRoster!$A:$E,2,FALSE))</f>
        <v/>
      </c>
      <c r="C143" s="27">
        <f>IF($A143="","",VLOOKUP($A143,CoachRoster!$A:$E,3,FALSE))</f>
        <v/>
      </c>
      <c r="D143" s="27">
        <f>IF($A143="","",VLOOKUP($A143,CoachRoster!$A:$E,4,FALSE))</f>
        <v/>
      </c>
      <c r="E143" s="27">
        <f>IF($A143="","",MIN(Settings!$B$8,IFERROR(SUMIF(Weekly_Coaching!$B:$B,$A143,Weekly_Coaching!$D:$D),0)+IFERROR(SUMIF(Monthly_Edu!$B:$B,$A143,Monthly_Edu!$D:$D),0)+IFERROR(SUMIF(Monthly_Ops!$B:$B,$A143,Monthly_Ops!$D:$D),0)+IFERROR(SUMIF(Monthly_Mentor!$B:$B,$A143,Monthly_Mentor!$D:$D),0)+IFERROR(SUMIF(Quarterly_Impact!$B:$B,$A143,Quarterly_Impact!$D:$D),0)+IFERROR(SUMIFS(XPLog!$M:$M,XPLog!$B:$B,$A143,XPLog!$J:$J,"Admin"),0)+IFERROR(SUMIFS(XPLog!$M:$M,XPLog!$B:$B,$A143,XPLog!$J:$J,"Seeding"),0)))</f>
        <v/>
      </c>
      <c r="F143" s="27">
        <f>IF($E143="","",LOOKUP($E143, XPBands!B$2:B$10, XPBands!A$2:A$10))</f>
        <v/>
      </c>
      <c r="G143" s="27">
        <f>IF($E143="","", VLOOKUP($F143, XPBands!A$2:G$10, 4, FALSE) + MIN(VLOOKUP($F143, XPBands!A$2:G$10, 5, FALSE) - VLOOKUP($F143, XPBands!A$2:G$10, 4, FALSE), FLOOR(( $E143 - VLOOKUP($F143, XPBands!A$2:G$10, 2, FALSE) ) / VLOOKUP($F143, XPBands!A$2:G$10, 7, FALSE),1)))</f>
        <v/>
      </c>
      <c r="H143" s="27">
        <f>IF($D143="","",VLOOKUP($D143,RoleTitles!$A:$E,3,FALSE))</f>
        <v/>
      </c>
      <c r="I143" s="27">
        <f>IF($D143="","",IF($C143="Greek",VLOOKUP($D143,RoleTitles!$A:$E,4,FALSE),IF($C143="Aesir",VLOOKUP($D143,RoleTitles!$A:$E,5,FALSE),VLOOKUP($D143,RoleTitles!$A:$E,3,FALSE))))</f>
        <v/>
      </c>
      <c r="J143" s="27">
        <f>IF($D143="","",IF($E143&gt;=VLOOKUP($D143,RoleTitles!$A:$B,2,FALSE),"Yes","No"))</f>
        <v/>
      </c>
      <c r="K143" s="27">
        <f>IF($D143="","",IF($D143="T1","T2",IF($D143="T2","T3",IF($D143="T3","T4",IF($D143="T4","T5",IF($D143="T5","T6",IF($D143="T6","T7",IF($D143="T7","T8",IF($D143="T8","T9","")))))))))</f>
        <v/>
      </c>
      <c r="L143" s="28">
        <f>IF($K143="","",MAX(0,VLOOKUP($K143,RoleTitles!$A:$B,2,FALSE)-$E143))</f>
        <v/>
      </c>
    </row>
    <row r="144">
      <c r="A144" s="24">
        <f>IFERROR(INDEX(CoachRoster!$A$2:$A$1000,ROW()-1),"")</f>
        <v/>
      </c>
      <c r="B144" s="27">
        <f>IF($A144="","",VLOOKUP($A144,CoachRoster!$A:$E,2,FALSE))</f>
        <v/>
      </c>
      <c r="C144" s="27">
        <f>IF($A144="","",VLOOKUP($A144,CoachRoster!$A:$E,3,FALSE))</f>
        <v/>
      </c>
      <c r="D144" s="27">
        <f>IF($A144="","",VLOOKUP($A144,CoachRoster!$A:$E,4,FALSE))</f>
        <v/>
      </c>
      <c r="E144" s="27">
        <f>IF($A144="","",MIN(Settings!$B$8,IFERROR(SUMIF(Weekly_Coaching!$B:$B,$A144,Weekly_Coaching!$D:$D),0)+IFERROR(SUMIF(Monthly_Edu!$B:$B,$A144,Monthly_Edu!$D:$D),0)+IFERROR(SUMIF(Monthly_Ops!$B:$B,$A144,Monthly_Ops!$D:$D),0)+IFERROR(SUMIF(Monthly_Mentor!$B:$B,$A144,Monthly_Mentor!$D:$D),0)+IFERROR(SUMIF(Quarterly_Impact!$B:$B,$A144,Quarterly_Impact!$D:$D),0)+IFERROR(SUMIFS(XPLog!$M:$M,XPLog!$B:$B,$A144,XPLog!$J:$J,"Admin"),0)+IFERROR(SUMIFS(XPLog!$M:$M,XPLog!$B:$B,$A144,XPLog!$J:$J,"Seeding"),0)))</f>
        <v/>
      </c>
      <c r="F144" s="27">
        <f>IF($E144="","",LOOKUP($E144, XPBands!B$2:B$10, XPBands!A$2:A$10))</f>
        <v/>
      </c>
      <c r="G144" s="27">
        <f>IF($E144="","", VLOOKUP($F144, XPBands!A$2:G$10, 4, FALSE) + MIN(VLOOKUP($F144, XPBands!A$2:G$10, 5, FALSE) - VLOOKUP($F144, XPBands!A$2:G$10, 4, FALSE), FLOOR(( $E144 - VLOOKUP($F144, XPBands!A$2:G$10, 2, FALSE) ) / VLOOKUP($F144, XPBands!A$2:G$10, 7, FALSE),1)))</f>
        <v/>
      </c>
      <c r="H144" s="27">
        <f>IF($D144="","",VLOOKUP($D144,RoleTitles!$A:$E,3,FALSE))</f>
        <v/>
      </c>
      <c r="I144" s="27">
        <f>IF($D144="","",IF($C144="Greek",VLOOKUP($D144,RoleTitles!$A:$E,4,FALSE),IF($C144="Aesir",VLOOKUP($D144,RoleTitles!$A:$E,5,FALSE),VLOOKUP($D144,RoleTitles!$A:$E,3,FALSE))))</f>
        <v/>
      </c>
      <c r="J144" s="27">
        <f>IF($D144="","",IF($E144&gt;=VLOOKUP($D144,RoleTitles!$A:$B,2,FALSE),"Yes","No"))</f>
        <v/>
      </c>
      <c r="K144" s="27">
        <f>IF($D144="","",IF($D144="T1","T2",IF($D144="T2","T3",IF($D144="T3","T4",IF($D144="T4","T5",IF($D144="T5","T6",IF($D144="T6","T7",IF($D144="T7","T8",IF($D144="T8","T9","")))))))))</f>
        <v/>
      </c>
      <c r="L144" s="28">
        <f>IF($K144="","",MAX(0,VLOOKUP($K144,RoleTitles!$A:$B,2,FALSE)-$E144))</f>
        <v/>
      </c>
    </row>
    <row r="145">
      <c r="A145" s="24">
        <f>IFERROR(INDEX(CoachRoster!$A$2:$A$1000,ROW()-1),"")</f>
        <v/>
      </c>
      <c r="B145" s="27">
        <f>IF($A145="","",VLOOKUP($A145,CoachRoster!$A:$E,2,FALSE))</f>
        <v/>
      </c>
      <c r="C145" s="27">
        <f>IF($A145="","",VLOOKUP($A145,CoachRoster!$A:$E,3,FALSE))</f>
        <v/>
      </c>
      <c r="D145" s="27">
        <f>IF($A145="","",VLOOKUP($A145,CoachRoster!$A:$E,4,FALSE))</f>
        <v/>
      </c>
      <c r="E145" s="27">
        <f>IF($A145="","",MIN(Settings!$B$8,IFERROR(SUMIF(Weekly_Coaching!$B:$B,$A145,Weekly_Coaching!$D:$D),0)+IFERROR(SUMIF(Monthly_Edu!$B:$B,$A145,Monthly_Edu!$D:$D),0)+IFERROR(SUMIF(Monthly_Ops!$B:$B,$A145,Monthly_Ops!$D:$D),0)+IFERROR(SUMIF(Monthly_Mentor!$B:$B,$A145,Monthly_Mentor!$D:$D),0)+IFERROR(SUMIF(Quarterly_Impact!$B:$B,$A145,Quarterly_Impact!$D:$D),0)+IFERROR(SUMIFS(XPLog!$M:$M,XPLog!$B:$B,$A145,XPLog!$J:$J,"Admin"),0)+IFERROR(SUMIFS(XPLog!$M:$M,XPLog!$B:$B,$A145,XPLog!$J:$J,"Seeding"),0)))</f>
        <v/>
      </c>
      <c r="F145" s="27">
        <f>IF($E145="","",LOOKUP($E145, XPBands!B$2:B$10, XPBands!A$2:A$10))</f>
        <v/>
      </c>
      <c r="G145" s="27">
        <f>IF($E145="","", VLOOKUP($F145, XPBands!A$2:G$10, 4, FALSE) + MIN(VLOOKUP($F145, XPBands!A$2:G$10, 5, FALSE) - VLOOKUP($F145, XPBands!A$2:G$10, 4, FALSE), FLOOR(( $E145 - VLOOKUP($F145, XPBands!A$2:G$10, 2, FALSE) ) / VLOOKUP($F145, XPBands!A$2:G$10, 7, FALSE),1)))</f>
        <v/>
      </c>
      <c r="H145" s="27">
        <f>IF($D145="","",VLOOKUP($D145,RoleTitles!$A:$E,3,FALSE))</f>
        <v/>
      </c>
      <c r="I145" s="27">
        <f>IF($D145="","",IF($C145="Greek",VLOOKUP($D145,RoleTitles!$A:$E,4,FALSE),IF($C145="Aesir",VLOOKUP($D145,RoleTitles!$A:$E,5,FALSE),VLOOKUP($D145,RoleTitles!$A:$E,3,FALSE))))</f>
        <v/>
      </c>
      <c r="J145" s="27">
        <f>IF($D145="","",IF($E145&gt;=VLOOKUP($D145,RoleTitles!$A:$B,2,FALSE),"Yes","No"))</f>
        <v/>
      </c>
      <c r="K145" s="27">
        <f>IF($D145="","",IF($D145="T1","T2",IF($D145="T2","T3",IF($D145="T3","T4",IF($D145="T4","T5",IF($D145="T5","T6",IF($D145="T6","T7",IF($D145="T7","T8",IF($D145="T8","T9","")))))))))</f>
        <v/>
      </c>
      <c r="L145" s="28">
        <f>IF($K145="","",MAX(0,VLOOKUP($K145,RoleTitles!$A:$B,2,FALSE)-$E145))</f>
        <v/>
      </c>
    </row>
    <row r="146">
      <c r="A146" s="24">
        <f>IFERROR(INDEX(CoachRoster!$A$2:$A$1000,ROW()-1),"")</f>
        <v/>
      </c>
      <c r="B146" s="27">
        <f>IF($A146="","",VLOOKUP($A146,CoachRoster!$A:$E,2,FALSE))</f>
        <v/>
      </c>
      <c r="C146" s="27">
        <f>IF($A146="","",VLOOKUP($A146,CoachRoster!$A:$E,3,FALSE))</f>
        <v/>
      </c>
      <c r="D146" s="27">
        <f>IF($A146="","",VLOOKUP($A146,CoachRoster!$A:$E,4,FALSE))</f>
        <v/>
      </c>
      <c r="E146" s="27">
        <f>IF($A146="","",MIN(Settings!$B$8,IFERROR(SUMIF(Weekly_Coaching!$B:$B,$A146,Weekly_Coaching!$D:$D),0)+IFERROR(SUMIF(Monthly_Edu!$B:$B,$A146,Monthly_Edu!$D:$D),0)+IFERROR(SUMIF(Monthly_Ops!$B:$B,$A146,Monthly_Ops!$D:$D),0)+IFERROR(SUMIF(Monthly_Mentor!$B:$B,$A146,Monthly_Mentor!$D:$D),0)+IFERROR(SUMIF(Quarterly_Impact!$B:$B,$A146,Quarterly_Impact!$D:$D),0)+IFERROR(SUMIFS(XPLog!$M:$M,XPLog!$B:$B,$A146,XPLog!$J:$J,"Admin"),0)+IFERROR(SUMIFS(XPLog!$M:$M,XPLog!$B:$B,$A146,XPLog!$J:$J,"Seeding"),0)))</f>
        <v/>
      </c>
      <c r="F146" s="27">
        <f>IF($E146="","",LOOKUP($E146, XPBands!B$2:B$10, XPBands!A$2:A$10))</f>
        <v/>
      </c>
      <c r="G146" s="27">
        <f>IF($E146="","", VLOOKUP($F146, XPBands!A$2:G$10, 4, FALSE) + MIN(VLOOKUP($F146, XPBands!A$2:G$10, 5, FALSE) - VLOOKUP($F146, XPBands!A$2:G$10, 4, FALSE), FLOOR(( $E146 - VLOOKUP($F146, XPBands!A$2:G$10, 2, FALSE) ) / VLOOKUP($F146, XPBands!A$2:G$10, 7, FALSE),1)))</f>
        <v/>
      </c>
      <c r="H146" s="27">
        <f>IF($D146="","",VLOOKUP($D146,RoleTitles!$A:$E,3,FALSE))</f>
        <v/>
      </c>
      <c r="I146" s="27">
        <f>IF($D146="","",IF($C146="Greek",VLOOKUP($D146,RoleTitles!$A:$E,4,FALSE),IF($C146="Aesir",VLOOKUP($D146,RoleTitles!$A:$E,5,FALSE),VLOOKUP($D146,RoleTitles!$A:$E,3,FALSE))))</f>
        <v/>
      </c>
      <c r="J146" s="27">
        <f>IF($D146="","",IF($E146&gt;=VLOOKUP($D146,RoleTitles!$A:$B,2,FALSE),"Yes","No"))</f>
        <v/>
      </c>
      <c r="K146" s="27">
        <f>IF($D146="","",IF($D146="T1","T2",IF($D146="T2","T3",IF($D146="T3","T4",IF($D146="T4","T5",IF($D146="T5","T6",IF($D146="T6","T7",IF($D146="T7","T8",IF($D146="T8","T9","")))))))))</f>
        <v/>
      </c>
      <c r="L146" s="28">
        <f>IF($K146="","",MAX(0,VLOOKUP($K146,RoleTitles!$A:$B,2,FALSE)-$E146))</f>
        <v/>
      </c>
    </row>
    <row r="147">
      <c r="A147" s="24">
        <f>IFERROR(INDEX(CoachRoster!$A$2:$A$1000,ROW()-1),"")</f>
        <v/>
      </c>
      <c r="B147" s="27">
        <f>IF($A147="","",VLOOKUP($A147,CoachRoster!$A:$E,2,FALSE))</f>
        <v/>
      </c>
      <c r="C147" s="27">
        <f>IF($A147="","",VLOOKUP($A147,CoachRoster!$A:$E,3,FALSE))</f>
        <v/>
      </c>
      <c r="D147" s="27">
        <f>IF($A147="","",VLOOKUP($A147,CoachRoster!$A:$E,4,FALSE))</f>
        <v/>
      </c>
      <c r="E147" s="27">
        <f>IF($A147="","",MIN(Settings!$B$8,IFERROR(SUMIF(Weekly_Coaching!$B:$B,$A147,Weekly_Coaching!$D:$D),0)+IFERROR(SUMIF(Monthly_Edu!$B:$B,$A147,Monthly_Edu!$D:$D),0)+IFERROR(SUMIF(Monthly_Ops!$B:$B,$A147,Monthly_Ops!$D:$D),0)+IFERROR(SUMIF(Monthly_Mentor!$B:$B,$A147,Monthly_Mentor!$D:$D),0)+IFERROR(SUMIF(Quarterly_Impact!$B:$B,$A147,Quarterly_Impact!$D:$D),0)+IFERROR(SUMIFS(XPLog!$M:$M,XPLog!$B:$B,$A147,XPLog!$J:$J,"Admin"),0)+IFERROR(SUMIFS(XPLog!$M:$M,XPLog!$B:$B,$A147,XPLog!$J:$J,"Seeding"),0)))</f>
        <v/>
      </c>
      <c r="F147" s="27">
        <f>IF($E147="","",LOOKUP($E147, XPBands!B$2:B$10, XPBands!A$2:A$10))</f>
        <v/>
      </c>
      <c r="G147" s="27">
        <f>IF($E147="","", VLOOKUP($F147, XPBands!A$2:G$10, 4, FALSE) + MIN(VLOOKUP($F147, XPBands!A$2:G$10, 5, FALSE) - VLOOKUP($F147, XPBands!A$2:G$10, 4, FALSE), FLOOR(( $E147 - VLOOKUP($F147, XPBands!A$2:G$10, 2, FALSE) ) / VLOOKUP($F147, XPBands!A$2:G$10, 7, FALSE),1)))</f>
        <v/>
      </c>
      <c r="H147" s="27">
        <f>IF($D147="","",VLOOKUP($D147,RoleTitles!$A:$E,3,FALSE))</f>
        <v/>
      </c>
      <c r="I147" s="27">
        <f>IF($D147="","",IF($C147="Greek",VLOOKUP($D147,RoleTitles!$A:$E,4,FALSE),IF($C147="Aesir",VLOOKUP($D147,RoleTitles!$A:$E,5,FALSE),VLOOKUP($D147,RoleTitles!$A:$E,3,FALSE))))</f>
        <v/>
      </c>
      <c r="J147" s="27">
        <f>IF($D147="","",IF($E147&gt;=VLOOKUP($D147,RoleTitles!$A:$B,2,FALSE),"Yes","No"))</f>
        <v/>
      </c>
      <c r="K147" s="27">
        <f>IF($D147="","",IF($D147="T1","T2",IF($D147="T2","T3",IF($D147="T3","T4",IF($D147="T4","T5",IF($D147="T5","T6",IF($D147="T6","T7",IF($D147="T7","T8",IF($D147="T8","T9","")))))))))</f>
        <v/>
      </c>
      <c r="L147" s="28">
        <f>IF($K147="","",MAX(0,VLOOKUP($K147,RoleTitles!$A:$B,2,FALSE)-$E147))</f>
        <v/>
      </c>
    </row>
    <row r="148">
      <c r="A148" s="24">
        <f>IFERROR(INDEX(CoachRoster!$A$2:$A$1000,ROW()-1),"")</f>
        <v/>
      </c>
      <c r="B148" s="27">
        <f>IF($A148="","",VLOOKUP($A148,CoachRoster!$A:$E,2,FALSE))</f>
        <v/>
      </c>
      <c r="C148" s="27">
        <f>IF($A148="","",VLOOKUP($A148,CoachRoster!$A:$E,3,FALSE))</f>
        <v/>
      </c>
      <c r="D148" s="27">
        <f>IF($A148="","",VLOOKUP($A148,CoachRoster!$A:$E,4,FALSE))</f>
        <v/>
      </c>
      <c r="E148" s="27">
        <f>IF($A148="","",MIN(Settings!$B$8,IFERROR(SUMIF(Weekly_Coaching!$B:$B,$A148,Weekly_Coaching!$D:$D),0)+IFERROR(SUMIF(Monthly_Edu!$B:$B,$A148,Monthly_Edu!$D:$D),0)+IFERROR(SUMIF(Monthly_Ops!$B:$B,$A148,Monthly_Ops!$D:$D),0)+IFERROR(SUMIF(Monthly_Mentor!$B:$B,$A148,Monthly_Mentor!$D:$D),0)+IFERROR(SUMIF(Quarterly_Impact!$B:$B,$A148,Quarterly_Impact!$D:$D),0)+IFERROR(SUMIFS(XPLog!$M:$M,XPLog!$B:$B,$A148,XPLog!$J:$J,"Admin"),0)+IFERROR(SUMIFS(XPLog!$M:$M,XPLog!$B:$B,$A148,XPLog!$J:$J,"Seeding"),0)))</f>
        <v/>
      </c>
      <c r="F148" s="27">
        <f>IF($E148="","",LOOKUP($E148, XPBands!B$2:B$10, XPBands!A$2:A$10))</f>
        <v/>
      </c>
      <c r="G148" s="27">
        <f>IF($E148="","", VLOOKUP($F148, XPBands!A$2:G$10, 4, FALSE) + MIN(VLOOKUP($F148, XPBands!A$2:G$10, 5, FALSE) - VLOOKUP($F148, XPBands!A$2:G$10, 4, FALSE), FLOOR(( $E148 - VLOOKUP($F148, XPBands!A$2:G$10, 2, FALSE) ) / VLOOKUP($F148, XPBands!A$2:G$10, 7, FALSE),1)))</f>
        <v/>
      </c>
      <c r="H148" s="27">
        <f>IF($D148="","",VLOOKUP($D148,RoleTitles!$A:$E,3,FALSE))</f>
        <v/>
      </c>
      <c r="I148" s="27">
        <f>IF($D148="","",IF($C148="Greek",VLOOKUP($D148,RoleTitles!$A:$E,4,FALSE),IF($C148="Aesir",VLOOKUP($D148,RoleTitles!$A:$E,5,FALSE),VLOOKUP($D148,RoleTitles!$A:$E,3,FALSE))))</f>
        <v/>
      </c>
      <c r="J148" s="27">
        <f>IF($D148="","",IF($E148&gt;=VLOOKUP($D148,RoleTitles!$A:$B,2,FALSE),"Yes","No"))</f>
        <v/>
      </c>
      <c r="K148" s="27">
        <f>IF($D148="","",IF($D148="T1","T2",IF($D148="T2","T3",IF($D148="T3","T4",IF($D148="T4","T5",IF($D148="T5","T6",IF($D148="T6","T7",IF($D148="T7","T8",IF($D148="T8","T9","")))))))))</f>
        <v/>
      </c>
      <c r="L148" s="28">
        <f>IF($K148="","",MAX(0,VLOOKUP($K148,RoleTitles!$A:$B,2,FALSE)-$E148))</f>
        <v/>
      </c>
    </row>
    <row r="149">
      <c r="A149" s="24">
        <f>IFERROR(INDEX(CoachRoster!$A$2:$A$1000,ROW()-1),"")</f>
        <v/>
      </c>
      <c r="B149" s="27">
        <f>IF($A149="","",VLOOKUP($A149,CoachRoster!$A:$E,2,FALSE))</f>
        <v/>
      </c>
      <c r="C149" s="27">
        <f>IF($A149="","",VLOOKUP($A149,CoachRoster!$A:$E,3,FALSE))</f>
        <v/>
      </c>
      <c r="D149" s="27">
        <f>IF($A149="","",VLOOKUP($A149,CoachRoster!$A:$E,4,FALSE))</f>
        <v/>
      </c>
      <c r="E149" s="27">
        <f>IF($A149="","",MIN(Settings!$B$8,IFERROR(SUMIF(Weekly_Coaching!$B:$B,$A149,Weekly_Coaching!$D:$D),0)+IFERROR(SUMIF(Monthly_Edu!$B:$B,$A149,Monthly_Edu!$D:$D),0)+IFERROR(SUMIF(Monthly_Ops!$B:$B,$A149,Monthly_Ops!$D:$D),0)+IFERROR(SUMIF(Monthly_Mentor!$B:$B,$A149,Monthly_Mentor!$D:$D),0)+IFERROR(SUMIF(Quarterly_Impact!$B:$B,$A149,Quarterly_Impact!$D:$D),0)+IFERROR(SUMIFS(XPLog!$M:$M,XPLog!$B:$B,$A149,XPLog!$J:$J,"Admin"),0)+IFERROR(SUMIFS(XPLog!$M:$M,XPLog!$B:$B,$A149,XPLog!$J:$J,"Seeding"),0)))</f>
        <v/>
      </c>
      <c r="F149" s="27">
        <f>IF($E149="","",LOOKUP($E149, XPBands!B$2:B$10, XPBands!A$2:A$10))</f>
        <v/>
      </c>
      <c r="G149" s="27">
        <f>IF($E149="","", VLOOKUP($F149, XPBands!A$2:G$10, 4, FALSE) + MIN(VLOOKUP($F149, XPBands!A$2:G$10, 5, FALSE) - VLOOKUP($F149, XPBands!A$2:G$10, 4, FALSE), FLOOR(( $E149 - VLOOKUP($F149, XPBands!A$2:G$10, 2, FALSE) ) / VLOOKUP($F149, XPBands!A$2:G$10, 7, FALSE),1)))</f>
        <v/>
      </c>
      <c r="H149" s="27">
        <f>IF($D149="","",VLOOKUP($D149,RoleTitles!$A:$E,3,FALSE))</f>
        <v/>
      </c>
      <c r="I149" s="27">
        <f>IF($D149="","",IF($C149="Greek",VLOOKUP($D149,RoleTitles!$A:$E,4,FALSE),IF($C149="Aesir",VLOOKUP($D149,RoleTitles!$A:$E,5,FALSE),VLOOKUP($D149,RoleTitles!$A:$E,3,FALSE))))</f>
        <v/>
      </c>
      <c r="J149" s="27">
        <f>IF($D149="","",IF($E149&gt;=VLOOKUP($D149,RoleTitles!$A:$B,2,FALSE),"Yes","No"))</f>
        <v/>
      </c>
      <c r="K149" s="27">
        <f>IF($D149="","",IF($D149="T1","T2",IF($D149="T2","T3",IF($D149="T3","T4",IF($D149="T4","T5",IF($D149="T5","T6",IF($D149="T6","T7",IF($D149="T7","T8",IF($D149="T8","T9","")))))))))</f>
        <v/>
      </c>
      <c r="L149" s="28">
        <f>IF($K149="","",MAX(0,VLOOKUP($K149,RoleTitles!$A:$B,2,FALSE)-$E149))</f>
        <v/>
      </c>
    </row>
    <row r="150">
      <c r="A150" s="24">
        <f>IFERROR(INDEX(CoachRoster!$A$2:$A$1000,ROW()-1),"")</f>
        <v/>
      </c>
      <c r="B150" s="27">
        <f>IF($A150="","",VLOOKUP($A150,CoachRoster!$A:$E,2,FALSE))</f>
        <v/>
      </c>
      <c r="C150" s="27">
        <f>IF($A150="","",VLOOKUP($A150,CoachRoster!$A:$E,3,FALSE))</f>
        <v/>
      </c>
      <c r="D150" s="27">
        <f>IF($A150="","",VLOOKUP($A150,CoachRoster!$A:$E,4,FALSE))</f>
        <v/>
      </c>
      <c r="E150" s="27">
        <f>IF($A150="","",MIN(Settings!$B$8,IFERROR(SUMIF(Weekly_Coaching!$B:$B,$A150,Weekly_Coaching!$D:$D),0)+IFERROR(SUMIF(Monthly_Edu!$B:$B,$A150,Monthly_Edu!$D:$D),0)+IFERROR(SUMIF(Monthly_Ops!$B:$B,$A150,Monthly_Ops!$D:$D),0)+IFERROR(SUMIF(Monthly_Mentor!$B:$B,$A150,Monthly_Mentor!$D:$D),0)+IFERROR(SUMIF(Quarterly_Impact!$B:$B,$A150,Quarterly_Impact!$D:$D),0)+IFERROR(SUMIFS(XPLog!$M:$M,XPLog!$B:$B,$A150,XPLog!$J:$J,"Admin"),0)+IFERROR(SUMIFS(XPLog!$M:$M,XPLog!$B:$B,$A150,XPLog!$J:$J,"Seeding"),0)))</f>
        <v/>
      </c>
      <c r="F150" s="27">
        <f>IF($E150="","",LOOKUP($E150, XPBands!B$2:B$10, XPBands!A$2:A$10))</f>
        <v/>
      </c>
      <c r="G150" s="27">
        <f>IF($E150="","", VLOOKUP($F150, XPBands!A$2:G$10, 4, FALSE) + MIN(VLOOKUP($F150, XPBands!A$2:G$10, 5, FALSE) - VLOOKUP($F150, XPBands!A$2:G$10, 4, FALSE), FLOOR(( $E150 - VLOOKUP($F150, XPBands!A$2:G$10, 2, FALSE) ) / VLOOKUP($F150, XPBands!A$2:G$10, 7, FALSE),1)))</f>
        <v/>
      </c>
      <c r="H150" s="27">
        <f>IF($D150="","",VLOOKUP($D150,RoleTitles!$A:$E,3,FALSE))</f>
        <v/>
      </c>
      <c r="I150" s="27">
        <f>IF($D150="","",IF($C150="Greek",VLOOKUP($D150,RoleTitles!$A:$E,4,FALSE),IF($C150="Aesir",VLOOKUP($D150,RoleTitles!$A:$E,5,FALSE),VLOOKUP($D150,RoleTitles!$A:$E,3,FALSE))))</f>
        <v/>
      </c>
      <c r="J150" s="27">
        <f>IF($D150="","",IF($E150&gt;=VLOOKUP($D150,RoleTitles!$A:$B,2,FALSE),"Yes","No"))</f>
        <v/>
      </c>
      <c r="K150" s="27">
        <f>IF($D150="","",IF($D150="T1","T2",IF($D150="T2","T3",IF($D150="T3","T4",IF($D150="T4","T5",IF($D150="T5","T6",IF($D150="T6","T7",IF($D150="T7","T8",IF($D150="T8","T9","")))))))))</f>
        <v/>
      </c>
      <c r="L150" s="28">
        <f>IF($K150="","",MAX(0,VLOOKUP($K150,RoleTitles!$A:$B,2,FALSE)-$E150))</f>
        <v/>
      </c>
    </row>
    <row r="151">
      <c r="A151" s="24">
        <f>IFERROR(INDEX(CoachRoster!$A$2:$A$1000,ROW()-1),"")</f>
        <v/>
      </c>
      <c r="B151" s="27">
        <f>IF($A151="","",VLOOKUP($A151,CoachRoster!$A:$E,2,FALSE))</f>
        <v/>
      </c>
      <c r="C151" s="27">
        <f>IF($A151="","",VLOOKUP($A151,CoachRoster!$A:$E,3,FALSE))</f>
        <v/>
      </c>
      <c r="D151" s="27">
        <f>IF($A151="","",VLOOKUP($A151,CoachRoster!$A:$E,4,FALSE))</f>
        <v/>
      </c>
      <c r="E151" s="27">
        <f>IF($A151="","",MIN(Settings!$B$8,IFERROR(SUMIF(Weekly_Coaching!$B:$B,$A151,Weekly_Coaching!$D:$D),0)+IFERROR(SUMIF(Monthly_Edu!$B:$B,$A151,Monthly_Edu!$D:$D),0)+IFERROR(SUMIF(Monthly_Ops!$B:$B,$A151,Monthly_Ops!$D:$D),0)+IFERROR(SUMIF(Monthly_Mentor!$B:$B,$A151,Monthly_Mentor!$D:$D),0)+IFERROR(SUMIF(Quarterly_Impact!$B:$B,$A151,Quarterly_Impact!$D:$D),0)+IFERROR(SUMIFS(XPLog!$M:$M,XPLog!$B:$B,$A151,XPLog!$J:$J,"Admin"),0)+IFERROR(SUMIFS(XPLog!$M:$M,XPLog!$B:$B,$A151,XPLog!$J:$J,"Seeding"),0)))</f>
        <v/>
      </c>
      <c r="F151" s="27">
        <f>IF($E151="","",LOOKUP($E151, XPBands!B$2:B$10, XPBands!A$2:A$10))</f>
        <v/>
      </c>
      <c r="G151" s="27">
        <f>IF($E151="","", VLOOKUP($F151, XPBands!A$2:G$10, 4, FALSE) + MIN(VLOOKUP($F151, XPBands!A$2:G$10, 5, FALSE) - VLOOKUP($F151, XPBands!A$2:G$10, 4, FALSE), FLOOR(( $E151 - VLOOKUP($F151, XPBands!A$2:G$10, 2, FALSE) ) / VLOOKUP($F151, XPBands!A$2:G$10, 7, FALSE),1)))</f>
        <v/>
      </c>
      <c r="H151" s="27">
        <f>IF($D151="","",VLOOKUP($D151,RoleTitles!$A:$E,3,FALSE))</f>
        <v/>
      </c>
      <c r="I151" s="27">
        <f>IF($D151="","",IF($C151="Greek",VLOOKUP($D151,RoleTitles!$A:$E,4,FALSE),IF($C151="Aesir",VLOOKUP($D151,RoleTitles!$A:$E,5,FALSE),VLOOKUP($D151,RoleTitles!$A:$E,3,FALSE))))</f>
        <v/>
      </c>
      <c r="J151" s="27">
        <f>IF($D151="","",IF($E151&gt;=VLOOKUP($D151,RoleTitles!$A:$B,2,FALSE),"Yes","No"))</f>
        <v/>
      </c>
      <c r="K151" s="27">
        <f>IF($D151="","",IF($D151="T1","T2",IF($D151="T2","T3",IF($D151="T3","T4",IF($D151="T4","T5",IF($D151="T5","T6",IF($D151="T6","T7",IF($D151="T7","T8",IF($D151="T8","T9","")))))))))</f>
        <v/>
      </c>
      <c r="L151" s="28">
        <f>IF($K151="","",MAX(0,VLOOKUP($K151,RoleTitles!$A:$B,2,FALSE)-$E151))</f>
        <v/>
      </c>
    </row>
    <row r="152">
      <c r="A152" s="24">
        <f>IFERROR(INDEX(CoachRoster!$A$2:$A$1000,ROW()-1),"")</f>
        <v/>
      </c>
      <c r="B152" s="27">
        <f>IF($A152="","",VLOOKUP($A152,CoachRoster!$A:$E,2,FALSE))</f>
        <v/>
      </c>
      <c r="C152" s="27">
        <f>IF($A152="","",VLOOKUP($A152,CoachRoster!$A:$E,3,FALSE))</f>
        <v/>
      </c>
      <c r="D152" s="27">
        <f>IF($A152="","",VLOOKUP($A152,CoachRoster!$A:$E,4,FALSE))</f>
        <v/>
      </c>
      <c r="E152" s="27">
        <f>IF($A152="","",MIN(Settings!$B$8,IFERROR(SUMIF(Weekly_Coaching!$B:$B,$A152,Weekly_Coaching!$D:$D),0)+IFERROR(SUMIF(Monthly_Edu!$B:$B,$A152,Monthly_Edu!$D:$D),0)+IFERROR(SUMIF(Monthly_Ops!$B:$B,$A152,Monthly_Ops!$D:$D),0)+IFERROR(SUMIF(Monthly_Mentor!$B:$B,$A152,Monthly_Mentor!$D:$D),0)+IFERROR(SUMIF(Quarterly_Impact!$B:$B,$A152,Quarterly_Impact!$D:$D),0)+IFERROR(SUMIFS(XPLog!$M:$M,XPLog!$B:$B,$A152,XPLog!$J:$J,"Admin"),0)+IFERROR(SUMIFS(XPLog!$M:$M,XPLog!$B:$B,$A152,XPLog!$J:$J,"Seeding"),0)))</f>
        <v/>
      </c>
      <c r="F152" s="27">
        <f>IF($E152="","",LOOKUP($E152, XPBands!B$2:B$10, XPBands!A$2:A$10))</f>
        <v/>
      </c>
      <c r="G152" s="27">
        <f>IF($E152="","", VLOOKUP($F152, XPBands!A$2:G$10, 4, FALSE) + MIN(VLOOKUP($F152, XPBands!A$2:G$10, 5, FALSE) - VLOOKUP($F152, XPBands!A$2:G$10, 4, FALSE), FLOOR(( $E152 - VLOOKUP($F152, XPBands!A$2:G$10, 2, FALSE) ) / VLOOKUP($F152, XPBands!A$2:G$10, 7, FALSE),1)))</f>
        <v/>
      </c>
      <c r="H152" s="27">
        <f>IF($D152="","",VLOOKUP($D152,RoleTitles!$A:$E,3,FALSE))</f>
        <v/>
      </c>
      <c r="I152" s="27">
        <f>IF($D152="","",IF($C152="Greek",VLOOKUP($D152,RoleTitles!$A:$E,4,FALSE),IF($C152="Aesir",VLOOKUP($D152,RoleTitles!$A:$E,5,FALSE),VLOOKUP($D152,RoleTitles!$A:$E,3,FALSE))))</f>
        <v/>
      </c>
      <c r="J152" s="27">
        <f>IF($D152="","",IF($E152&gt;=VLOOKUP($D152,RoleTitles!$A:$B,2,FALSE),"Yes","No"))</f>
        <v/>
      </c>
      <c r="K152" s="27">
        <f>IF($D152="","",IF($D152="T1","T2",IF($D152="T2","T3",IF($D152="T3","T4",IF($D152="T4","T5",IF($D152="T5","T6",IF($D152="T6","T7",IF($D152="T7","T8",IF($D152="T8","T9","")))))))))</f>
        <v/>
      </c>
      <c r="L152" s="28">
        <f>IF($K152="","",MAX(0,VLOOKUP($K152,RoleTitles!$A:$B,2,FALSE)-$E152))</f>
        <v/>
      </c>
    </row>
    <row r="153">
      <c r="A153" s="24">
        <f>IFERROR(INDEX(CoachRoster!$A$2:$A$1000,ROW()-1),"")</f>
        <v/>
      </c>
      <c r="B153" s="27">
        <f>IF($A153="","",VLOOKUP($A153,CoachRoster!$A:$E,2,FALSE))</f>
        <v/>
      </c>
      <c r="C153" s="27">
        <f>IF($A153="","",VLOOKUP($A153,CoachRoster!$A:$E,3,FALSE))</f>
        <v/>
      </c>
      <c r="D153" s="27">
        <f>IF($A153="","",VLOOKUP($A153,CoachRoster!$A:$E,4,FALSE))</f>
        <v/>
      </c>
      <c r="E153" s="27">
        <f>IF($A153="","",MIN(Settings!$B$8,IFERROR(SUMIF(Weekly_Coaching!$B:$B,$A153,Weekly_Coaching!$D:$D),0)+IFERROR(SUMIF(Monthly_Edu!$B:$B,$A153,Monthly_Edu!$D:$D),0)+IFERROR(SUMIF(Monthly_Ops!$B:$B,$A153,Monthly_Ops!$D:$D),0)+IFERROR(SUMIF(Monthly_Mentor!$B:$B,$A153,Monthly_Mentor!$D:$D),0)+IFERROR(SUMIF(Quarterly_Impact!$B:$B,$A153,Quarterly_Impact!$D:$D),0)+IFERROR(SUMIFS(XPLog!$M:$M,XPLog!$B:$B,$A153,XPLog!$J:$J,"Admin"),0)+IFERROR(SUMIFS(XPLog!$M:$M,XPLog!$B:$B,$A153,XPLog!$J:$J,"Seeding"),0)))</f>
        <v/>
      </c>
      <c r="F153" s="27">
        <f>IF($E153="","",LOOKUP($E153, XPBands!B$2:B$10, XPBands!A$2:A$10))</f>
        <v/>
      </c>
      <c r="G153" s="27">
        <f>IF($E153="","", VLOOKUP($F153, XPBands!A$2:G$10, 4, FALSE) + MIN(VLOOKUP($F153, XPBands!A$2:G$10, 5, FALSE) - VLOOKUP($F153, XPBands!A$2:G$10, 4, FALSE), FLOOR(( $E153 - VLOOKUP($F153, XPBands!A$2:G$10, 2, FALSE) ) / VLOOKUP($F153, XPBands!A$2:G$10, 7, FALSE),1)))</f>
        <v/>
      </c>
      <c r="H153" s="27">
        <f>IF($D153="","",VLOOKUP($D153,RoleTitles!$A:$E,3,FALSE))</f>
        <v/>
      </c>
      <c r="I153" s="27">
        <f>IF($D153="","",IF($C153="Greek",VLOOKUP($D153,RoleTitles!$A:$E,4,FALSE),IF($C153="Aesir",VLOOKUP($D153,RoleTitles!$A:$E,5,FALSE),VLOOKUP($D153,RoleTitles!$A:$E,3,FALSE))))</f>
        <v/>
      </c>
      <c r="J153" s="27">
        <f>IF($D153="","",IF($E153&gt;=VLOOKUP($D153,RoleTitles!$A:$B,2,FALSE),"Yes","No"))</f>
        <v/>
      </c>
      <c r="K153" s="27">
        <f>IF($D153="","",IF($D153="T1","T2",IF($D153="T2","T3",IF($D153="T3","T4",IF($D153="T4","T5",IF($D153="T5","T6",IF($D153="T6","T7",IF($D153="T7","T8",IF($D153="T8","T9","")))))))))</f>
        <v/>
      </c>
      <c r="L153" s="28">
        <f>IF($K153="","",MAX(0,VLOOKUP($K153,RoleTitles!$A:$B,2,FALSE)-$E153))</f>
        <v/>
      </c>
    </row>
    <row r="154">
      <c r="A154" s="24">
        <f>IFERROR(INDEX(CoachRoster!$A$2:$A$1000,ROW()-1),"")</f>
        <v/>
      </c>
      <c r="B154" s="27">
        <f>IF($A154="","",VLOOKUP($A154,CoachRoster!$A:$E,2,FALSE))</f>
        <v/>
      </c>
      <c r="C154" s="27">
        <f>IF($A154="","",VLOOKUP($A154,CoachRoster!$A:$E,3,FALSE))</f>
        <v/>
      </c>
      <c r="D154" s="27">
        <f>IF($A154="","",VLOOKUP($A154,CoachRoster!$A:$E,4,FALSE))</f>
        <v/>
      </c>
      <c r="E154" s="27">
        <f>IF($A154="","",MIN(Settings!$B$8,IFERROR(SUMIF(Weekly_Coaching!$B:$B,$A154,Weekly_Coaching!$D:$D),0)+IFERROR(SUMIF(Monthly_Edu!$B:$B,$A154,Monthly_Edu!$D:$D),0)+IFERROR(SUMIF(Monthly_Ops!$B:$B,$A154,Monthly_Ops!$D:$D),0)+IFERROR(SUMIF(Monthly_Mentor!$B:$B,$A154,Monthly_Mentor!$D:$D),0)+IFERROR(SUMIF(Quarterly_Impact!$B:$B,$A154,Quarterly_Impact!$D:$D),0)+IFERROR(SUMIFS(XPLog!$M:$M,XPLog!$B:$B,$A154,XPLog!$J:$J,"Admin"),0)+IFERROR(SUMIFS(XPLog!$M:$M,XPLog!$B:$B,$A154,XPLog!$J:$J,"Seeding"),0)))</f>
        <v/>
      </c>
      <c r="F154" s="27">
        <f>IF($E154="","",LOOKUP($E154, XPBands!B$2:B$10, XPBands!A$2:A$10))</f>
        <v/>
      </c>
      <c r="G154" s="27">
        <f>IF($E154="","", VLOOKUP($F154, XPBands!A$2:G$10, 4, FALSE) + MIN(VLOOKUP($F154, XPBands!A$2:G$10, 5, FALSE) - VLOOKUP($F154, XPBands!A$2:G$10, 4, FALSE), FLOOR(( $E154 - VLOOKUP($F154, XPBands!A$2:G$10, 2, FALSE) ) / VLOOKUP($F154, XPBands!A$2:G$10, 7, FALSE),1)))</f>
        <v/>
      </c>
      <c r="H154" s="27">
        <f>IF($D154="","",VLOOKUP($D154,RoleTitles!$A:$E,3,FALSE))</f>
        <v/>
      </c>
      <c r="I154" s="27">
        <f>IF($D154="","",IF($C154="Greek",VLOOKUP($D154,RoleTitles!$A:$E,4,FALSE),IF($C154="Aesir",VLOOKUP($D154,RoleTitles!$A:$E,5,FALSE),VLOOKUP($D154,RoleTitles!$A:$E,3,FALSE))))</f>
        <v/>
      </c>
      <c r="J154" s="27">
        <f>IF($D154="","",IF($E154&gt;=VLOOKUP($D154,RoleTitles!$A:$B,2,FALSE),"Yes","No"))</f>
        <v/>
      </c>
      <c r="K154" s="27">
        <f>IF($D154="","",IF($D154="T1","T2",IF($D154="T2","T3",IF($D154="T3","T4",IF($D154="T4","T5",IF($D154="T5","T6",IF($D154="T6","T7",IF($D154="T7","T8",IF($D154="T8","T9","")))))))))</f>
        <v/>
      </c>
      <c r="L154" s="28">
        <f>IF($K154="","",MAX(0,VLOOKUP($K154,RoleTitles!$A:$B,2,FALSE)-$E154))</f>
        <v/>
      </c>
    </row>
    <row r="155">
      <c r="A155" s="24">
        <f>IFERROR(INDEX(CoachRoster!$A$2:$A$1000,ROW()-1),"")</f>
        <v/>
      </c>
      <c r="B155" s="27">
        <f>IF($A155="","",VLOOKUP($A155,CoachRoster!$A:$E,2,FALSE))</f>
        <v/>
      </c>
      <c r="C155" s="27">
        <f>IF($A155="","",VLOOKUP($A155,CoachRoster!$A:$E,3,FALSE))</f>
        <v/>
      </c>
      <c r="D155" s="27">
        <f>IF($A155="","",VLOOKUP($A155,CoachRoster!$A:$E,4,FALSE))</f>
        <v/>
      </c>
      <c r="E155" s="27">
        <f>IF($A155="","",MIN(Settings!$B$8,IFERROR(SUMIF(Weekly_Coaching!$B:$B,$A155,Weekly_Coaching!$D:$D),0)+IFERROR(SUMIF(Monthly_Edu!$B:$B,$A155,Monthly_Edu!$D:$D),0)+IFERROR(SUMIF(Monthly_Ops!$B:$B,$A155,Monthly_Ops!$D:$D),0)+IFERROR(SUMIF(Monthly_Mentor!$B:$B,$A155,Monthly_Mentor!$D:$D),0)+IFERROR(SUMIF(Quarterly_Impact!$B:$B,$A155,Quarterly_Impact!$D:$D),0)+IFERROR(SUMIFS(XPLog!$M:$M,XPLog!$B:$B,$A155,XPLog!$J:$J,"Admin"),0)+IFERROR(SUMIFS(XPLog!$M:$M,XPLog!$B:$B,$A155,XPLog!$J:$J,"Seeding"),0)))</f>
        <v/>
      </c>
      <c r="F155" s="27">
        <f>IF($E155="","",LOOKUP($E155, XPBands!B$2:B$10, XPBands!A$2:A$10))</f>
        <v/>
      </c>
      <c r="G155" s="27">
        <f>IF($E155="","", VLOOKUP($F155, XPBands!A$2:G$10, 4, FALSE) + MIN(VLOOKUP($F155, XPBands!A$2:G$10, 5, FALSE) - VLOOKUP($F155, XPBands!A$2:G$10, 4, FALSE), FLOOR(( $E155 - VLOOKUP($F155, XPBands!A$2:G$10, 2, FALSE) ) / VLOOKUP($F155, XPBands!A$2:G$10, 7, FALSE),1)))</f>
        <v/>
      </c>
      <c r="H155" s="27">
        <f>IF($D155="","",VLOOKUP($D155,RoleTitles!$A:$E,3,FALSE))</f>
        <v/>
      </c>
      <c r="I155" s="27">
        <f>IF($D155="","",IF($C155="Greek",VLOOKUP($D155,RoleTitles!$A:$E,4,FALSE),IF($C155="Aesir",VLOOKUP($D155,RoleTitles!$A:$E,5,FALSE),VLOOKUP($D155,RoleTitles!$A:$E,3,FALSE))))</f>
        <v/>
      </c>
      <c r="J155" s="27">
        <f>IF($D155="","",IF($E155&gt;=VLOOKUP($D155,RoleTitles!$A:$B,2,FALSE),"Yes","No"))</f>
        <v/>
      </c>
      <c r="K155" s="27">
        <f>IF($D155="","",IF($D155="T1","T2",IF($D155="T2","T3",IF($D155="T3","T4",IF($D155="T4","T5",IF($D155="T5","T6",IF($D155="T6","T7",IF($D155="T7","T8",IF($D155="T8","T9","")))))))))</f>
        <v/>
      </c>
      <c r="L155" s="28">
        <f>IF($K155="","",MAX(0,VLOOKUP($K155,RoleTitles!$A:$B,2,FALSE)-$E155))</f>
        <v/>
      </c>
    </row>
    <row r="156">
      <c r="A156" s="24">
        <f>IFERROR(INDEX(CoachRoster!$A$2:$A$1000,ROW()-1),"")</f>
        <v/>
      </c>
      <c r="B156" s="27">
        <f>IF($A156="","",VLOOKUP($A156,CoachRoster!$A:$E,2,FALSE))</f>
        <v/>
      </c>
      <c r="C156" s="27">
        <f>IF($A156="","",VLOOKUP($A156,CoachRoster!$A:$E,3,FALSE))</f>
        <v/>
      </c>
      <c r="D156" s="27">
        <f>IF($A156="","",VLOOKUP($A156,CoachRoster!$A:$E,4,FALSE))</f>
        <v/>
      </c>
      <c r="E156" s="27">
        <f>IF($A156="","",MIN(Settings!$B$8,IFERROR(SUMIF(Weekly_Coaching!$B:$B,$A156,Weekly_Coaching!$D:$D),0)+IFERROR(SUMIF(Monthly_Edu!$B:$B,$A156,Monthly_Edu!$D:$D),0)+IFERROR(SUMIF(Monthly_Ops!$B:$B,$A156,Monthly_Ops!$D:$D),0)+IFERROR(SUMIF(Monthly_Mentor!$B:$B,$A156,Monthly_Mentor!$D:$D),0)+IFERROR(SUMIF(Quarterly_Impact!$B:$B,$A156,Quarterly_Impact!$D:$D),0)+IFERROR(SUMIFS(XPLog!$M:$M,XPLog!$B:$B,$A156,XPLog!$J:$J,"Admin"),0)+IFERROR(SUMIFS(XPLog!$M:$M,XPLog!$B:$B,$A156,XPLog!$J:$J,"Seeding"),0)))</f>
        <v/>
      </c>
      <c r="F156" s="27">
        <f>IF($E156="","",LOOKUP($E156, XPBands!B$2:B$10, XPBands!A$2:A$10))</f>
        <v/>
      </c>
      <c r="G156" s="27">
        <f>IF($E156="","", VLOOKUP($F156, XPBands!A$2:G$10, 4, FALSE) + MIN(VLOOKUP($F156, XPBands!A$2:G$10, 5, FALSE) - VLOOKUP($F156, XPBands!A$2:G$10, 4, FALSE), FLOOR(( $E156 - VLOOKUP($F156, XPBands!A$2:G$10, 2, FALSE) ) / VLOOKUP($F156, XPBands!A$2:G$10, 7, FALSE),1)))</f>
        <v/>
      </c>
      <c r="H156" s="27">
        <f>IF($D156="","",VLOOKUP($D156,RoleTitles!$A:$E,3,FALSE))</f>
        <v/>
      </c>
      <c r="I156" s="27">
        <f>IF($D156="","",IF($C156="Greek",VLOOKUP($D156,RoleTitles!$A:$E,4,FALSE),IF($C156="Aesir",VLOOKUP($D156,RoleTitles!$A:$E,5,FALSE),VLOOKUP($D156,RoleTitles!$A:$E,3,FALSE))))</f>
        <v/>
      </c>
      <c r="J156" s="27">
        <f>IF($D156="","",IF($E156&gt;=VLOOKUP($D156,RoleTitles!$A:$B,2,FALSE),"Yes","No"))</f>
        <v/>
      </c>
      <c r="K156" s="27">
        <f>IF($D156="","",IF($D156="T1","T2",IF($D156="T2","T3",IF($D156="T3","T4",IF($D156="T4","T5",IF($D156="T5","T6",IF($D156="T6","T7",IF($D156="T7","T8",IF($D156="T8","T9","")))))))))</f>
        <v/>
      </c>
      <c r="L156" s="28">
        <f>IF($K156="","",MAX(0,VLOOKUP($K156,RoleTitles!$A:$B,2,FALSE)-$E156))</f>
        <v/>
      </c>
    </row>
    <row r="157">
      <c r="A157" s="24">
        <f>IFERROR(INDEX(CoachRoster!$A$2:$A$1000,ROW()-1),"")</f>
        <v/>
      </c>
      <c r="B157" s="27">
        <f>IF($A157="","",VLOOKUP($A157,CoachRoster!$A:$E,2,FALSE))</f>
        <v/>
      </c>
      <c r="C157" s="27">
        <f>IF($A157="","",VLOOKUP($A157,CoachRoster!$A:$E,3,FALSE))</f>
        <v/>
      </c>
      <c r="D157" s="27">
        <f>IF($A157="","",VLOOKUP($A157,CoachRoster!$A:$E,4,FALSE))</f>
        <v/>
      </c>
      <c r="E157" s="27">
        <f>IF($A157="","",MIN(Settings!$B$8,IFERROR(SUMIF(Weekly_Coaching!$B:$B,$A157,Weekly_Coaching!$D:$D),0)+IFERROR(SUMIF(Monthly_Edu!$B:$B,$A157,Monthly_Edu!$D:$D),0)+IFERROR(SUMIF(Monthly_Ops!$B:$B,$A157,Monthly_Ops!$D:$D),0)+IFERROR(SUMIF(Monthly_Mentor!$B:$B,$A157,Monthly_Mentor!$D:$D),0)+IFERROR(SUMIF(Quarterly_Impact!$B:$B,$A157,Quarterly_Impact!$D:$D),0)+IFERROR(SUMIFS(XPLog!$M:$M,XPLog!$B:$B,$A157,XPLog!$J:$J,"Admin"),0)+IFERROR(SUMIFS(XPLog!$M:$M,XPLog!$B:$B,$A157,XPLog!$J:$J,"Seeding"),0)))</f>
        <v/>
      </c>
      <c r="F157" s="27">
        <f>IF($E157="","",LOOKUP($E157, XPBands!B$2:B$10, XPBands!A$2:A$10))</f>
        <v/>
      </c>
      <c r="G157" s="27">
        <f>IF($E157="","", VLOOKUP($F157, XPBands!A$2:G$10, 4, FALSE) + MIN(VLOOKUP($F157, XPBands!A$2:G$10, 5, FALSE) - VLOOKUP($F157, XPBands!A$2:G$10, 4, FALSE), FLOOR(( $E157 - VLOOKUP($F157, XPBands!A$2:G$10, 2, FALSE) ) / VLOOKUP($F157, XPBands!A$2:G$10, 7, FALSE),1)))</f>
        <v/>
      </c>
      <c r="H157" s="27">
        <f>IF($D157="","",VLOOKUP($D157,RoleTitles!$A:$E,3,FALSE))</f>
        <v/>
      </c>
      <c r="I157" s="27">
        <f>IF($D157="","",IF($C157="Greek",VLOOKUP($D157,RoleTitles!$A:$E,4,FALSE),IF($C157="Aesir",VLOOKUP($D157,RoleTitles!$A:$E,5,FALSE),VLOOKUP($D157,RoleTitles!$A:$E,3,FALSE))))</f>
        <v/>
      </c>
      <c r="J157" s="27">
        <f>IF($D157="","",IF($E157&gt;=VLOOKUP($D157,RoleTitles!$A:$B,2,FALSE),"Yes","No"))</f>
        <v/>
      </c>
      <c r="K157" s="27">
        <f>IF($D157="","",IF($D157="T1","T2",IF($D157="T2","T3",IF($D157="T3","T4",IF($D157="T4","T5",IF($D157="T5","T6",IF($D157="T6","T7",IF($D157="T7","T8",IF($D157="T8","T9","")))))))))</f>
        <v/>
      </c>
      <c r="L157" s="28">
        <f>IF($K157="","",MAX(0,VLOOKUP($K157,RoleTitles!$A:$B,2,FALSE)-$E157))</f>
        <v/>
      </c>
    </row>
    <row r="158">
      <c r="A158" s="24">
        <f>IFERROR(INDEX(CoachRoster!$A$2:$A$1000,ROW()-1),"")</f>
        <v/>
      </c>
      <c r="B158" s="27">
        <f>IF($A158="","",VLOOKUP($A158,CoachRoster!$A:$E,2,FALSE))</f>
        <v/>
      </c>
      <c r="C158" s="27">
        <f>IF($A158="","",VLOOKUP($A158,CoachRoster!$A:$E,3,FALSE))</f>
        <v/>
      </c>
      <c r="D158" s="27">
        <f>IF($A158="","",VLOOKUP($A158,CoachRoster!$A:$E,4,FALSE))</f>
        <v/>
      </c>
      <c r="E158" s="27">
        <f>IF($A158="","",MIN(Settings!$B$8,IFERROR(SUMIF(Weekly_Coaching!$B:$B,$A158,Weekly_Coaching!$D:$D),0)+IFERROR(SUMIF(Monthly_Edu!$B:$B,$A158,Monthly_Edu!$D:$D),0)+IFERROR(SUMIF(Monthly_Ops!$B:$B,$A158,Monthly_Ops!$D:$D),0)+IFERROR(SUMIF(Monthly_Mentor!$B:$B,$A158,Monthly_Mentor!$D:$D),0)+IFERROR(SUMIF(Quarterly_Impact!$B:$B,$A158,Quarterly_Impact!$D:$D),0)+IFERROR(SUMIFS(XPLog!$M:$M,XPLog!$B:$B,$A158,XPLog!$J:$J,"Admin"),0)+IFERROR(SUMIFS(XPLog!$M:$M,XPLog!$B:$B,$A158,XPLog!$J:$J,"Seeding"),0)))</f>
        <v/>
      </c>
      <c r="F158" s="27">
        <f>IF($E158="","",LOOKUP($E158, XPBands!B$2:B$10, XPBands!A$2:A$10))</f>
        <v/>
      </c>
      <c r="G158" s="27">
        <f>IF($E158="","", VLOOKUP($F158, XPBands!A$2:G$10, 4, FALSE) + MIN(VLOOKUP($F158, XPBands!A$2:G$10, 5, FALSE) - VLOOKUP($F158, XPBands!A$2:G$10, 4, FALSE), FLOOR(( $E158 - VLOOKUP($F158, XPBands!A$2:G$10, 2, FALSE) ) / VLOOKUP($F158, XPBands!A$2:G$10, 7, FALSE),1)))</f>
        <v/>
      </c>
      <c r="H158" s="27">
        <f>IF($D158="","",VLOOKUP($D158,RoleTitles!$A:$E,3,FALSE))</f>
        <v/>
      </c>
      <c r="I158" s="27">
        <f>IF($D158="","",IF($C158="Greek",VLOOKUP($D158,RoleTitles!$A:$E,4,FALSE),IF($C158="Aesir",VLOOKUP($D158,RoleTitles!$A:$E,5,FALSE),VLOOKUP($D158,RoleTitles!$A:$E,3,FALSE))))</f>
        <v/>
      </c>
      <c r="J158" s="27">
        <f>IF($D158="","",IF($E158&gt;=VLOOKUP($D158,RoleTitles!$A:$B,2,FALSE),"Yes","No"))</f>
        <v/>
      </c>
      <c r="K158" s="27">
        <f>IF($D158="","",IF($D158="T1","T2",IF($D158="T2","T3",IF($D158="T3","T4",IF($D158="T4","T5",IF($D158="T5","T6",IF($D158="T6","T7",IF($D158="T7","T8",IF($D158="T8","T9","")))))))))</f>
        <v/>
      </c>
      <c r="L158" s="28">
        <f>IF($K158="","",MAX(0,VLOOKUP($K158,RoleTitles!$A:$B,2,FALSE)-$E158))</f>
        <v/>
      </c>
    </row>
    <row r="159">
      <c r="A159" s="24">
        <f>IFERROR(INDEX(CoachRoster!$A$2:$A$1000,ROW()-1),"")</f>
        <v/>
      </c>
      <c r="B159" s="27">
        <f>IF($A159="","",VLOOKUP($A159,CoachRoster!$A:$E,2,FALSE))</f>
        <v/>
      </c>
      <c r="C159" s="27">
        <f>IF($A159="","",VLOOKUP($A159,CoachRoster!$A:$E,3,FALSE))</f>
        <v/>
      </c>
      <c r="D159" s="27">
        <f>IF($A159="","",VLOOKUP($A159,CoachRoster!$A:$E,4,FALSE))</f>
        <v/>
      </c>
      <c r="E159" s="27">
        <f>IF($A159="","",MIN(Settings!$B$8,IFERROR(SUMIF(Weekly_Coaching!$B:$B,$A159,Weekly_Coaching!$D:$D),0)+IFERROR(SUMIF(Monthly_Edu!$B:$B,$A159,Monthly_Edu!$D:$D),0)+IFERROR(SUMIF(Monthly_Ops!$B:$B,$A159,Monthly_Ops!$D:$D),0)+IFERROR(SUMIF(Monthly_Mentor!$B:$B,$A159,Monthly_Mentor!$D:$D),0)+IFERROR(SUMIF(Quarterly_Impact!$B:$B,$A159,Quarterly_Impact!$D:$D),0)+IFERROR(SUMIFS(XPLog!$M:$M,XPLog!$B:$B,$A159,XPLog!$J:$J,"Admin"),0)+IFERROR(SUMIFS(XPLog!$M:$M,XPLog!$B:$B,$A159,XPLog!$J:$J,"Seeding"),0)))</f>
        <v/>
      </c>
      <c r="F159" s="27">
        <f>IF($E159="","",LOOKUP($E159, XPBands!B$2:B$10, XPBands!A$2:A$10))</f>
        <v/>
      </c>
      <c r="G159" s="27">
        <f>IF($E159="","", VLOOKUP($F159, XPBands!A$2:G$10, 4, FALSE) + MIN(VLOOKUP($F159, XPBands!A$2:G$10, 5, FALSE) - VLOOKUP($F159, XPBands!A$2:G$10, 4, FALSE), FLOOR(( $E159 - VLOOKUP($F159, XPBands!A$2:G$10, 2, FALSE) ) / VLOOKUP($F159, XPBands!A$2:G$10, 7, FALSE),1)))</f>
        <v/>
      </c>
      <c r="H159" s="27">
        <f>IF($D159="","",VLOOKUP($D159,RoleTitles!$A:$E,3,FALSE))</f>
        <v/>
      </c>
      <c r="I159" s="27">
        <f>IF($D159="","",IF($C159="Greek",VLOOKUP($D159,RoleTitles!$A:$E,4,FALSE),IF($C159="Aesir",VLOOKUP($D159,RoleTitles!$A:$E,5,FALSE),VLOOKUP($D159,RoleTitles!$A:$E,3,FALSE))))</f>
        <v/>
      </c>
      <c r="J159" s="27">
        <f>IF($D159="","",IF($E159&gt;=VLOOKUP($D159,RoleTitles!$A:$B,2,FALSE),"Yes","No"))</f>
        <v/>
      </c>
      <c r="K159" s="27">
        <f>IF($D159="","",IF($D159="T1","T2",IF($D159="T2","T3",IF($D159="T3","T4",IF($D159="T4","T5",IF($D159="T5","T6",IF($D159="T6","T7",IF($D159="T7","T8",IF($D159="T8","T9","")))))))))</f>
        <v/>
      </c>
      <c r="L159" s="28">
        <f>IF($K159="","",MAX(0,VLOOKUP($K159,RoleTitles!$A:$B,2,FALSE)-$E159))</f>
        <v/>
      </c>
    </row>
    <row r="160">
      <c r="A160" s="24">
        <f>IFERROR(INDEX(CoachRoster!$A$2:$A$1000,ROW()-1),"")</f>
        <v/>
      </c>
      <c r="B160" s="27">
        <f>IF($A160="","",VLOOKUP($A160,CoachRoster!$A:$E,2,FALSE))</f>
        <v/>
      </c>
      <c r="C160" s="27">
        <f>IF($A160="","",VLOOKUP($A160,CoachRoster!$A:$E,3,FALSE))</f>
        <v/>
      </c>
      <c r="D160" s="27">
        <f>IF($A160="","",VLOOKUP($A160,CoachRoster!$A:$E,4,FALSE))</f>
        <v/>
      </c>
      <c r="E160" s="27">
        <f>IF($A160="","",MIN(Settings!$B$8,IFERROR(SUMIF(Weekly_Coaching!$B:$B,$A160,Weekly_Coaching!$D:$D),0)+IFERROR(SUMIF(Monthly_Edu!$B:$B,$A160,Monthly_Edu!$D:$D),0)+IFERROR(SUMIF(Monthly_Ops!$B:$B,$A160,Monthly_Ops!$D:$D),0)+IFERROR(SUMIF(Monthly_Mentor!$B:$B,$A160,Monthly_Mentor!$D:$D),0)+IFERROR(SUMIF(Quarterly_Impact!$B:$B,$A160,Quarterly_Impact!$D:$D),0)+IFERROR(SUMIFS(XPLog!$M:$M,XPLog!$B:$B,$A160,XPLog!$J:$J,"Admin"),0)+IFERROR(SUMIFS(XPLog!$M:$M,XPLog!$B:$B,$A160,XPLog!$J:$J,"Seeding"),0)))</f>
        <v/>
      </c>
      <c r="F160" s="27">
        <f>IF($E160="","",LOOKUP($E160, XPBands!B$2:B$10, XPBands!A$2:A$10))</f>
        <v/>
      </c>
      <c r="G160" s="27">
        <f>IF($E160="","", VLOOKUP($F160, XPBands!A$2:G$10, 4, FALSE) + MIN(VLOOKUP($F160, XPBands!A$2:G$10, 5, FALSE) - VLOOKUP($F160, XPBands!A$2:G$10, 4, FALSE), FLOOR(( $E160 - VLOOKUP($F160, XPBands!A$2:G$10, 2, FALSE) ) / VLOOKUP($F160, XPBands!A$2:G$10, 7, FALSE),1)))</f>
        <v/>
      </c>
      <c r="H160" s="27">
        <f>IF($D160="","",VLOOKUP($D160,RoleTitles!$A:$E,3,FALSE))</f>
        <v/>
      </c>
      <c r="I160" s="27">
        <f>IF($D160="","",IF($C160="Greek",VLOOKUP($D160,RoleTitles!$A:$E,4,FALSE),IF($C160="Aesir",VLOOKUP($D160,RoleTitles!$A:$E,5,FALSE),VLOOKUP($D160,RoleTitles!$A:$E,3,FALSE))))</f>
        <v/>
      </c>
      <c r="J160" s="27">
        <f>IF($D160="","",IF($E160&gt;=VLOOKUP($D160,RoleTitles!$A:$B,2,FALSE),"Yes","No"))</f>
        <v/>
      </c>
      <c r="K160" s="27">
        <f>IF($D160="","",IF($D160="T1","T2",IF($D160="T2","T3",IF($D160="T3","T4",IF($D160="T4","T5",IF($D160="T5","T6",IF($D160="T6","T7",IF($D160="T7","T8",IF($D160="T8","T9","")))))))))</f>
        <v/>
      </c>
      <c r="L160" s="28">
        <f>IF($K160="","",MAX(0,VLOOKUP($K160,RoleTitles!$A:$B,2,FALSE)-$E160))</f>
        <v/>
      </c>
    </row>
    <row r="161">
      <c r="A161" s="24">
        <f>IFERROR(INDEX(CoachRoster!$A$2:$A$1000,ROW()-1),"")</f>
        <v/>
      </c>
      <c r="B161" s="27">
        <f>IF($A161="","",VLOOKUP($A161,CoachRoster!$A:$E,2,FALSE))</f>
        <v/>
      </c>
      <c r="C161" s="27">
        <f>IF($A161="","",VLOOKUP($A161,CoachRoster!$A:$E,3,FALSE))</f>
        <v/>
      </c>
      <c r="D161" s="27">
        <f>IF($A161="","",VLOOKUP($A161,CoachRoster!$A:$E,4,FALSE))</f>
        <v/>
      </c>
      <c r="E161" s="27">
        <f>IF($A161="","",MIN(Settings!$B$8,IFERROR(SUMIF(Weekly_Coaching!$B:$B,$A161,Weekly_Coaching!$D:$D),0)+IFERROR(SUMIF(Monthly_Edu!$B:$B,$A161,Monthly_Edu!$D:$D),0)+IFERROR(SUMIF(Monthly_Ops!$B:$B,$A161,Monthly_Ops!$D:$D),0)+IFERROR(SUMIF(Monthly_Mentor!$B:$B,$A161,Monthly_Mentor!$D:$D),0)+IFERROR(SUMIF(Quarterly_Impact!$B:$B,$A161,Quarterly_Impact!$D:$D),0)+IFERROR(SUMIFS(XPLog!$M:$M,XPLog!$B:$B,$A161,XPLog!$J:$J,"Admin"),0)+IFERROR(SUMIFS(XPLog!$M:$M,XPLog!$B:$B,$A161,XPLog!$J:$J,"Seeding"),0)))</f>
        <v/>
      </c>
      <c r="F161" s="27">
        <f>IF($E161="","",LOOKUP($E161, XPBands!B$2:B$10, XPBands!A$2:A$10))</f>
        <v/>
      </c>
      <c r="G161" s="27">
        <f>IF($E161="","", VLOOKUP($F161, XPBands!A$2:G$10, 4, FALSE) + MIN(VLOOKUP($F161, XPBands!A$2:G$10, 5, FALSE) - VLOOKUP($F161, XPBands!A$2:G$10, 4, FALSE), FLOOR(( $E161 - VLOOKUP($F161, XPBands!A$2:G$10, 2, FALSE) ) / VLOOKUP($F161, XPBands!A$2:G$10, 7, FALSE),1)))</f>
        <v/>
      </c>
      <c r="H161" s="27">
        <f>IF($D161="","",VLOOKUP($D161,RoleTitles!$A:$E,3,FALSE))</f>
        <v/>
      </c>
      <c r="I161" s="27">
        <f>IF($D161="","",IF($C161="Greek",VLOOKUP($D161,RoleTitles!$A:$E,4,FALSE),IF($C161="Aesir",VLOOKUP($D161,RoleTitles!$A:$E,5,FALSE),VLOOKUP($D161,RoleTitles!$A:$E,3,FALSE))))</f>
        <v/>
      </c>
      <c r="J161" s="27">
        <f>IF($D161="","",IF($E161&gt;=VLOOKUP($D161,RoleTitles!$A:$B,2,FALSE),"Yes","No"))</f>
        <v/>
      </c>
      <c r="K161" s="27">
        <f>IF($D161="","",IF($D161="T1","T2",IF($D161="T2","T3",IF($D161="T3","T4",IF($D161="T4","T5",IF($D161="T5","T6",IF($D161="T6","T7",IF($D161="T7","T8",IF($D161="T8","T9","")))))))))</f>
        <v/>
      </c>
      <c r="L161" s="28">
        <f>IF($K161="","",MAX(0,VLOOKUP($K161,RoleTitles!$A:$B,2,FALSE)-$E161))</f>
        <v/>
      </c>
    </row>
    <row r="162">
      <c r="A162" s="24">
        <f>IFERROR(INDEX(CoachRoster!$A$2:$A$1000,ROW()-1),"")</f>
        <v/>
      </c>
      <c r="B162" s="27">
        <f>IF($A162="","",VLOOKUP($A162,CoachRoster!$A:$E,2,FALSE))</f>
        <v/>
      </c>
      <c r="C162" s="27">
        <f>IF($A162="","",VLOOKUP($A162,CoachRoster!$A:$E,3,FALSE))</f>
        <v/>
      </c>
      <c r="D162" s="27">
        <f>IF($A162="","",VLOOKUP($A162,CoachRoster!$A:$E,4,FALSE))</f>
        <v/>
      </c>
      <c r="E162" s="27">
        <f>IF($A162="","",MIN(Settings!$B$8,IFERROR(SUMIF(Weekly_Coaching!$B:$B,$A162,Weekly_Coaching!$D:$D),0)+IFERROR(SUMIF(Monthly_Edu!$B:$B,$A162,Monthly_Edu!$D:$D),0)+IFERROR(SUMIF(Monthly_Ops!$B:$B,$A162,Monthly_Ops!$D:$D),0)+IFERROR(SUMIF(Monthly_Mentor!$B:$B,$A162,Monthly_Mentor!$D:$D),0)+IFERROR(SUMIF(Quarterly_Impact!$B:$B,$A162,Quarterly_Impact!$D:$D),0)+IFERROR(SUMIFS(XPLog!$M:$M,XPLog!$B:$B,$A162,XPLog!$J:$J,"Admin"),0)+IFERROR(SUMIFS(XPLog!$M:$M,XPLog!$B:$B,$A162,XPLog!$J:$J,"Seeding"),0)))</f>
        <v/>
      </c>
      <c r="F162" s="27">
        <f>IF($E162="","",LOOKUP($E162, XPBands!B$2:B$10, XPBands!A$2:A$10))</f>
        <v/>
      </c>
      <c r="G162" s="27">
        <f>IF($E162="","", VLOOKUP($F162, XPBands!A$2:G$10, 4, FALSE) + MIN(VLOOKUP($F162, XPBands!A$2:G$10, 5, FALSE) - VLOOKUP($F162, XPBands!A$2:G$10, 4, FALSE), FLOOR(( $E162 - VLOOKUP($F162, XPBands!A$2:G$10, 2, FALSE) ) / VLOOKUP($F162, XPBands!A$2:G$10, 7, FALSE),1)))</f>
        <v/>
      </c>
      <c r="H162" s="27">
        <f>IF($D162="","",VLOOKUP($D162,RoleTitles!$A:$E,3,FALSE))</f>
        <v/>
      </c>
      <c r="I162" s="27">
        <f>IF($D162="","",IF($C162="Greek",VLOOKUP($D162,RoleTitles!$A:$E,4,FALSE),IF($C162="Aesir",VLOOKUP($D162,RoleTitles!$A:$E,5,FALSE),VLOOKUP($D162,RoleTitles!$A:$E,3,FALSE))))</f>
        <v/>
      </c>
      <c r="J162" s="27">
        <f>IF($D162="","",IF($E162&gt;=VLOOKUP($D162,RoleTitles!$A:$B,2,FALSE),"Yes","No"))</f>
        <v/>
      </c>
      <c r="K162" s="27">
        <f>IF($D162="","",IF($D162="T1","T2",IF($D162="T2","T3",IF($D162="T3","T4",IF($D162="T4","T5",IF($D162="T5","T6",IF($D162="T6","T7",IF($D162="T7","T8",IF($D162="T8","T9","")))))))))</f>
        <v/>
      </c>
      <c r="L162" s="28">
        <f>IF($K162="","",MAX(0,VLOOKUP($K162,RoleTitles!$A:$B,2,FALSE)-$E162))</f>
        <v/>
      </c>
    </row>
    <row r="163">
      <c r="A163" s="24">
        <f>IFERROR(INDEX(CoachRoster!$A$2:$A$1000,ROW()-1),"")</f>
        <v/>
      </c>
      <c r="B163" s="27">
        <f>IF($A163="","",VLOOKUP($A163,CoachRoster!$A:$E,2,FALSE))</f>
        <v/>
      </c>
      <c r="C163" s="27">
        <f>IF($A163="","",VLOOKUP($A163,CoachRoster!$A:$E,3,FALSE))</f>
        <v/>
      </c>
      <c r="D163" s="27">
        <f>IF($A163="","",VLOOKUP($A163,CoachRoster!$A:$E,4,FALSE))</f>
        <v/>
      </c>
      <c r="E163" s="27">
        <f>IF($A163="","",MIN(Settings!$B$8,IFERROR(SUMIF(Weekly_Coaching!$B:$B,$A163,Weekly_Coaching!$D:$D),0)+IFERROR(SUMIF(Monthly_Edu!$B:$B,$A163,Monthly_Edu!$D:$D),0)+IFERROR(SUMIF(Monthly_Ops!$B:$B,$A163,Monthly_Ops!$D:$D),0)+IFERROR(SUMIF(Monthly_Mentor!$B:$B,$A163,Monthly_Mentor!$D:$D),0)+IFERROR(SUMIF(Quarterly_Impact!$B:$B,$A163,Quarterly_Impact!$D:$D),0)+IFERROR(SUMIFS(XPLog!$M:$M,XPLog!$B:$B,$A163,XPLog!$J:$J,"Admin"),0)+IFERROR(SUMIFS(XPLog!$M:$M,XPLog!$B:$B,$A163,XPLog!$J:$J,"Seeding"),0)))</f>
        <v/>
      </c>
      <c r="F163" s="27">
        <f>IF($E163="","",LOOKUP($E163, XPBands!B$2:B$10, XPBands!A$2:A$10))</f>
        <v/>
      </c>
      <c r="G163" s="27">
        <f>IF($E163="","", VLOOKUP($F163, XPBands!A$2:G$10, 4, FALSE) + MIN(VLOOKUP($F163, XPBands!A$2:G$10, 5, FALSE) - VLOOKUP($F163, XPBands!A$2:G$10, 4, FALSE), FLOOR(( $E163 - VLOOKUP($F163, XPBands!A$2:G$10, 2, FALSE) ) / VLOOKUP($F163, XPBands!A$2:G$10, 7, FALSE),1)))</f>
        <v/>
      </c>
      <c r="H163" s="27">
        <f>IF($D163="","",VLOOKUP($D163,RoleTitles!$A:$E,3,FALSE))</f>
        <v/>
      </c>
      <c r="I163" s="27">
        <f>IF($D163="","",IF($C163="Greek",VLOOKUP($D163,RoleTitles!$A:$E,4,FALSE),IF($C163="Aesir",VLOOKUP($D163,RoleTitles!$A:$E,5,FALSE),VLOOKUP($D163,RoleTitles!$A:$E,3,FALSE))))</f>
        <v/>
      </c>
      <c r="J163" s="27">
        <f>IF($D163="","",IF($E163&gt;=VLOOKUP($D163,RoleTitles!$A:$B,2,FALSE),"Yes","No"))</f>
        <v/>
      </c>
      <c r="K163" s="27">
        <f>IF($D163="","",IF($D163="T1","T2",IF($D163="T2","T3",IF($D163="T3","T4",IF($D163="T4","T5",IF($D163="T5","T6",IF($D163="T6","T7",IF($D163="T7","T8",IF($D163="T8","T9","")))))))))</f>
        <v/>
      </c>
      <c r="L163" s="28">
        <f>IF($K163="","",MAX(0,VLOOKUP($K163,RoleTitles!$A:$B,2,FALSE)-$E163))</f>
        <v/>
      </c>
    </row>
    <row r="164">
      <c r="A164" s="24">
        <f>IFERROR(INDEX(CoachRoster!$A$2:$A$1000,ROW()-1),"")</f>
        <v/>
      </c>
      <c r="B164" s="27">
        <f>IF($A164="","",VLOOKUP($A164,CoachRoster!$A:$E,2,FALSE))</f>
        <v/>
      </c>
      <c r="C164" s="27">
        <f>IF($A164="","",VLOOKUP($A164,CoachRoster!$A:$E,3,FALSE))</f>
        <v/>
      </c>
      <c r="D164" s="27">
        <f>IF($A164="","",VLOOKUP($A164,CoachRoster!$A:$E,4,FALSE))</f>
        <v/>
      </c>
      <c r="E164" s="27">
        <f>IF($A164="","",MIN(Settings!$B$8,IFERROR(SUMIF(Weekly_Coaching!$B:$B,$A164,Weekly_Coaching!$D:$D),0)+IFERROR(SUMIF(Monthly_Edu!$B:$B,$A164,Monthly_Edu!$D:$D),0)+IFERROR(SUMIF(Monthly_Ops!$B:$B,$A164,Monthly_Ops!$D:$D),0)+IFERROR(SUMIF(Monthly_Mentor!$B:$B,$A164,Monthly_Mentor!$D:$D),0)+IFERROR(SUMIF(Quarterly_Impact!$B:$B,$A164,Quarterly_Impact!$D:$D),0)+IFERROR(SUMIFS(XPLog!$M:$M,XPLog!$B:$B,$A164,XPLog!$J:$J,"Admin"),0)+IFERROR(SUMIFS(XPLog!$M:$M,XPLog!$B:$B,$A164,XPLog!$J:$J,"Seeding"),0)))</f>
        <v/>
      </c>
      <c r="F164" s="27">
        <f>IF($E164="","",LOOKUP($E164, XPBands!B$2:B$10, XPBands!A$2:A$10))</f>
        <v/>
      </c>
      <c r="G164" s="27">
        <f>IF($E164="","", VLOOKUP($F164, XPBands!A$2:G$10, 4, FALSE) + MIN(VLOOKUP($F164, XPBands!A$2:G$10, 5, FALSE) - VLOOKUP($F164, XPBands!A$2:G$10, 4, FALSE), FLOOR(( $E164 - VLOOKUP($F164, XPBands!A$2:G$10, 2, FALSE) ) / VLOOKUP($F164, XPBands!A$2:G$10, 7, FALSE),1)))</f>
        <v/>
      </c>
      <c r="H164" s="27">
        <f>IF($D164="","",VLOOKUP($D164,RoleTitles!$A:$E,3,FALSE))</f>
        <v/>
      </c>
      <c r="I164" s="27">
        <f>IF($D164="","",IF($C164="Greek",VLOOKUP($D164,RoleTitles!$A:$E,4,FALSE),IF($C164="Aesir",VLOOKUP($D164,RoleTitles!$A:$E,5,FALSE),VLOOKUP($D164,RoleTitles!$A:$E,3,FALSE))))</f>
        <v/>
      </c>
      <c r="J164" s="27">
        <f>IF($D164="","",IF($E164&gt;=VLOOKUP($D164,RoleTitles!$A:$B,2,FALSE),"Yes","No"))</f>
        <v/>
      </c>
      <c r="K164" s="27">
        <f>IF($D164="","",IF($D164="T1","T2",IF($D164="T2","T3",IF($D164="T3","T4",IF($D164="T4","T5",IF($D164="T5","T6",IF($D164="T6","T7",IF($D164="T7","T8",IF($D164="T8","T9","")))))))))</f>
        <v/>
      </c>
      <c r="L164" s="28">
        <f>IF($K164="","",MAX(0,VLOOKUP($K164,RoleTitles!$A:$B,2,FALSE)-$E164))</f>
        <v/>
      </c>
    </row>
    <row r="165">
      <c r="A165" s="24">
        <f>IFERROR(INDEX(CoachRoster!$A$2:$A$1000,ROW()-1),"")</f>
        <v/>
      </c>
      <c r="B165" s="27">
        <f>IF($A165="","",VLOOKUP($A165,CoachRoster!$A:$E,2,FALSE))</f>
        <v/>
      </c>
      <c r="C165" s="27">
        <f>IF($A165="","",VLOOKUP($A165,CoachRoster!$A:$E,3,FALSE))</f>
        <v/>
      </c>
      <c r="D165" s="27">
        <f>IF($A165="","",VLOOKUP($A165,CoachRoster!$A:$E,4,FALSE))</f>
        <v/>
      </c>
      <c r="E165" s="27">
        <f>IF($A165="","",MIN(Settings!$B$8,IFERROR(SUMIF(Weekly_Coaching!$B:$B,$A165,Weekly_Coaching!$D:$D),0)+IFERROR(SUMIF(Monthly_Edu!$B:$B,$A165,Monthly_Edu!$D:$D),0)+IFERROR(SUMIF(Monthly_Ops!$B:$B,$A165,Monthly_Ops!$D:$D),0)+IFERROR(SUMIF(Monthly_Mentor!$B:$B,$A165,Monthly_Mentor!$D:$D),0)+IFERROR(SUMIF(Quarterly_Impact!$B:$B,$A165,Quarterly_Impact!$D:$D),0)+IFERROR(SUMIFS(XPLog!$M:$M,XPLog!$B:$B,$A165,XPLog!$J:$J,"Admin"),0)+IFERROR(SUMIFS(XPLog!$M:$M,XPLog!$B:$B,$A165,XPLog!$J:$J,"Seeding"),0)))</f>
        <v/>
      </c>
      <c r="F165" s="27">
        <f>IF($E165="","",LOOKUP($E165, XPBands!B$2:B$10, XPBands!A$2:A$10))</f>
        <v/>
      </c>
      <c r="G165" s="27">
        <f>IF($E165="","", VLOOKUP($F165, XPBands!A$2:G$10, 4, FALSE) + MIN(VLOOKUP($F165, XPBands!A$2:G$10, 5, FALSE) - VLOOKUP($F165, XPBands!A$2:G$10, 4, FALSE), FLOOR(( $E165 - VLOOKUP($F165, XPBands!A$2:G$10, 2, FALSE) ) / VLOOKUP($F165, XPBands!A$2:G$10, 7, FALSE),1)))</f>
        <v/>
      </c>
      <c r="H165" s="27">
        <f>IF($D165="","",VLOOKUP($D165,RoleTitles!$A:$E,3,FALSE))</f>
        <v/>
      </c>
      <c r="I165" s="27">
        <f>IF($D165="","",IF($C165="Greek",VLOOKUP($D165,RoleTitles!$A:$E,4,FALSE),IF($C165="Aesir",VLOOKUP($D165,RoleTitles!$A:$E,5,FALSE),VLOOKUP($D165,RoleTitles!$A:$E,3,FALSE))))</f>
        <v/>
      </c>
      <c r="J165" s="27">
        <f>IF($D165="","",IF($E165&gt;=VLOOKUP($D165,RoleTitles!$A:$B,2,FALSE),"Yes","No"))</f>
        <v/>
      </c>
      <c r="K165" s="27">
        <f>IF($D165="","",IF($D165="T1","T2",IF($D165="T2","T3",IF($D165="T3","T4",IF($D165="T4","T5",IF($D165="T5","T6",IF($D165="T6","T7",IF($D165="T7","T8",IF($D165="T8","T9","")))))))))</f>
        <v/>
      </c>
      <c r="L165" s="28">
        <f>IF($K165="","",MAX(0,VLOOKUP($K165,RoleTitles!$A:$B,2,FALSE)-$E165))</f>
        <v/>
      </c>
    </row>
    <row r="166">
      <c r="A166" s="24">
        <f>IFERROR(INDEX(CoachRoster!$A$2:$A$1000,ROW()-1),"")</f>
        <v/>
      </c>
      <c r="B166" s="27">
        <f>IF($A166="","",VLOOKUP($A166,CoachRoster!$A:$E,2,FALSE))</f>
        <v/>
      </c>
      <c r="C166" s="27">
        <f>IF($A166="","",VLOOKUP($A166,CoachRoster!$A:$E,3,FALSE))</f>
        <v/>
      </c>
      <c r="D166" s="27">
        <f>IF($A166="","",VLOOKUP($A166,CoachRoster!$A:$E,4,FALSE))</f>
        <v/>
      </c>
      <c r="E166" s="27">
        <f>IF($A166="","",MIN(Settings!$B$8,IFERROR(SUMIF(Weekly_Coaching!$B:$B,$A166,Weekly_Coaching!$D:$D),0)+IFERROR(SUMIF(Monthly_Edu!$B:$B,$A166,Monthly_Edu!$D:$D),0)+IFERROR(SUMIF(Monthly_Ops!$B:$B,$A166,Monthly_Ops!$D:$D),0)+IFERROR(SUMIF(Monthly_Mentor!$B:$B,$A166,Monthly_Mentor!$D:$D),0)+IFERROR(SUMIF(Quarterly_Impact!$B:$B,$A166,Quarterly_Impact!$D:$D),0)+IFERROR(SUMIFS(XPLog!$M:$M,XPLog!$B:$B,$A166,XPLog!$J:$J,"Admin"),0)+IFERROR(SUMIFS(XPLog!$M:$M,XPLog!$B:$B,$A166,XPLog!$J:$J,"Seeding"),0)))</f>
        <v/>
      </c>
      <c r="F166" s="27">
        <f>IF($E166="","",LOOKUP($E166, XPBands!B$2:B$10, XPBands!A$2:A$10))</f>
        <v/>
      </c>
      <c r="G166" s="27">
        <f>IF($E166="","", VLOOKUP($F166, XPBands!A$2:G$10, 4, FALSE) + MIN(VLOOKUP($F166, XPBands!A$2:G$10, 5, FALSE) - VLOOKUP($F166, XPBands!A$2:G$10, 4, FALSE), FLOOR(( $E166 - VLOOKUP($F166, XPBands!A$2:G$10, 2, FALSE) ) / VLOOKUP($F166, XPBands!A$2:G$10, 7, FALSE),1)))</f>
        <v/>
      </c>
      <c r="H166" s="27">
        <f>IF($D166="","",VLOOKUP($D166,RoleTitles!$A:$E,3,FALSE))</f>
        <v/>
      </c>
      <c r="I166" s="27">
        <f>IF($D166="","",IF($C166="Greek",VLOOKUP($D166,RoleTitles!$A:$E,4,FALSE),IF($C166="Aesir",VLOOKUP($D166,RoleTitles!$A:$E,5,FALSE),VLOOKUP($D166,RoleTitles!$A:$E,3,FALSE))))</f>
        <v/>
      </c>
      <c r="J166" s="27">
        <f>IF($D166="","",IF($E166&gt;=VLOOKUP($D166,RoleTitles!$A:$B,2,FALSE),"Yes","No"))</f>
        <v/>
      </c>
      <c r="K166" s="27">
        <f>IF($D166="","",IF($D166="T1","T2",IF($D166="T2","T3",IF($D166="T3","T4",IF($D166="T4","T5",IF($D166="T5","T6",IF($D166="T6","T7",IF($D166="T7","T8",IF($D166="T8","T9","")))))))))</f>
        <v/>
      </c>
      <c r="L166" s="28">
        <f>IF($K166="","",MAX(0,VLOOKUP($K166,RoleTitles!$A:$B,2,FALSE)-$E166))</f>
        <v/>
      </c>
    </row>
    <row r="167">
      <c r="A167" s="24">
        <f>IFERROR(INDEX(CoachRoster!$A$2:$A$1000,ROW()-1),"")</f>
        <v/>
      </c>
      <c r="B167" s="27">
        <f>IF($A167="","",VLOOKUP($A167,CoachRoster!$A:$E,2,FALSE))</f>
        <v/>
      </c>
      <c r="C167" s="27">
        <f>IF($A167="","",VLOOKUP($A167,CoachRoster!$A:$E,3,FALSE))</f>
        <v/>
      </c>
      <c r="D167" s="27">
        <f>IF($A167="","",VLOOKUP($A167,CoachRoster!$A:$E,4,FALSE))</f>
        <v/>
      </c>
      <c r="E167" s="27">
        <f>IF($A167="","",MIN(Settings!$B$8,IFERROR(SUMIF(Weekly_Coaching!$B:$B,$A167,Weekly_Coaching!$D:$D),0)+IFERROR(SUMIF(Monthly_Edu!$B:$B,$A167,Monthly_Edu!$D:$D),0)+IFERROR(SUMIF(Monthly_Ops!$B:$B,$A167,Monthly_Ops!$D:$D),0)+IFERROR(SUMIF(Monthly_Mentor!$B:$B,$A167,Monthly_Mentor!$D:$D),0)+IFERROR(SUMIF(Quarterly_Impact!$B:$B,$A167,Quarterly_Impact!$D:$D),0)+IFERROR(SUMIFS(XPLog!$M:$M,XPLog!$B:$B,$A167,XPLog!$J:$J,"Admin"),0)+IFERROR(SUMIFS(XPLog!$M:$M,XPLog!$B:$B,$A167,XPLog!$J:$J,"Seeding"),0)))</f>
        <v/>
      </c>
      <c r="F167" s="27">
        <f>IF($E167="","",LOOKUP($E167, XPBands!B$2:B$10, XPBands!A$2:A$10))</f>
        <v/>
      </c>
      <c r="G167" s="27">
        <f>IF($E167="","", VLOOKUP($F167, XPBands!A$2:G$10, 4, FALSE) + MIN(VLOOKUP($F167, XPBands!A$2:G$10, 5, FALSE) - VLOOKUP($F167, XPBands!A$2:G$10, 4, FALSE), FLOOR(( $E167 - VLOOKUP($F167, XPBands!A$2:G$10, 2, FALSE) ) / VLOOKUP($F167, XPBands!A$2:G$10, 7, FALSE),1)))</f>
        <v/>
      </c>
      <c r="H167" s="27">
        <f>IF($D167="","",VLOOKUP($D167,RoleTitles!$A:$E,3,FALSE))</f>
        <v/>
      </c>
      <c r="I167" s="27">
        <f>IF($D167="","",IF($C167="Greek",VLOOKUP($D167,RoleTitles!$A:$E,4,FALSE),IF($C167="Aesir",VLOOKUP($D167,RoleTitles!$A:$E,5,FALSE),VLOOKUP($D167,RoleTitles!$A:$E,3,FALSE))))</f>
        <v/>
      </c>
      <c r="J167" s="27">
        <f>IF($D167="","",IF($E167&gt;=VLOOKUP($D167,RoleTitles!$A:$B,2,FALSE),"Yes","No"))</f>
        <v/>
      </c>
      <c r="K167" s="27">
        <f>IF($D167="","",IF($D167="T1","T2",IF($D167="T2","T3",IF($D167="T3","T4",IF($D167="T4","T5",IF($D167="T5","T6",IF($D167="T6","T7",IF($D167="T7","T8",IF($D167="T8","T9","")))))))))</f>
        <v/>
      </c>
      <c r="L167" s="28">
        <f>IF($K167="","",MAX(0,VLOOKUP($K167,RoleTitles!$A:$B,2,FALSE)-$E167))</f>
        <v/>
      </c>
    </row>
    <row r="168">
      <c r="A168" s="24">
        <f>IFERROR(INDEX(CoachRoster!$A$2:$A$1000,ROW()-1),"")</f>
        <v/>
      </c>
      <c r="B168" s="27">
        <f>IF($A168="","",VLOOKUP($A168,CoachRoster!$A:$E,2,FALSE))</f>
        <v/>
      </c>
      <c r="C168" s="27">
        <f>IF($A168="","",VLOOKUP($A168,CoachRoster!$A:$E,3,FALSE))</f>
        <v/>
      </c>
      <c r="D168" s="27">
        <f>IF($A168="","",VLOOKUP($A168,CoachRoster!$A:$E,4,FALSE))</f>
        <v/>
      </c>
      <c r="E168" s="27">
        <f>IF($A168="","",MIN(Settings!$B$8,IFERROR(SUMIF(Weekly_Coaching!$B:$B,$A168,Weekly_Coaching!$D:$D),0)+IFERROR(SUMIF(Monthly_Edu!$B:$B,$A168,Monthly_Edu!$D:$D),0)+IFERROR(SUMIF(Monthly_Ops!$B:$B,$A168,Monthly_Ops!$D:$D),0)+IFERROR(SUMIF(Monthly_Mentor!$B:$B,$A168,Monthly_Mentor!$D:$D),0)+IFERROR(SUMIF(Quarterly_Impact!$B:$B,$A168,Quarterly_Impact!$D:$D),0)+IFERROR(SUMIFS(XPLog!$M:$M,XPLog!$B:$B,$A168,XPLog!$J:$J,"Admin"),0)+IFERROR(SUMIFS(XPLog!$M:$M,XPLog!$B:$B,$A168,XPLog!$J:$J,"Seeding"),0)))</f>
        <v/>
      </c>
      <c r="F168" s="27">
        <f>IF($E168="","",LOOKUP($E168, XPBands!B$2:B$10, XPBands!A$2:A$10))</f>
        <v/>
      </c>
      <c r="G168" s="27">
        <f>IF($E168="","", VLOOKUP($F168, XPBands!A$2:G$10, 4, FALSE) + MIN(VLOOKUP($F168, XPBands!A$2:G$10, 5, FALSE) - VLOOKUP($F168, XPBands!A$2:G$10, 4, FALSE), FLOOR(( $E168 - VLOOKUP($F168, XPBands!A$2:G$10, 2, FALSE) ) / VLOOKUP($F168, XPBands!A$2:G$10, 7, FALSE),1)))</f>
        <v/>
      </c>
      <c r="H168" s="27">
        <f>IF($D168="","",VLOOKUP($D168,RoleTitles!$A:$E,3,FALSE))</f>
        <v/>
      </c>
      <c r="I168" s="27">
        <f>IF($D168="","",IF($C168="Greek",VLOOKUP($D168,RoleTitles!$A:$E,4,FALSE),IF($C168="Aesir",VLOOKUP($D168,RoleTitles!$A:$E,5,FALSE),VLOOKUP($D168,RoleTitles!$A:$E,3,FALSE))))</f>
        <v/>
      </c>
      <c r="J168" s="27">
        <f>IF($D168="","",IF($E168&gt;=VLOOKUP($D168,RoleTitles!$A:$B,2,FALSE),"Yes","No"))</f>
        <v/>
      </c>
      <c r="K168" s="27">
        <f>IF($D168="","",IF($D168="T1","T2",IF($D168="T2","T3",IF($D168="T3","T4",IF($D168="T4","T5",IF($D168="T5","T6",IF($D168="T6","T7",IF($D168="T7","T8",IF($D168="T8","T9","")))))))))</f>
        <v/>
      </c>
      <c r="L168" s="28">
        <f>IF($K168="","",MAX(0,VLOOKUP($K168,RoleTitles!$A:$B,2,FALSE)-$E168))</f>
        <v/>
      </c>
    </row>
    <row r="169">
      <c r="A169" s="24">
        <f>IFERROR(INDEX(CoachRoster!$A$2:$A$1000,ROW()-1),"")</f>
        <v/>
      </c>
      <c r="B169" s="27">
        <f>IF($A169="","",VLOOKUP($A169,CoachRoster!$A:$E,2,FALSE))</f>
        <v/>
      </c>
      <c r="C169" s="27">
        <f>IF($A169="","",VLOOKUP($A169,CoachRoster!$A:$E,3,FALSE))</f>
        <v/>
      </c>
      <c r="D169" s="27">
        <f>IF($A169="","",VLOOKUP($A169,CoachRoster!$A:$E,4,FALSE))</f>
        <v/>
      </c>
      <c r="E169" s="27">
        <f>IF($A169="","",MIN(Settings!$B$8,IFERROR(SUMIF(Weekly_Coaching!$B:$B,$A169,Weekly_Coaching!$D:$D),0)+IFERROR(SUMIF(Monthly_Edu!$B:$B,$A169,Monthly_Edu!$D:$D),0)+IFERROR(SUMIF(Monthly_Ops!$B:$B,$A169,Monthly_Ops!$D:$D),0)+IFERROR(SUMIF(Monthly_Mentor!$B:$B,$A169,Monthly_Mentor!$D:$D),0)+IFERROR(SUMIF(Quarterly_Impact!$B:$B,$A169,Quarterly_Impact!$D:$D),0)+IFERROR(SUMIFS(XPLog!$M:$M,XPLog!$B:$B,$A169,XPLog!$J:$J,"Admin"),0)+IFERROR(SUMIFS(XPLog!$M:$M,XPLog!$B:$B,$A169,XPLog!$J:$J,"Seeding"),0)))</f>
        <v/>
      </c>
      <c r="F169" s="27">
        <f>IF($E169="","",LOOKUP($E169, XPBands!B$2:B$10, XPBands!A$2:A$10))</f>
        <v/>
      </c>
      <c r="G169" s="27">
        <f>IF($E169="","", VLOOKUP($F169, XPBands!A$2:G$10, 4, FALSE) + MIN(VLOOKUP($F169, XPBands!A$2:G$10, 5, FALSE) - VLOOKUP($F169, XPBands!A$2:G$10, 4, FALSE), FLOOR(( $E169 - VLOOKUP($F169, XPBands!A$2:G$10, 2, FALSE) ) / VLOOKUP($F169, XPBands!A$2:G$10, 7, FALSE),1)))</f>
        <v/>
      </c>
      <c r="H169" s="27">
        <f>IF($D169="","",VLOOKUP($D169,RoleTitles!$A:$E,3,FALSE))</f>
        <v/>
      </c>
      <c r="I169" s="27">
        <f>IF($D169="","",IF($C169="Greek",VLOOKUP($D169,RoleTitles!$A:$E,4,FALSE),IF($C169="Aesir",VLOOKUP($D169,RoleTitles!$A:$E,5,FALSE),VLOOKUP($D169,RoleTitles!$A:$E,3,FALSE))))</f>
        <v/>
      </c>
      <c r="J169" s="27">
        <f>IF($D169="","",IF($E169&gt;=VLOOKUP($D169,RoleTitles!$A:$B,2,FALSE),"Yes","No"))</f>
        <v/>
      </c>
      <c r="K169" s="27">
        <f>IF($D169="","",IF($D169="T1","T2",IF($D169="T2","T3",IF($D169="T3","T4",IF($D169="T4","T5",IF($D169="T5","T6",IF($D169="T6","T7",IF($D169="T7","T8",IF($D169="T8","T9","")))))))))</f>
        <v/>
      </c>
      <c r="L169" s="28">
        <f>IF($K169="","",MAX(0,VLOOKUP($K169,RoleTitles!$A:$B,2,FALSE)-$E169))</f>
        <v/>
      </c>
    </row>
    <row r="170">
      <c r="A170" s="24">
        <f>IFERROR(INDEX(CoachRoster!$A$2:$A$1000,ROW()-1),"")</f>
        <v/>
      </c>
      <c r="B170" s="27">
        <f>IF($A170="","",VLOOKUP($A170,CoachRoster!$A:$E,2,FALSE))</f>
        <v/>
      </c>
      <c r="C170" s="27">
        <f>IF($A170="","",VLOOKUP($A170,CoachRoster!$A:$E,3,FALSE))</f>
        <v/>
      </c>
      <c r="D170" s="27">
        <f>IF($A170="","",VLOOKUP($A170,CoachRoster!$A:$E,4,FALSE))</f>
        <v/>
      </c>
      <c r="E170" s="27">
        <f>IF($A170="","",MIN(Settings!$B$8,IFERROR(SUMIF(Weekly_Coaching!$B:$B,$A170,Weekly_Coaching!$D:$D),0)+IFERROR(SUMIF(Monthly_Edu!$B:$B,$A170,Monthly_Edu!$D:$D),0)+IFERROR(SUMIF(Monthly_Ops!$B:$B,$A170,Monthly_Ops!$D:$D),0)+IFERROR(SUMIF(Monthly_Mentor!$B:$B,$A170,Monthly_Mentor!$D:$D),0)+IFERROR(SUMIF(Quarterly_Impact!$B:$B,$A170,Quarterly_Impact!$D:$D),0)+IFERROR(SUMIFS(XPLog!$M:$M,XPLog!$B:$B,$A170,XPLog!$J:$J,"Admin"),0)+IFERROR(SUMIFS(XPLog!$M:$M,XPLog!$B:$B,$A170,XPLog!$J:$J,"Seeding"),0)))</f>
        <v/>
      </c>
      <c r="F170" s="27">
        <f>IF($E170="","",LOOKUP($E170, XPBands!B$2:B$10, XPBands!A$2:A$10))</f>
        <v/>
      </c>
      <c r="G170" s="27">
        <f>IF($E170="","", VLOOKUP($F170, XPBands!A$2:G$10, 4, FALSE) + MIN(VLOOKUP($F170, XPBands!A$2:G$10, 5, FALSE) - VLOOKUP($F170, XPBands!A$2:G$10, 4, FALSE), FLOOR(( $E170 - VLOOKUP($F170, XPBands!A$2:G$10, 2, FALSE) ) / VLOOKUP($F170, XPBands!A$2:G$10, 7, FALSE),1)))</f>
        <v/>
      </c>
      <c r="H170" s="27">
        <f>IF($D170="","",VLOOKUP($D170,RoleTitles!$A:$E,3,FALSE))</f>
        <v/>
      </c>
      <c r="I170" s="27">
        <f>IF($D170="","",IF($C170="Greek",VLOOKUP($D170,RoleTitles!$A:$E,4,FALSE),IF($C170="Aesir",VLOOKUP($D170,RoleTitles!$A:$E,5,FALSE),VLOOKUP($D170,RoleTitles!$A:$E,3,FALSE))))</f>
        <v/>
      </c>
      <c r="J170" s="27">
        <f>IF($D170="","",IF($E170&gt;=VLOOKUP($D170,RoleTitles!$A:$B,2,FALSE),"Yes","No"))</f>
        <v/>
      </c>
      <c r="K170" s="27">
        <f>IF($D170="","",IF($D170="T1","T2",IF($D170="T2","T3",IF($D170="T3","T4",IF($D170="T4","T5",IF($D170="T5","T6",IF($D170="T6","T7",IF($D170="T7","T8",IF($D170="T8","T9","")))))))))</f>
        <v/>
      </c>
      <c r="L170" s="28">
        <f>IF($K170="","",MAX(0,VLOOKUP($K170,RoleTitles!$A:$B,2,FALSE)-$E170))</f>
        <v/>
      </c>
    </row>
    <row r="171">
      <c r="A171" s="24">
        <f>IFERROR(INDEX(CoachRoster!$A$2:$A$1000,ROW()-1),"")</f>
        <v/>
      </c>
      <c r="B171" s="27">
        <f>IF($A171="","",VLOOKUP($A171,CoachRoster!$A:$E,2,FALSE))</f>
        <v/>
      </c>
      <c r="C171" s="27">
        <f>IF($A171="","",VLOOKUP($A171,CoachRoster!$A:$E,3,FALSE))</f>
        <v/>
      </c>
      <c r="D171" s="27">
        <f>IF($A171="","",VLOOKUP($A171,CoachRoster!$A:$E,4,FALSE))</f>
        <v/>
      </c>
      <c r="E171" s="27">
        <f>IF($A171="","",MIN(Settings!$B$8,IFERROR(SUMIF(Weekly_Coaching!$B:$B,$A171,Weekly_Coaching!$D:$D),0)+IFERROR(SUMIF(Monthly_Edu!$B:$B,$A171,Monthly_Edu!$D:$D),0)+IFERROR(SUMIF(Monthly_Ops!$B:$B,$A171,Monthly_Ops!$D:$D),0)+IFERROR(SUMIF(Monthly_Mentor!$B:$B,$A171,Monthly_Mentor!$D:$D),0)+IFERROR(SUMIF(Quarterly_Impact!$B:$B,$A171,Quarterly_Impact!$D:$D),0)+IFERROR(SUMIFS(XPLog!$M:$M,XPLog!$B:$B,$A171,XPLog!$J:$J,"Admin"),0)+IFERROR(SUMIFS(XPLog!$M:$M,XPLog!$B:$B,$A171,XPLog!$J:$J,"Seeding"),0)))</f>
        <v/>
      </c>
      <c r="F171" s="27">
        <f>IF($E171="","",LOOKUP($E171, XPBands!B$2:B$10, XPBands!A$2:A$10))</f>
        <v/>
      </c>
      <c r="G171" s="27">
        <f>IF($E171="","", VLOOKUP($F171, XPBands!A$2:G$10, 4, FALSE) + MIN(VLOOKUP($F171, XPBands!A$2:G$10, 5, FALSE) - VLOOKUP($F171, XPBands!A$2:G$10, 4, FALSE), FLOOR(( $E171 - VLOOKUP($F171, XPBands!A$2:G$10, 2, FALSE) ) / VLOOKUP($F171, XPBands!A$2:G$10, 7, FALSE),1)))</f>
        <v/>
      </c>
      <c r="H171" s="27">
        <f>IF($D171="","",VLOOKUP($D171,RoleTitles!$A:$E,3,FALSE))</f>
        <v/>
      </c>
      <c r="I171" s="27">
        <f>IF($D171="","",IF($C171="Greek",VLOOKUP($D171,RoleTitles!$A:$E,4,FALSE),IF($C171="Aesir",VLOOKUP($D171,RoleTitles!$A:$E,5,FALSE),VLOOKUP($D171,RoleTitles!$A:$E,3,FALSE))))</f>
        <v/>
      </c>
      <c r="J171" s="27">
        <f>IF($D171="","",IF($E171&gt;=VLOOKUP($D171,RoleTitles!$A:$B,2,FALSE),"Yes","No"))</f>
        <v/>
      </c>
      <c r="K171" s="27">
        <f>IF($D171="","",IF($D171="T1","T2",IF($D171="T2","T3",IF($D171="T3","T4",IF($D171="T4","T5",IF($D171="T5","T6",IF($D171="T6","T7",IF($D171="T7","T8",IF($D171="T8","T9","")))))))))</f>
        <v/>
      </c>
      <c r="L171" s="28">
        <f>IF($K171="","",MAX(0,VLOOKUP($K171,RoleTitles!$A:$B,2,FALSE)-$E171))</f>
        <v/>
      </c>
    </row>
    <row r="172">
      <c r="A172" s="24">
        <f>IFERROR(INDEX(CoachRoster!$A$2:$A$1000,ROW()-1),"")</f>
        <v/>
      </c>
      <c r="B172" s="27">
        <f>IF($A172="","",VLOOKUP($A172,CoachRoster!$A:$E,2,FALSE))</f>
        <v/>
      </c>
      <c r="C172" s="27">
        <f>IF($A172="","",VLOOKUP($A172,CoachRoster!$A:$E,3,FALSE))</f>
        <v/>
      </c>
      <c r="D172" s="27">
        <f>IF($A172="","",VLOOKUP($A172,CoachRoster!$A:$E,4,FALSE))</f>
        <v/>
      </c>
      <c r="E172" s="27">
        <f>IF($A172="","",MIN(Settings!$B$8,IFERROR(SUMIF(Weekly_Coaching!$B:$B,$A172,Weekly_Coaching!$D:$D),0)+IFERROR(SUMIF(Monthly_Edu!$B:$B,$A172,Monthly_Edu!$D:$D),0)+IFERROR(SUMIF(Monthly_Ops!$B:$B,$A172,Monthly_Ops!$D:$D),0)+IFERROR(SUMIF(Monthly_Mentor!$B:$B,$A172,Monthly_Mentor!$D:$D),0)+IFERROR(SUMIF(Quarterly_Impact!$B:$B,$A172,Quarterly_Impact!$D:$D),0)+IFERROR(SUMIFS(XPLog!$M:$M,XPLog!$B:$B,$A172,XPLog!$J:$J,"Admin"),0)+IFERROR(SUMIFS(XPLog!$M:$M,XPLog!$B:$B,$A172,XPLog!$J:$J,"Seeding"),0)))</f>
        <v/>
      </c>
      <c r="F172" s="27">
        <f>IF($E172="","",LOOKUP($E172, XPBands!B$2:B$10, XPBands!A$2:A$10))</f>
        <v/>
      </c>
      <c r="G172" s="27">
        <f>IF($E172="","", VLOOKUP($F172, XPBands!A$2:G$10, 4, FALSE) + MIN(VLOOKUP($F172, XPBands!A$2:G$10, 5, FALSE) - VLOOKUP($F172, XPBands!A$2:G$10, 4, FALSE), FLOOR(( $E172 - VLOOKUP($F172, XPBands!A$2:G$10, 2, FALSE) ) / VLOOKUP($F172, XPBands!A$2:G$10, 7, FALSE),1)))</f>
        <v/>
      </c>
      <c r="H172" s="27">
        <f>IF($D172="","",VLOOKUP($D172,RoleTitles!$A:$E,3,FALSE))</f>
        <v/>
      </c>
      <c r="I172" s="27">
        <f>IF($D172="","",IF($C172="Greek",VLOOKUP($D172,RoleTitles!$A:$E,4,FALSE),IF($C172="Aesir",VLOOKUP($D172,RoleTitles!$A:$E,5,FALSE),VLOOKUP($D172,RoleTitles!$A:$E,3,FALSE))))</f>
        <v/>
      </c>
      <c r="J172" s="27">
        <f>IF($D172="","",IF($E172&gt;=VLOOKUP($D172,RoleTitles!$A:$B,2,FALSE),"Yes","No"))</f>
        <v/>
      </c>
      <c r="K172" s="27">
        <f>IF($D172="","",IF($D172="T1","T2",IF($D172="T2","T3",IF($D172="T3","T4",IF($D172="T4","T5",IF($D172="T5","T6",IF($D172="T6","T7",IF($D172="T7","T8",IF($D172="T8","T9","")))))))))</f>
        <v/>
      </c>
      <c r="L172" s="28">
        <f>IF($K172="","",MAX(0,VLOOKUP($K172,RoleTitles!$A:$B,2,FALSE)-$E172))</f>
        <v/>
      </c>
    </row>
    <row r="173">
      <c r="A173" s="24">
        <f>IFERROR(INDEX(CoachRoster!$A$2:$A$1000,ROW()-1),"")</f>
        <v/>
      </c>
      <c r="B173" s="27">
        <f>IF($A173="","",VLOOKUP($A173,CoachRoster!$A:$E,2,FALSE))</f>
        <v/>
      </c>
      <c r="C173" s="27">
        <f>IF($A173="","",VLOOKUP($A173,CoachRoster!$A:$E,3,FALSE))</f>
        <v/>
      </c>
      <c r="D173" s="27">
        <f>IF($A173="","",VLOOKUP($A173,CoachRoster!$A:$E,4,FALSE))</f>
        <v/>
      </c>
      <c r="E173" s="27">
        <f>IF($A173="","",MIN(Settings!$B$8,IFERROR(SUMIF(Weekly_Coaching!$B:$B,$A173,Weekly_Coaching!$D:$D),0)+IFERROR(SUMIF(Monthly_Edu!$B:$B,$A173,Monthly_Edu!$D:$D),0)+IFERROR(SUMIF(Monthly_Ops!$B:$B,$A173,Monthly_Ops!$D:$D),0)+IFERROR(SUMIF(Monthly_Mentor!$B:$B,$A173,Monthly_Mentor!$D:$D),0)+IFERROR(SUMIF(Quarterly_Impact!$B:$B,$A173,Quarterly_Impact!$D:$D),0)+IFERROR(SUMIFS(XPLog!$M:$M,XPLog!$B:$B,$A173,XPLog!$J:$J,"Admin"),0)+IFERROR(SUMIFS(XPLog!$M:$M,XPLog!$B:$B,$A173,XPLog!$J:$J,"Seeding"),0)))</f>
        <v/>
      </c>
      <c r="F173" s="27">
        <f>IF($E173="","",LOOKUP($E173, XPBands!B$2:B$10, XPBands!A$2:A$10))</f>
        <v/>
      </c>
      <c r="G173" s="27">
        <f>IF($E173="","", VLOOKUP($F173, XPBands!A$2:G$10, 4, FALSE) + MIN(VLOOKUP($F173, XPBands!A$2:G$10, 5, FALSE) - VLOOKUP($F173, XPBands!A$2:G$10, 4, FALSE), FLOOR(( $E173 - VLOOKUP($F173, XPBands!A$2:G$10, 2, FALSE) ) / VLOOKUP($F173, XPBands!A$2:G$10, 7, FALSE),1)))</f>
        <v/>
      </c>
      <c r="H173" s="27">
        <f>IF($D173="","",VLOOKUP($D173,RoleTitles!$A:$E,3,FALSE))</f>
        <v/>
      </c>
      <c r="I173" s="27">
        <f>IF($D173="","",IF($C173="Greek",VLOOKUP($D173,RoleTitles!$A:$E,4,FALSE),IF($C173="Aesir",VLOOKUP($D173,RoleTitles!$A:$E,5,FALSE),VLOOKUP($D173,RoleTitles!$A:$E,3,FALSE))))</f>
        <v/>
      </c>
      <c r="J173" s="27">
        <f>IF($D173="","",IF($E173&gt;=VLOOKUP($D173,RoleTitles!$A:$B,2,FALSE),"Yes","No"))</f>
        <v/>
      </c>
      <c r="K173" s="27">
        <f>IF($D173="","",IF($D173="T1","T2",IF($D173="T2","T3",IF($D173="T3","T4",IF($D173="T4","T5",IF($D173="T5","T6",IF($D173="T6","T7",IF($D173="T7","T8",IF($D173="T8","T9","")))))))))</f>
        <v/>
      </c>
      <c r="L173" s="28">
        <f>IF($K173="","",MAX(0,VLOOKUP($K173,RoleTitles!$A:$B,2,FALSE)-$E173))</f>
        <v/>
      </c>
    </row>
    <row r="174">
      <c r="A174" s="24">
        <f>IFERROR(INDEX(CoachRoster!$A$2:$A$1000,ROW()-1),"")</f>
        <v/>
      </c>
      <c r="B174" s="27">
        <f>IF($A174="","",VLOOKUP($A174,CoachRoster!$A:$E,2,FALSE))</f>
        <v/>
      </c>
      <c r="C174" s="27">
        <f>IF($A174="","",VLOOKUP($A174,CoachRoster!$A:$E,3,FALSE))</f>
        <v/>
      </c>
      <c r="D174" s="27">
        <f>IF($A174="","",VLOOKUP($A174,CoachRoster!$A:$E,4,FALSE))</f>
        <v/>
      </c>
      <c r="E174" s="27">
        <f>IF($A174="","",MIN(Settings!$B$8,IFERROR(SUMIF(Weekly_Coaching!$B:$B,$A174,Weekly_Coaching!$D:$D),0)+IFERROR(SUMIF(Monthly_Edu!$B:$B,$A174,Monthly_Edu!$D:$D),0)+IFERROR(SUMIF(Monthly_Ops!$B:$B,$A174,Monthly_Ops!$D:$D),0)+IFERROR(SUMIF(Monthly_Mentor!$B:$B,$A174,Monthly_Mentor!$D:$D),0)+IFERROR(SUMIF(Quarterly_Impact!$B:$B,$A174,Quarterly_Impact!$D:$D),0)+IFERROR(SUMIFS(XPLog!$M:$M,XPLog!$B:$B,$A174,XPLog!$J:$J,"Admin"),0)+IFERROR(SUMIFS(XPLog!$M:$M,XPLog!$B:$B,$A174,XPLog!$J:$J,"Seeding"),0)))</f>
        <v/>
      </c>
      <c r="F174" s="27">
        <f>IF($E174="","",LOOKUP($E174, XPBands!B$2:B$10, XPBands!A$2:A$10))</f>
        <v/>
      </c>
      <c r="G174" s="27">
        <f>IF($E174="","", VLOOKUP($F174, XPBands!A$2:G$10, 4, FALSE) + MIN(VLOOKUP($F174, XPBands!A$2:G$10, 5, FALSE) - VLOOKUP($F174, XPBands!A$2:G$10, 4, FALSE), FLOOR(( $E174 - VLOOKUP($F174, XPBands!A$2:G$10, 2, FALSE) ) / VLOOKUP($F174, XPBands!A$2:G$10, 7, FALSE),1)))</f>
        <v/>
      </c>
      <c r="H174" s="27">
        <f>IF($D174="","",VLOOKUP($D174,RoleTitles!$A:$E,3,FALSE))</f>
        <v/>
      </c>
      <c r="I174" s="27">
        <f>IF($D174="","",IF($C174="Greek",VLOOKUP($D174,RoleTitles!$A:$E,4,FALSE),IF($C174="Aesir",VLOOKUP($D174,RoleTitles!$A:$E,5,FALSE),VLOOKUP($D174,RoleTitles!$A:$E,3,FALSE))))</f>
        <v/>
      </c>
      <c r="J174" s="27">
        <f>IF($D174="","",IF($E174&gt;=VLOOKUP($D174,RoleTitles!$A:$B,2,FALSE),"Yes","No"))</f>
        <v/>
      </c>
      <c r="K174" s="27">
        <f>IF($D174="","",IF($D174="T1","T2",IF($D174="T2","T3",IF($D174="T3","T4",IF($D174="T4","T5",IF($D174="T5","T6",IF($D174="T6","T7",IF($D174="T7","T8",IF($D174="T8","T9","")))))))))</f>
        <v/>
      </c>
      <c r="L174" s="28">
        <f>IF($K174="","",MAX(0,VLOOKUP($K174,RoleTitles!$A:$B,2,FALSE)-$E174))</f>
        <v/>
      </c>
    </row>
    <row r="175">
      <c r="A175" s="24">
        <f>IFERROR(INDEX(CoachRoster!$A$2:$A$1000,ROW()-1),"")</f>
        <v/>
      </c>
      <c r="B175" s="27">
        <f>IF($A175="","",VLOOKUP($A175,CoachRoster!$A:$E,2,FALSE))</f>
        <v/>
      </c>
      <c r="C175" s="27">
        <f>IF($A175="","",VLOOKUP($A175,CoachRoster!$A:$E,3,FALSE))</f>
        <v/>
      </c>
      <c r="D175" s="27">
        <f>IF($A175="","",VLOOKUP($A175,CoachRoster!$A:$E,4,FALSE))</f>
        <v/>
      </c>
      <c r="E175" s="27">
        <f>IF($A175="","",MIN(Settings!$B$8,IFERROR(SUMIF(Weekly_Coaching!$B:$B,$A175,Weekly_Coaching!$D:$D),0)+IFERROR(SUMIF(Monthly_Edu!$B:$B,$A175,Monthly_Edu!$D:$D),0)+IFERROR(SUMIF(Monthly_Ops!$B:$B,$A175,Monthly_Ops!$D:$D),0)+IFERROR(SUMIF(Monthly_Mentor!$B:$B,$A175,Monthly_Mentor!$D:$D),0)+IFERROR(SUMIF(Quarterly_Impact!$B:$B,$A175,Quarterly_Impact!$D:$D),0)+IFERROR(SUMIFS(XPLog!$M:$M,XPLog!$B:$B,$A175,XPLog!$J:$J,"Admin"),0)+IFERROR(SUMIFS(XPLog!$M:$M,XPLog!$B:$B,$A175,XPLog!$J:$J,"Seeding"),0)))</f>
        <v/>
      </c>
      <c r="F175" s="27">
        <f>IF($E175="","",LOOKUP($E175, XPBands!B$2:B$10, XPBands!A$2:A$10))</f>
        <v/>
      </c>
      <c r="G175" s="27">
        <f>IF($E175="","", VLOOKUP($F175, XPBands!A$2:G$10, 4, FALSE) + MIN(VLOOKUP($F175, XPBands!A$2:G$10, 5, FALSE) - VLOOKUP($F175, XPBands!A$2:G$10, 4, FALSE), FLOOR(( $E175 - VLOOKUP($F175, XPBands!A$2:G$10, 2, FALSE) ) / VLOOKUP($F175, XPBands!A$2:G$10, 7, FALSE),1)))</f>
        <v/>
      </c>
      <c r="H175" s="27">
        <f>IF($D175="","",VLOOKUP($D175,RoleTitles!$A:$E,3,FALSE))</f>
        <v/>
      </c>
      <c r="I175" s="27">
        <f>IF($D175="","",IF($C175="Greek",VLOOKUP($D175,RoleTitles!$A:$E,4,FALSE),IF($C175="Aesir",VLOOKUP($D175,RoleTitles!$A:$E,5,FALSE),VLOOKUP($D175,RoleTitles!$A:$E,3,FALSE))))</f>
        <v/>
      </c>
      <c r="J175" s="27">
        <f>IF($D175="","",IF($E175&gt;=VLOOKUP($D175,RoleTitles!$A:$B,2,FALSE),"Yes","No"))</f>
        <v/>
      </c>
      <c r="K175" s="27">
        <f>IF($D175="","",IF($D175="T1","T2",IF($D175="T2","T3",IF($D175="T3","T4",IF($D175="T4","T5",IF($D175="T5","T6",IF($D175="T6","T7",IF($D175="T7","T8",IF($D175="T8","T9","")))))))))</f>
        <v/>
      </c>
      <c r="L175" s="28">
        <f>IF($K175="","",MAX(0,VLOOKUP($K175,RoleTitles!$A:$B,2,FALSE)-$E175))</f>
        <v/>
      </c>
    </row>
    <row r="176">
      <c r="A176" s="24">
        <f>IFERROR(INDEX(CoachRoster!$A$2:$A$1000,ROW()-1),"")</f>
        <v/>
      </c>
      <c r="B176" s="27">
        <f>IF($A176="","",VLOOKUP($A176,CoachRoster!$A:$E,2,FALSE))</f>
        <v/>
      </c>
      <c r="C176" s="27">
        <f>IF($A176="","",VLOOKUP($A176,CoachRoster!$A:$E,3,FALSE))</f>
        <v/>
      </c>
      <c r="D176" s="27">
        <f>IF($A176="","",VLOOKUP($A176,CoachRoster!$A:$E,4,FALSE))</f>
        <v/>
      </c>
      <c r="E176" s="27">
        <f>IF($A176="","",MIN(Settings!$B$8,IFERROR(SUMIF(Weekly_Coaching!$B:$B,$A176,Weekly_Coaching!$D:$D),0)+IFERROR(SUMIF(Monthly_Edu!$B:$B,$A176,Monthly_Edu!$D:$D),0)+IFERROR(SUMIF(Monthly_Ops!$B:$B,$A176,Monthly_Ops!$D:$D),0)+IFERROR(SUMIF(Monthly_Mentor!$B:$B,$A176,Monthly_Mentor!$D:$D),0)+IFERROR(SUMIF(Quarterly_Impact!$B:$B,$A176,Quarterly_Impact!$D:$D),0)+IFERROR(SUMIFS(XPLog!$M:$M,XPLog!$B:$B,$A176,XPLog!$J:$J,"Admin"),0)+IFERROR(SUMIFS(XPLog!$M:$M,XPLog!$B:$B,$A176,XPLog!$J:$J,"Seeding"),0)))</f>
        <v/>
      </c>
      <c r="F176" s="27">
        <f>IF($E176="","",LOOKUP($E176, XPBands!B$2:B$10, XPBands!A$2:A$10))</f>
        <v/>
      </c>
      <c r="G176" s="27">
        <f>IF($E176="","", VLOOKUP($F176, XPBands!A$2:G$10, 4, FALSE) + MIN(VLOOKUP($F176, XPBands!A$2:G$10, 5, FALSE) - VLOOKUP($F176, XPBands!A$2:G$10, 4, FALSE), FLOOR(( $E176 - VLOOKUP($F176, XPBands!A$2:G$10, 2, FALSE) ) / VLOOKUP($F176, XPBands!A$2:G$10, 7, FALSE),1)))</f>
        <v/>
      </c>
      <c r="H176" s="27">
        <f>IF($D176="","",VLOOKUP($D176,RoleTitles!$A:$E,3,FALSE))</f>
        <v/>
      </c>
      <c r="I176" s="27">
        <f>IF($D176="","",IF($C176="Greek",VLOOKUP($D176,RoleTitles!$A:$E,4,FALSE),IF($C176="Aesir",VLOOKUP($D176,RoleTitles!$A:$E,5,FALSE),VLOOKUP($D176,RoleTitles!$A:$E,3,FALSE))))</f>
        <v/>
      </c>
      <c r="J176" s="27">
        <f>IF($D176="","",IF($E176&gt;=VLOOKUP($D176,RoleTitles!$A:$B,2,FALSE),"Yes","No"))</f>
        <v/>
      </c>
      <c r="K176" s="27">
        <f>IF($D176="","",IF($D176="T1","T2",IF($D176="T2","T3",IF($D176="T3","T4",IF($D176="T4","T5",IF($D176="T5","T6",IF($D176="T6","T7",IF($D176="T7","T8",IF($D176="T8","T9","")))))))))</f>
        <v/>
      </c>
      <c r="L176" s="28">
        <f>IF($K176="","",MAX(0,VLOOKUP($K176,RoleTitles!$A:$B,2,FALSE)-$E176))</f>
        <v/>
      </c>
    </row>
    <row r="177">
      <c r="A177" s="24">
        <f>IFERROR(INDEX(CoachRoster!$A$2:$A$1000,ROW()-1),"")</f>
        <v/>
      </c>
      <c r="B177" s="27">
        <f>IF($A177="","",VLOOKUP($A177,CoachRoster!$A:$E,2,FALSE))</f>
        <v/>
      </c>
      <c r="C177" s="27">
        <f>IF($A177="","",VLOOKUP($A177,CoachRoster!$A:$E,3,FALSE))</f>
        <v/>
      </c>
      <c r="D177" s="27">
        <f>IF($A177="","",VLOOKUP($A177,CoachRoster!$A:$E,4,FALSE))</f>
        <v/>
      </c>
      <c r="E177" s="27">
        <f>IF($A177="","",MIN(Settings!$B$8,IFERROR(SUMIF(Weekly_Coaching!$B:$B,$A177,Weekly_Coaching!$D:$D),0)+IFERROR(SUMIF(Monthly_Edu!$B:$B,$A177,Monthly_Edu!$D:$D),0)+IFERROR(SUMIF(Monthly_Ops!$B:$B,$A177,Monthly_Ops!$D:$D),0)+IFERROR(SUMIF(Monthly_Mentor!$B:$B,$A177,Monthly_Mentor!$D:$D),0)+IFERROR(SUMIF(Quarterly_Impact!$B:$B,$A177,Quarterly_Impact!$D:$D),0)+IFERROR(SUMIFS(XPLog!$M:$M,XPLog!$B:$B,$A177,XPLog!$J:$J,"Admin"),0)+IFERROR(SUMIFS(XPLog!$M:$M,XPLog!$B:$B,$A177,XPLog!$J:$J,"Seeding"),0)))</f>
        <v/>
      </c>
      <c r="F177" s="27">
        <f>IF($E177="","",LOOKUP($E177, XPBands!B$2:B$10, XPBands!A$2:A$10))</f>
        <v/>
      </c>
      <c r="G177" s="27">
        <f>IF($E177="","", VLOOKUP($F177, XPBands!A$2:G$10, 4, FALSE) + MIN(VLOOKUP($F177, XPBands!A$2:G$10, 5, FALSE) - VLOOKUP($F177, XPBands!A$2:G$10, 4, FALSE), FLOOR(( $E177 - VLOOKUP($F177, XPBands!A$2:G$10, 2, FALSE) ) / VLOOKUP($F177, XPBands!A$2:G$10, 7, FALSE),1)))</f>
        <v/>
      </c>
      <c r="H177" s="27">
        <f>IF($D177="","",VLOOKUP($D177,RoleTitles!$A:$E,3,FALSE))</f>
        <v/>
      </c>
      <c r="I177" s="27">
        <f>IF($D177="","",IF($C177="Greek",VLOOKUP($D177,RoleTitles!$A:$E,4,FALSE),IF($C177="Aesir",VLOOKUP($D177,RoleTitles!$A:$E,5,FALSE),VLOOKUP($D177,RoleTitles!$A:$E,3,FALSE))))</f>
        <v/>
      </c>
      <c r="J177" s="27">
        <f>IF($D177="","",IF($E177&gt;=VLOOKUP($D177,RoleTitles!$A:$B,2,FALSE),"Yes","No"))</f>
        <v/>
      </c>
      <c r="K177" s="27">
        <f>IF($D177="","",IF($D177="T1","T2",IF($D177="T2","T3",IF($D177="T3","T4",IF($D177="T4","T5",IF($D177="T5","T6",IF($D177="T6","T7",IF($D177="T7","T8",IF($D177="T8","T9","")))))))))</f>
        <v/>
      </c>
      <c r="L177" s="28">
        <f>IF($K177="","",MAX(0,VLOOKUP($K177,RoleTitles!$A:$B,2,FALSE)-$E177))</f>
        <v/>
      </c>
    </row>
    <row r="178">
      <c r="A178" s="24">
        <f>IFERROR(INDEX(CoachRoster!$A$2:$A$1000,ROW()-1),"")</f>
        <v/>
      </c>
      <c r="B178" s="27">
        <f>IF($A178="","",VLOOKUP($A178,CoachRoster!$A:$E,2,FALSE))</f>
        <v/>
      </c>
      <c r="C178" s="27">
        <f>IF($A178="","",VLOOKUP($A178,CoachRoster!$A:$E,3,FALSE))</f>
        <v/>
      </c>
      <c r="D178" s="27">
        <f>IF($A178="","",VLOOKUP($A178,CoachRoster!$A:$E,4,FALSE))</f>
        <v/>
      </c>
      <c r="E178" s="27">
        <f>IF($A178="","",MIN(Settings!$B$8,IFERROR(SUMIF(Weekly_Coaching!$B:$B,$A178,Weekly_Coaching!$D:$D),0)+IFERROR(SUMIF(Monthly_Edu!$B:$B,$A178,Monthly_Edu!$D:$D),0)+IFERROR(SUMIF(Monthly_Ops!$B:$B,$A178,Monthly_Ops!$D:$D),0)+IFERROR(SUMIF(Monthly_Mentor!$B:$B,$A178,Monthly_Mentor!$D:$D),0)+IFERROR(SUMIF(Quarterly_Impact!$B:$B,$A178,Quarterly_Impact!$D:$D),0)+IFERROR(SUMIFS(XPLog!$M:$M,XPLog!$B:$B,$A178,XPLog!$J:$J,"Admin"),0)+IFERROR(SUMIFS(XPLog!$M:$M,XPLog!$B:$B,$A178,XPLog!$J:$J,"Seeding"),0)))</f>
        <v/>
      </c>
      <c r="F178" s="27">
        <f>IF($E178="","",LOOKUP($E178, XPBands!B$2:B$10, XPBands!A$2:A$10))</f>
        <v/>
      </c>
      <c r="G178" s="27">
        <f>IF($E178="","", VLOOKUP($F178, XPBands!A$2:G$10, 4, FALSE) + MIN(VLOOKUP($F178, XPBands!A$2:G$10, 5, FALSE) - VLOOKUP($F178, XPBands!A$2:G$10, 4, FALSE), FLOOR(( $E178 - VLOOKUP($F178, XPBands!A$2:G$10, 2, FALSE) ) / VLOOKUP($F178, XPBands!A$2:G$10, 7, FALSE),1)))</f>
        <v/>
      </c>
      <c r="H178" s="27">
        <f>IF($D178="","",VLOOKUP($D178,RoleTitles!$A:$E,3,FALSE))</f>
        <v/>
      </c>
      <c r="I178" s="27">
        <f>IF($D178="","",IF($C178="Greek",VLOOKUP($D178,RoleTitles!$A:$E,4,FALSE),IF($C178="Aesir",VLOOKUP($D178,RoleTitles!$A:$E,5,FALSE),VLOOKUP($D178,RoleTitles!$A:$E,3,FALSE))))</f>
        <v/>
      </c>
      <c r="J178" s="27">
        <f>IF($D178="","",IF($E178&gt;=VLOOKUP($D178,RoleTitles!$A:$B,2,FALSE),"Yes","No"))</f>
        <v/>
      </c>
      <c r="K178" s="27">
        <f>IF($D178="","",IF($D178="T1","T2",IF($D178="T2","T3",IF($D178="T3","T4",IF($D178="T4","T5",IF($D178="T5","T6",IF($D178="T6","T7",IF($D178="T7","T8",IF($D178="T8","T9","")))))))))</f>
        <v/>
      </c>
      <c r="L178" s="28">
        <f>IF($K178="","",MAX(0,VLOOKUP($K178,RoleTitles!$A:$B,2,FALSE)-$E178))</f>
        <v/>
      </c>
    </row>
    <row r="179">
      <c r="A179" s="24">
        <f>IFERROR(INDEX(CoachRoster!$A$2:$A$1000,ROW()-1),"")</f>
        <v/>
      </c>
      <c r="B179" s="27">
        <f>IF($A179="","",VLOOKUP($A179,CoachRoster!$A:$E,2,FALSE))</f>
        <v/>
      </c>
      <c r="C179" s="27">
        <f>IF($A179="","",VLOOKUP($A179,CoachRoster!$A:$E,3,FALSE))</f>
        <v/>
      </c>
      <c r="D179" s="27">
        <f>IF($A179="","",VLOOKUP($A179,CoachRoster!$A:$E,4,FALSE))</f>
        <v/>
      </c>
      <c r="E179" s="27">
        <f>IF($A179="","",MIN(Settings!$B$8,IFERROR(SUMIF(Weekly_Coaching!$B:$B,$A179,Weekly_Coaching!$D:$D),0)+IFERROR(SUMIF(Monthly_Edu!$B:$B,$A179,Monthly_Edu!$D:$D),0)+IFERROR(SUMIF(Monthly_Ops!$B:$B,$A179,Monthly_Ops!$D:$D),0)+IFERROR(SUMIF(Monthly_Mentor!$B:$B,$A179,Monthly_Mentor!$D:$D),0)+IFERROR(SUMIF(Quarterly_Impact!$B:$B,$A179,Quarterly_Impact!$D:$D),0)+IFERROR(SUMIFS(XPLog!$M:$M,XPLog!$B:$B,$A179,XPLog!$J:$J,"Admin"),0)+IFERROR(SUMIFS(XPLog!$M:$M,XPLog!$B:$B,$A179,XPLog!$J:$J,"Seeding"),0)))</f>
        <v/>
      </c>
      <c r="F179" s="27">
        <f>IF($E179="","",LOOKUP($E179, XPBands!B$2:B$10, XPBands!A$2:A$10))</f>
        <v/>
      </c>
      <c r="G179" s="27">
        <f>IF($E179="","", VLOOKUP($F179, XPBands!A$2:G$10, 4, FALSE) + MIN(VLOOKUP($F179, XPBands!A$2:G$10, 5, FALSE) - VLOOKUP($F179, XPBands!A$2:G$10, 4, FALSE), FLOOR(( $E179 - VLOOKUP($F179, XPBands!A$2:G$10, 2, FALSE) ) / VLOOKUP($F179, XPBands!A$2:G$10, 7, FALSE),1)))</f>
        <v/>
      </c>
      <c r="H179" s="27">
        <f>IF($D179="","",VLOOKUP($D179,RoleTitles!$A:$E,3,FALSE))</f>
        <v/>
      </c>
      <c r="I179" s="27">
        <f>IF($D179="","",IF($C179="Greek",VLOOKUP($D179,RoleTitles!$A:$E,4,FALSE),IF($C179="Aesir",VLOOKUP($D179,RoleTitles!$A:$E,5,FALSE),VLOOKUP($D179,RoleTitles!$A:$E,3,FALSE))))</f>
        <v/>
      </c>
      <c r="J179" s="27">
        <f>IF($D179="","",IF($E179&gt;=VLOOKUP($D179,RoleTitles!$A:$B,2,FALSE),"Yes","No"))</f>
        <v/>
      </c>
      <c r="K179" s="27">
        <f>IF($D179="","",IF($D179="T1","T2",IF($D179="T2","T3",IF($D179="T3","T4",IF($D179="T4","T5",IF($D179="T5","T6",IF($D179="T6","T7",IF($D179="T7","T8",IF($D179="T8","T9","")))))))))</f>
        <v/>
      </c>
      <c r="L179" s="28">
        <f>IF($K179="","",MAX(0,VLOOKUP($K179,RoleTitles!$A:$B,2,FALSE)-$E179))</f>
        <v/>
      </c>
    </row>
    <row r="180">
      <c r="A180" s="24">
        <f>IFERROR(INDEX(CoachRoster!$A$2:$A$1000,ROW()-1),"")</f>
        <v/>
      </c>
      <c r="B180" s="27">
        <f>IF($A180="","",VLOOKUP($A180,CoachRoster!$A:$E,2,FALSE))</f>
        <v/>
      </c>
      <c r="C180" s="27">
        <f>IF($A180="","",VLOOKUP($A180,CoachRoster!$A:$E,3,FALSE))</f>
        <v/>
      </c>
      <c r="D180" s="27">
        <f>IF($A180="","",VLOOKUP($A180,CoachRoster!$A:$E,4,FALSE))</f>
        <v/>
      </c>
      <c r="E180" s="27">
        <f>IF($A180="","",MIN(Settings!$B$8,IFERROR(SUMIF(Weekly_Coaching!$B:$B,$A180,Weekly_Coaching!$D:$D),0)+IFERROR(SUMIF(Monthly_Edu!$B:$B,$A180,Monthly_Edu!$D:$D),0)+IFERROR(SUMIF(Monthly_Ops!$B:$B,$A180,Monthly_Ops!$D:$D),0)+IFERROR(SUMIF(Monthly_Mentor!$B:$B,$A180,Monthly_Mentor!$D:$D),0)+IFERROR(SUMIF(Quarterly_Impact!$B:$B,$A180,Quarterly_Impact!$D:$D),0)+IFERROR(SUMIFS(XPLog!$M:$M,XPLog!$B:$B,$A180,XPLog!$J:$J,"Admin"),0)+IFERROR(SUMIFS(XPLog!$M:$M,XPLog!$B:$B,$A180,XPLog!$J:$J,"Seeding"),0)))</f>
        <v/>
      </c>
      <c r="F180" s="27">
        <f>IF($E180="","",LOOKUP($E180, XPBands!B$2:B$10, XPBands!A$2:A$10))</f>
        <v/>
      </c>
      <c r="G180" s="27">
        <f>IF($E180="","", VLOOKUP($F180, XPBands!A$2:G$10, 4, FALSE) + MIN(VLOOKUP($F180, XPBands!A$2:G$10, 5, FALSE) - VLOOKUP($F180, XPBands!A$2:G$10, 4, FALSE), FLOOR(( $E180 - VLOOKUP($F180, XPBands!A$2:G$10, 2, FALSE) ) / VLOOKUP($F180, XPBands!A$2:G$10, 7, FALSE),1)))</f>
        <v/>
      </c>
      <c r="H180" s="27">
        <f>IF($D180="","",VLOOKUP($D180,RoleTitles!$A:$E,3,FALSE))</f>
        <v/>
      </c>
      <c r="I180" s="27">
        <f>IF($D180="","",IF($C180="Greek",VLOOKUP($D180,RoleTitles!$A:$E,4,FALSE),IF($C180="Aesir",VLOOKUP($D180,RoleTitles!$A:$E,5,FALSE),VLOOKUP($D180,RoleTitles!$A:$E,3,FALSE))))</f>
        <v/>
      </c>
      <c r="J180" s="27">
        <f>IF($D180="","",IF($E180&gt;=VLOOKUP($D180,RoleTitles!$A:$B,2,FALSE),"Yes","No"))</f>
        <v/>
      </c>
      <c r="K180" s="27">
        <f>IF($D180="","",IF($D180="T1","T2",IF($D180="T2","T3",IF($D180="T3","T4",IF($D180="T4","T5",IF($D180="T5","T6",IF($D180="T6","T7",IF($D180="T7","T8",IF($D180="T8","T9","")))))))))</f>
        <v/>
      </c>
      <c r="L180" s="28">
        <f>IF($K180="","",MAX(0,VLOOKUP($K180,RoleTitles!$A:$B,2,FALSE)-$E180))</f>
        <v/>
      </c>
    </row>
    <row r="181">
      <c r="A181" s="24">
        <f>IFERROR(INDEX(CoachRoster!$A$2:$A$1000,ROW()-1),"")</f>
        <v/>
      </c>
      <c r="B181" s="27">
        <f>IF($A181="","",VLOOKUP($A181,CoachRoster!$A:$E,2,FALSE))</f>
        <v/>
      </c>
      <c r="C181" s="27">
        <f>IF($A181="","",VLOOKUP($A181,CoachRoster!$A:$E,3,FALSE))</f>
        <v/>
      </c>
      <c r="D181" s="27">
        <f>IF($A181="","",VLOOKUP($A181,CoachRoster!$A:$E,4,FALSE))</f>
        <v/>
      </c>
      <c r="E181" s="27">
        <f>IF($A181="","",MIN(Settings!$B$8,IFERROR(SUMIF(Weekly_Coaching!$B:$B,$A181,Weekly_Coaching!$D:$D),0)+IFERROR(SUMIF(Monthly_Edu!$B:$B,$A181,Monthly_Edu!$D:$D),0)+IFERROR(SUMIF(Monthly_Ops!$B:$B,$A181,Monthly_Ops!$D:$D),0)+IFERROR(SUMIF(Monthly_Mentor!$B:$B,$A181,Monthly_Mentor!$D:$D),0)+IFERROR(SUMIF(Quarterly_Impact!$B:$B,$A181,Quarterly_Impact!$D:$D),0)+IFERROR(SUMIFS(XPLog!$M:$M,XPLog!$B:$B,$A181,XPLog!$J:$J,"Admin"),0)+IFERROR(SUMIFS(XPLog!$M:$M,XPLog!$B:$B,$A181,XPLog!$J:$J,"Seeding"),0)))</f>
        <v/>
      </c>
      <c r="F181" s="27">
        <f>IF($E181="","",LOOKUP($E181, XPBands!B$2:B$10, XPBands!A$2:A$10))</f>
        <v/>
      </c>
      <c r="G181" s="27">
        <f>IF($E181="","", VLOOKUP($F181, XPBands!A$2:G$10, 4, FALSE) + MIN(VLOOKUP($F181, XPBands!A$2:G$10, 5, FALSE) - VLOOKUP($F181, XPBands!A$2:G$10, 4, FALSE), FLOOR(( $E181 - VLOOKUP($F181, XPBands!A$2:G$10, 2, FALSE) ) / VLOOKUP($F181, XPBands!A$2:G$10, 7, FALSE),1)))</f>
        <v/>
      </c>
      <c r="H181" s="27">
        <f>IF($D181="","",VLOOKUP($D181,RoleTitles!$A:$E,3,FALSE))</f>
        <v/>
      </c>
      <c r="I181" s="27">
        <f>IF($D181="","",IF($C181="Greek",VLOOKUP($D181,RoleTitles!$A:$E,4,FALSE),IF($C181="Aesir",VLOOKUP($D181,RoleTitles!$A:$E,5,FALSE),VLOOKUP($D181,RoleTitles!$A:$E,3,FALSE))))</f>
        <v/>
      </c>
      <c r="J181" s="27">
        <f>IF($D181="","",IF($E181&gt;=VLOOKUP($D181,RoleTitles!$A:$B,2,FALSE),"Yes","No"))</f>
        <v/>
      </c>
      <c r="K181" s="27">
        <f>IF($D181="","",IF($D181="T1","T2",IF($D181="T2","T3",IF($D181="T3","T4",IF($D181="T4","T5",IF($D181="T5","T6",IF($D181="T6","T7",IF($D181="T7","T8",IF($D181="T8","T9","")))))))))</f>
        <v/>
      </c>
      <c r="L181" s="28">
        <f>IF($K181="","",MAX(0,VLOOKUP($K181,RoleTitles!$A:$B,2,FALSE)-$E181))</f>
        <v/>
      </c>
    </row>
    <row r="182">
      <c r="A182" s="24">
        <f>IFERROR(INDEX(CoachRoster!$A$2:$A$1000,ROW()-1),"")</f>
        <v/>
      </c>
      <c r="B182" s="27">
        <f>IF($A182="","",VLOOKUP($A182,CoachRoster!$A:$E,2,FALSE))</f>
        <v/>
      </c>
      <c r="C182" s="27">
        <f>IF($A182="","",VLOOKUP($A182,CoachRoster!$A:$E,3,FALSE))</f>
        <v/>
      </c>
      <c r="D182" s="27">
        <f>IF($A182="","",VLOOKUP($A182,CoachRoster!$A:$E,4,FALSE))</f>
        <v/>
      </c>
      <c r="E182" s="27">
        <f>IF($A182="","",MIN(Settings!$B$8,IFERROR(SUMIF(Weekly_Coaching!$B:$B,$A182,Weekly_Coaching!$D:$D),0)+IFERROR(SUMIF(Monthly_Edu!$B:$B,$A182,Monthly_Edu!$D:$D),0)+IFERROR(SUMIF(Monthly_Ops!$B:$B,$A182,Monthly_Ops!$D:$D),0)+IFERROR(SUMIF(Monthly_Mentor!$B:$B,$A182,Monthly_Mentor!$D:$D),0)+IFERROR(SUMIF(Quarterly_Impact!$B:$B,$A182,Quarterly_Impact!$D:$D),0)+IFERROR(SUMIFS(XPLog!$M:$M,XPLog!$B:$B,$A182,XPLog!$J:$J,"Admin"),0)+IFERROR(SUMIFS(XPLog!$M:$M,XPLog!$B:$B,$A182,XPLog!$J:$J,"Seeding"),0)))</f>
        <v/>
      </c>
      <c r="F182" s="27">
        <f>IF($E182="","",LOOKUP($E182, XPBands!B$2:B$10, XPBands!A$2:A$10))</f>
        <v/>
      </c>
      <c r="G182" s="27">
        <f>IF($E182="","", VLOOKUP($F182, XPBands!A$2:G$10, 4, FALSE) + MIN(VLOOKUP($F182, XPBands!A$2:G$10, 5, FALSE) - VLOOKUP($F182, XPBands!A$2:G$10, 4, FALSE), FLOOR(( $E182 - VLOOKUP($F182, XPBands!A$2:G$10, 2, FALSE) ) / VLOOKUP($F182, XPBands!A$2:G$10, 7, FALSE),1)))</f>
        <v/>
      </c>
      <c r="H182" s="27">
        <f>IF($D182="","",VLOOKUP($D182,RoleTitles!$A:$E,3,FALSE))</f>
        <v/>
      </c>
      <c r="I182" s="27">
        <f>IF($D182="","",IF($C182="Greek",VLOOKUP($D182,RoleTitles!$A:$E,4,FALSE),IF($C182="Aesir",VLOOKUP($D182,RoleTitles!$A:$E,5,FALSE),VLOOKUP($D182,RoleTitles!$A:$E,3,FALSE))))</f>
        <v/>
      </c>
      <c r="J182" s="27">
        <f>IF($D182="","",IF($E182&gt;=VLOOKUP($D182,RoleTitles!$A:$B,2,FALSE),"Yes","No"))</f>
        <v/>
      </c>
      <c r="K182" s="27">
        <f>IF($D182="","",IF($D182="T1","T2",IF($D182="T2","T3",IF($D182="T3","T4",IF($D182="T4","T5",IF($D182="T5","T6",IF($D182="T6","T7",IF($D182="T7","T8",IF($D182="T8","T9","")))))))))</f>
        <v/>
      </c>
      <c r="L182" s="28">
        <f>IF($K182="","",MAX(0,VLOOKUP($K182,RoleTitles!$A:$B,2,FALSE)-$E182))</f>
        <v/>
      </c>
    </row>
    <row r="183">
      <c r="A183" s="24">
        <f>IFERROR(INDEX(CoachRoster!$A$2:$A$1000,ROW()-1),"")</f>
        <v/>
      </c>
      <c r="B183" s="27">
        <f>IF($A183="","",VLOOKUP($A183,CoachRoster!$A:$E,2,FALSE))</f>
        <v/>
      </c>
      <c r="C183" s="27">
        <f>IF($A183="","",VLOOKUP($A183,CoachRoster!$A:$E,3,FALSE))</f>
        <v/>
      </c>
      <c r="D183" s="27">
        <f>IF($A183="","",VLOOKUP($A183,CoachRoster!$A:$E,4,FALSE))</f>
        <v/>
      </c>
      <c r="E183" s="27">
        <f>IF($A183="","",MIN(Settings!$B$8,IFERROR(SUMIF(Weekly_Coaching!$B:$B,$A183,Weekly_Coaching!$D:$D),0)+IFERROR(SUMIF(Monthly_Edu!$B:$B,$A183,Monthly_Edu!$D:$D),0)+IFERROR(SUMIF(Monthly_Ops!$B:$B,$A183,Monthly_Ops!$D:$D),0)+IFERROR(SUMIF(Monthly_Mentor!$B:$B,$A183,Monthly_Mentor!$D:$D),0)+IFERROR(SUMIF(Quarterly_Impact!$B:$B,$A183,Quarterly_Impact!$D:$D),0)+IFERROR(SUMIFS(XPLog!$M:$M,XPLog!$B:$B,$A183,XPLog!$J:$J,"Admin"),0)+IFERROR(SUMIFS(XPLog!$M:$M,XPLog!$B:$B,$A183,XPLog!$J:$J,"Seeding"),0)))</f>
        <v/>
      </c>
      <c r="F183" s="27">
        <f>IF($E183="","",LOOKUP($E183, XPBands!B$2:B$10, XPBands!A$2:A$10))</f>
        <v/>
      </c>
      <c r="G183" s="27">
        <f>IF($E183="","", VLOOKUP($F183, XPBands!A$2:G$10, 4, FALSE) + MIN(VLOOKUP($F183, XPBands!A$2:G$10, 5, FALSE) - VLOOKUP($F183, XPBands!A$2:G$10, 4, FALSE), FLOOR(( $E183 - VLOOKUP($F183, XPBands!A$2:G$10, 2, FALSE) ) / VLOOKUP($F183, XPBands!A$2:G$10, 7, FALSE),1)))</f>
        <v/>
      </c>
      <c r="H183" s="27">
        <f>IF($D183="","",VLOOKUP($D183,RoleTitles!$A:$E,3,FALSE))</f>
        <v/>
      </c>
      <c r="I183" s="27">
        <f>IF($D183="","",IF($C183="Greek",VLOOKUP($D183,RoleTitles!$A:$E,4,FALSE),IF($C183="Aesir",VLOOKUP($D183,RoleTitles!$A:$E,5,FALSE),VLOOKUP($D183,RoleTitles!$A:$E,3,FALSE))))</f>
        <v/>
      </c>
      <c r="J183" s="27">
        <f>IF($D183="","",IF($E183&gt;=VLOOKUP($D183,RoleTitles!$A:$B,2,FALSE),"Yes","No"))</f>
        <v/>
      </c>
      <c r="K183" s="27">
        <f>IF($D183="","",IF($D183="T1","T2",IF($D183="T2","T3",IF($D183="T3","T4",IF($D183="T4","T5",IF($D183="T5","T6",IF($D183="T6","T7",IF($D183="T7","T8",IF($D183="T8","T9","")))))))))</f>
        <v/>
      </c>
      <c r="L183" s="28">
        <f>IF($K183="","",MAX(0,VLOOKUP($K183,RoleTitles!$A:$B,2,FALSE)-$E183))</f>
        <v/>
      </c>
    </row>
    <row r="184">
      <c r="A184" s="24">
        <f>IFERROR(INDEX(CoachRoster!$A$2:$A$1000,ROW()-1),"")</f>
        <v/>
      </c>
      <c r="B184" s="27">
        <f>IF($A184="","",VLOOKUP($A184,CoachRoster!$A:$E,2,FALSE))</f>
        <v/>
      </c>
      <c r="C184" s="27">
        <f>IF($A184="","",VLOOKUP($A184,CoachRoster!$A:$E,3,FALSE))</f>
        <v/>
      </c>
      <c r="D184" s="27">
        <f>IF($A184="","",VLOOKUP($A184,CoachRoster!$A:$E,4,FALSE))</f>
        <v/>
      </c>
      <c r="E184" s="27">
        <f>IF($A184="","",MIN(Settings!$B$8,IFERROR(SUMIF(Weekly_Coaching!$B:$B,$A184,Weekly_Coaching!$D:$D),0)+IFERROR(SUMIF(Monthly_Edu!$B:$B,$A184,Monthly_Edu!$D:$D),0)+IFERROR(SUMIF(Monthly_Ops!$B:$B,$A184,Monthly_Ops!$D:$D),0)+IFERROR(SUMIF(Monthly_Mentor!$B:$B,$A184,Monthly_Mentor!$D:$D),0)+IFERROR(SUMIF(Quarterly_Impact!$B:$B,$A184,Quarterly_Impact!$D:$D),0)+IFERROR(SUMIFS(XPLog!$M:$M,XPLog!$B:$B,$A184,XPLog!$J:$J,"Admin"),0)+IFERROR(SUMIFS(XPLog!$M:$M,XPLog!$B:$B,$A184,XPLog!$J:$J,"Seeding"),0)))</f>
        <v/>
      </c>
      <c r="F184" s="27">
        <f>IF($E184="","",LOOKUP($E184, XPBands!B$2:B$10, XPBands!A$2:A$10))</f>
        <v/>
      </c>
      <c r="G184" s="27">
        <f>IF($E184="","", VLOOKUP($F184, XPBands!A$2:G$10, 4, FALSE) + MIN(VLOOKUP($F184, XPBands!A$2:G$10, 5, FALSE) - VLOOKUP($F184, XPBands!A$2:G$10, 4, FALSE), FLOOR(( $E184 - VLOOKUP($F184, XPBands!A$2:G$10, 2, FALSE) ) / VLOOKUP($F184, XPBands!A$2:G$10, 7, FALSE),1)))</f>
        <v/>
      </c>
      <c r="H184" s="27">
        <f>IF($D184="","",VLOOKUP($D184,RoleTitles!$A:$E,3,FALSE))</f>
        <v/>
      </c>
      <c r="I184" s="27">
        <f>IF($D184="","",IF($C184="Greek",VLOOKUP($D184,RoleTitles!$A:$E,4,FALSE),IF($C184="Aesir",VLOOKUP($D184,RoleTitles!$A:$E,5,FALSE),VLOOKUP($D184,RoleTitles!$A:$E,3,FALSE))))</f>
        <v/>
      </c>
      <c r="J184" s="27">
        <f>IF($D184="","",IF($E184&gt;=VLOOKUP($D184,RoleTitles!$A:$B,2,FALSE),"Yes","No"))</f>
        <v/>
      </c>
      <c r="K184" s="27">
        <f>IF($D184="","",IF($D184="T1","T2",IF($D184="T2","T3",IF($D184="T3","T4",IF($D184="T4","T5",IF($D184="T5","T6",IF($D184="T6","T7",IF($D184="T7","T8",IF($D184="T8","T9","")))))))))</f>
        <v/>
      </c>
      <c r="L184" s="28">
        <f>IF($K184="","",MAX(0,VLOOKUP($K184,RoleTitles!$A:$B,2,FALSE)-$E184))</f>
        <v/>
      </c>
    </row>
    <row r="185">
      <c r="A185" s="24">
        <f>IFERROR(INDEX(CoachRoster!$A$2:$A$1000,ROW()-1),"")</f>
        <v/>
      </c>
      <c r="B185" s="27">
        <f>IF($A185="","",VLOOKUP($A185,CoachRoster!$A:$E,2,FALSE))</f>
        <v/>
      </c>
      <c r="C185" s="27">
        <f>IF($A185="","",VLOOKUP($A185,CoachRoster!$A:$E,3,FALSE))</f>
        <v/>
      </c>
      <c r="D185" s="27">
        <f>IF($A185="","",VLOOKUP($A185,CoachRoster!$A:$E,4,FALSE))</f>
        <v/>
      </c>
      <c r="E185" s="27">
        <f>IF($A185="","",MIN(Settings!$B$8,IFERROR(SUMIF(Weekly_Coaching!$B:$B,$A185,Weekly_Coaching!$D:$D),0)+IFERROR(SUMIF(Monthly_Edu!$B:$B,$A185,Monthly_Edu!$D:$D),0)+IFERROR(SUMIF(Monthly_Ops!$B:$B,$A185,Monthly_Ops!$D:$D),0)+IFERROR(SUMIF(Monthly_Mentor!$B:$B,$A185,Monthly_Mentor!$D:$D),0)+IFERROR(SUMIF(Quarterly_Impact!$B:$B,$A185,Quarterly_Impact!$D:$D),0)+IFERROR(SUMIFS(XPLog!$M:$M,XPLog!$B:$B,$A185,XPLog!$J:$J,"Admin"),0)+IFERROR(SUMIFS(XPLog!$M:$M,XPLog!$B:$B,$A185,XPLog!$J:$J,"Seeding"),0)))</f>
        <v/>
      </c>
      <c r="F185" s="27">
        <f>IF($E185="","",LOOKUP($E185, XPBands!B$2:B$10, XPBands!A$2:A$10))</f>
        <v/>
      </c>
      <c r="G185" s="27">
        <f>IF($E185="","", VLOOKUP($F185, XPBands!A$2:G$10, 4, FALSE) + MIN(VLOOKUP($F185, XPBands!A$2:G$10, 5, FALSE) - VLOOKUP($F185, XPBands!A$2:G$10, 4, FALSE), FLOOR(( $E185 - VLOOKUP($F185, XPBands!A$2:G$10, 2, FALSE) ) / VLOOKUP($F185, XPBands!A$2:G$10, 7, FALSE),1)))</f>
        <v/>
      </c>
      <c r="H185" s="27">
        <f>IF($D185="","",VLOOKUP($D185,RoleTitles!$A:$E,3,FALSE))</f>
        <v/>
      </c>
      <c r="I185" s="27">
        <f>IF($D185="","",IF($C185="Greek",VLOOKUP($D185,RoleTitles!$A:$E,4,FALSE),IF($C185="Aesir",VLOOKUP($D185,RoleTitles!$A:$E,5,FALSE),VLOOKUP($D185,RoleTitles!$A:$E,3,FALSE))))</f>
        <v/>
      </c>
      <c r="J185" s="27">
        <f>IF($D185="","",IF($E185&gt;=VLOOKUP($D185,RoleTitles!$A:$B,2,FALSE),"Yes","No"))</f>
        <v/>
      </c>
      <c r="K185" s="27">
        <f>IF($D185="","",IF($D185="T1","T2",IF($D185="T2","T3",IF($D185="T3","T4",IF($D185="T4","T5",IF($D185="T5","T6",IF($D185="T6","T7",IF($D185="T7","T8",IF($D185="T8","T9","")))))))))</f>
        <v/>
      </c>
      <c r="L185" s="28">
        <f>IF($K185="","",MAX(0,VLOOKUP($K185,RoleTitles!$A:$B,2,FALSE)-$E185))</f>
        <v/>
      </c>
    </row>
    <row r="186">
      <c r="A186" s="24">
        <f>IFERROR(INDEX(CoachRoster!$A$2:$A$1000,ROW()-1),"")</f>
        <v/>
      </c>
      <c r="B186" s="27">
        <f>IF($A186="","",VLOOKUP($A186,CoachRoster!$A:$E,2,FALSE))</f>
        <v/>
      </c>
      <c r="C186" s="27">
        <f>IF($A186="","",VLOOKUP($A186,CoachRoster!$A:$E,3,FALSE))</f>
        <v/>
      </c>
      <c r="D186" s="27">
        <f>IF($A186="","",VLOOKUP($A186,CoachRoster!$A:$E,4,FALSE))</f>
        <v/>
      </c>
      <c r="E186" s="27">
        <f>IF($A186="","",MIN(Settings!$B$8,IFERROR(SUMIF(Weekly_Coaching!$B:$B,$A186,Weekly_Coaching!$D:$D),0)+IFERROR(SUMIF(Monthly_Edu!$B:$B,$A186,Monthly_Edu!$D:$D),0)+IFERROR(SUMIF(Monthly_Ops!$B:$B,$A186,Monthly_Ops!$D:$D),0)+IFERROR(SUMIF(Monthly_Mentor!$B:$B,$A186,Monthly_Mentor!$D:$D),0)+IFERROR(SUMIF(Quarterly_Impact!$B:$B,$A186,Quarterly_Impact!$D:$D),0)+IFERROR(SUMIFS(XPLog!$M:$M,XPLog!$B:$B,$A186,XPLog!$J:$J,"Admin"),0)+IFERROR(SUMIFS(XPLog!$M:$M,XPLog!$B:$B,$A186,XPLog!$J:$J,"Seeding"),0)))</f>
        <v/>
      </c>
      <c r="F186" s="27">
        <f>IF($E186="","",LOOKUP($E186, XPBands!B$2:B$10, XPBands!A$2:A$10))</f>
        <v/>
      </c>
      <c r="G186" s="27">
        <f>IF($E186="","", VLOOKUP($F186, XPBands!A$2:G$10, 4, FALSE) + MIN(VLOOKUP($F186, XPBands!A$2:G$10, 5, FALSE) - VLOOKUP($F186, XPBands!A$2:G$10, 4, FALSE), FLOOR(( $E186 - VLOOKUP($F186, XPBands!A$2:G$10, 2, FALSE) ) / VLOOKUP($F186, XPBands!A$2:G$10, 7, FALSE),1)))</f>
        <v/>
      </c>
      <c r="H186" s="27">
        <f>IF($D186="","",VLOOKUP($D186,RoleTitles!$A:$E,3,FALSE))</f>
        <v/>
      </c>
      <c r="I186" s="27">
        <f>IF($D186="","",IF($C186="Greek",VLOOKUP($D186,RoleTitles!$A:$E,4,FALSE),IF($C186="Aesir",VLOOKUP($D186,RoleTitles!$A:$E,5,FALSE),VLOOKUP($D186,RoleTitles!$A:$E,3,FALSE))))</f>
        <v/>
      </c>
      <c r="J186" s="27">
        <f>IF($D186="","",IF($E186&gt;=VLOOKUP($D186,RoleTitles!$A:$B,2,FALSE),"Yes","No"))</f>
        <v/>
      </c>
      <c r="K186" s="27">
        <f>IF($D186="","",IF($D186="T1","T2",IF($D186="T2","T3",IF($D186="T3","T4",IF($D186="T4","T5",IF($D186="T5","T6",IF($D186="T6","T7",IF($D186="T7","T8",IF($D186="T8","T9","")))))))))</f>
        <v/>
      </c>
      <c r="L186" s="28">
        <f>IF($K186="","",MAX(0,VLOOKUP($K186,RoleTitles!$A:$B,2,FALSE)-$E186))</f>
        <v/>
      </c>
    </row>
    <row r="187">
      <c r="A187" s="24">
        <f>IFERROR(INDEX(CoachRoster!$A$2:$A$1000,ROW()-1),"")</f>
        <v/>
      </c>
      <c r="B187" s="27">
        <f>IF($A187="","",VLOOKUP($A187,CoachRoster!$A:$E,2,FALSE))</f>
        <v/>
      </c>
      <c r="C187" s="27">
        <f>IF($A187="","",VLOOKUP($A187,CoachRoster!$A:$E,3,FALSE))</f>
        <v/>
      </c>
      <c r="D187" s="27">
        <f>IF($A187="","",VLOOKUP($A187,CoachRoster!$A:$E,4,FALSE))</f>
        <v/>
      </c>
      <c r="E187" s="27">
        <f>IF($A187="","",MIN(Settings!$B$8,IFERROR(SUMIF(Weekly_Coaching!$B:$B,$A187,Weekly_Coaching!$D:$D),0)+IFERROR(SUMIF(Monthly_Edu!$B:$B,$A187,Monthly_Edu!$D:$D),0)+IFERROR(SUMIF(Monthly_Ops!$B:$B,$A187,Monthly_Ops!$D:$D),0)+IFERROR(SUMIF(Monthly_Mentor!$B:$B,$A187,Monthly_Mentor!$D:$D),0)+IFERROR(SUMIF(Quarterly_Impact!$B:$B,$A187,Quarterly_Impact!$D:$D),0)+IFERROR(SUMIFS(XPLog!$M:$M,XPLog!$B:$B,$A187,XPLog!$J:$J,"Admin"),0)+IFERROR(SUMIFS(XPLog!$M:$M,XPLog!$B:$B,$A187,XPLog!$J:$J,"Seeding"),0)))</f>
        <v/>
      </c>
      <c r="F187" s="27">
        <f>IF($E187="","",LOOKUP($E187, XPBands!B$2:B$10, XPBands!A$2:A$10))</f>
        <v/>
      </c>
      <c r="G187" s="27">
        <f>IF($E187="","", VLOOKUP($F187, XPBands!A$2:G$10, 4, FALSE) + MIN(VLOOKUP($F187, XPBands!A$2:G$10, 5, FALSE) - VLOOKUP($F187, XPBands!A$2:G$10, 4, FALSE), FLOOR(( $E187 - VLOOKUP($F187, XPBands!A$2:G$10, 2, FALSE) ) / VLOOKUP($F187, XPBands!A$2:G$10, 7, FALSE),1)))</f>
        <v/>
      </c>
      <c r="H187" s="27">
        <f>IF($D187="","",VLOOKUP($D187,RoleTitles!$A:$E,3,FALSE))</f>
        <v/>
      </c>
      <c r="I187" s="27">
        <f>IF($D187="","",IF($C187="Greek",VLOOKUP($D187,RoleTitles!$A:$E,4,FALSE),IF($C187="Aesir",VLOOKUP($D187,RoleTitles!$A:$E,5,FALSE),VLOOKUP($D187,RoleTitles!$A:$E,3,FALSE))))</f>
        <v/>
      </c>
      <c r="J187" s="27">
        <f>IF($D187="","",IF($E187&gt;=VLOOKUP($D187,RoleTitles!$A:$B,2,FALSE),"Yes","No"))</f>
        <v/>
      </c>
      <c r="K187" s="27">
        <f>IF($D187="","",IF($D187="T1","T2",IF($D187="T2","T3",IF($D187="T3","T4",IF($D187="T4","T5",IF($D187="T5","T6",IF($D187="T6","T7",IF($D187="T7","T8",IF($D187="T8","T9","")))))))))</f>
        <v/>
      </c>
      <c r="L187" s="28">
        <f>IF($K187="","",MAX(0,VLOOKUP($K187,RoleTitles!$A:$B,2,FALSE)-$E187))</f>
        <v/>
      </c>
    </row>
    <row r="188">
      <c r="A188" s="24">
        <f>IFERROR(INDEX(CoachRoster!$A$2:$A$1000,ROW()-1),"")</f>
        <v/>
      </c>
      <c r="B188" s="27">
        <f>IF($A188="","",VLOOKUP($A188,CoachRoster!$A:$E,2,FALSE))</f>
        <v/>
      </c>
      <c r="C188" s="27">
        <f>IF($A188="","",VLOOKUP($A188,CoachRoster!$A:$E,3,FALSE))</f>
        <v/>
      </c>
      <c r="D188" s="27">
        <f>IF($A188="","",VLOOKUP($A188,CoachRoster!$A:$E,4,FALSE))</f>
        <v/>
      </c>
      <c r="E188" s="27">
        <f>IF($A188="","",MIN(Settings!$B$8,IFERROR(SUMIF(Weekly_Coaching!$B:$B,$A188,Weekly_Coaching!$D:$D),0)+IFERROR(SUMIF(Monthly_Edu!$B:$B,$A188,Monthly_Edu!$D:$D),0)+IFERROR(SUMIF(Monthly_Ops!$B:$B,$A188,Monthly_Ops!$D:$D),0)+IFERROR(SUMIF(Monthly_Mentor!$B:$B,$A188,Monthly_Mentor!$D:$D),0)+IFERROR(SUMIF(Quarterly_Impact!$B:$B,$A188,Quarterly_Impact!$D:$D),0)+IFERROR(SUMIFS(XPLog!$M:$M,XPLog!$B:$B,$A188,XPLog!$J:$J,"Admin"),0)+IFERROR(SUMIFS(XPLog!$M:$M,XPLog!$B:$B,$A188,XPLog!$J:$J,"Seeding"),0)))</f>
        <v/>
      </c>
      <c r="F188" s="27">
        <f>IF($E188="","",LOOKUP($E188, XPBands!B$2:B$10, XPBands!A$2:A$10))</f>
        <v/>
      </c>
      <c r="G188" s="27">
        <f>IF($E188="","", VLOOKUP($F188, XPBands!A$2:G$10, 4, FALSE) + MIN(VLOOKUP($F188, XPBands!A$2:G$10, 5, FALSE) - VLOOKUP($F188, XPBands!A$2:G$10, 4, FALSE), FLOOR(( $E188 - VLOOKUP($F188, XPBands!A$2:G$10, 2, FALSE) ) / VLOOKUP($F188, XPBands!A$2:G$10, 7, FALSE),1)))</f>
        <v/>
      </c>
      <c r="H188" s="27">
        <f>IF($D188="","",VLOOKUP($D188,RoleTitles!$A:$E,3,FALSE))</f>
        <v/>
      </c>
      <c r="I188" s="27">
        <f>IF($D188="","",IF($C188="Greek",VLOOKUP($D188,RoleTitles!$A:$E,4,FALSE),IF($C188="Aesir",VLOOKUP($D188,RoleTitles!$A:$E,5,FALSE),VLOOKUP($D188,RoleTitles!$A:$E,3,FALSE))))</f>
        <v/>
      </c>
      <c r="J188" s="27">
        <f>IF($D188="","",IF($E188&gt;=VLOOKUP($D188,RoleTitles!$A:$B,2,FALSE),"Yes","No"))</f>
        <v/>
      </c>
      <c r="K188" s="27">
        <f>IF($D188="","",IF($D188="T1","T2",IF($D188="T2","T3",IF($D188="T3","T4",IF($D188="T4","T5",IF($D188="T5","T6",IF($D188="T6","T7",IF($D188="T7","T8",IF($D188="T8","T9","")))))))))</f>
        <v/>
      </c>
      <c r="L188" s="28">
        <f>IF($K188="","",MAX(0,VLOOKUP($K188,RoleTitles!$A:$B,2,FALSE)-$E188))</f>
        <v/>
      </c>
    </row>
    <row r="189">
      <c r="A189" s="24">
        <f>IFERROR(INDEX(CoachRoster!$A$2:$A$1000,ROW()-1),"")</f>
        <v/>
      </c>
      <c r="B189" s="27">
        <f>IF($A189="","",VLOOKUP($A189,CoachRoster!$A:$E,2,FALSE))</f>
        <v/>
      </c>
      <c r="C189" s="27">
        <f>IF($A189="","",VLOOKUP($A189,CoachRoster!$A:$E,3,FALSE))</f>
        <v/>
      </c>
      <c r="D189" s="27">
        <f>IF($A189="","",VLOOKUP($A189,CoachRoster!$A:$E,4,FALSE))</f>
        <v/>
      </c>
      <c r="E189" s="27">
        <f>IF($A189="","",MIN(Settings!$B$8,IFERROR(SUMIF(Weekly_Coaching!$B:$B,$A189,Weekly_Coaching!$D:$D),0)+IFERROR(SUMIF(Monthly_Edu!$B:$B,$A189,Monthly_Edu!$D:$D),0)+IFERROR(SUMIF(Monthly_Ops!$B:$B,$A189,Monthly_Ops!$D:$D),0)+IFERROR(SUMIF(Monthly_Mentor!$B:$B,$A189,Monthly_Mentor!$D:$D),0)+IFERROR(SUMIF(Quarterly_Impact!$B:$B,$A189,Quarterly_Impact!$D:$D),0)+IFERROR(SUMIFS(XPLog!$M:$M,XPLog!$B:$B,$A189,XPLog!$J:$J,"Admin"),0)+IFERROR(SUMIFS(XPLog!$M:$M,XPLog!$B:$B,$A189,XPLog!$J:$J,"Seeding"),0)))</f>
        <v/>
      </c>
      <c r="F189" s="27">
        <f>IF($E189="","",LOOKUP($E189, XPBands!B$2:B$10, XPBands!A$2:A$10))</f>
        <v/>
      </c>
      <c r="G189" s="27">
        <f>IF($E189="","", VLOOKUP($F189, XPBands!A$2:G$10, 4, FALSE) + MIN(VLOOKUP($F189, XPBands!A$2:G$10, 5, FALSE) - VLOOKUP($F189, XPBands!A$2:G$10, 4, FALSE), FLOOR(( $E189 - VLOOKUP($F189, XPBands!A$2:G$10, 2, FALSE) ) / VLOOKUP($F189, XPBands!A$2:G$10, 7, FALSE),1)))</f>
        <v/>
      </c>
      <c r="H189" s="27">
        <f>IF($D189="","",VLOOKUP($D189,RoleTitles!$A:$E,3,FALSE))</f>
        <v/>
      </c>
      <c r="I189" s="27">
        <f>IF($D189="","",IF($C189="Greek",VLOOKUP($D189,RoleTitles!$A:$E,4,FALSE),IF($C189="Aesir",VLOOKUP($D189,RoleTitles!$A:$E,5,FALSE),VLOOKUP($D189,RoleTitles!$A:$E,3,FALSE))))</f>
        <v/>
      </c>
      <c r="J189" s="27">
        <f>IF($D189="","",IF($E189&gt;=VLOOKUP($D189,RoleTitles!$A:$B,2,FALSE),"Yes","No"))</f>
        <v/>
      </c>
      <c r="K189" s="27">
        <f>IF($D189="","",IF($D189="T1","T2",IF($D189="T2","T3",IF($D189="T3","T4",IF($D189="T4","T5",IF($D189="T5","T6",IF($D189="T6","T7",IF($D189="T7","T8",IF($D189="T8","T9","")))))))))</f>
        <v/>
      </c>
      <c r="L189" s="28">
        <f>IF($K189="","",MAX(0,VLOOKUP($K189,RoleTitles!$A:$B,2,FALSE)-$E189))</f>
        <v/>
      </c>
    </row>
    <row r="190">
      <c r="A190" s="24">
        <f>IFERROR(INDEX(CoachRoster!$A$2:$A$1000,ROW()-1),"")</f>
        <v/>
      </c>
      <c r="B190" s="27">
        <f>IF($A190="","",VLOOKUP($A190,CoachRoster!$A:$E,2,FALSE))</f>
        <v/>
      </c>
      <c r="C190" s="27">
        <f>IF($A190="","",VLOOKUP($A190,CoachRoster!$A:$E,3,FALSE))</f>
        <v/>
      </c>
      <c r="D190" s="27">
        <f>IF($A190="","",VLOOKUP($A190,CoachRoster!$A:$E,4,FALSE))</f>
        <v/>
      </c>
      <c r="E190" s="27">
        <f>IF($A190="","",MIN(Settings!$B$8,IFERROR(SUMIF(Weekly_Coaching!$B:$B,$A190,Weekly_Coaching!$D:$D),0)+IFERROR(SUMIF(Monthly_Edu!$B:$B,$A190,Monthly_Edu!$D:$D),0)+IFERROR(SUMIF(Monthly_Ops!$B:$B,$A190,Monthly_Ops!$D:$D),0)+IFERROR(SUMIF(Monthly_Mentor!$B:$B,$A190,Monthly_Mentor!$D:$D),0)+IFERROR(SUMIF(Quarterly_Impact!$B:$B,$A190,Quarterly_Impact!$D:$D),0)+IFERROR(SUMIFS(XPLog!$M:$M,XPLog!$B:$B,$A190,XPLog!$J:$J,"Admin"),0)+IFERROR(SUMIFS(XPLog!$M:$M,XPLog!$B:$B,$A190,XPLog!$J:$J,"Seeding"),0)))</f>
        <v/>
      </c>
      <c r="F190" s="27">
        <f>IF($E190="","",LOOKUP($E190, XPBands!B$2:B$10, XPBands!A$2:A$10))</f>
        <v/>
      </c>
      <c r="G190" s="27">
        <f>IF($E190="","", VLOOKUP($F190, XPBands!A$2:G$10, 4, FALSE) + MIN(VLOOKUP($F190, XPBands!A$2:G$10, 5, FALSE) - VLOOKUP($F190, XPBands!A$2:G$10, 4, FALSE), FLOOR(( $E190 - VLOOKUP($F190, XPBands!A$2:G$10, 2, FALSE) ) / VLOOKUP($F190, XPBands!A$2:G$10, 7, FALSE),1)))</f>
        <v/>
      </c>
      <c r="H190" s="27">
        <f>IF($D190="","",VLOOKUP($D190,RoleTitles!$A:$E,3,FALSE))</f>
        <v/>
      </c>
      <c r="I190" s="27">
        <f>IF($D190="","",IF($C190="Greek",VLOOKUP($D190,RoleTitles!$A:$E,4,FALSE),IF($C190="Aesir",VLOOKUP($D190,RoleTitles!$A:$E,5,FALSE),VLOOKUP($D190,RoleTitles!$A:$E,3,FALSE))))</f>
        <v/>
      </c>
      <c r="J190" s="27">
        <f>IF($D190="","",IF($E190&gt;=VLOOKUP($D190,RoleTitles!$A:$B,2,FALSE),"Yes","No"))</f>
        <v/>
      </c>
      <c r="K190" s="27">
        <f>IF($D190="","",IF($D190="T1","T2",IF($D190="T2","T3",IF($D190="T3","T4",IF($D190="T4","T5",IF($D190="T5","T6",IF($D190="T6","T7",IF($D190="T7","T8",IF($D190="T8","T9","")))))))))</f>
        <v/>
      </c>
      <c r="L190" s="28">
        <f>IF($K190="","",MAX(0,VLOOKUP($K190,RoleTitles!$A:$B,2,FALSE)-$E190))</f>
        <v/>
      </c>
    </row>
    <row r="191">
      <c r="A191" s="24">
        <f>IFERROR(INDEX(CoachRoster!$A$2:$A$1000,ROW()-1),"")</f>
        <v/>
      </c>
      <c r="B191" s="27">
        <f>IF($A191="","",VLOOKUP($A191,CoachRoster!$A:$E,2,FALSE))</f>
        <v/>
      </c>
      <c r="C191" s="27">
        <f>IF($A191="","",VLOOKUP($A191,CoachRoster!$A:$E,3,FALSE))</f>
        <v/>
      </c>
      <c r="D191" s="27">
        <f>IF($A191="","",VLOOKUP($A191,CoachRoster!$A:$E,4,FALSE))</f>
        <v/>
      </c>
      <c r="E191" s="27">
        <f>IF($A191="","",MIN(Settings!$B$8,IFERROR(SUMIF(Weekly_Coaching!$B:$B,$A191,Weekly_Coaching!$D:$D),0)+IFERROR(SUMIF(Monthly_Edu!$B:$B,$A191,Monthly_Edu!$D:$D),0)+IFERROR(SUMIF(Monthly_Ops!$B:$B,$A191,Monthly_Ops!$D:$D),0)+IFERROR(SUMIF(Monthly_Mentor!$B:$B,$A191,Monthly_Mentor!$D:$D),0)+IFERROR(SUMIF(Quarterly_Impact!$B:$B,$A191,Quarterly_Impact!$D:$D),0)+IFERROR(SUMIFS(XPLog!$M:$M,XPLog!$B:$B,$A191,XPLog!$J:$J,"Admin"),0)+IFERROR(SUMIFS(XPLog!$M:$M,XPLog!$B:$B,$A191,XPLog!$J:$J,"Seeding"),0)))</f>
        <v/>
      </c>
      <c r="F191" s="27">
        <f>IF($E191="","",LOOKUP($E191, XPBands!B$2:B$10, XPBands!A$2:A$10))</f>
        <v/>
      </c>
      <c r="G191" s="27">
        <f>IF($E191="","", VLOOKUP($F191, XPBands!A$2:G$10, 4, FALSE) + MIN(VLOOKUP($F191, XPBands!A$2:G$10, 5, FALSE) - VLOOKUP($F191, XPBands!A$2:G$10, 4, FALSE), FLOOR(( $E191 - VLOOKUP($F191, XPBands!A$2:G$10, 2, FALSE) ) / VLOOKUP($F191, XPBands!A$2:G$10, 7, FALSE),1)))</f>
        <v/>
      </c>
      <c r="H191" s="27">
        <f>IF($D191="","",VLOOKUP($D191,RoleTitles!$A:$E,3,FALSE))</f>
        <v/>
      </c>
      <c r="I191" s="27">
        <f>IF($D191="","",IF($C191="Greek",VLOOKUP($D191,RoleTitles!$A:$E,4,FALSE),IF($C191="Aesir",VLOOKUP($D191,RoleTitles!$A:$E,5,FALSE),VLOOKUP($D191,RoleTitles!$A:$E,3,FALSE))))</f>
        <v/>
      </c>
      <c r="J191" s="27">
        <f>IF($D191="","",IF($E191&gt;=VLOOKUP($D191,RoleTitles!$A:$B,2,FALSE),"Yes","No"))</f>
        <v/>
      </c>
      <c r="K191" s="27">
        <f>IF($D191="","",IF($D191="T1","T2",IF($D191="T2","T3",IF($D191="T3","T4",IF($D191="T4","T5",IF($D191="T5","T6",IF($D191="T6","T7",IF($D191="T7","T8",IF($D191="T8","T9","")))))))))</f>
        <v/>
      </c>
      <c r="L191" s="28">
        <f>IF($K191="","",MAX(0,VLOOKUP($K191,RoleTitles!$A:$B,2,FALSE)-$E191))</f>
        <v/>
      </c>
    </row>
    <row r="192">
      <c r="A192" s="24">
        <f>IFERROR(INDEX(CoachRoster!$A$2:$A$1000,ROW()-1),"")</f>
        <v/>
      </c>
      <c r="B192" s="27">
        <f>IF($A192="","",VLOOKUP($A192,CoachRoster!$A:$E,2,FALSE))</f>
        <v/>
      </c>
      <c r="C192" s="27">
        <f>IF($A192="","",VLOOKUP($A192,CoachRoster!$A:$E,3,FALSE))</f>
        <v/>
      </c>
      <c r="D192" s="27">
        <f>IF($A192="","",VLOOKUP($A192,CoachRoster!$A:$E,4,FALSE))</f>
        <v/>
      </c>
      <c r="E192" s="27">
        <f>IF($A192="","",MIN(Settings!$B$8,IFERROR(SUMIF(Weekly_Coaching!$B:$B,$A192,Weekly_Coaching!$D:$D),0)+IFERROR(SUMIF(Monthly_Edu!$B:$B,$A192,Monthly_Edu!$D:$D),0)+IFERROR(SUMIF(Monthly_Ops!$B:$B,$A192,Monthly_Ops!$D:$D),0)+IFERROR(SUMIF(Monthly_Mentor!$B:$B,$A192,Monthly_Mentor!$D:$D),0)+IFERROR(SUMIF(Quarterly_Impact!$B:$B,$A192,Quarterly_Impact!$D:$D),0)+IFERROR(SUMIFS(XPLog!$M:$M,XPLog!$B:$B,$A192,XPLog!$J:$J,"Admin"),0)+IFERROR(SUMIFS(XPLog!$M:$M,XPLog!$B:$B,$A192,XPLog!$J:$J,"Seeding"),0)))</f>
        <v/>
      </c>
      <c r="F192" s="27">
        <f>IF($E192="","",LOOKUP($E192, XPBands!B$2:B$10, XPBands!A$2:A$10))</f>
        <v/>
      </c>
      <c r="G192" s="27">
        <f>IF($E192="","", VLOOKUP($F192, XPBands!A$2:G$10, 4, FALSE) + MIN(VLOOKUP($F192, XPBands!A$2:G$10, 5, FALSE) - VLOOKUP($F192, XPBands!A$2:G$10, 4, FALSE), FLOOR(( $E192 - VLOOKUP($F192, XPBands!A$2:G$10, 2, FALSE) ) / VLOOKUP($F192, XPBands!A$2:G$10, 7, FALSE),1)))</f>
        <v/>
      </c>
      <c r="H192" s="27">
        <f>IF($D192="","",VLOOKUP($D192,RoleTitles!$A:$E,3,FALSE))</f>
        <v/>
      </c>
      <c r="I192" s="27">
        <f>IF($D192="","",IF($C192="Greek",VLOOKUP($D192,RoleTitles!$A:$E,4,FALSE),IF($C192="Aesir",VLOOKUP($D192,RoleTitles!$A:$E,5,FALSE),VLOOKUP($D192,RoleTitles!$A:$E,3,FALSE))))</f>
        <v/>
      </c>
      <c r="J192" s="27">
        <f>IF($D192="","",IF($E192&gt;=VLOOKUP($D192,RoleTitles!$A:$B,2,FALSE),"Yes","No"))</f>
        <v/>
      </c>
      <c r="K192" s="27">
        <f>IF($D192="","",IF($D192="T1","T2",IF($D192="T2","T3",IF($D192="T3","T4",IF($D192="T4","T5",IF($D192="T5","T6",IF($D192="T6","T7",IF($D192="T7","T8",IF($D192="T8","T9","")))))))))</f>
        <v/>
      </c>
      <c r="L192" s="28">
        <f>IF($K192="","",MAX(0,VLOOKUP($K192,RoleTitles!$A:$B,2,FALSE)-$E192))</f>
        <v/>
      </c>
    </row>
    <row r="193">
      <c r="A193" s="24">
        <f>IFERROR(INDEX(CoachRoster!$A$2:$A$1000,ROW()-1),"")</f>
        <v/>
      </c>
      <c r="B193" s="27">
        <f>IF($A193="","",VLOOKUP($A193,CoachRoster!$A:$E,2,FALSE))</f>
        <v/>
      </c>
      <c r="C193" s="27">
        <f>IF($A193="","",VLOOKUP($A193,CoachRoster!$A:$E,3,FALSE))</f>
        <v/>
      </c>
      <c r="D193" s="27">
        <f>IF($A193="","",VLOOKUP($A193,CoachRoster!$A:$E,4,FALSE))</f>
        <v/>
      </c>
      <c r="E193" s="27">
        <f>IF($A193="","",MIN(Settings!$B$8,IFERROR(SUMIF(Weekly_Coaching!$B:$B,$A193,Weekly_Coaching!$D:$D),0)+IFERROR(SUMIF(Monthly_Edu!$B:$B,$A193,Monthly_Edu!$D:$D),0)+IFERROR(SUMIF(Monthly_Ops!$B:$B,$A193,Monthly_Ops!$D:$D),0)+IFERROR(SUMIF(Monthly_Mentor!$B:$B,$A193,Monthly_Mentor!$D:$D),0)+IFERROR(SUMIF(Quarterly_Impact!$B:$B,$A193,Quarterly_Impact!$D:$D),0)+IFERROR(SUMIFS(XPLog!$M:$M,XPLog!$B:$B,$A193,XPLog!$J:$J,"Admin"),0)+IFERROR(SUMIFS(XPLog!$M:$M,XPLog!$B:$B,$A193,XPLog!$J:$J,"Seeding"),0)))</f>
        <v/>
      </c>
      <c r="F193" s="27">
        <f>IF($E193="","",LOOKUP($E193, XPBands!B$2:B$10, XPBands!A$2:A$10))</f>
        <v/>
      </c>
      <c r="G193" s="27">
        <f>IF($E193="","", VLOOKUP($F193, XPBands!A$2:G$10, 4, FALSE) + MIN(VLOOKUP($F193, XPBands!A$2:G$10, 5, FALSE) - VLOOKUP($F193, XPBands!A$2:G$10, 4, FALSE), FLOOR(( $E193 - VLOOKUP($F193, XPBands!A$2:G$10, 2, FALSE) ) / VLOOKUP($F193, XPBands!A$2:G$10, 7, FALSE),1)))</f>
        <v/>
      </c>
      <c r="H193" s="27">
        <f>IF($D193="","",VLOOKUP($D193,RoleTitles!$A:$E,3,FALSE))</f>
        <v/>
      </c>
      <c r="I193" s="27">
        <f>IF($D193="","",IF($C193="Greek",VLOOKUP($D193,RoleTitles!$A:$E,4,FALSE),IF($C193="Aesir",VLOOKUP($D193,RoleTitles!$A:$E,5,FALSE),VLOOKUP($D193,RoleTitles!$A:$E,3,FALSE))))</f>
        <v/>
      </c>
      <c r="J193" s="27">
        <f>IF($D193="","",IF($E193&gt;=VLOOKUP($D193,RoleTitles!$A:$B,2,FALSE),"Yes","No"))</f>
        <v/>
      </c>
      <c r="K193" s="27">
        <f>IF($D193="","",IF($D193="T1","T2",IF($D193="T2","T3",IF($D193="T3","T4",IF($D193="T4","T5",IF($D193="T5","T6",IF($D193="T6","T7",IF($D193="T7","T8",IF($D193="T8","T9","")))))))))</f>
        <v/>
      </c>
      <c r="L193" s="28">
        <f>IF($K193="","",MAX(0,VLOOKUP($K193,RoleTitles!$A:$B,2,FALSE)-$E193))</f>
        <v/>
      </c>
    </row>
    <row r="194">
      <c r="A194" s="24">
        <f>IFERROR(INDEX(CoachRoster!$A$2:$A$1000,ROW()-1),"")</f>
        <v/>
      </c>
      <c r="B194" s="27">
        <f>IF($A194="","",VLOOKUP($A194,CoachRoster!$A:$E,2,FALSE))</f>
        <v/>
      </c>
      <c r="C194" s="27">
        <f>IF($A194="","",VLOOKUP($A194,CoachRoster!$A:$E,3,FALSE))</f>
        <v/>
      </c>
      <c r="D194" s="27">
        <f>IF($A194="","",VLOOKUP($A194,CoachRoster!$A:$E,4,FALSE))</f>
        <v/>
      </c>
      <c r="E194" s="27">
        <f>IF($A194="","",MIN(Settings!$B$8,IFERROR(SUMIF(Weekly_Coaching!$B:$B,$A194,Weekly_Coaching!$D:$D),0)+IFERROR(SUMIF(Monthly_Edu!$B:$B,$A194,Monthly_Edu!$D:$D),0)+IFERROR(SUMIF(Monthly_Ops!$B:$B,$A194,Monthly_Ops!$D:$D),0)+IFERROR(SUMIF(Monthly_Mentor!$B:$B,$A194,Monthly_Mentor!$D:$D),0)+IFERROR(SUMIF(Quarterly_Impact!$B:$B,$A194,Quarterly_Impact!$D:$D),0)+IFERROR(SUMIFS(XPLog!$M:$M,XPLog!$B:$B,$A194,XPLog!$J:$J,"Admin"),0)+IFERROR(SUMIFS(XPLog!$M:$M,XPLog!$B:$B,$A194,XPLog!$J:$J,"Seeding"),0)))</f>
        <v/>
      </c>
      <c r="F194" s="27">
        <f>IF($E194="","",LOOKUP($E194, XPBands!B$2:B$10, XPBands!A$2:A$10))</f>
        <v/>
      </c>
      <c r="G194" s="27">
        <f>IF($E194="","", VLOOKUP($F194, XPBands!A$2:G$10, 4, FALSE) + MIN(VLOOKUP($F194, XPBands!A$2:G$10, 5, FALSE) - VLOOKUP($F194, XPBands!A$2:G$10, 4, FALSE), FLOOR(( $E194 - VLOOKUP($F194, XPBands!A$2:G$10, 2, FALSE) ) / VLOOKUP($F194, XPBands!A$2:G$10, 7, FALSE),1)))</f>
        <v/>
      </c>
      <c r="H194" s="27">
        <f>IF($D194="","",VLOOKUP($D194,RoleTitles!$A:$E,3,FALSE))</f>
        <v/>
      </c>
      <c r="I194" s="27">
        <f>IF($D194="","",IF($C194="Greek",VLOOKUP($D194,RoleTitles!$A:$E,4,FALSE),IF($C194="Aesir",VLOOKUP($D194,RoleTitles!$A:$E,5,FALSE),VLOOKUP($D194,RoleTitles!$A:$E,3,FALSE))))</f>
        <v/>
      </c>
      <c r="J194" s="27">
        <f>IF($D194="","",IF($E194&gt;=VLOOKUP($D194,RoleTitles!$A:$B,2,FALSE),"Yes","No"))</f>
        <v/>
      </c>
      <c r="K194" s="27">
        <f>IF($D194="","",IF($D194="T1","T2",IF($D194="T2","T3",IF($D194="T3","T4",IF($D194="T4","T5",IF($D194="T5","T6",IF($D194="T6","T7",IF($D194="T7","T8",IF($D194="T8","T9","")))))))))</f>
        <v/>
      </c>
      <c r="L194" s="28">
        <f>IF($K194="","",MAX(0,VLOOKUP($K194,RoleTitles!$A:$B,2,FALSE)-$E194))</f>
        <v/>
      </c>
    </row>
    <row r="195">
      <c r="A195" s="24">
        <f>IFERROR(INDEX(CoachRoster!$A$2:$A$1000,ROW()-1),"")</f>
        <v/>
      </c>
      <c r="B195" s="27">
        <f>IF($A195="","",VLOOKUP($A195,CoachRoster!$A:$E,2,FALSE))</f>
        <v/>
      </c>
      <c r="C195" s="27">
        <f>IF($A195="","",VLOOKUP($A195,CoachRoster!$A:$E,3,FALSE))</f>
        <v/>
      </c>
      <c r="D195" s="27">
        <f>IF($A195="","",VLOOKUP($A195,CoachRoster!$A:$E,4,FALSE))</f>
        <v/>
      </c>
      <c r="E195" s="27">
        <f>IF($A195="","",MIN(Settings!$B$8,IFERROR(SUMIF(Weekly_Coaching!$B:$B,$A195,Weekly_Coaching!$D:$D),0)+IFERROR(SUMIF(Monthly_Edu!$B:$B,$A195,Monthly_Edu!$D:$D),0)+IFERROR(SUMIF(Monthly_Ops!$B:$B,$A195,Monthly_Ops!$D:$D),0)+IFERROR(SUMIF(Monthly_Mentor!$B:$B,$A195,Monthly_Mentor!$D:$D),0)+IFERROR(SUMIF(Quarterly_Impact!$B:$B,$A195,Quarterly_Impact!$D:$D),0)+IFERROR(SUMIFS(XPLog!$M:$M,XPLog!$B:$B,$A195,XPLog!$J:$J,"Admin"),0)+IFERROR(SUMIFS(XPLog!$M:$M,XPLog!$B:$B,$A195,XPLog!$J:$J,"Seeding"),0)))</f>
        <v/>
      </c>
      <c r="F195" s="27">
        <f>IF($E195="","",LOOKUP($E195, XPBands!B$2:B$10, XPBands!A$2:A$10))</f>
        <v/>
      </c>
      <c r="G195" s="27">
        <f>IF($E195="","", VLOOKUP($F195, XPBands!A$2:G$10, 4, FALSE) + MIN(VLOOKUP($F195, XPBands!A$2:G$10, 5, FALSE) - VLOOKUP($F195, XPBands!A$2:G$10, 4, FALSE), FLOOR(( $E195 - VLOOKUP($F195, XPBands!A$2:G$10, 2, FALSE) ) / VLOOKUP($F195, XPBands!A$2:G$10, 7, FALSE),1)))</f>
        <v/>
      </c>
      <c r="H195" s="27">
        <f>IF($D195="","",VLOOKUP($D195,RoleTitles!$A:$E,3,FALSE))</f>
        <v/>
      </c>
      <c r="I195" s="27">
        <f>IF($D195="","",IF($C195="Greek",VLOOKUP($D195,RoleTitles!$A:$E,4,FALSE),IF($C195="Aesir",VLOOKUP($D195,RoleTitles!$A:$E,5,FALSE),VLOOKUP($D195,RoleTitles!$A:$E,3,FALSE))))</f>
        <v/>
      </c>
      <c r="J195" s="27">
        <f>IF($D195="","",IF($E195&gt;=VLOOKUP($D195,RoleTitles!$A:$B,2,FALSE),"Yes","No"))</f>
        <v/>
      </c>
      <c r="K195" s="27">
        <f>IF($D195="","",IF($D195="T1","T2",IF($D195="T2","T3",IF($D195="T3","T4",IF($D195="T4","T5",IF($D195="T5","T6",IF($D195="T6","T7",IF($D195="T7","T8",IF($D195="T8","T9","")))))))))</f>
        <v/>
      </c>
      <c r="L195" s="28">
        <f>IF($K195="","",MAX(0,VLOOKUP($K195,RoleTitles!$A:$B,2,FALSE)-$E195))</f>
        <v/>
      </c>
    </row>
    <row r="196">
      <c r="A196" s="24">
        <f>IFERROR(INDEX(CoachRoster!$A$2:$A$1000,ROW()-1),"")</f>
        <v/>
      </c>
      <c r="B196" s="27">
        <f>IF($A196="","",VLOOKUP($A196,CoachRoster!$A:$E,2,FALSE))</f>
        <v/>
      </c>
      <c r="C196" s="27">
        <f>IF($A196="","",VLOOKUP($A196,CoachRoster!$A:$E,3,FALSE))</f>
        <v/>
      </c>
      <c r="D196" s="27">
        <f>IF($A196="","",VLOOKUP($A196,CoachRoster!$A:$E,4,FALSE))</f>
        <v/>
      </c>
      <c r="E196" s="27">
        <f>IF($A196="","",MIN(Settings!$B$8,IFERROR(SUMIF(Weekly_Coaching!$B:$B,$A196,Weekly_Coaching!$D:$D),0)+IFERROR(SUMIF(Monthly_Edu!$B:$B,$A196,Monthly_Edu!$D:$D),0)+IFERROR(SUMIF(Monthly_Ops!$B:$B,$A196,Monthly_Ops!$D:$D),0)+IFERROR(SUMIF(Monthly_Mentor!$B:$B,$A196,Monthly_Mentor!$D:$D),0)+IFERROR(SUMIF(Quarterly_Impact!$B:$B,$A196,Quarterly_Impact!$D:$D),0)+IFERROR(SUMIFS(XPLog!$M:$M,XPLog!$B:$B,$A196,XPLog!$J:$J,"Admin"),0)+IFERROR(SUMIFS(XPLog!$M:$M,XPLog!$B:$B,$A196,XPLog!$J:$J,"Seeding"),0)))</f>
        <v/>
      </c>
      <c r="F196" s="27">
        <f>IF($E196="","",LOOKUP($E196, XPBands!B$2:B$10, XPBands!A$2:A$10))</f>
        <v/>
      </c>
      <c r="G196" s="27">
        <f>IF($E196="","", VLOOKUP($F196, XPBands!A$2:G$10, 4, FALSE) + MIN(VLOOKUP($F196, XPBands!A$2:G$10, 5, FALSE) - VLOOKUP($F196, XPBands!A$2:G$10, 4, FALSE), FLOOR(( $E196 - VLOOKUP($F196, XPBands!A$2:G$10, 2, FALSE) ) / VLOOKUP($F196, XPBands!A$2:G$10, 7, FALSE),1)))</f>
        <v/>
      </c>
      <c r="H196" s="27">
        <f>IF($D196="","",VLOOKUP($D196,RoleTitles!$A:$E,3,FALSE))</f>
        <v/>
      </c>
      <c r="I196" s="27">
        <f>IF($D196="","",IF($C196="Greek",VLOOKUP($D196,RoleTitles!$A:$E,4,FALSE),IF($C196="Aesir",VLOOKUP($D196,RoleTitles!$A:$E,5,FALSE),VLOOKUP($D196,RoleTitles!$A:$E,3,FALSE))))</f>
        <v/>
      </c>
      <c r="J196" s="27">
        <f>IF($D196="","",IF($E196&gt;=VLOOKUP($D196,RoleTitles!$A:$B,2,FALSE),"Yes","No"))</f>
        <v/>
      </c>
      <c r="K196" s="27">
        <f>IF($D196="","",IF($D196="T1","T2",IF($D196="T2","T3",IF($D196="T3","T4",IF($D196="T4","T5",IF($D196="T5","T6",IF($D196="T6","T7",IF($D196="T7","T8",IF($D196="T8","T9","")))))))))</f>
        <v/>
      </c>
      <c r="L196" s="28">
        <f>IF($K196="","",MAX(0,VLOOKUP($K196,RoleTitles!$A:$B,2,FALSE)-$E196))</f>
        <v/>
      </c>
    </row>
    <row r="197">
      <c r="A197" s="24">
        <f>IFERROR(INDEX(CoachRoster!$A$2:$A$1000,ROW()-1),"")</f>
        <v/>
      </c>
      <c r="B197" s="27">
        <f>IF($A197="","",VLOOKUP($A197,CoachRoster!$A:$E,2,FALSE))</f>
        <v/>
      </c>
      <c r="C197" s="27">
        <f>IF($A197="","",VLOOKUP($A197,CoachRoster!$A:$E,3,FALSE))</f>
        <v/>
      </c>
      <c r="D197" s="27">
        <f>IF($A197="","",VLOOKUP($A197,CoachRoster!$A:$E,4,FALSE))</f>
        <v/>
      </c>
      <c r="E197" s="27">
        <f>IF($A197="","",MIN(Settings!$B$8,IFERROR(SUMIF(Weekly_Coaching!$B:$B,$A197,Weekly_Coaching!$D:$D),0)+IFERROR(SUMIF(Monthly_Edu!$B:$B,$A197,Monthly_Edu!$D:$D),0)+IFERROR(SUMIF(Monthly_Ops!$B:$B,$A197,Monthly_Ops!$D:$D),0)+IFERROR(SUMIF(Monthly_Mentor!$B:$B,$A197,Monthly_Mentor!$D:$D),0)+IFERROR(SUMIF(Quarterly_Impact!$B:$B,$A197,Quarterly_Impact!$D:$D),0)+IFERROR(SUMIFS(XPLog!$M:$M,XPLog!$B:$B,$A197,XPLog!$J:$J,"Admin"),0)+IFERROR(SUMIFS(XPLog!$M:$M,XPLog!$B:$B,$A197,XPLog!$J:$J,"Seeding"),0)))</f>
        <v/>
      </c>
      <c r="F197" s="27">
        <f>IF($E197="","",LOOKUP($E197, XPBands!B$2:B$10, XPBands!A$2:A$10))</f>
        <v/>
      </c>
      <c r="G197" s="27">
        <f>IF($E197="","", VLOOKUP($F197, XPBands!A$2:G$10, 4, FALSE) + MIN(VLOOKUP($F197, XPBands!A$2:G$10, 5, FALSE) - VLOOKUP($F197, XPBands!A$2:G$10, 4, FALSE), FLOOR(( $E197 - VLOOKUP($F197, XPBands!A$2:G$10, 2, FALSE) ) / VLOOKUP($F197, XPBands!A$2:G$10, 7, FALSE),1)))</f>
        <v/>
      </c>
      <c r="H197" s="27">
        <f>IF($D197="","",VLOOKUP($D197,RoleTitles!$A:$E,3,FALSE))</f>
        <v/>
      </c>
      <c r="I197" s="27">
        <f>IF($D197="","",IF($C197="Greek",VLOOKUP($D197,RoleTitles!$A:$E,4,FALSE),IF($C197="Aesir",VLOOKUP($D197,RoleTitles!$A:$E,5,FALSE),VLOOKUP($D197,RoleTitles!$A:$E,3,FALSE))))</f>
        <v/>
      </c>
      <c r="J197" s="27">
        <f>IF($D197="","",IF($E197&gt;=VLOOKUP($D197,RoleTitles!$A:$B,2,FALSE),"Yes","No"))</f>
        <v/>
      </c>
      <c r="K197" s="27">
        <f>IF($D197="","",IF($D197="T1","T2",IF($D197="T2","T3",IF($D197="T3","T4",IF($D197="T4","T5",IF($D197="T5","T6",IF($D197="T6","T7",IF($D197="T7","T8",IF($D197="T8","T9","")))))))))</f>
        <v/>
      </c>
      <c r="L197" s="28">
        <f>IF($K197="","",MAX(0,VLOOKUP($K197,RoleTitles!$A:$B,2,FALSE)-$E197))</f>
        <v/>
      </c>
    </row>
    <row r="198">
      <c r="A198" s="24">
        <f>IFERROR(INDEX(CoachRoster!$A$2:$A$1000,ROW()-1),"")</f>
        <v/>
      </c>
      <c r="B198" s="27">
        <f>IF($A198="","",VLOOKUP($A198,CoachRoster!$A:$E,2,FALSE))</f>
        <v/>
      </c>
      <c r="C198" s="27">
        <f>IF($A198="","",VLOOKUP($A198,CoachRoster!$A:$E,3,FALSE))</f>
        <v/>
      </c>
      <c r="D198" s="27">
        <f>IF($A198="","",VLOOKUP($A198,CoachRoster!$A:$E,4,FALSE))</f>
        <v/>
      </c>
      <c r="E198" s="27">
        <f>IF($A198="","",MIN(Settings!$B$8,IFERROR(SUMIF(Weekly_Coaching!$B:$B,$A198,Weekly_Coaching!$D:$D),0)+IFERROR(SUMIF(Monthly_Edu!$B:$B,$A198,Monthly_Edu!$D:$D),0)+IFERROR(SUMIF(Monthly_Ops!$B:$B,$A198,Monthly_Ops!$D:$D),0)+IFERROR(SUMIF(Monthly_Mentor!$B:$B,$A198,Monthly_Mentor!$D:$D),0)+IFERROR(SUMIF(Quarterly_Impact!$B:$B,$A198,Quarterly_Impact!$D:$D),0)+IFERROR(SUMIFS(XPLog!$M:$M,XPLog!$B:$B,$A198,XPLog!$J:$J,"Admin"),0)+IFERROR(SUMIFS(XPLog!$M:$M,XPLog!$B:$B,$A198,XPLog!$J:$J,"Seeding"),0)))</f>
        <v/>
      </c>
      <c r="F198" s="27">
        <f>IF($E198="","",LOOKUP($E198, XPBands!B$2:B$10, XPBands!A$2:A$10))</f>
        <v/>
      </c>
      <c r="G198" s="27">
        <f>IF($E198="","", VLOOKUP($F198, XPBands!A$2:G$10, 4, FALSE) + MIN(VLOOKUP($F198, XPBands!A$2:G$10, 5, FALSE) - VLOOKUP($F198, XPBands!A$2:G$10, 4, FALSE), FLOOR(( $E198 - VLOOKUP($F198, XPBands!A$2:G$10, 2, FALSE) ) / VLOOKUP($F198, XPBands!A$2:G$10, 7, FALSE),1)))</f>
        <v/>
      </c>
      <c r="H198" s="27">
        <f>IF($D198="","",VLOOKUP($D198,RoleTitles!$A:$E,3,FALSE))</f>
        <v/>
      </c>
      <c r="I198" s="27">
        <f>IF($D198="","",IF($C198="Greek",VLOOKUP($D198,RoleTitles!$A:$E,4,FALSE),IF($C198="Aesir",VLOOKUP($D198,RoleTitles!$A:$E,5,FALSE),VLOOKUP($D198,RoleTitles!$A:$E,3,FALSE))))</f>
        <v/>
      </c>
      <c r="J198" s="27">
        <f>IF($D198="","",IF($E198&gt;=VLOOKUP($D198,RoleTitles!$A:$B,2,FALSE),"Yes","No"))</f>
        <v/>
      </c>
      <c r="K198" s="27">
        <f>IF($D198="","",IF($D198="T1","T2",IF($D198="T2","T3",IF($D198="T3","T4",IF($D198="T4","T5",IF($D198="T5","T6",IF($D198="T6","T7",IF($D198="T7","T8",IF($D198="T8","T9","")))))))))</f>
        <v/>
      </c>
      <c r="L198" s="28">
        <f>IF($K198="","",MAX(0,VLOOKUP($K198,RoleTitles!$A:$B,2,FALSE)-$E198))</f>
        <v/>
      </c>
    </row>
    <row r="199">
      <c r="A199" s="24">
        <f>IFERROR(INDEX(CoachRoster!$A$2:$A$1000,ROW()-1),"")</f>
        <v/>
      </c>
      <c r="B199" s="27">
        <f>IF($A199="","",VLOOKUP($A199,CoachRoster!$A:$E,2,FALSE))</f>
        <v/>
      </c>
      <c r="C199" s="27">
        <f>IF($A199="","",VLOOKUP($A199,CoachRoster!$A:$E,3,FALSE))</f>
        <v/>
      </c>
      <c r="D199" s="27">
        <f>IF($A199="","",VLOOKUP($A199,CoachRoster!$A:$E,4,FALSE))</f>
        <v/>
      </c>
      <c r="E199" s="27">
        <f>IF($A199="","",MIN(Settings!$B$8,IFERROR(SUMIF(Weekly_Coaching!$B:$B,$A199,Weekly_Coaching!$D:$D),0)+IFERROR(SUMIF(Monthly_Edu!$B:$B,$A199,Monthly_Edu!$D:$D),0)+IFERROR(SUMIF(Monthly_Ops!$B:$B,$A199,Monthly_Ops!$D:$D),0)+IFERROR(SUMIF(Monthly_Mentor!$B:$B,$A199,Monthly_Mentor!$D:$D),0)+IFERROR(SUMIF(Quarterly_Impact!$B:$B,$A199,Quarterly_Impact!$D:$D),0)+IFERROR(SUMIFS(XPLog!$M:$M,XPLog!$B:$B,$A199,XPLog!$J:$J,"Admin"),0)+IFERROR(SUMIFS(XPLog!$M:$M,XPLog!$B:$B,$A199,XPLog!$J:$J,"Seeding"),0)))</f>
        <v/>
      </c>
      <c r="F199" s="27">
        <f>IF($E199="","",LOOKUP($E199, XPBands!B$2:B$10, XPBands!A$2:A$10))</f>
        <v/>
      </c>
      <c r="G199" s="27">
        <f>IF($E199="","", VLOOKUP($F199, XPBands!A$2:G$10, 4, FALSE) + MIN(VLOOKUP($F199, XPBands!A$2:G$10, 5, FALSE) - VLOOKUP($F199, XPBands!A$2:G$10, 4, FALSE), FLOOR(( $E199 - VLOOKUP($F199, XPBands!A$2:G$10, 2, FALSE) ) / VLOOKUP($F199, XPBands!A$2:G$10, 7, FALSE),1)))</f>
        <v/>
      </c>
      <c r="H199" s="27">
        <f>IF($D199="","",VLOOKUP($D199,RoleTitles!$A:$E,3,FALSE))</f>
        <v/>
      </c>
      <c r="I199" s="27">
        <f>IF($D199="","",IF($C199="Greek",VLOOKUP($D199,RoleTitles!$A:$E,4,FALSE),IF($C199="Aesir",VLOOKUP($D199,RoleTitles!$A:$E,5,FALSE),VLOOKUP($D199,RoleTitles!$A:$E,3,FALSE))))</f>
        <v/>
      </c>
      <c r="J199" s="27">
        <f>IF($D199="","",IF($E199&gt;=VLOOKUP($D199,RoleTitles!$A:$B,2,FALSE),"Yes","No"))</f>
        <v/>
      </c>
      <c r="K199" s="27">
        <f>IF($D199="","",IF($D199="T1","T2",IF($D199="T2","T3",IF($D199="T3","T4",IF($D199="T4","T5",IF($D199="T5","T6",IF($D199="T6","T7",IF($D199="T7","T8",IF($D199="T8","T9","")))))))))</f>
        <v/>
      </c>
      <c r="L199" s="28">
        <f>IF($K199="","",MAX(0,VLOOKUP($K199,RoleTitles!$A:$B,2,FALSE)-$E199))</f>
        <v/>
      </c>
    </row>
    <row r="200">
      <c r="A200" s="24">
        <f>IFERROR(INDEX(CoachRoster!$A$2:$A$1000,ROW()-1),"")</f>
        <v/>
      </c>
      <c r="B200" s="27">
        <f>IF($A200="","",VLOOKUP($A200,CoachRoster!$A:$E,2,FALSE))</f>
        <v/>
      </c>
      <c r="C200" s="27">
        <f>IF($A200="","",VLOOKUP($A200,CoachRoster!$A:$E,3,FALSE))</f>
        <v/>
      </c>
      <c r="D200" s="27">
        <f>IF($A200="","",VLOOKUP($A200,CoachRoster!$A:$E,4,FALSE))</f>
        <v/>
      </c>
      <c r="E200" s="27">
        <f>IF($A200="","",MIN(Settings!$B$8,IFERROR(SUMIF(Weekly_Coaching!$B:$B,$A200,Weekly_Coaching!$D:$D),0)+IFERROR(SUMIF(Monthly_Edu!$B:$B,$A200,Monthly_Edu!$D:$D),0)+IFERROR(SUMIF(Monthly_Ops!$B:$B,$A200,Monthly_Ops!$D:$D),0)+IFERROR(SUMIF(Monthly_Mentor!$B:$B,$A200,Monthly_Mentor!$D:$D),0)+IFERROR(SUMIF(Quarterly_Impact!$B:$B,$A200,Quarterly_Impact!$D:$D),0)+IFERROR(SUMIFS(XPLog!$M:$M,XPLog!$B:$B,$A200,XPLog!$J:$J,"Admin"),0)+IFERROR(SUMIFS(XPLog!$M:$M,XPLog!$B:$B,$A200,XPLog!$J:$J,"Seeding"),0)))</f>
        <v/>
      </c>
      <c r="F200" s="27">
        <f>IF($E200="","",LOOKUP($E200, XPBands!B$2:B$10, XPBands!A$2:A$10))</f>
        <v/>
      </c>
      <c r="G200" s="27">
        <f>IF($E200="","", VLOOKUP($F200, XPBands!A$2:G$10, 4, FALSE) + MIN(VLOOKUP($F200, XPBands!A$2:G$10, 5, FALSE) - VLOOKUP($F200, XPBands!A$2:G$10, 4, FALSE), FLOOR(( $E200 - VLOOKUP($F200, XPBands!A$2:G$10, 2, FALSE) ) / VLOOKUP($F200, XPBands!A$2:G$10, 7, FALSE),1)))</f>
        <v/>
      </c>
      <c r="H200" s="27">
        <f>IF($D200="","",VLOOKUP($D200,RoleTitles!$A:$E,3,FALSE))</f>
        <v/>
      </c>
      <c r="I200" s="27">
        <f>IF($D200="","",IF($C200="Greek",VLOOKUP($D200,RoleTitles!$A:$E,4,FALSE),IF($C200="Aesir",VLOOKUP($D200,RoleTitles!$A:$E,5,FALSE),VLOOKUP($D200,RoleTitles!$A:$E,3,FALSE))))</f>
        <v/>
      </c>
      <c r="J200" s="27">
        <f>IF($D200="","",IF($E200&gt;=VLOOKUP($D200,RoleTitles!$A:$B,2,FALSE),"Yes","No"))</f>
        <v/>
      </c>
      <c r="K200" s="27">
        <f>IF($D200="","",IF($D200="T1","T2",IF($D200="T2","T3",IF($D200="T3","T4",IF($D200="T4","T5",IF($D200="T5","T6",IF($D200="T6","T7",IF($D200="T7","T8",IF($D200="T8","T9","")))))))))</f>
        <v/>
      </c>
      <c r="L200" s="28">
        <f>IF($K200="","",MAX(0,VLOOKUP($K200,RoleTitles!$A:$B,2,FALSE)-$E200))</f>
        <v/>
      </c>
    </row>
    <row r="201">
      <c r="A201" s="24">
        <f>IFERROR(INDEX(CoachRoster!$A$2:$A$1000,ROW()-1),"")</f>
        <v/>
      </c>
      <c r="B201" s="27">
        <f>IF($A201="","",VLOOKUP($A201,CoachRoster!$A:$E,2,FALSE))</f>
        <v/>
      </c>
      <c r="C201" s="27">
        <f>IF($A201="","",VLOOKUP($A201,CoachRoster!$A:$E,3,FALSE))</f>
        <v/>
      </c>
      <c r="D201" s="27">
        <f>IF($A201="","",VLOOKUP($A201,CoachRoster!$A:$E,4,FALSE))</f>
        <v/>
      </c>
      <c r="E201" s="27">
        <f>IF($A201="","",MIN(Settings!$B$8,IFERROR(SUMIF(Weekly_Coaching!$B:$B,$A201,Weekly_Coaching!$D:$D),0)+IFERROR(SUMIF(Monthly_Edu!$B:$B,$A201,Monthly_Edu!$D:$D),0)+IFERROR(SUMIF(Monthly_Ops!$B:$B,$A201,Monthly_Ops!$D:$D),0)+IFERROR(SUMIF(Monthly_Mentor!$B:$B,$A201,Monthly_Mentor!$D:$D),0)+IFERROR(SUMIF(Quarterly_Impact!$B:$B,$A201,Quarterly_Impact!$D:$D),0)+IFERROR(SUMIFS(XPLog!$M:$M,XPLog!$B:$B,$A201,XPLog!$J:$J,"Admin"),0)+IFERROR(SUMIFS(XPLog!$M:$M,XPLog!$B:$B,$A201,XPLog!$J:$J,"Seeding"),0)))</f>
        <v/>
      </c>
      <c r="F201" s="27">
        <f>IF($E201="","",LOOKUP($E201, XPBands!B$2:B$10, XPBands!A$2:A$10))</f>
        <v/>
      </c>
      <c r="G201" s="27">
        <f>IF($E201="","", VLOOKUP($F201, XPBands!A$2:G$10, 4, FALSE) + MIN(VLOOKUP($F201, XPBands!A$2:G$10, 5, FALSE) - VLOOKUP($F201, XPBands!A$2:G$10, 4, FALSE), FLOOR(( $E201 - VLOOKUP($F201, XPBands!A$2:G$10, 2, FALSE) ) / VLOOKUP($F201, XPBands!A$2:G$10, 7, FALSE),1)))</f>
        <v/>
      </c>
      <c r="H201" s="27">
        <f>IF($D201="","",VLOOKUP($D201,RoleTitles!$A:$E,3,FALSE))</f>
        <v/>
      </c>
      <c r="I201" s="27">
        <f>IF($D201="","",IF($C201="Greek",VLOOKUP($D201,RoleTitles!$A:$E,4,FALSE),IF($C201="Aesir",VLOOKUP($D201,RoleTitles!$A:$E,5,FALSE),VLOOKUP($D201,RoleTitles!$A:$E,3,FALSE))))</f>
        <v/>
      </c>
      <c r="J201" s="27">
        <f>IF($D201="","",IF($E201&gt;=VLOOKUP($D201,RoleTitles!$A:$B,2,FALSE),"Yes","No"))</f>
        <v/>
      </c>
      <c r="K201" s="27">
        <f>IF($D201="","",IF($D201="T1","T2",IF($D201="T2","T3",IF($D201="T3","T4",IF($D201="T4","T5",IF($D201="T5","T6",IF($D201="T6","T7",IF($D201="T7","T8",IF($D201="T8","T9","")))))))))</f>
        <v/>
      </c>
      <c r="L201" s="28">
        <f>IF($K201="","",MAX(0,VLOOKUP($K201,RoleTitles!$A:$B,2,FALSE)-$E201))</f>
        <v/>
      </c>
    </row>
    <row r="202">
      <c r="A202" s="24">
        <f>IFERROR(INDEX(CoachRoster!$A$2:$A$1000,ROW()-1),"")</f>
        <v/>
      </c>
      <c r="B202" s="27">
        <f>IF($A202="","",VLOOKUP($A202,CoachRoster!$A:$E,2,FALSE))</f>
        <v/>
      </c>
      <c r="C202" s="27">
        <f>IF($A202="","",VLOOKUP($A202,CoachRoster!$A:$E,3,FALSE))</f>
        <v/>
      </c>
      <c r="D202" s="27">
        <f>IF($A202="","",VLOOKUP($A202,CoachRoster!$A:$E,4,FALSE))</f>
        <v/>
      </c>
      <c r="E202" s="27">
        <f>IF($A202="","",MIN(Settings!$B$8,IFERROR(SUMIF(Weekly_Coaching!$B:$B,$A202,Weekly_Coaching!$D:$D),0)+IFERROR(SUMIF(Monthly_Edu!$B:$B,$A202,Monthly_Edu!$D:$D),0)+IFERROR(SUMIF(Monthly_Ops!$B:$B,$A202,Monthly_Ops!$D:$D),0)+IFERROR(SUMIF(Monthly_Mentor!$B:$B,$A202,Monthly_Mentor!$D:$D),0)+IFERROR(SUMIF(Quarterly_Impact!$B:$B,$A202,Quarterly_Impact!$D:$D),0)+IFERROR(SUMIFS(XPLog!$M:$M,XPLog!$B:$B,$A202,XPLog!$J:$J,"Admin"),0)+IFERROR(SUMIFS(XPLog!$M:$M,XPLog!$B:$B,$A202,XPLog!$J:$J,"Seeding"),0)))</f>
        <v/>
      </c>
      <c r="F202" s="27">
        <f>IF($E202="","",LOOKUP($E202, XPBands!B$2:B$10, XPBands!A$2:A$10))</f>
        <v/>
      </c>
      <c r="G202" s="27">
        <f>IF($E202="","", VLOOKUP($F202, XPBands!A$2:G$10, 4, FALSE) + MIN(VLOOKUP($F202, XPBands!A$2:G$10, 5, FALSE) - VLOOKUP($F202, XPBands!A$2:G$10, 4, FALSE), FLOOR(( $E202 - VLOOKUP($F202, XPBands!A$2:G$10, 2, FALSE) ) / VLOOKUP($F202, XPBands!A$2:G$10, 7, FALSE),1)))</f>
        <v/>
      </c>
      <c r="H202" s="27">
        <f>IF($D202="","",VLOOKUP($D202,RoleTitles!$A:$E,3,FALSE))</f>
        <v/>
      </c>
      <c r="I202" s="27">
        <f>IF($D202="","",IF($C202="Greek",VLOOKUP($D202,RoleTitles!$A:$E,4,FALSE),IF($C202="Aesir",VLOOKUP($D202,RoleTitles!$A:$E,5,FALSE),VLOOKUP($D202,RoleTitles!$A:$E,3,FALSE))))</f>
        <v/>
      </c>
      <c r="J202" s="27">
        <f>IF($D202="","",IF($E202&gt;=VLOOKUP($D202,RoleTitles!$A:$B,2,FALSE),"Yes","No"))</f>
        <v/>
      </c>
      <c r="K202" s="27">
        <f>IF($D202="","",IF($D202="T1","T2",IF($D202="T2","T3",IF($D202="T3","T4",IF($D202="T4","T5",IF($D202="T5","T6",IF($D202="T6","T7",IF($D202="T7","T8",IF($D202="T8","T9","")))))))))</f>
        <v/>
      </c>
      <c r="L202" s="28">
        <f>IF($K202="","",MAX(0,VLOOKUP($K202,RoleTitles!$A:$B,2,FALSE)-$E202))</f>
        <v/>
      </c>
    </row>
    <row r="203">
      <c r="A203" s="24">
        <f>IFERROR(INDEX(CoachRoster!$A$2:$A$1000,ROW()-1),"")</f>
        <v/>
      </c>
      <c r="B203" s="27">
        <f>IF($A203="","",VLOOKUP($A203,CoachRoster!$A:$E,2,FALSE))</f>
        <v/>
      </c>
      <c r="C203" s="27">
        <f>IF($A203="","",VLOOKUP($A203,CoachRoster!$A:$E,3,FALSE))</f>
        <v/>
      </c>
      <c r="D203" s="27">
        <f>IF($A203="","",VLOOKUP($A203,CoachRoster!$A:$E,4,FALSE))</f>
        <v/>
      </c>
      <c r="E203" s="27">
        <f>IF($A203="","",MIN(Settings!$B$8,IFERROR(SUMIF(Weekly_Coaching!$B:$B,$A203,Weekly_Coaching!$D:$D),0)+IFERROR(SUMIF(Monthly_Edu!$B:$B,$A203,Monthly_Edu!$D:$D),0)+IFERROR(SUMIF(Monthly_Ops!$B:$B,$A203,Monthly_Ops!$D:$D),0)+IFERROR(SUMIF(Monthly_Mentor!$B:$B,$A203,Monthly_Mentor!$D:$D),0)+IFERROR(SUMIF(Quarterly_Impact!$B:$B,$A203,Quarterly_Impact!$D:$D),0)+IFERROR(SUMIFS(XPLog!$M:$M,XPLog!$B:$B,$A203,XPLog!$J:$J,"Admin"),0)+IFERROR(SUMIFS(XPLog!$M:$M,XPLog!$B:$B,$A203,XPLog!$J:$J,"Seeding"),0)))</f>
        <v/>
      </c>
      <c r="F203" s="27">
        <f>IF($E203="","",LOOKUP($E203, XPBands!B$2:B$10, XPBands!A$2:A$10))</f>
        <v/>
      </c>
      <c r="G203" s="27">
        <f>IF($E203="","", VLOOKUP($F203, XPBands!A$2:G$10, 4, FALSE) + MIN(VLOOKUP($F203, XPBands!A$2:G$10, 5, FALSE) - VLOOKUP($F203, XPBands!A$2:G$10, 4, FALSE), FLOOR(( $E203 - VLOOKUP($F203, XPBands!A$2:G$10, 2, FALSE) ) / VLOOKUP($F203, XPBands!A$2:G$10, 7, FALSE),1)))</f>
        <v/>
      </c>
      <c r="H203" s="27">
        <f>IF($D203="","",VLOOKUP($D203,RoleTitles!$A:$E,3,FALSE))</f>
        <v/>
      </c>
      <c r="I203" s="27">
        <f>IF($D203="","",IF($C203="Greek",VLOOKUP($D203,RoleTitles!$A:$E,4,FALSE),IF($C203="Aesir",VLOOKUP($D203,RoleTitles!$A:$E,5,FALSE),VLOOKUP($D203,RoleTitles!$A:$E,3,FALSE))))</f>
        <v/>
      </c>
      <c r="J203" s="27">
        <f>IF($D203="","",IF($E203&gt;=VLOOKUP($D203,RoleTitles!$A:$B,2,FALSE),"Yes","No"))</f>
        <v/>
      </c>
      <c r="K203" s="27">
        <f>IF($D203="","",IF($D203="T1","T2",IF($D203="T2","T3",IF($D203="T3","T4",IF($D203="T4","T5",IF($D203="T5","T6",IF($D203="T6","T7",IF($D203="T7","T8",IF($D203="T8","T9","")))))))))</f>
        <v/>
      </c>
      <c r="L203" s="28">
        <f>IF($K203="","",MAX(0,VLOOKUP($K203,RoleTitles!$A:$B,2,FALSE)-$E203))</f>
        <v/>
      </c>
    </row>
    <row r="204">
      <c r="A204" s="24">
        <f>IFERROR(INDEX(CoachRoster!$A$2:$A$1000,ROW()-1),"")</f>
        <v/>
      </c>
      <c r="B204" s="27">
        <f>IF($A204="","",VLOOKUP($A204,CoachRoster!$A:$E,2,FALSE))</f>
        <v/>
      </c>
      <c r="C204" s="27">
        <f>IF($A204="","",VLOOKUP($A204,CoachRoster!$A:$E,3,FALSE))</f>
        <v/>
      </c>
      <c r="D204" s="27">
        <f>IF($A204="","",VLOOKUP($A204,CoachRoster!$A:$E,4,FALSE))</f>
        <v/>
      </c>
      <c r="E204" s="27">
        <f>IF($A204="","",MIN(Settings!$B$8,IFERROR(SUMIF(Weekly_Coaching!$B:$B,$A204,Weekly_Coaching!$D:$D),0)+IFERROR(SUMIF(Monthly_Edu!$B:$B,$A204,Monthly_Edu!$D:$D),0)+IFERROR(SUMIF(Monthly_Ops!$B:$B,$A204,Monthly_Ops!$D:$D),0)+IFERROR(SUMIF(Monthly_Mentor!$B:$B,$A204,Monthly_Mentor!$D:$D),0)+IFERROR(SUMIF(Quarterly_Impact!$B:$B,$A204,Quarterly_Impact!$D:$D),0)+IFERROR(SUMIFS(XPLog!$M:$M,XPLog!$B:$B,$A204,XPLog!$J:$J,"Admin"),0)+IFERROR(SUMIFS(XPLog!$M:$M,XPLog!$B:$B,$A204,XPLog!$J:$J,"Seeding"),0)))</f>
        <v/>
      </c>
      <c r="F204" s="27">
        <f>IF($E204="","",LOOKUP($E204, XPBands!B$2:B$10, XPBands!A$2:A$10))</f>
        <v/>
      </c>
      <c r="G204" s="27">
        <f>IF($E204="","", VLOOKUP($F204, XPBands!A$2:G$10, 4, FALSE) + MIN(VLOOKUP($F204, XPBands!A$2:G$10, 5, FALSE) - VLOOKUP($F204, XPBands!A$2:G$10, 4, FALSE), FLOOR(( $E204 - VLOOKUP($F204, XPBands!A$2:G$10, 2, FALSE) ) / VLOOKUP($F204, XPBands!A$2:G$10, 7, FALSE),1)))</f>
        <v/>
      </c>
      <c r="H204" s="27">
        <f>IF($D204="","",VLOOKUP($D204,RoleTitles!$A:$E,3,FALSE))</f>
        <v/>
      </c>
      <c r="I204" s="27">
        <f>IF($D204="","",IF($C204="Greek",VLOOKUP($D204,RoleTitles!$A:$E,4,FALSE),IF($C204="Aesir",VLOOKUP($D204,RoleTitles!$A:$E,5,FALSE),VLOOKUP($D204,RoleTitles!$A:$E,3,FALSE))))</f>
        <v/>
      </c>
      <c r="J204" s="27">
        <f>IF($D204="","",IF($E204&gt;=VLOOKUP($D204,RoleTitles!$A:$B,2,FALSE),"Yes","No"))</f>
        <v/>
      </c>
      <c r="K204" s="27">
        <f>IF($D204="","",IF($D204="T1","T2",IF($D204="T2","T3",IF($D204="T3","T4",IF($D204="T4","T5",IF($D204="T5","T6",IF($D204="T6","T7",IF($D204="T7","T8",IF($D204="T8","T9","")))))))))</f>
        <v/>
      </c>
      <c r="L204" s="28">
        <f>IF($K204="","",MAX(0,VLOOKUP($K204,RoleTitles!$A:$B,2,FALSE)-$E204))</f>
        <v/>
      </c>
    </row>
    <row r="205">
      <c r="A205" s="24">
        <f>IFERROR(INDEX(CoachRoster!$A$2:$A$1000,ROW()-1),"")</f>
        <v/>
      </c>
      <c r="B205" s="27">
        <f>IF($A205="","",VLOOKUP($A205,CoachRoster!$A:$E,2,FALSE))</f>
        <v/>
      </c>
      <c r="C205" s="27">
        <f>IF($A205="","",VLOOKUP($A205,CoachRoster!$A:$E,3,FALSE))</f>
        <v/>
      </c>
      <c r="D205" s="27">
        <f>IF($A205="","",VLOOKUP($A205,CoachRoster!$A:$E,4,FALSE))</f>
        <v/>
      </c>
      <c r="E205" s="27">
        <f>IF($A205="","",MIN(Settings!$B$8,IFERROR(SUMIF(Weekly_Coaching!$B:$B,$A205,Weekly_Coaching!$D:$D),0)+IFERROR(SUMIF(Monthly_Edu!$B:$B,$A205,Monthly_Edu!$D:$D),0)+IFERROR(SUMIF(Monthly_Ops!$B:$B,$A205,Monthly_Ops!$D:$D),0)+IFERROR(SUMIF(Monthly_Mentor!$B:$B,$A205,Monthly_Mentor!$D:$D),0)+IFERROR(SUMIF(Quarterly_Impact!$B:$B,$A205,Quarterly_Impact!$D:$D),0)+IFERROR(SUMIFS(XPLog!$M:$M,XPLog!$B:$B,$A205,XPLog!$J:$J,"Admin"),0)+IFERROR(SUMIFS(XPLog!$M:$M,XPLog!$B:$B,$A205,XPLog!$J:$J,"Seeding"),0)))</f>
        <v/>
      </c>
      <c r="F205" s="27">
        <f>IF($E205="","",LOOKUP($E205, XPBands!B$2:B$10, XPBands!A$2:A$10))</f>
        <v/>
      </c>
      <c r="G205" s="27">
        <f>IF($E205="","", VLOOKUP($F205, XPBands!A$2:G$10, 4, FALSE) + MIN(VLOOKUP($F205, XPBands!A$2:G$10, 5, FALSE) - VLOOKUP($F205, XPBands!A$2:G$10, 4, FALSE), FLOOR(( $E205 - VLOOKUP($F205, XPBands!A$2:G$10, 2, FALSE) ) / VLOOKUP($F205, XPBands!A$2:G$10, 7, FALSE),1)))</f>
        <v/>
      </c>
      <c r="H205" s="27">
        <f>IF($D205="","",VLOOKUP($D205,RoleTitles!$A:$E,3,FALSE))</f>
        <v/>
      </c>
      <c r="I205" s="27">
        <f>IF($D205="","",IF($C205="Greek",VLOOKUP($D205,RoleTitles!$A:$E,4,FALSE),IF($C205="Aesir",VLOOKUP($D205,RoleTitles!$A:$E,5,FALSE),VLOOKUP($D205,RoleTitles!$A:$E,3,FALSE))))</f>
        <v/>
      </c>
      <c r="J205" s="27">
        <f>IF($D205="","",IF($E205&gt;=VLOOKUP($D205,RoleTitles!$A:$B,2,FALSE),"Yes","No"))</f>
        <v/>
      </c>
      <c r="K205" s="27">
        <f>IF($D205="","",IF($D205="T1","T2",IF($D205="T2","T3",IF($D205="T3","T4",IF($D205="T4","T5",IF($D205="T5","T6",IF($D205="T6","T7",IF($D205="T7","T8",IF($D205="T8","T9","")))))))))</f>
        <v/>
      </c>
      <c r="L205" s="28">
        <f>IF($K205="","",MAX(0,VLOOKUP($K205,RoleTitles!$A:$B,2,FALSE)-$E205))</f>
        <v/>
      </c>
    </row>
    <row r="206">
      <c r="A206" s="24">
        <f>IFERROR(INDEX(CoachRoster!$A$2:$A$1000,ROW()-1),"")</f>
        <v/>
      </c>
      <c r="B206" s="27">
        <f>IF($A206="","",VLOOKUP($A206,CoachRoster!$A:$E,2,FALSE))</f>
        <v/>
      </c>
      <c r="C206" s="27">
        <f>IF($A206="","",VLOOKUP($A206,CoachRoster!$A:$E,3,FALSE))</f>
        <v/>
      </c>
      <c r="D206" s="27">
        <f>IF($A206="","",VLOOKUP($A206,CoachRoster!$A:$E,4,FALSE))</f>
        <v/>
      </c>
      <c r="E206" s="27">
        <f>IF($A206="","",MIN(Settings!$B$8,IFERROR(SUMIF(Weekly_Coaching!$B:$B,$A206,Weekly_Coaching!$D:$D),0)+IFERROR(SUMIF(Monthly_Edu!$B:$B,$A206,Monthly_Edu!$D:$D),0)+IFERROR(SUMIF(Monthly_Ops!$B:$B,$A206,Monthly_Ops!$D:$D),0)+IFERROR(SUMIF(Monthly_Mentor!$B:$B,$A206,Monthly_Mentor!$D:$D),0)+IFERROR(SUMIF(Quarterly_Impact!$B:$B,$A206,Quarterly_Impact!$D:$D),0)+IFERROR(SUMIFS(XPLog!$M:$M,XPLog!$B:$B,$A206,XPLog!$J:$J,"Admin"),0)+IFERROR(SUMIFS(XPLog!$M:$M,XPLog!$B:$B,$A206,XPLog!$J:$J,"Seeding"),0)))</f>
        <v/>
      </c>
      <c r="F206" s="27">
        <f>IF($E206="","",LOOKUP($E206, XPBands!B$2:B$10, XPBands!A$2:A$10))</f>
        <v/>
      </c>
      <c r="G206" s="27">
        <f>IF($E206="","", VLOOKUP($F206, XPBands!A$2:G$10, 4, FALSE) + MIN(VLOOKUP($F206, XPBands!A$2:G$10, 5, FALSE) - VLOOKUP($F206, XPBands!A$2:G$10, 4, FALSE), FLOOR(( $E206 - VLOOKUP($F206, XPBands!A$2:G$10, 2, FALSE) ) / VLOOKUP($F206, XPBands!A$2:G$10, 7, FALSE),1)))</f>
        <v/>
      </c>
      <c r="H206" s="27">
        <f>IF($D206="","",VLOOKUP($D206,RoleTitles!$A:$E,3,FALSE))</f>
        <v/>
      </c>
      <c r="I206" s="27">
        <f>IF($D206="","",IF($C206="Greek",VLOOKUP($D206,RoleTitles!$A:$E,4,FALSE),IF($C206="Aesir",VLOOKUP($D206,RoleTitles!$A:$E,5,FALSE),VLOOKUP($D206,RoleTitles!$A:$E,3,FALSE))))</f>
        <v/>
      </c>
      <c r="J206" s="27">
        <f>IF($D206="","",IF($E206&gt;=VLOOKUP($D206,RoleTitles!$A:$B,2,FALSE),"Yes","No"))</f>
        <v/>
      </c>
      <c r="K206" s="27">
        <f>IF($D206="","",IF($D206="T1","T2",IF($D206="T2","T3",IF($D206="T3","T4",IF($D206="T4","T5",IF($D206="T5","T6",IF($D206="T6","T7",IF($D206="T7","T8",IF($D206="T8","T9","")))))))))</f>
        <v/>
      </c>
      <c r="L206" s="28">
        <f>IF($K206="","",MAX(0,VLOOKUP($K206,RoleTitles!$A:$B,2,FALSE)-$E206))</f>
        <v/>
      </c>
    </row>
    <row r="207">
      <c r="A207" s="24">
        <f>IFERROR(INDEX(CoachRoster!$A$2:$A$1000,ROW()-1),"")</f>
        <v/>
      </c>
      <c r="B207" s="27">
        <f>IF($A207="","",VLOOKUP($A207,CoachRoster!$A:$E,2,FALSE))</f>
        <v/>
      </c>
      <c r="C207" s="27">
        <f>IF($A207="","",VLOOKUP($A207,CoachRoster!$A:$E,3,FALSE))</f>
        <v/>
      </c>
      <c r="D207" s="27">
        <f>IF($A207="","",VLOOKUP($A207,CoachRoster!$A:$E,4,FALSE))</f>
        <v/>
      </c>
      <c r="E207" s="27">
        <f>IF($A207="","",MIN(Settings!$B$8,IFERROR(SUMIF(Weekly_Coaching!$B:$B,$A207,Weekly_Coaching!$D:$D),0)+IFERROR(SUMIF(Monthly_Edu!$B:$B,$A207,Monthly_Edu!$D:$D),0)+IFERROR(SUMIF(Monthly_Ops!$B:$B,$A207,Monthly_Ops!$D:$D),0)+IFERROR(SUMIF(Monthly_Mentor!$B:$B,$A207,Monthly_Mentor!$D:$D),0)+IFERROR(SUMIF(Quarterly_Impact!$B:$B,$A207,Quarterly_Impact!$D:$D),0)+IFERROR(SUMIFS(XPLog!$M:$M,XPLog!$B:$B,$A207,XPLog!$J:$J,"Admin"),0)+IFERROR(SUMIFS(XPLog!$M:$M,XPLog!$B:$B,$A207,XPLog!$J:$J,"Seeding"),0)))</f>
        <v/>
      </c>
      <c r="F207" s="27">
        <f>IF($E207="","",LOOKUP($E207, XPBands!B$2:B$10, XPBands!A$2:A$10))</f>
        <v/>
      </c>
      <c r="G207" s="27">
        <f>IF($E207="","", VLOOKUP($F207, XPBands!A$2:G$10, 4, FALSE) + MIN(VLOOKUP($F207, XPBands!A$2:G$10, 5, FALSE) - VLOOKUP($F207, XPBands!A$2:G$10, 4, FALSE), FLOOR(( $E207 - VLOOKUP($F207, XPBands!A$2:G$10, 2, FALSE) ) / VLOOKUP($F207, XPBands!A$2:G$10, 7, FALSE),1)))</f>
        <v/>
      </c>
      <c r="H207" s="27">
        <f>IF($D207="","",VLOOKUP($D207,RoleTitles!$A:$E,3,FALSE))</f>
        <v/>
      </c>
      <c r="I207" s="27">
        <f>IF($D207="","",IF($C207="Greek",VLOOKUP($D207,RoleTitles!$A:$E,4,FALSE),IF($C207="Aesir",VLOOKUP($D207,RoleTitles!$A:$E,5,FALSE),VLOOKUP($D207,RoleTitles!$A:$E,3,FALSE))))</f>
        <v/>
      </c>
      <c r="J207" s="27">
        <f>IF($D207="","",IF($E207&gt;=VLOOKUP($D207,RoleTitles!$A:$B,2,FALSE),"Yes","No"))</f>
        <v/>
      </c>
      <c r="K207" s="27">
        <f>IF($D207="","",IF($D207="T1","T2",IF($D207="T2","T3",IF($D207="T3","T4",IF($D207="T4","T5",IF($D207="T5","T6",IF($D207="T6","T7",IF($D207="T7","T8",IF($D207="T8","T9","")))))))))</f>
        <v/>
      </c>
      <c r="L207" s="28">
        <f>IF($K207="","",MAX(0,VLOOKUP($K207,RoleTitles!$A:$B,2,FALSE)-$E207))</f>
        <v/>
      </c>
    </row>
    <row r="208">
      <c r="A208" s="24">
        <f>IFERROR(INDEX(CoachRoster!$A$2:$A$1000,ROW()-1),"")</f>
        <v/>
      </c>
      <c r="B208" s="27">
        <f>IF($A208="","",VLOOKUP($A208,CoachRoster!$A:$E,2,FALSE))</f>
        <v/>
      </c>
      <c r="C208" s="27">
        <f>IF($A208="","",VLOOKUP($A208,CoachRoster!$A:$E,3,FALSE))</f>
        <v/>
      </c>
      <c r="D208" s="27">
        <f>IF($A208="","",VLOOKUP($A208,CoachRoster!$A:$E,4,FALSE))</f>
        <v/>
      </c>
      <c r="E208" s="27">
        <f>IF($A208="","",MIN(Settings!$B$8,IFERROR(SUMIF(Weekly_Coaching!$B:$B,$A208,Weekly_Coaching!$D:$D),0)+IFERROR(SUMIF(Monthly_Edu!$B:$B,$A208,Monthly_Edu!$D:$D),0)+IFERROR(SUMIF(Monthly_Ops!$B:$B,$A208,Monthly_Ops!$D:$D),0)+IFERROR(SUMIF(Monthly_Mentor!$B:$B,$A208,Monthly_Mentor!$D:$D),0)+IFERROR(SUMIF(Quarterly_Impact!$B:$B,$A208,Quarterly_Impact!$D:$D),0)+IFERROR(SUMIFS(XPLog!$M:$M,XPLog!$B:$B,$A208,XPLog!$J:$J,"Admin"),0)+IFERROR(SUMIFS(XPLog!$M:$M,XPLog!$B:$B,$A208,XPLog!$J:$J,"Seeding"),0)))</f>
        <v/>
      </c>
      <c r="F208" s="27">
        <f>IF($E208="","",LOOKUP($E208, XPBands!B$2:B$10, XPBands!A$2:A$10))</f>
        <v/>
      </c>
      <c r="G208" s="27">
        <f>IF($E208="","", VLOOKUP($F208, XPBands!A$2:G$10, 4, FALSE) + MIN(VLOOKUP($F208, XPBands!A$2:G$10, 5, FALSE) - VLOOKUP($F208, XPBands!A$2:G$10, 4, FALSE), FLOOR(( $E208 - VLOOKUP($F208, XPBands!A$2:G$10, 2, FALSE) ) / VLOOKUP($F208, XPBands!A$2:G$10, 7, FALSE),1)))</f>
        <v/>
      </c>
      <c r="H208" s="27">
        <f>IF($D208="","",VLOOKUP($D208,RoleTitles!$A:$E,3,FALSE))</f>
        <v/>
      </c>
      <c r="I208" s="27">
        <f>IF($D208="","",IF($C208="Greek",VLOOKUP($D208,RoleTitles!$A:$E,4,FALSE),IF($C208="Aesir",VLOOKUP($D208,RoleTitles!$A:$E,5,FALSE),VLOOKUP($D208,RoleTitles!$A:$E,3,FALSE))))</f>
        <v/>
      </c>
      <c r="J208" s="27">
        <f>IF($D208="","",IF($E208&gt;=VLOOKUP($D208,RoleTitles!$A:$B,2,FALSE),"Yes","No"))</f>
        <v/>
      </c>
      <c r="K208" s="27">
        <f>IF($D208="","",IF($D208="T1","T2",IF($D208="T2","T3",IF($D208="T3","T4",IF($D208="T4","T5",IF($D208="T5","T6",IF($D208="T6","T7",IF($D208="T7","T8",IF($D208="T8","T9","")))))))))</f>
        <v/>
      </c>
      <c r="L208" s="28">
        <f>IF($K208="","",MAX(0,VLOOKUP($K208,RoleTitles!$A:$B,2,FALSE)-$E208))</f>
        <v/>
      </c>
    </row>
    <row r="209">
      <c r="A209" s="24">
        <f>IFERROR(INDEX(CoachRoster!$A$2:$A$1000,ROW()-1),"")</f>
        <v/>
      </c>
      <c r="B209" s="27">
        <f>IF($A209="","",VLOOKUP($A209,CoachRoster!$A:$E,2,FALSE))</f>
        <v/>
      </c>
      <c r="C209" s="27">
        <f>IF($A209="","",VLOOKUP($A209,CoachRoster!$A:$E,3,FALSE))</f>
        <v/>
      </c>
      <c r="D209" s="27">
        <f>IF($A209="","",VLOOKUP($A209,CoachRoster!$A:$E,4,FALSE))</f>
        <v/>
      </c>
      <c r="E209" s="27">
        <f>IF($A209="","",MIN(Settings!$B$8,IFERROR(SUMIF(Weekly_Coaching!$B:$B,$A209,Weekly_Coaching!$D:$D),0)+IFERROR(SUMIF(Monthly_Edu!$B:$B,$A209,Monthly_Edu!$D:$D),0)+IFERROR(SUMIF(Monthly_Ops!$B:$B,$A209,Monthly_Ops!$D:$D),0)+IFERROR(SUMIF(Monthly_Mentor!$B:$B,$A209,Monthly_Mentor!$D:$D),0)+IFERROR(SUMIF(Quarterly_Impact!$B:$B,$A209,Quarterly_Impact!$D:$D),0)+IFERROR(SUMIFS(XPLog!$M:$M,XPLog!$B:$B,$A209,XPLog!$J:$J,"Admin"),0)+IFERROR(SUMIFS(XPLog!$M:$M,XPLog!$B:$B,$A209,XPLog!$J:$J,"Seeding"),0)))</f>
        <v/>
      </c>
      <c r="F209" s="27">
        <f>IF($E209="","",LOOKUP($E209, XPBands!B$2:B$10, XPBands!A$2:A$10))</f>
        <v/>
      </c>
      <c r="G209" s="27">
        <f>IF($E209="","", VLOOKUP($F209, XPBands!A$2:G$10, 4, FALSE) + MIN(VLOOKUP($F209, XPBands!A$2:G$10, 5, FALSE) - VLOOKUP($F209, XPBands!A$2:G$10, 4, FALSE), FLOOR(( $E209 - VLOOKUP($F209, XPBands!A$2:G$10, 2, FALSE) ) / VLOOKUP($F209, XPBands!A$2:G$10, 7, FALSE),1)))</f>
        <v/>
      </c>
      <c r="H209" s="27">
        <f>IF($D209="","",VLOOKUP($D209,RoleTitles!$A:$E,3,FALSE))</f>
        <v/>
      </c>
      <c r="I209" s="27">
        <f>IF($D209="","",IF($C209="Greek",VLOOKUP($D209,RoleTitles!$A:$E,4,FALSE),IF($C209="Aesir",VLOOKUP($D209,RoleTitles!$A:$E,5,FALSE),VLOOKUP($D209,RoleTitles!$A:$E,3,FALSE))))</f>
        <v/>
      </c>
      <c r="J209" s="27">
        <f>IF($D209="","",IF($E209&gt;=VLOOKUP($D209,RoleTitles!$A:$B,2,FALSE),"Yes","No"))</f>
        <v/>
      </c>
      <c r="K209" s="27">
        <f>IF($D209="","",IF($D209="T1","T2",IF($D209="T2","T3",IF($D209="T3","T4",IF($D209="T4","T5",IF($D209="T5","T6",IF($D209="T6","T7",IF($D209="T7","T8",IF($D209="T8","T9","")))))))))</f>
        <v/>
      </c>
      <c r="L209" s="28">
        <f>IF($K209="","",MAX(0,VLOOKUP($K209,RoleTitles!$A:$B,2,FALSE)-$E209))</f>
        <v/>
      </c>
    </row>
    <row r="210">
      <c r="A210" s="24">
        <f>IFERROR(INDEX(CoachRoster!$A$2:$A$1000,ROW()-1),"")</f>
        <v/>
      </c>
      <c r="B210" s="27">
        <f>IF($A210="","",VLOOKUP($A210,CoachRoster!$A:$E,2,FALSE))</f>
        <v/>
      </c>
      <c r="C210" s="27">
        <f>IF($A210="","",VLOOKUP($A210,CoachRoster!$A:$E,3,FALSE))</f>
        <v/>
      </c>
      <c r="D210" s="27">
        <f>IF($A210="","",VLOOKUP($A210,CoachRoster!$A:$E,4,FALSE))</f>
        <v/>
      </c>
      <c r="E210" s="27">
        <f>IF($A210="","",MIN(Settings!$B$8,IFERROR(SUMIF(Weekly_Coaching!$B:$B,$A210,Weekly_Coaching!$D:$D),0)+IFERROR(SUMIF(Monthly_Edu!$B:$B,$A210,Monthly_Edu!$D:$D),0)+IFERROR(SUMIF(Monthly_Ops!$B:$B,$A210,Monthly_Ops!$D:$D),0)+IFERROR(SUMIF(Monthly_Mentor!$B:$B,$A210,Monthly_Mentor!$D:$D),0)+IFERROR(SUMIF(Quarterly_Impact!$B:$B,$A210,Quarterly_Impact!$D:$D),0)+IFERROR(SUMIFS(XPLog!$M:$M,XPLog!$B:$B,$A210,XPLog!$J:$J,"Admin"),0)+IFERROR(SUMIFS(XPLog!$M:$M,XPLog!$B:$B,$A210,XPLog!$J:$J,"Seeding"),0)))</f>
        <v/>
      </c>
      <c r="F210" s="27">
        <f>IF($E210="","",LOOKUP($E210, XPBands!B$2:B$10, XPBands!A$2:A$10))</f>
        <v/>
      </c>
      <c r="G210" s="27">
        <f>IF($E210="","", VLOOKUP($F210, XPBands!A$2:G$10, 4, FALSE) + MIN(VLOOKUP($F210, XPBands!A$2:G$10, 5, FALSE) - VLOOKUP($F210, XPBands!A$2:G$10, 4, FALSE), FLOOR(( $E210 - VLOOKUP($F210, XPBands!A$2:G$10, 2, FALSE) ) / VLOOKUP($F210, XPBands!A$2:G$10, 7, FALSE),1)))</f>
        <v/>
      </c>
      <c r="H210" s="27">
        <f>IF($D210="","",VLOOKUP($D210,RoleTitles!$A:$E,3,FALSE))</f>
        <v/>
      </c>
      <c r="I210" s="27">
        <f>IF($D210="","",IF($C210="Greek",VLOOKUP($D210,RoleTitles!$A:$E,4,FALSE),IF($C210="Aesir",VLOOKUP($D210,RoleTitles!$A:$E,5,FALSE),VLOOKUP($D210,RoleTitles!$A:$E,3,FALSE))))</f>
        <v/>
      </c>
      <c r="J210" s="27">
        <f>IF($D210="","",IF($E210&gt;=VLOOKUP($D210,RoleTitles!$A:$B,2,FALSE),"Yes","No"))</f>
        <v/>
      </c>
      <c r="K210" s="27">
        <f>IF($D210="","",IF($D210="T1","T2",IF($D210="T2","T3",IF($D210="T3","T4",IF($D210="T4","T5",IF($D210="T5","T6",IF($D210="T6","T7",IF($D210="T7","T8",IF($D210="T8","T9","")))))))))</f>
        <v/>
      </c>
      <c r="L210" s="28">
        <f>IF($K210="","",MAX(0,VLOOKUP($K210,RoleTitles!$A:$B,2,FALSE)-$E210))</f>
        <v/>
      </c>
    </row>
    <row r="211">
      <c r="A211" s="24">
        <f>IFERROR(INDEX(CoachRoster!$A$2:$A$1000,ROW()-1),"")</f>
        <v/>
      </c>
      <c r="B211" s="27">
        <f>IF($A211="","",VLOOKUP($A211,CoachRoster!$A:$E,2,FALSE))</f>
        <v/>
      </c>
      <c r="C211" s="27">
        <f>IF($A211="","",VLOOKUP($A211,CoachRoster!$A:$E,3,FALSE))</f>
        <v/>
      </c>
      <c r="D211" s="27">
        <f>IF($A211="","",VLOOKUP($A211,CoachRoster!$A:$E,4,FALSE))</f>
        <v/>
      </c>
      <c r="E211" s="27">
        <f>IF($A211="","",MIN(Settings!$B$8,IFERROR(SUMIF(Weekly_Coaching!$B:$B,$A211,Weekly_Coaching!$D:$D),0)+IFERROR(SUMIF(Monthly_Edu!$B:$B,$A211,Monthly_Edu!$D:$D),0)+IFERROR(SUMIF(Monthly_Ops!$B:$B,$A211,Monthly_Ops!$D:$D),0)+IFERROR(SUMIF(Monthly_Mentor!$B:$B,$A211,Monthly_Mentor!$D:$D),0)+IFERROR(SUMIF(Quarterly_Impact!$B:$B,$A211,Quarterly_Impact!$D:$D),0)+IFERROR(SUMIFS(XPLog!$M:$M,XPLog!$B:$B,$A211,XPLog!$J:$J,"Admin"),0)+IFERROR(SUMIFS(XPLog!$M:$M,XPLog!$B:$B,$A211,XPLog!$J:$J,"Seeding"),0)))</f>
        <v/>
      </c>
      <c r="F211" s="27">
        <f>IF($E211="","",LOOKUP($E211, XPBands!B$2:B$10, XPBands!A$2:A$10))</f>
        <v/>
      </c>
      <c r="G211" s="27">
        <f>IF($E211="","", VLOOKUP($F211, XPBands!A$2:G$10, 4, FALSE) + MIN(VLOOKUP($F211, XPBands!A$2:G$10, 5, FALSE) - VLOOKUP($F211, XPBands!A$2:G$10, 4, FALSE), FLOOR(( $E211 - VLOOKUP($F211, XPBands!A$2:G$10, 2, FALSE) ) / VLOOKUP($F211, XPBands!A$2:G$10, 7, FALSE),1)))</f>
        <v/>
      </c>
      <c r="H211" s="27">
        <f>IF($D211="","",VLOOKUP($D211,RoleTitles!$A:$E,3,FALSE))</f>
        <v/>
      </c>
      <c r="I211" s="27">
        <f>IF($D211="","",IF($C211="Greek",VLOOKUP($D211,RoleTitles!$A:$E,4,FALSE),IF($C211="Aesir",VLOOKUP($D211,RoleTitles!$A:$E,5,FALSE),VLOOKUP($D211,RoleTitles!$A:$E,3,FALSE))))</f>
        <v/>
      </c>
      <c r="J211" s="27">
        <f>IF($D211="","",IF($E211&gt;=VLOOKUP($D211,RoleTitles!$A:$B,2,FALSE),"Yes","No"))</f>
        <v/>
      </c>
      <c r="K211" s="27">
        <f>IF($D211="","",IF($D211="T1","T2",IF($D211="T2","T3",IF($D211="T3","T4",IF($D211="T4","T5",IF($D211="T5","T6",IF($D211="T6","T7",IF($D211="T7","T8",IF($D211="T8","T9","")))))))))</f>
        <v/>
      </c>
      <c r="L211" s="28">
        <f>IF($K211="","",MAX(0,VLOOKUP($K211,RoleTitles!$A:$B,2,FALSE)-$E211))</f>
        <v/>
      </c>
    </row>
    <row r="212">
      <c r="A212" s="24">
        <f>IFERROR(INDEX(CoachRoster!$A$2:$A$1000,ROW()-1),"")</f>
        <v/>
      </c>
      <c r="B212" s="27">
        <f>IF($A212="","",VLOOKUP($A212,CoachRoster!$A:$E,2,FALSE))</f>
        <v/>
      </c>
      <c r="C212" s="27">
        <f>IF($A212="","",VLOOKUP($A212,CoachRoster!$A:$E,3,FALSE))</f>
        <v/>
      </c>
      <c r="D212" s="27">
        <f>IF($A212="","",VLOOKUP($A212,CoachRoster!$A:$E,4,FALSE))</f>
        <v/>
      </c>
      <c r="E212" s="27">
        <f>IF($A212="","",MIN(Settings!$B$8,IFERROR(SUMIF(Weekly_Coaching!$B:$B,$A212,Weekly_Coaching!$D:$D),0)+IFERROR(SUMIF(Monthly_Edu!$B:$B,$A212,Monthly_Edu!$D:$D),0)+IFERROR(SUMIF(Monthly_Ops!$B:$B,$A212,Monthly_Ops!$D:$D),0)+IFERROR(SUMIF(Monthly_Mentor!$B:$B,$A212,Monthly_Mentor!$D:$D),0)+IFERROR(SUMIF(Quarterly_Impact!$B:$B,$A212,Quarterly_Impact!$D:$D),0)+IFERROR(SUMIFS(XPLog!$M:$M,XPLog!$B:$B,$A212,XPLog!$J:$J,"Admin"),0)+IFERROR(SUMIFS(XPLog!$M:$M,XPLog!$B:$B,$A212,XPLog!$J:$J,"Seeding"),0)))</f>
        <v/>
      </c>
      <c r="F212" s="27">
        <f>IF($E212="","",LOOKUP($E212, XPBands!B$2:B$10, XPBands!A$2:A$10))</f>
        <v/>
      </c>
      <c r="G212" s="27">
        <f>IF($E212="","", VLOOKUP($F212, XPBands!A$2:G$10, 4, FALSE) + MIN(VLOOKUP($F212, XPBands!A$2:G$10, 5, FALSE) - VLOOKUP($F212, XPBands!A$2:G$10, 4, FALSE), FLOOR(( $E212 - VLOOKUP($F212, XPBands!A$2:G$10, 2, FALSE) ) / VLOOKUP($F212, XPBands!A$2:G$10, 7, FALSE),1)))</f>
        <v/>
      </c>
      <c r="H212" s="27">
        <f>IF($D212="","",VLOOKUP($D212,RoleTitles!$A:$E,3,FALSE))</f>
        <v/>
      </c>
      <c r="I212" s="27">
        <f>IF($D212="","",IF($C212="Greek",VLOOKUP($D212,RoleTitles!$A:$E,4,FALSE),IF($C212="Aesir",VLOOKUP($D212,RoleTitles!$A:$E,5,FALSE),VLOOKUP($D212,RoleTitles!$A:$E,3,FALSE))))</f>
        <v/>
      </c>
      <c r="J212" s="27">
        <f>IF($D212="","",IF($E212&gt;=VLOOKUP($D212,RoleTitles!$A:$B,2,FALSE),"Yes","No"))</f>
        <v/>
      </c>
      <c r="K212" s="27">
        <f>IF($D212="","",IF($D212="T1","T2",IF($D212="T2","T3",IF($D212="T3","T4",IF($D212="T4","T5",IF($D212="T5","T6",IF($D212="T6","T7",IF($D212="T7","T8",IF($D212="T8","T9","")))))))))</f>
        <v/>
      </c>
      <c r="L212" s="28">
        <f>IF($K212="","",MAX(0,VLOOKUP($K212,RoleTitles!$A:$B,2,FALSE)-$E212))</f>
        <v/>
      </c>
    </row>
    <row r="213">
      <c r="A213" s="24">
        <f>IFERROR(INDEX(CoachRoster!$A$2:$A$1000,ROW()-1),"")</f>
        <v/>
      </c>
      <c r="B213" s="27">
        <f>IF($A213="","",VLOOKUP($A213,CoachRoster!$A:$E,2,FALSE))</f>
        <v/>
      </c>
      <c r="C213" s="27">
        <f>IF($A213="","",VLOOKUP($A213,CoachRoster!$A:$E,3,FALSE))</f>
        <v/>
      </c>
      <c r="D213" s="27">
        <f>IF($A213="","",VLOOKUP($A213,CoachRoster!$A:$E,4,FALSE))</f>
        <v/>
      </c>
      <c r="E213" s="27">
        <f>IF($A213="","",MIN(Settings!$B$8,IFERROR(SUMIF(Weekly_Coaching!$B:$B,$A213,Weekly_Coaching!$D:$D),0)+IFERROR(SUMIF(Monthly_Edu!$B:$B,$A213,Monthly_Edu!$D:$D),0)+IFERROR(SUMIF(Monthly_Ops!$B:$B,$A213,Monthly_Ops!$D:$D),0)+IFERROR(SUMIF(Monthly_Mentor!$B:$B,$A213,Monthly_Mentor!$D:$D),0)+IFERROR(SUMIF(Quarterly_Impact!$B:$B,$A213,Quarterly_Impact!$D:$D),0)+IFERROR(SUMIFS(XPLog!$M:$M,XPLog!$B:$B,$A213,XPLog!$J:$J,"Admin"),0)+IFERROR(SUMIFS(XPLog!$M:$M,XPLog!$B:$B,$A213,XPLog!$J:$J,"Seeding"),0)))</f>
        <v/>
      </c>
      <c r="F213" s="27">
        <f>IF($E213="","",LOOKUP($E213, XPBands!B$2:B$10, XPBands!A$2:A$10))</f>
        <v/>
      </c>
      <c r="G213" s="27">
        <f>IF($E213="","", VLOOKUP($F213, XPBands!A$2:G$10, 4, FALSE) + MIN(VLOOKUP($F213, XPBands!A$2:G$10, 5, FALSE) - VLOOKUP($F213, XPBands!A$2:G$10, 4, FALSE), FLOOR(( $E213 - VLOOKUP($F213, XPBands!A$2:G$10, 2, FALSE) ) / VLOOKUP($F213, XPBands!A$2:G$10, 7, FALSE),1)))</f>
        <v/>
      </c>
      <c r="H213" s="27">
        <f>IF($D213="","",VLOOKUP($D213,RoleTitles!$A:$E,3,FALSE))</f>
        <v/>
      </c>
      <c r="I213" s="27">
        <f>IF($D213="","",IF($C213="Greek",VLOOKUP($D213,RoleTitles!$A:$E,4,FALSE),IF($C213="Aesir",VLOOKUP($D213,RoleTitles!$A:$E,5,FALSE),VLOOKUP($D213,RoleTitles!$A:$E,3,FALSE))))</f>
        <v/>
      </c>
      <c r="J213" s="27">
        <f>IF($D213="","",IF($E213&gt;=VLOOKUP($D213,RoleTitles!$A:$B,2,FALSE),"Yes","No"))</f>
        <v/>
      </c>
      <c r="K213" s="27">
        <f>IF($D213="","",IF($D213="T1","T2",IF($D213="T2","T3",IF($D213="T3","T4",IF($D213="T4","T5",IF($D213="T5","T6",IF($D213="T6","T7",IF($D213="T7","T8",IF($D213="T8","T9","")))))))))</f>
        <v/>
      </c>
      <c r="L213" s="28">
        <f>IF($K213="","",MAX(0,VLOOKUP($K213,RoleTitles!$A:$B,2,FALSE)-$E213))</f>
        <v/>
      </c>
    </row>
    <row r="214">
      <c r="A214" s="24">
        <f>IFERROR(INDEX(CoachRoster!$A$2:$A$1000,ROW()-1),"")</f>
        <v/>
      </c>
      <c r="B214" s="27">
        <f>IF($A214="","",VLOOKUP($A214,CoachRoster!$A:$E,2,FALSE))</f>
        <v/>
      </c>
      <c r="C214" s="27">
        <f>IF($A214="","",VLOOKUP($A214,CoachRoster!$A:$E,3,FALSE))</f>
        <v/>
      </c>
      <c r="D214" s="27">
        <f>IF($A214="","",VLOOKUP($A214,CoachRoster!$A:$E,4,FALSE))</f>
        <v/>
      </c>
      <c r="E214" s="27">
        <f>IF($A214="","",MIN(Settings!$B$8,IFERROR(SUMIF(Weekly_Coaching!$B:$B,$A214,Weekly_Coaching!$D:$D),0)+IFERROR(SUMIF(Monthly_Edu!$B:$B,$A214,Monthly_Edu!$D:$D),0)+IFERROR(SUMIF(Monthly_Ops!$B:$B,$A214,Monthly_Ops!$D:$D),0)+IFERROR(SUMIF(Monthly_Mentor!$B:$B,$A214,Monthly_Mentor!$D:$D),0)+IFERROR(SUMIF(Quarterly_Impact!$B:$B,$A214,Quarterly_Impact!$D:$D),0)+IFERROR(SUMIFS(XPLog!$M:$M,XPLog!$B:$B,$A214,XPLog!$J:$J,"Admin"),0)+IFERROR(SUMIFS(XPLog!$M:$M,XPLog!$B:$B,$A214,XPLog!$J:$J,"Seeding"),0)))</f>
        <v/>
      </c>
      <c r="F214" s="27">
        <f>IF($E214="","",LOOKUP($E214, XPBands!B$2:B$10, XPBands!A$2:A$10))</f>
        <v/>
      </c>
      <c r="G214" s="27">
        <f>IF($E214="","", VLOOKUP($F214, XPBands!A$2:G$10, 4, FALSE) + MIN(VLOOKUP($F214, XPBands!A$2:G$10, 5, FALSE) - VLOOKUP($F214, XPBands!A$2:G$10, 4, FALSE), FLOOR(( $E214 - VLOOKUP($F214, XPBands!A$2:G$10, 2, FALSE) ) / VLOOKUP($F214, XPBands!A$2:G$10, 7, FALSE),1)))</f>
        <v/>
      </c>
      <c r="H214" s="27">
        <f>IF($D214="","",VLOOKUP($D214,RoleTitles!$A:$E,3,FALSE))</f>
        <v/>
      </c>
      <c r="I214" s="27">
        <f>IF($D214="","",IF($C214="Greek",VLOOKUP($D214,RoleTitles!$A:$E,4,FALSE),IF($C214="Aesir",VLOOKUP($D214,RoleTitles!$A:$E,5,FALSE),VLOOKUP($D214,RoleTitles!$A:$E,3,FALSE))))</f>
        <v/>
      </c>
      <c r="J214" s="27">
        <f>IF($D214="","",IF($E214&gt;=VLOOKUP($D214,RoleTitles!$A:$B,2,FALSE),"Yes","No"))</f>
        <v/>
      </c>
      <c r="K214" s="27">
        <f>IF($D214="","",IF($D214="T1","T2",IF($D214="T2","T3",IF($D214="T3","T4",IF($D214="T4","T5",IF($D214="T5","T6",IF($D214="T6","T7",IF($D214="T7","T8",IF($D214="T8","T9","")))))))))</f>
        <v/>
      </c>
      <c r="L214" s="28">
        <f>IF($K214="","",MAX(0,VLOOKUP($K214,RoleTitles!$A:$B,2,FALSE)-$E214))</f>
        <v/>
      </c>
    </row>
    <row r="215">
      <c r="A215" s="24">
        <f>IFERROR(INDEX(CoachRoster!$A$2:$A$1000,ROW()-1),"")</f>
        <v/>
      </c>
      <c r="B215" s="27">
        <f>IF($A215="","",VLOOKUP($A215,CoachRoster!$A:$E,2,FALSE))</f>
        <v/>
      </c>
      <c r="C215" s="27">
        <f>IF($A215="","",VLOOKUP($A215,CoachRoster!$A:$E,3,FALSE))</f>
        <v/>
      </c>
      <c r="D215" s="27">
        <f>IF($A215="","",VLOOKUP($A215,CoachRoster!$A:$E,4,FALSE))</f>
        <v/>
      </c>
      <c r="E215" s="27">
        <f>IF($A215="","",MIN(Settings!$B$8,IFERROR(SUMIF(Weekly_Coaching!$B:$B,$A215,Weekly_Coaching!$D:$D),0)+IFERROR(SUMIF(Monthly_Edu!$B:$B,$A215,Monthly_Edu!$D:$D),0)+IFERROR(SUMIF(Monthly_Ops!$B:$B,$A215,Monthly_Ops!$D:$D),0)+IFERROR(SUMIF(Monthly_Mentor!$B:$B,$A215,Monthly_Mentor!$D:$D),0)+IFERROR(SUMIF(Quarterly_Impact!$B:$B,$A215,Quarterly_Impact!$D:$D),0)+IFERROR(SUMIFS(XPLog!$M:$M,XPLog!$B:$B,$A215,XPLog!$J:$J,"Admin"),0)+IFERROR(SUMIFS(XPLog!$M:$M,XPLog!$B:$B,$A215,XPLog!$J:$J,"Seeding"),0)))</f>
        <v/>
      </c>
      <c r="F215" s="27">
        <f>IF($E215="","",LOOKUP($E215, XPBands!B$2:B$10, XPBands!A$2:A$10))</f>
        <v/>
      </c>
      <c r="G215" s="27">
        <f>IF($E215="","", VLOOKUP($F215, XPBands!A$2:G$10, 4, FALSE) + MIN(VLOOKUP($F215, XPBands!A$2:G$10, 5, FALSE) - VLOOKUP($F215, XPBands!A$2:G$10, 4, FALSE), FLOOR(( $E215 - VLOOKUP($F215, XPBands!A$2:G$10, 2, FALSE) ) / VLOOKUP($F215, XPBands!A$2:G$10, 7, FALSE),1)))</f>
        <v/>
      </c>
      <c r="H215" s="27">
        <f>IF($D215="","",VLOOKUP($D215,RoleTitles!$A:$E,3,FALSE))</f>
        <v/>
      </c>
      <c r="I215" s="27">
        <f>IF($D215="","",IF($C215="Greek",VLOOKUP($D215,RoleTitles!$A:$E,4,FALSE),IF($C215="Aesir",VLOOKUP($D215,RoleTitles!$A:$E,5,FALSE),VLOOKUP($D215,RoleTitles!$A:$E,3,FALSE))))</f>
        <v/>
      </c>
      <c r="J215" s="27">
        <f>IF($D215="","",IF($E215&gt;=VLOOKUP($D215,RoleTitles!$A:$B,2,FALSE),"Yes","No"))</f>
        <v/>
      </c>
      <c r="K215" s="27">
        <f>IF($D215="","",IF($D215="T1","T2",IF($D215="T2","T3",IF($D215="T3","T4",IF($D215="T4","T5",IF($D215="T5","T6",IF($D215="T6","T7",IF($D215="T7","T8",IF($D215="T8","T9","")))))))))</f>
        <v/>
      </c>
      <c r="L215" s="28">
        <f>IF($K215="","",MAX(0,VLOOKUP($K215,RoleTitles!$A:$B,2,FALSE)-$E215))</f>
        <v/>
      </c>
    </row>
    <row r="216">
      <c r="A216" s="24">
        <f>IFERROR(INDEX(CoachRoster!$A$2:$A$1000,ROW()-1),"")</f>
        <v/>
      </c>
      <c r="B216" s="27">
        <f>IF($A216="","",VLOOKUP($A216,CoachRoster!$A:$E,2,FALSE))</f>
        <v/>
      </c>
      <c r="C216" s="27">
        <f>IF($A216="","",VLOOKUP($A216,CoachRoster!$A:$E,3,FALSE))</f>
        <v/>
      </c>
      <c r="D216" s="27">
        <f>IF($A216="","",VLOOKUP($A216,CoachRoster!$A:$E,4,FALSE))</f>
        <v/>
      </c>
      <c r="E216" s="27">
        <f>IF($A216="","",MIN(Settings!$B$8,IFERROR(SUMIF(Weekly_Coaching!$B:$B,$A216,Weekly_Coaching!$D:$D),0)+IFERROR(SUMIF(Monthly_Edu!$B:$B,$A216,Monthly_Edu!$D:$D),0)+IFERROR(SUMIF(Monthly_Ops!$B:$B,$A216,Monthly_Ops!$D:$D),0)+IFERROR(SUMIF(Monthly_Mentor!$B:$B,$A216,Monthly_Mentor!$D:$D),0)+IFERROR(SUMIF(Quarterly_Impact!$B:$B,$A216,Quarterly_Impact!$D:$D),0)+IFERROR(SUMIFS(XPLog!$M:$M,XPLog!$B:$B,$A216,XPLog!$J:$J,"Admin"),0)+IFERROR(SUMIFS(XPLog!$M:$M,XPLog!$B:$B,$A216,XPLog!$J:$J,"Seeding"),0)))</f>
        <v/>
      </c>
      <c r="F216" s="27">
        <f>IF($E216="","",LOOKUP($E216, XPBands!B$2:B$10, XPBands!A$2:A$10))</f>
        <v/>
      </c>
      <c r="G216" s="27">
        <f>IF($E216="","", VLOOKUP($F216, XPBands!A$2:G$10, 4, FALSE) + MIN(VLOOKUP($F216, XPBands!A$2:G$10, 5, FALSE) - VLOOKUP($F216, XPBands!A$2:G$10, 4, FALSE), FLOOR(( $E216 - VLOOKUP($F216, XPBands!A$2:G$10, 2, FALSE) ) / VLOOKUP($F216, XPBands!A$2:G$10, 7, FALSE),1)))</f>
        <v/>
      </c>
      <c r="H216" s="27">
        <f>IF($D216="","",VLOOKUP($D216,RoleTitles!$A:$E,3,FALSE))</f>
        <v/>
      </c>
      <c r="I216" s="27">
        <f>IF($D216="","",IF($C216="Greek",VLOOKUP($D216,RoleTitles!$A:$E,4,FALSE),IF($C216="Aesir",VLOOKUP($D216,RoleTitles!$A:$E,5,FALSE),VLOOKUP($D216,RoleTitles!$A:$E,3,FALSE))))</f>
        <v/>
      </c>
      <c r="J216" s="27">
        <f>IF($D216="","",IF($E216&gt;=VLOOKUP($D216,RoleTitles!$A:$B,2,FALSE),"Yes","No"))</f>
        <v/>
      </c>
      <c r="K216" s="27">
        <f>IF($D216="","",IF($D216="T1","T2",IF($D216="T2","T3",IF($D216="T3","T4",IF($D216="T4","T5",IF($D216="T5","T6",IF($D216="T6","T7",IF($D216="T7","T8",IF($D216="T8","T9","")))))))))</f>
        <v/>
      </c>
      <c r="L216" s="28">
        <f>IF($K216="","",MAX(0,VLOOKUP($K216,RoleTitles!$A:$B,2,FALSE)-$E216))</f>
        <v/>
      </c>
    </row>
    <row r="217">
      <c r="A217" s="24">
        <f>IFERROR(INDEX(CoachRoster!$A$2:$A$1000,ROW()-1),"")</f>
        <v/>
      </c>
      <c r="B217" s="27">
        <f>IF($A217="","",VLOOKUP($A217,CoachRoster!$A:$E,2,FALSE))</f>
        <v/>
      </c>
      <c r="C217" s="27">
        <f>IF($A217="","",VLOOKUP($A217,CoachRoster!$A:$E,3,FALSE))</f>
        <v/>
      </c>
      <c r="D217" s="27">
        <f>IF($A217="","",VLOOKUP($A217,CoachRoster!$A:$E,4,FALSE))</f>
        <v/>
      </c>
      <c r="E217" s="27">
        <f>IF($A217="","",MIN(Settings!$B$8,IFERROR(SUMIF(Weekly_Coaching!$B:$B,$A217,Weekly_Coaching!$D:$D),0)+IFERROR(SUMIF(Monthly_Edu!$B:$B,$A217,Monthly_Edu!$D:$D),0)+IFERROR(SUMIF(Monthly_Ops!$B:$B,$A217,Monthly_Ops!$D:$D),0)+IFERROR(SUMIF(Monthly_Mentor!$B:$B,$A217,Monthly_Mentor!$D:$D),0)+IFERROR(SUMIF(Quarterly_Impact!$B:$B,$A217,Quarterly_Impact!$D:$D),0)+IFERROR(SUMIFS(XPLog!$M:$M,XPLog!$B:$B,$A217,XPLog!$J:$J,"Admin"),0)+IFERROR(SUMIFS(XPLog!$M:$M,XPLog!$B:$B,$A217,XPLog!$J:$J,"Seeding"),0)))</f>
        <v/>
      </c>
      <c r="F217" s="27">
        <f>IF($E217="","",LOOKUP($E217, XPBands!B$2:B$10, XPBands!A$2:A$10))</f>
        <v/>
      </c>
      <c r="G217" s="27">
        <f>IF($E217="","", VLOOKUP($F217, XPBands!A$2:G$10, 4, FALSE) + MIN(VLOOKUP($F217, XPBands!A$2:G$10, 5, FALSE) - VLOOKUP($F217, XPBands!A$2:G$10, 4, FALSE), FLOOR(( $E217 - VLOOKUP($F217, XPBands!A$2:G$10, 2, FALSE) ) / VLOOKUP($F217, XPBands!A$2:G$10, 7, FALSE),1)))</f>
        <v/>
      </c>
      <c r="H217" s="27">
        <f>IF($D217="","",VLOOKUP($D217,RoleTitles!$A:$E,3,FALSE))</f>
        <v/>
      </c>
      <c r="I217" s="27">
        <f>IF($D217="","",IF($C217="Greek",VLOOKUP($D217,RoleTitles!$A:$E,4,FALSE),IF($C217="Aesir",VLOOKUP($D217,RoleTitles!$A:$E,5,FALSE),VLOOKUP($D217,RoleTitles!$A:$E,3,FALSE))))</f>
        <v/>
      </c>
      <c r="J217" s="27">
        <f>IF($D217="","",IF($E217&gt;=VLOOKUP($D217,RoleTitles!$A:$B,2,FALSE),"Yes","No"))</f>
        <v/>
      </c>
      <c r="K217" s="27">
        <f>IF($D217="","",IF($D217="T1","T2",IF($D217="T2","T3",IF($D217="T3","T4",IF($D217="T4","T5",IF($D217="T5","T6",IF($D217="T6","T7",IF($D217="T7","T8",IF($D217="T8","T9","")))))))))</f>
        <v/>
      </c>
      <c r="L217" s="28">
        <f>IF($K217="","",MAX(0,VLOOKUP($K217,RoleTitles!$A:$B,2,FALSE)-$E217))</f>
        <v/>
      </c>
    </row>
    <row r="218">
      <c r="A218" s="24">
        <f>IFERROR(INDEX(CoachRoster!$A$2:$A$1000,ROW()-1),"")</f>
        <v/>
      </c>
      <c r="B218" s="27">
        <f>IF($A218="","",VLOOKUP($A218,CoachRoster!$A:$E,2,FALSE))</f>
        <v/>
      </c>
      <c r="C218" s="27">
        <f>IF($A218="","",VLOOKUP($A218,CoachRoster!$A:$E,3,FALSE))</f>
        <v/>
      </c>
      <c r="D218" s="27">
        <f>IF($A218="","",VLOOKUP($A218,CoachRoster!$A:$E,4,FALSE))</f>
        <v/>
      </c>
      <c r="E218" s="27">
        <f>IF($A218="","",MIN(Settings!$B$8,IFERROR(SUMIF(Weekly_Coaching!$B:$B,$A218,Weekly_Coaching!$D:$D),0)+IFERROR(SUMIF(Monthly_Edu!$B:$B,$A218,Monthly_Edu!$D:$D),0)+IFERROR(SUMIF(Monthly_Ops!$B:$B,$A218,Monthly_Ops!$D:$D),0)+IFERROR(SUMIF(Monthly_Mentor!$B:$B,$A218,Monthly_Mentor!$D:$D),0)+IFERROR(SUMIF(Quarterly_Impact!$B:$B,$A218,Quarterly_Impact!$D:$D),0)+IFERROR(SUMIFS(XPLog!$M:$M,XPLog!$B:$B,$A218,XPLog!$J:$J,"Admin"),0)+IFERROR(SUMIFS(XPLog!$M:$M,XPLog!$B:$B,$A218,XPLog!$J:$J,"Seeding"),0)))</f>
        <v/>
      </c>
      <c r="F218" s="27">
        <f>IF($E218="","",LOOKUP($E218, XPBands!B$2:B$10, XPBands!A$2:A$10))</f>
        <v/>
      </c>
      <c r="G218" s="27">
        <f>IF($E218="","", VLOOKUP($F218, XPBands!A$2:G$10, 4, FALSE) + MIN(VLOOKUP($F218, XPBands!A$2:G$10, 5, FALSE) - VLOOKUP($F218, XPBands!A$2:G$10, 4, FALSE), FLOOR(( $E218 - VLOOKUP($F218, XPBands!A$2:G$10, 2, FALSE) ) / VLOOKUP($F218, XPBands!A$2:G$10, 7, FALSE),1)))</f>
        <v/>
      </c>
      <c r="H218" s="27">
        <f>IF($D218="","",VLOOKUP($D218,RoleTitles!$A:$E,3,FALSE))</f>
        <v/>
      </c>
      <c r="I218" s="27">
        <f>IF($D218="","",IF($C218="Greek",VLOOKUP($D218,RoleTitles!$A:$E,4,FALSE),IF($C218="Aesir",VLOOKUP($D218,RoleTitles!$A:$E,5,FALSE),VLOOKUP($D218,RoleTitles!$A:$E,3,FALSE))))</f>
        <v/>
      </c>
      <c r="J218" s="27">
        <f>IF($D218="","",IF($E218&gt;=VLOOKUP($D218,RoleTitles!$A:$B,2,FALSE),"Yes","No"))</f>
        <v/>
      </c>
      <c r="K218" s="27">
        <f>IF($D218="","",IF($D218="T1","T2",IF($D218="T2","T3",IF($D218="T3","T4",IF($D218="T4","T5",IF($D218="T5","T6",IF($D218="T6","T7",IF($D218="T7","T8",IF($D218="T8","T9","")))))))))</f>
        <v/>
      </c>
      <c r="L218" s="28">
        <f>IF($K218="","",MAX(0,VLOOKUP($K218,RoleTitles!$A:$B,2,FALSE)-$E218))</f>
        <v/>
      </c>
    </row>
    <row r="219">
      <c r="A219" s="24">
        <f>IFERROR(INDEX(CoachRoster!$A$2:$A$1000,ROW()-1),"")</f>
        <v/>
      </c>
      <c r="B219" s="27">
        <f>IF($A219="","",VLOOKUP($A219,CoachRoster!$A:$E,2,FALSE))</f>
        <v/>
      </c>
      <c r="C219" s="27">
        <f>IF($A219="","",VLOOKUP($A219,CoachRoster!$A:$E,3,FALSE))</f>
        <v/>
      </c>
      <c r="D219" s="27">
        <f>IF($A219="","",VLOOKUP($A219,CoachRoster!$A:$E,4,FALSE))</f>
        <v/>
      </c>
      <c r="E219" s="27">
        <f>IF($A219="","",MIN(Settings!$B$8,IFERROR(SUMIF(Weekly_Coaching!$B:$B,$A219,Weekly_Coaching!$D:$D),0)+IFERROR(SUMIF(Monthly_Edu!$B:$B,$A219,Monthly_Edu!$D:$D),0)+IFERROR(SUMIF(Monthly_Ops!$B:$B,$A219,Monthly_Ops!$D:$D),0)+IFERROR(SUMIF(Monthly_Mentor!$B:$B,$A219,Monthly_Mentor!$D:$D),0)+IFERROR(SUMIF(Quarterly_Impact!$B:$B,$A219,Quarterly_Impact!$D:$D),0)+IFERROR(SUMIFS(XPLog!$M:$M,XPLog!$B:$B,$A219,XPLog!$J:$J,"Admin"),0)+IFERROR(SUMIFS(XPLog!$M:$M,XPLog!$B:$B,$A219,XPLog!$J:$J,"Seeding"),0)))</f>
        <v/>
      </c>
      <c r="F219" s="27">
        <f>IF($E219="","",LOOKUP($E219, XPBands!B$2:B$10, XPBands!A$2:A$10))</f>
        <v/>
      </c>
      <c r="G219" s="27">
        <f>IF($E219="","", VLOOKUP($F219, XPBands!A$2:G$10, 4, FALSE) + MIN(VLOOKUP($F219, XPBands!A$2:G$10, 5, FALSE) - VLOOKUP($F219, XPBands!A$2:G$10, 4, FALSE), FLOOR(( $E219 - VLOOKUP($F219, XPBands!A$2:G$10, 2, FALSE) ) / VLOOKUP($F219, XPBands!A$2:G$10, 7, FALSE),1)))</f>
        <v/>
      </c>
      <c r="H219" s="27">
        <f>IF($D219="","",VLOOKUP($D219,RoleTitles!$A:$E,3,FALSE))</f>
        <v/>
      </c>
      <c r="I219" s="27">
        <f>IF($D219="","",IF($C219="Greek",VLOOKUP($D219,RoleTitles!$A:$E,4,FALSE),IF($C219="Aesir",VLOOKUP($D219,RoleTitles!$A:$E,5,FALSE),VLOOKUP($D219,RoleTitles!$A:$E,3,FALSE))))</f>
        <v/>
      </c>
      <c r="J219" s="27">
        <f>IF($D219="","",IF($E219&gt;=VLOOKUP($D219,RoleTitles!$A:$B,2,FALSE),"Yes","No"))</f>
        <v/>
      </c>
      <c r="K219" s="27">
        <f>IF($D219="","",IF($D219="T1","T2",IF($D219="T2","T3",IF($D219="T3","T4",IF($D219="T4","T5",IF($D219="T5","T6",IF($D219="T6","T7",IF($D219="T7","T8",IF($D219="T8","T9","")))))))))</f>
        <v/>
      </c>
      <c r="L219" s="28">
        <f>IF($K219="","",MAX(0,VLOOKUP($K219,RoleTitles!$A:$B,2,FALSE)-$E219))</f>
        <v/>
      </c>
    </row>
    <row r="220">
      <c r="A220" s="24">
        <f>IFERROR(INDEX(CoachRoster!$A$2:$A$1000,ROW()-1),"")</f>
        <v/>
      </c>
      <c r="B220" s="27">
        <f>IF($A220="","",VLOOKUP($A220,CoachRoster!$A:$E,2,FALSE))</f>
        <v/>
      </c>
      <c r="C220" s="27">
        <f>IF($A220="","",VLOOKUP($A220,CoachRoster!$A:$E,3,FALSE))</f>
        <v/>
      </c>
      <c r="D220" s="27">
        <f>IF($A220="","",VLOOKUP($A220,CoachRoster!$A:$E,4,FALSE))</f>
        <v/>
      </c>
      <c r="E220" s="27">
        <f>IF($A220="","",MIN(Settings!$B$8,IFERROR(SUMIF(Weekly_Coaching!$B:$B,$A220,Weekly_Coaching!$D:$D),0)+IFERROR(SUMIF(Monthly_Edu!$B:$B,$A220,Monthly_Edu!$D:$D),0)+IFERROR(SUMIF(Monthly_Ops!$B:$B,$A220,Monthly_Ops!$D:$D),0)+IFERROR(SUMIF(Monthly_Mentor!$B:$B,$A220,Monthly_Mentor!$D:$D),0)+IFERROR(SUMIF(Quarterly_Impact!$B:$B,$A220,Quarterly_Impact!$D:$D),0)+IFERROR(SUMIFS(XPLog!$M:$M,XPLog!$B:$B,$A220,XPLog!$J:$J,"Admin"),0)+IFERROR(SUMIFS(XPLog!$M:$M,XPLog!$B:$B,$A220,XPLog!$J:$J,"Seeding"),0)))</f>
        <v/>
      </c>
      <c r="F220" s="27">
        <f>IF($E220="","",LOOKUP($E220, XPBands!B$2:B$10, XPBands!A$2:A$10))</f>
        <v/>
      </c>
      <c r="G220" s="27">
        <f>IF($E220="","", VLOOKUP($F220, XPBands!A$2:G$10, 4, FALSE) + MIN(VLOOKUP($F220, XPBands!A$2:G$10, 5, FALSE) - VLOOKUP($F220, XPBands!A$2:G$10, 4, FALSE), FLOOR(( $E220 - VLOOKUP($F220, XPBands!A$2:G$10, 2, FALSE) ) / VLOOKUP($F220, XPBands!A$2:G$10, 7, FALSE),1)))</f>
        <v/>
      </c>
      <c r="H220" s="27">
        <f>IF($D220="","",VLOOKUP($D220,RoleTitles!$A:$E,3,FALSE))</f>
        <v/>
      </c>
      <c r="I220" s="27">
        <f>IF($D220="","",IF($C220="Greek",VLOOKUP($D220,RoleTitles!$A:$E,4,FALSE),IF($C220="Aesir",VLOOKUP($D220,RoleTitles!$A:$E,5,FALSE),VLOOKUP($D220,RoleTitles!$A:$E,3,FALSE))))</f>
        <v/>
      </c>
      <c r="J220" s="27">
        <f>IF($D220="","",IF($E220&gt;=VLOOKUP($D220,RoleTitles!$A:$B,2,FALSE),"Yes","No"))</f>
        <v/>
      </c>
      <c r="K220" s="27">
        <f>IF($D220="","",IF($D220="T1","T2",IF($D220="T2","T3",IF($D220="T3","T4",IF($D220="T4","T5",IF($D220="T5","T6",IF($D220="T6","T7",IF($D220="T7","T8",IF($D220="T8","T9","")))))))))</f>
        <v/>
      </c>
      <c r="L220" s="28">
        <f>IF($K220="","",MAX(0,VLOOKUP($K220,RoleTitles!$A:$B,2,FALSE)-$E220))</f>
        <v/>
      </c>
    </row>
    <row r="221">
      <c r="A221" s="24">
        <f>IFERROR(INDEX(CoachRoster!$A$2:$A$1000,ROW()-1),"")</f>
        <v/>
      </c>
      <c r="B221" s="27">
        <f>IF($A221="","",VLOOKUP($A221,CoachRoster!$A:$E,2,FALSE))</f>
        <v/>
      </c>
      <c r="C221" s="27">
        <f>IF($A221="","",VLOOKUP($A221,CoachRoster!$A:$E,3,FALSE))</f>
        <v/>
      </c>
      <c r="D221" s="27">
        <f>IF($A221="","",VLOOKUP($A221,CoachRoster!$A:$E,4,FALSE))</f>
        <v/>
      </c>
      <c r="E221" s="27">
        <f>IF($A221="","",MIN(Settings!$B$8,IFERROR(SUMIF(Weekly_Coaching!$B:$B,$A221,Weekly_Coaching!$D:$D),0)+IFERROR(SUMIF(Monthly_Edu!$B:$B,$A221,Monthly_Edu!$D:$D),0)+IFERROR(SUMIF(Monthly_Ops!$B:$B,$A221,Monthly_Ops!$D:$D),0)+IFERROR(SUMIF(Monthly_Mentor!$B:$B,$A221,Monthly_Mentor!$D:$D),0)+IFERROR(SUMIF(Quarterly_Impact!$B:$B,$A221,Quarterly_Impact!$D:$D),0)+IFERROR(SUMIFS(XPLog!$M:$M,XPLog!$B:$B,$A221,XPLog!$J:$J,"Admin"),0)+IFERROR(SUMIFS(XPLog!$M:$M,XPLog!$B:$B,$A221,XPLog!$J:$J,"Seeding"),0)))</f>
        <v/>
      </c>
      <c r="F221" s="27">
        <f>IF($E221="","",LOOKUP($E221, XPBands!B$2:B$10, XPBands!A$2:A$10))</f>
        <v/>
      </c>
      <c r="G221" s="27">
        <f>IF($E221="","", VLOOKUP($F221, XPBands!A$2:G$10, 4, FALSE) + MIN(VLOOKUP($F221, XPBands!A$2:G$10, 5, FALSE) - VLOOKUP($F221, XPBands!A$2:G$10, 4, FALSE), FLOOR(( $E221 - VLOOKUP($F221, XPBands!A$2:G$10, 2, FALSE) ) / VLOOKUP($F221, XPBands!A$2:G$10, 7, FALSE),1)))</f>
        <v/>
      </c>
      <c r="H221" s="27">
        <f>IF($D221="","",VLOOKUP($D221,RoleTitles!$A:$E,3,FALSE))</f>
        <v/>
      </c>
      <c r="I221" s="27">
        <f>IF($D221="","",IF($C221="Greek",VLOOKUP($D221,RoleTitles!$A:$E,4,FALSE),IF($C221="Aesir",VLOOKUP($D221,RoleTitles!$A:$E,5,FALSE),VLOOKUP($D221,RoleTitles!$A:$E,3,FALSE))))</f>
        <v/>
      </c>
      <c r="J221" s="27">
        <f>IF($D221="","",IF($E221&gt;=VLOOKUP($D221,RoleTitles!$A:$B,2,FALSE),"Yes","No"))</f>
        <v/>
      </c>
      <c r="K221" s="27">
        <f>IF($D221="","",IF($D221="T1","T2",IF($D221="T2","T3",IF($D221="T3","T4",IF($D221="T4","T5",IF($D221="T5","T6",IF($D221="T6","T7",IF($D221="T7","T8",IF($D221="T8","T9","")))))))))</f>
        <v/>
      </c>
      <c r="L221" s="28">
        <f>IF($K221="","",MAX(0,VLOOKUP($K221,RoleTitles!$A:$B,2,FALSE)-$E221))</f>
        <v/>
      </c>
    </row>
    <row r="222">
      <c r="A222" s="24">
        <f>IFERROR(INDEX(CoachRoster!$A$2:$A$1000,ROW()-1),"")</f>
        <v/>
      </c>
      <c r="B222" s="27">
        <f>IF($A222="","",VLOOKUP($A222,CoachRoster!$A:$E,2,FALSE))</f>
        <v/>
      </c>
      <c r="C222" s="27">
        <f>IF($A222="","",VLOOKUP($A222,CoachRoster!$A:$E,3,FALSE))</f>
        <v/>
      </c>
      <c r="D222" s="27">
        <f>IF($A222="","",VLOOKUP($A222,CoachRoster!$A:$E,4,FALSE))</f>
        <v/>
      </c>
      <c r="E222" s="27">
        <f>IF($A222="","",MIN(Settings!$B$8,IFERROR(SUMIF(Weekly_Coaching!$B:$B,$A222,Weekly_Coaching!$D:$D),0)+IFERROR(SUMIF(Monthly_Edu!$B:$B,$A222,Monthly_Edu!$D:$D),0)+IFERROR(SUMIF(Monthly_Ops!$B:$B,$A222,Monthly_Ops!$D:$D),0)+IFERROR(SUMIF(Monthly_Mentor!$B:$B,$A222,Monthly_Mentor!$D:$D),0)+IFERROR(SUMIF(Quarterly_Impact!$B:$B,$A222,Quarterly_Impact!$D:$D),0)+IFERROR(SUMIFS(XPLog!$M:$M,XPLog!$B:$B,$A222,XPLog!$J:$J,"Admin"),0)+IFERROR(SUMIFS(XPLog!$M:$M,XPLog!$B:$B,$A222,XPLog!$J:$J,"Seeding"),0)))</f>
        <v/>
      </c>
      <c r="F222" s="27">
        <f>IF($E222="","",LOOKUP($E222, XPBands!B$2:B$10, XPBands!A$2:A$10))</f>
        <v/>
      </c>
      <c r="G222" s="27">
        <f>IF($E222="","", VLOOKUP($F222, XPBands!A$2:G$10, 4, FALSE) + MIN(VLOOKUP($F222, XPBands!A$2:G$10, 5, FALSE) - VLOOKUP($F222, XPBands!A$2:G$10, 4, FALSE), FLOOR(( $E222 - VLOOKUP($F222, XPBands!A$2:G$10, 2, FALSE) ) / VLOOKUP($F222, XPBands!A$2:G$10, 7, FALSE),1)))</f>
        <v/>
      </c>
      <c r="H222" s="27">
        <f>IF($D222="","",VLOOKUP($D222,RoleTitles!$A:$E,3,FALSE))</f>
        <v/>
      </c>
      <c r="I222" s="27">
        <f>IF($D222="","",IF($C222="Greek",VLOOKUP($D222,RoleTitles!$A:$E,4,FALSE),IF($C222="Aesir",VLOOKUP($D222,RoleTitles!$A:$E,5,FALSE),VLOOKUP($D222,RoleTitles!$A:$E,3,FALSE))))</f>
        <v/>
      </c>
      <c r="J222" s="27">
        <f>IF($D222="","",IF($E222&gt;=VLOOKUP($D222,RoleTitles!$A:$B,2,FALSE),"Yes","No"))</f>
        <v/>
      </c>
      <c r="K222" s="27">
        <f>IF($D222="","",IF($D222="T1","T2",IF($D222="T2","T3",IF($D222="T3","T4",IF($D222="T4","T5",IF($D222="T5","T6",IF($D222="T6","T7",IF($D222="T7","T8",IF($D222="T8","T9","")))))))))</f>
        <v/>
      </c>
      <c r="L222" s="28">
        <f>IF($K222="","",MAX(0,VLOOKUP($K222,RoleTitles!$A:$B,2,FALSE)-$E222))</f>
        <v/>
      </c>
    </row>
    <row r="223">
      <c r="A223" s="24">
        <f>IFERROR(INDEX(CoachRoster!$A$2:$A$1000,ROW()-1),"")</f>
        <v/>
      </c>
      <c r="B223" s="27">
        <f>IF($A223="","",VLOOKUP($A223,CoachRoster!$A:$E,2,FALSE))</f>
        <v/>
      </c>
      <c r="C223" s="27">
        <f>IF($A223="","",VLOOKUP($A223,CoachRoster!$A:$E,3,FALSE))</f>
        <v/>
      </c>
      <c r="D223" s="27">
        <f>IF($A223="","",VLOOKUP($A223,CoachRoster!$A:$E,4,FALSE))</f>
        <v/>
      </c>
      <c r="E223" s="27">
        <f>IF($A223="","",MIN(Settings!$B$8,IFERROR(SUMIF(Weekly_Coaching!$B:$B,$A223,Weekly_Coaching!$D:$D),0)+IFERROR(SUMIF(Monthly_Edu!$B:$B,$A223,Monthly_Edu!$D:$D),0)+IFERROR(SUMIF(Monthly_Ops!$B:$B,$A223,Monthly_Ops!$D:$D),0)+IFERROR(SUMIF(Monthly_Mentor!$B:$B,$A223,Monthly_Mentor!$D:$D),0)+IFERROR(SUMIF(Quarterly_Impact!$B:$B,$A223,Quarterly_Impact!$D:$D),0)+IFERROR(SUMIFS(XPLog!$M:$M,XPLog!$B:$B,$A223,XPLog!$J:$J,"Admin"),0)+IFERROR(SUMIFS(XPLog!$M:$M,XPLog!$B:$B,$A223,XPLog!$J:$J,"Seeding"),0)))</f>
        <v/>
      </c>
      <c r="F223" s="27">
        <f>IF($E223="","",LOOKUP($E223, XPBands!B$2:B$10, XPBands!A$2:A$10))</f>
        <v/>
      </c>
      <c r="G223" s="27">
        <f>IF($E223="","", VLOOKUP($F223, XPBands!A$2:G$10, 4, FALSE) + MIN(VLOOKUP($F223, XPBands!A$2:G$10, 5, FALSE) - VLOOKUP($F223, XPBands!A$2:G$10, 4, FALSE), FLOOR(( $E223 - VLOOKUP($F223, XPBands!A$2:G$10, 2, FALSE) ) / VLOOKUP($F223, XPBands!A$2:G$10, 7, FALSE),1)))</f>
        <v/>
      </c>
      <c r="H223" s="27">
        <f>IF($D223="","",VLOOKUP($D223,RoleTitles!$A:$E,3,FALSE))</f>
        <v/>
      </c>
      <c r="I223" s="27">
        <f>IF($D223="","",IF($C223="Greek",VLOOKUP($D223,RoleTitles!$A:$E,4,FALSE),IF($C223="Aesir",VLOOKUP($D223,RoleTitles!$A:$E,5,FALSE),VLOOKUP($D223,RoleTitles!$A:$E,3,FALSE))))</f>
        <v/>
      </c>
      <c r="J223" s="27">
        <f>IF($D223="","",IF($E223&gt;=VLOOKUP($D223,RoleTitles!$A:$B,2,FALSE),"Yes","No"))</f>
        <v/>
      </c>
      <c r="K223" s="27">
        <f>IF($D223="","",IF($D223="T1","T2",IF($D223="T2","T3",IF($D223="T3","T4",IF($D223="T4","T5",IF($D223="T5","T6",IF($D223="T6","T7",IF($D223="T7","T8",IF($D223="T8","T9","")))))))))</f>
        <v/>
      </c>
      <c r="L223" s="28">
        <f>IF($K223="","",MAX(0,VLOOKUP($K223,RoleTitles!$A:$B,2,FALSE)-$E223))</f>
        <v/>
      </c>
    </row>
    <row r="224">
      <c r="A224" s="24">
        <f>IFERROR(INDEX(CoachRoster!$A$2:$A$1000,ROW()-1),"")</f>
        <v/>
      </c>
      <c r="B224" s="27">
        <f>IF($A224="","",VLOOKUP($A224,CoachRoster!$A:$E,2,FALSE))</f>
        <v/>
      </c>
      <c r="C224" s="27">
        <f>IF($A224="","",VLOOKUP($A224,CoachRoster!$A:$E,3,FALSE))</f>
        <v/>
      </c>
      <c r="D224" s="27">
        <f>IF($A224="","",VLOOKUP($A224,CoachRoster!$A:$E,4,FALSE))</f>
        <v/>
      </c>
      <c r="E224" s="27">
        <f>IF($A224="","",MIN(Settings!$B$8,IFERROR(SUMIF(Weekly_Coaching!$B:$B,$A224,Weekly_Coaching!$D:$D),0)+IFERROR(SUMIF(Monthly_Edu!$B:$B,$A224,Monthly_Edu!$D:$D),0)+IFERROR(SUMIF(Monthly_Ops!$B:$B,$A224,Monthly_Ops!$D:$D),0)+IFERROR(SUMIF(Monthly_Mentor!$B:$B,$A224,Monthly_Mentor!$D:$D),0)+IFERROR(SUMIF(Quarterly_Impact!$B:$B,$A224,Quarterly_Impact!$D:$D),0)+IFERROR(SUMIFS(XPLog!$M:$M,XPLog!$B:$B,$A224,XPLog!$J:$J,"Admin"),0)+IFERROR(SUMIFS(XPLog!$M:$M,XPLog!$B:$B,$A224,XPLog!$J:$J,"Seeding"),0)))</f>
        <v/>
      </c>
      <c r="F224" s="27">
        <f>IF($E224="","",LOOKUP($E224, XPBands!B$2:B$10, XPBands!A$2:A$10))</f>
        <v/>
      </c>
      <c r="G224" s="27">
        <f>IF($E224="","", VLOOKUP($F224, XPBands!A$2:G$10, 4, FALSE) + MIN(VLOOKUP($F224, XPBands!A$2:G$10, 5, FALSE) - VLOOKUP($F224, XPBands!A$2:G$10, 4, FALSE), FLOOR(( $E224 - VLOOKUP($F224, XPBands!A$2:G$10, 2, FALSE) ) / VLOOKUP($F224, XPBands!A$2:G$10, 7, FALSE),1)))</f>
        <v/>
      </c>
      <c r="H224" s="27">
        <f>IF($D224="","",VLOOKUP($D224,RoleTitles!$A:$E,3,FALSE))</f>
        <v/>
      </c>
      <c r="I224" s="27">
        <f>IF($D224="","",IF($C224="Greek",VLOOKUP($D224,RoleTitles!$A:$E,4,FALSE),IF($C224="Aesir",VLOOKUP($D224,RoleTitles!$A:$E,5,FALSE),VLOOKUP($D224,RoleTitles!$A:$E,3,FALSE))))</f>
        <v/>
      </c>
      <c r="J224" s="27">
        <f>IF($D224="","",IF($E224&gt;=VLOOKUP($D224,RoleTitles!$A:$B,2,FALSE),"Yes","No"))</f>
        <v/>
      </c>
      <c r="K224" s="27">
        <f>IF($D224="","",IF($D224="T1","T2",IF($D224="T2","T3",IF($D224="T3","T4",IF($D224="T4","T5",IF($D224="T5","T6",IF($D224="T6","T7",IF($D224="T7","T8",IF($D224="T8","T9","")))))))))</f>
        <v/>
      </c>
      <c r="L224" s="28">
        <f>IF($K224="","",MAX(0,VLOOKUP($K224,RoleTitles!$A:$B,2,FALSE)-$E224))</f>
        <v/>
      </c>
    </row>
    <row r="225">
      <c r="A225" s="24">
        <f>IFERROR(INDEX(CoachRoster!$A$2:$A$1000,ROW()-1),"")</f>
        <v/>
      </c>
      <c r="B225" s="27">
        <f>IF($A225="","",VLOOKUP($A225,CoachRoster!$A:$E,2,FALSE))</f>
        <v/>
      </c>
      <c r="C225" s="27">
        <f>IF($A225="","",VLOOKUP($A225,CoachRoster!$A:$E,3,FALSE))</f>
        <v/>
      </c>
      <c r="D225" s="27">
        <f>IF($A225="","",VLOOKUP($A225,CoachRoster!$A:$E,4,FALSE))</f>
        <v/>
      </c>
      <c r="E225" s="27">
        <f>IF($A225="","",MIN(Settings!$B$8,IFERROR(SUMIF(Weekly_Coaching!$B:$B,$A225,Weekly_Coaching!$D:$D),0)+IFERROR(SUMIF(Monthly_Edu!$B:$B,$A225,Monthly_Edu!$D:$D),0)+IFERROR(SUMIF(Monthly_Ops!$B:$B,$A225,Monthly_Ops!$D:$D),0)+IFERROR(SUMIF(Monthly_Mentor!$B:$B,$A225,Monthly_Mentor!$D:$D),0)+IFERROR(SUMIF(Quarterly_Impact!$B:$B,$A225,Quarterly_Impact!$D:$D),0)+IFERROR(SUMIFS(XPLog!$M:$M,XPLog!$B:$B,$A225,XPLog!$J:$J,"Admin"),0)+IFERROR(SUMIFS(XPLog!$M:$M,XPLog!$B:$B,$A225,XPLog!$J:$J,"Seeding"),0)))</f>
        <v/>
      </c>
      <c r="F225" s="27">
        <f>IF($E225="","",LOOKUP($E225, XPBands!B$2:B$10, XPBands!A$2:A$10))</f>
        <v/>
      </c>
      <c r="G225" s="27">
        <f>IF($E225="","", VLOOKUP($F225, XPBands!A$2:G$10, 4, FALSE) + MIN(VLOOKUP($F225, XPBands!A$2:G$10, 5, FALSE) - VLOOKUP($F225, XPBands!A$2:G$10, 4, FALSE), FLOOR(( $E225 - VLOOKUP($F225, XPBands!A$2:G$10, 2, FALSE) ) / VLOOKUP($F225, XPBands!A$2:G$10, 7, FALSE),1)))</f>
        <v/>
      </c>
      <c r="H225" s="27">
        <f>IF($D225="","",VLOOKUP($D225,RoleTitles!$A:$E,3,FALSE))</f>
        <v/>
      </c>
      <c r="I225" s="27">
        <f>IF($D225="","",IF($C225="Greek",VLOOKUP($D225,RoleTitles!$A:$E,4,FALSE),IF($C225="Aesir",VLOOKUP($D225,RoleTitles!$A:$E,5,FALSE),VLOOKUP($D225,RoleTitles!$A:$E,3,FALSE))))</f>
        <v/>
      </c>
      <c r="J225" s="27">
        <f>IF($D225="","",IF($E225&gt;=VLOOKUP($D225,RoleTitles!$A:$B,2,FALSE),"Yes","No"))</f>
        <v/>
      </c>
      <c r="K225" s="27">
        <f>IF($D225="","",IF($D225="T1","T2",IF($D225="T2","T3",IF($D225="T3","T4",IF($D225="T4","T5",IF($D225="T5","T6",IF($D225="T6","T7",IF($D225="T7","T8",IF($D225="T8","T9","")))))))))</f>
        <v/>
      </c>
      <c r="L225" s="28">
        <f>IF($K225="","",MAX(0,VLOOKUP($K225,RoleTitles!$A:$B,2,FALSE)-$E225))</f>
        <v/>
      </c>
    </row>
    <row r="226">
      <c r="A226" s="24">
        <f>IFERROR(INDEX(CoachRoster!$A$2:$A$1000,ROW()-1),"")</f>
        <v/>
      </c>
      <c r="B226" s="27">
        <f>IF($A226="","",VLOOKUP($A226,CoachRoster!$A:$E,2,FALSE))</f>
        <v/>
      </c>
      <c r="C226" s="27">
        <f>IF($A226="","",VLOOKUP($A226,CoachRoster!$A:$E,3,FALSE))</f>
        <v/>
      </c>
      <c r="D226" s="27">
        <f>IF($A226="","",VLOOKUP($A226,CoachRoster!$A:$E,4,FALSE))</f>
        <v/>
      </c>
      <c r="E226" s="27">
        <f>IF($A226="","",MIN(Settings!$B$8,IFERROR(SUMIF(Weekly_Coaching!$B:$B,$A226,Weekly_Coaching!$D:$D),0)+IFERROR(SUMIF(Monthly_Edu!$B:$B,$A226,Monthly_Edu!$D:$D),0)+IFERROR(SUMIF(Monthly_Ops!$B:$B,$A226,Monthly_Ops!$D:$D),0)+IFERROR(SUMIF(Monthly_Mentor!$B:$B,$A226,Monthly_Mentor!$D:$D),0)+IFERROR(SUMIF(Quarterly_Impact!$B:$B,$A226,Quarterly_Impact!$D:$D),0)+IFERROR(SUMIFS(XPLog!$M:$M,XPLog!$B:$B,$A226,XPLog!$J:$J,"Admin"),0)+IFERROR(SUMIFS(XPLog!$M:$M,XPLog!$B:$B,$A226,XPLog!$J:$J,"Seeding"),0)))</f>
        <v/>
      </c>
      <c r="F226" s="27">
        <f>IF($E226="","",LOOKUP($E226, XPBands!B$2:B$10, XPBands!A$2:A$10))</f>
        <v/>
      </c>
      <c r="G226" s="27">
        <f>IF($E226="","", VLOOKUP($F226, XPBands!A$2:G$10, 4, FALSE) + MIN(VLOOKUP($F226, XPBands!A$2:G$10, 5, FALSE) - VLOOKUP($F226, XPBands!A$2:G$10, 4, FALSE), FLOOR(( $E226 - VLOOKUP($F226, XPBands!A$2:G$10, 2, FALSE) ) / VLOOKUP($F226, XPBands!A$2:G$10, 7, FALSE),1)))</f>
        <v/>
      </c>
      <c r="H226" s="27">
        <f>IF($D226="","",VLOOKUP($D226,RoleTitles!$A:$E,3,FALSE))</f>
        <v/>
      </c>
      <c r="I226" s="27">
        <f>IF($D226="","",IF($C226="Greek",VLOOKUP($D226,RoleTitles!$A:$E,4,FALSE),IF($C226="Aesir",VLOOKUP($D226,RoleTitles!$A:$E,5,FALSE),VLOOKUP($D226,RoleTitles!$A:$E,3,FALSE))))</f>
        <v/>
      </c>
      <c r="J226" s="27">
        <f>IF($D226="","",IF($E226&gt;=VLOOKUP($D226,RoleTitles!$A:$B,2,FALSE),"Yes","No"))</f>
        <v/>
      </c>
      <c r="K226" s="27">
        <f>IF($D226="","",IF($D226="T1","T2",IF($D226="T2","T3",IF($D226="T3","T4",IF($D226="T4","T5",IF($D226="T5","T6",IF($D226="T6","T7",IF($D226="T7","T8",IF($D226="T8","T9","")))))))))</f>
        <v/>
      </c>
      <c r="L226" s="28">
        <f>IF($K226="","",MAX(0,VLOOKUP($K226,RoleTitles!$A:$B,2,FALSE)-$E226))</f>
        <v/>
      </c>
    </row>
    <row r="227">
      <c r="A227" s="24">
        <f>IFERROR(INDEX(CoachRoster!$A$2:$A$1000,ROW()-1),"")</f>
        <v/>
      </c>
      <c r="B227" s="27">
        <f>IF($A227="","",VLOOKUP($A227,CoachRoster!$A:$E,2,FALSE))</f>
        <v/>
      </c>
      <c r="C227" s="27">
        <f>IF($A227="","",VLOOKUP($A227,CoachRoster!$A:$E,3,FALSE))</f>
        <v/>
      </c>
      <c r="D227" s="27">
        <f>IF($A227="","",VLOOKUP($A227,CoachRoster!$A:$E,4,FALSE))</f>
        <v/>
      </c>
      <c r="E227" s="27">
        <f>IF($A227="","",MIN(Settings!$B$8,IFERROR(SUMIF(Weekly_Coaching!$B:$B,$A227,Weekly_Coaching!$D:$D),0)+IFERROR(SUMIF(Monthly_Edu!$B:$B,$A227,Monthly_Edu!$D:$D),0)+IFERROR(SUMIF(Monthly_Ops!$B:$B,$A227,Monthly_Ops!$D:$D),0)+IFERROR(SUMIF(Monthly_Mentor!$B:$B,$A227,Monthly_Mentor!$D:$D),0)+IFERROR(SUMIF(Quarterly_Impact!$B:$B,$A227,Quarterly_Impact!$D:$D),0)+IFERROR(SUMIFS(XPLog!$M:$M,XPLog!$B:$B,$A227,XPLog!$J:$J,"Admin"),0)+IFERROR(SUMIFS(XPLog!$M:$M,XPLog!$B:$B,$A227,XPLog!$J:$J,"Seeding"),0)))</f>
        <v/>
      </c>
      <c r="F227" s="27">
        <f>IF($E227="","",LOOKUP($E227, XPBands!B$2:B$10, XPBands!A$2:A$10))</f>
        <v/>
      </c>
      <c r="G227" s="27">
        <f>IF($E227="","", VLOOKUP($F227, XPBands!A$2:G$10, 4, FALSE) + MIN(VLOOKUP($F227, XPBands!A$2:G$10, 5, FALSE) - VLOOKUP($F227, XPBands!A$2:G$10, 4, FALSE), FLOOR(( $E227 - VLOOKUP($F227, XPBands!A$2:G$10, 2, FALSE) ) / VLOOKUP($F227, XPBands!A$2:G$10, 7, FALSE),1)))</f>
        <v/>
      </c>
      <c r="H227" s="27">
        <f>IF($D227="","",VLOOKUP($D227,RoleTitles!$A:$E,3,FALSE))</f>
        <v/>
      </c>
      <c r="I227" s="27">
        <f>IF($D227="","",IF($C227="Greek",VLOOKUP($D227,RoleTitles!$A:$E,4,FALSE),IF($C227="Aesir",VLOOKUP($D227,RoleTitles!$A:$E,5,FALSE),VLOOKUP($D227,RoleTitles!$A:$E,3,FALSE))))</f>
        <v/>
      </c>
      <c r="J227" s="27">
        <f>IF($D227="","",IF($E227&gt;=VLOOKUP($D227,RoleTitles!$A:$B,2,FALSE),"Yes","No"))</f>
        <v/>
      </c>
      <c r="K227" s="27">
        <f>IF($D227="","",IF($D227="T1","T2",IF($D227="T2","T3",IF($D227="T3","T4",IF($D227="T4","T5",IF($D227="T5","T6",IF($D227="T6","T7",IF($D227="T7","T8",IF($D227="T8","T9","")))))))))</f>
        <v/>
      </c>
      <c r="L227" s="28">
        <f>IF($K227="","",MAX(0,VLOOKUP($K227,RoleTitles!$A:$B,2,FALSE)-$E227))</f>
        <v/>
      </c>
    </row>
    <row r="228">
      <c r="A228" s="24">
        <f>IFERROR(INDEX(CoachRoster!$A$2:$A$1000,ROW()-1),"")</f>
        <v/>
      </c>
      <c r="B228" s="27">
        <f>IF($A228="","",VLOOKUP($A228,CoachRoster!$A:$E,2,FALSE))</f>
        <v/>
      </c>
      <c r="C228" s="27">
        <f>IF($A228="","",VLOOKUP($A228,CoachRoster!$A:$E,3,FALSE))</f>
        <v/>
      </c>
      <c r="D228" s="27">
        <f>IF($A228="","",VLOOKUP($A228,CoachRoster!$A:$E,4,FALSE))</f>
        <v/>
      </c>
      <c r="E228" s="27">
        <f>IF($A228="","",MIN(Settings!$B$8,IFERROR(SUMIF(Weekly_Coaching!$B:$B,$A228,Weekly_Coaching!$D:$D),0)+IFERROR(SUMIF(Monthly_Edu!$B:$B,$A228,Monthly_Edu!$D:$D),0)+IFERROR(SUMIF(Monthly_Ops!$B:$B,$A228,Monthly_Ops!$D:$D),0)+IFERROR(SUMIF(Monthly_Mentor!$B:$B,$A228,Monthly_Mentor!$D:$D),0)+IFERROR(SUMIF(Quarterly_Impact!$B:$B,$A228,Quarterly_Impact!$D:$D),0)+IFERROR(SUMIFS(XPLog!$M:$M,XPLog!$B:$B,$A228,XPLog!$J:$J,"Admin"),0)+IFERROR(SUMIFS(XPLog!$M:$M,XPLog!$B:$B,$A228,XPLog!$J:$J,"Seeding"),0)))</f>
        <v/>
      </c>
      <c r="F228" s="27">
        <f>IF($E228="","",LOOKUP($E228, XPBands!B$2:B$10, XPBands!A$2:A$10))</f>
        <v/>
      </c>
      <c r="G228" s="27">
        <f>IF($E228="","", VLOOKUP($F228, XPBands!A$2:G$10, 4, FALSE) + MIN(VLOOKUP($F228, XPBands!A$2:G$10, 5, FALSE) - VLOOKUP($F228, XPBands!A$2:G$10, 4, FALSE), FLOOR(( $E228 - VLOOKUP($F228, XPBands!A$2:G$10, 2, FALSE) ) / VLOOKUP($F228, XPBands!A$2:G$10, 7, FALSE),1)))</f>
        <v/>
      </c>
      <c r="H228" s="27">
        <f>IF($D228="","",VLOOKUP($D228,RoleTitles!$A:$E,3,FALSE))</f>
        <v/>
      </c>
      <c r="I228" s="27">
        <f>IF($D228="","",IF($C228="Greek",VLOOKUP($D228,RoleTitles!$A:$E,4,FALSE),IF($C228="Aesir",VLOOKUP($D228,RoleTitles!$A:$E,5,FALSE),VLOOKUP($D228,RoleTitles!$A:$E,3,FALSE))))</f>
        <v/>
      </c>
      <c r="J228" s="27">
        <f>IF($D228="","",IF($E228&gt;=VLOOKUP($D228,RoleTitles!$A:$B,2,FALSE),"Yes","No"))</f>
        <v/>
      </c>
      <c r="K228" s="27">
        <f>IF($D228="","",IF($D228="T1","T2",IF($D228="T2","T3",IF($D228="T3","T4",IF($D228="T4","T5",IF($D228="T5","T6",IF($D228="T6","T7",IF($D228="T7","T8",IF($D228="T8","T9","")))))))))</f>
        <v/>
      </c>
      <c r="L228" s="28">
        <f>IF($K228="","",MAX(0,VLOOKUP($K228,RoleTitles!$A:$B,2,FALSE)-$E228))</f>
        <v/>
      </c>
    </row>
    <row r="229">
      <c r="A229" s="24">
        <f>IFERROR(INDEX(CoachRoster!$A$2:$A$1000,ROW()-1),"")</f>
        <v/>
      </c>
      <c r="B229" s="27">
        <f>IF($A229="","",VLOOKUP($A229,CoachRoster!$A:$E,2,FALSE))</f>
        <v/>
      </c>
      <c r="C229" s="27">
        <f>IF($A229="","",VLOOKUP($A229,CoachRoster!$A:$E,3,FALSE))</f>
        <v/>
      </c>
      <c r="D229" s="27">
        <f>IF($A229="","",VLOOKUP($A229,CoachRoster!$A:$E,4,FALSE))</f>
        <v/>
      </c>
      <c r="E229" s="27">
        <f>IF($A229="","",MIN(Settings!$B$8,IFERROR(SUMIF(Weekly_Coaching!$B:$B,$A229,Weekly_Coaching!$D:$D),0)+IFERROR(SUMIF(Monthly_Edu!$B:$B,$A229,Monthly_Edu!$D:$D),0)+IFERROR(SUMIF(Monthly_Ops!$B:$B,$A229,Monthly_Ops!$D:$D),0)+IFERROR(SUMIF(Monthly_Mentor!$B:$B,$A229,Monthly_Mentor!$D:$D),0)+IFERROR(SUMIF(Quarterly_Impact!$B:$B,$A229,Quarterly_Impact!$D:$D),0)+IFERROR(SUMIFS(XPLog!$M:$M,XPLog!$B:$B,$A229,XPLog!$J:$J,"Admin"),0)+IFERROR(SUMIFS(XPLog!$M:$M,XPLog!$B:$B,$A229,XPLog!$J:$J,"Seeding"),0)))</f>
        <v/>
      </c>
      <c r="F229" s="27">
        <f>IF($E229="","",LOOKUP($E229, XPBands!B$2:B$10, XPBands!A$2:A$10))</f>
        <v/>
      </c>
      <c r="G229" s="27">
        <f>IF($E229="","", VLOOKUP($F229, XPBands!A$2:G$10, 4, FALSE) + MIN(VLOOKUP($F229, XPBands!A$2:G$10, 5, FALSE) - VLOOKUP($F229, XPBands!A$2:G$10, 4, FALSE), FLOOR(( $E229 - VLOOKUP($F229, XPBands!A$2:G$10, 2, FALSE) ) / VLOOKUP($F229, XPBands!A$2:G$10, 7, FALSE),1)))</f>
        <v/>
      </c>
      <c r="H229" s="27">
        <f>IF($D229="","",VLOOKUP($D229,RoleTitles!$A:$E,3,FALSE))</f>
        <v/>
      </c>
      <c r="I229" s="27">
        <f>IF($D229="","",IF($C229="Greek",VLOOKUP($D229,RoleTitles!$A:$E,4,FALSE),IF($C229="Aesir",VLOOKUP($D229,RoleTitles!$A:$E,5,FALSE),VLOOKUP($D229,RoleTitles!$A:$E,3,FALSE))))</f>
        <v/>
      </c>
      <c r="J229" s="27">
        <f>IF($D229="","",IF($E229&gt;=VLOOKUP($D229,RoleTitles!$A:$B,2,FALSE),"Yes","No"))</f>
        <v/>
      </c>
      <c r="K229" s="27">
        <f>IF($D229="","",IF($D229="T1","T2",IF($D229="T2","T3",IF($D229="T3","T4",IF($D229="T4","T5",IF($D229="T5","T6",IF($D229="T6","T7",IF($D229="T7","T8",IF($D229="T8","T9","")))))))))</f>
        <v/>
      </c>
      <c r="L229" s="28">
        <f>IF($K229="","",MAX(0,VLOOKUP($K229,RoleTitles!$A:$B,2,FALSE)-$E229))</f>
        <v/>
      </c>
    </row>
    <row r="230">
      <c r="A230" s="24">
        <f>IFERROR(INDEX(CoachRoster!$A$2:$A$1000,ROW()-1),"")</f>
        <v/>
      </c>
      <c r="B230" s="27">
        <f>IF($A230="","",VLOOKUP($A230,CoachRoster!$A:$E,2,FALSE))</f>
        <v/>
      </c>
      <c r="C230" s="27">
        <f>IF($A230="","",VLOOKUP($A230,CoachRoster!$A:$E,3,FALSE))</f>
        <v/>
      </c>
      <c r="D230" s="27">
        <f>IF($A230="","",VLOOKUP($A230,CoachRoster!$A:$E,4,FALSE))</f>
        <v/>
      </c>
      <c r="E230" s="27">
        <f>IF($A230="","",MIN(Settings!$B$8,IFERROR(SUMIF(Weekly_Coaching!$B:$B,$A230,Weekly_Coaching!$D:$D),0)+IFERROR(SUMIF(Monthly_Edu!$B:$B,$A230,Monthly_Edu!$D:$D),0)+IFERROR(SUMIF(Monthly_Ops!$B:$B,$A230,Monthly_Ops!$D:$D),0)+IFERROR(SUMIF(Monthly_Mentor!$B:$B,$A230,Monthly_Mentor!$D:$D),0)+IFERROR(SUMIF(Quarterly_Impact!$B:$B,$A230,Quarterly_Impact!$D:$D),0)+IFERROR(SUMIFS(XPLog!$M:$M,XPLog!$B:$B,$A230,XPLog!$J:$J,"Admin"),0)+IFERROR(SUMIFS(XPLog!$M:$M,XPLog!$B:$B,$A230,XPLog!$J:$J,"Seeding"),0)))</f>
        <v/>
      </c>
      <c r="F230" s="27">
        <f>IF($E230="","",LOOKUP($E230, XPBands!B$2:B$10, XPBands!A$2:A$10))</f>
        <v/>
      </c>
      <c r="G230" s="27">
        <f>IF($E230="","", VLOOKUP($F230, XPBands!A$2:G$10, 4, FALSE) + MIN(VLOOKUP($F230, XPBands!A$2:G$10, 5, FALSE) - VLOOKUP($F230, XPBands!A$2:G$10, 4, FALSE), FLOOR(( $E230 - VLOOKUP($F230, XPBands!A$2:G$10, 2, FALSE) ) / VLOOKUP($F230, XPBands!A$2:G$10, 7, FALSE),1)))</f>
        <v/>
      </c>
      <c r="H230" s="27">
        <f>IF($D230="","",VLOOKUP($D230,RoleTitles!$A:$E,3,FALSE))</f>
        <v/>
      </c>
      <c r="I230" s="27">
        <f>IF($D230="","",IF($C230="Greek",VLOOKUP($D230,RoleTitles!$A:$E,4,FALSE),IF($C230="Aesir",VLOOKUP($D230,RoleTitles!$A:$E,5,FALSE),VLOOKUP($D230,RoleTitles!$A:$E,3,FALSE))))</f>
        <v/>
      </c>
      <c r="J230" s="27">
        <f>IF($D230="","",IF($E230&gt;=VLOOKUP($D230,RoleTitles!$A:$B,2,FALSE),"Yes","No"))</f>
        <v/>
      </c>
      <c r="K230" s="27">
        <f>IF($D230="","",IF($D230="T1","T2",IF($D230="T2","T3",IF($D230="T3","T4",IF($D230="T4","T5",IF($D230="T5","T6",IF($D230="T6","T7",IF($D230="T7","T8",IF($D230="T8","T9","")))))))))</f>
        <v/>
      </c>
      <c r="L230" s="28">
        <f>IF($K230="","",MAX(0,VLOOKUP($K230,RoleTitles!$A:$B,2,FALSE)-$E230))</f>
        <v/>
      </c>
    </row>
    <row r="231">
      <c r="A231" s="24">
        <f>IFERROR(INDEX(CoachRoster!$A$2:$A$1000,ROW()-1),"")</f>
        <v/>
      </c>
      <c r="B231" s="27">
        <f>IF($A231="","",VLOOKUP($A231,CoachRoster!$A:$E,2,FALSE))</f>
        <v/>
      </c>
      <c r="C231" s="27">
        <f>IF($A231="","",VLOOKUP($A231,CoachRoster!$A:$E,3,FALSE))</f>
        <v/>
      </c>
      <c r="D231" s="27">
        <f>IF($A231="","",VLOOKUP($A231,CoachRoster!$A:$E,4,FALSE))</f>
        <v/>
      </c>
      <c r="E231" s="27">
        <f>IF($A231="","",MIN(Settings!$B$8,IFERROR(SUMIF(Weekly_Coaching!$B:$B,$A231,Weekly_Coaching!$D:$D),0)+IFERROR(SUMIF(Monthly_Edu!$B:$B,$A231,Monthly_Edu!$D:$D),0)+IFERROR(SUMIF(Monthly_Ops!$B:$B,$A231,Monthly_Ops!$D:$D),0)+IFERROR(SUMIF(Monthly_Mentor!$B:$B,$A231,Monthly_Mentor!$D:$D),0)+IFERROR(SUMIF(Quarterly_Impact!$B:$B,$A231,Quarterly_Impact!$D:$D),0)+IFERROR(SUMIFS(XPLog!$M:$M,XPLog!$B:$B,$A231,XPLog!$J:$J,"Admin"),0)+IFERROR(SUMIFS(XPLog!$M:$M,XPLog!$B:$B,$A231,XPLog!$J:$J,"Seeding"),0)))</f>
        <v/>
      </c>
      <c r="F231" s="27">
        <f>IF($E231="","",LOOKUP($E231, XPBands!B$2:B$10, XPBands!A$2:A$10))</f>
        <v/>
      </c>
      <c r="G231" s="27">
        <f>IF($E231="","", VLOOKUP($F231, XPBands!A$2:G$10, 4, FALSE) + MIN(VLOOKUP($F231, XPBands!A$2:G$10, 5, FALSE) - VLOOKUP($F231, XPBands!A$2:G$10, 4, FALSE), FLOOR(( $E231 - VLOOKUP($F231, XPBands!A$2:G$10, 2, FALSE) ) / VLOOKUP($F231, XPBands!A$2:G$10, 7, FALSE),1)))</f>
        <v/>
      </c>
      <c r="H231" s="27">
        <f>IF($D231="","",VLOOKUP($D231,RoleTitles!$A:$E,3,FALSE))</f>
        <v/>
      </c>
      <c r="I231" s="27">
        <f>IF($D231="","",IF($C231="Greek",VLOOKUP($D231,RoleTitles!$A:$E,4,FALSE),IF($C231="Aesir",VLOOKUP($D231,RoleTitles!$A:$E,5,FALSE),VLOOKUP($D231,RoleTitles!$A:$E,3,FALSE))))</f>
        <v/>
      </c>
      <c r="J231" s="27">
        <f>IF($D231="","",IF($E231&gt;=VLOOKUP($D231,RoleTitles!$A:$B,2,FALSE),"Yes","No"))</f>
        <v/>
      </c>
      <c r="K231" s="27">
        <f>IF($D231="","",IF($D231="T1","T2",IF($D231="T2","T3",IF($D231="T3","T4",IF($D231="T4","T5",IF($D231="T5","T6",IF($D231="T6","T7",IF($D231="T7","T8",IF($D231="T8","T9","")))))))))</f>
        <v/>
      </c>
      <c r="L231" s="28">
        <f>IF($K231="","",MAX(0,VLOOKUP($K231,RoleTitles!$A:$B,2,FALSE)-$E231))</f>
        <v/>
      </c>
    </row>
    <row r="232">
      <c r="A232" s="24">
        <f>IFERROR(INDEX(CoachRoster!$A$2:$A$1000,ROW()-1),"")</f>
        <v/>
      </c>
      <c r="B232" s="27">
        <f>IF($A232="","",VLOOKUP($A232,CoachRoster!$A:$E,2,FALSE))</f>
        <v/>
      </c>
      <c r="C232" s="27">
        <f>IF($A232="","",VLOOKUP($A232,CoachRoster!$A:$E,3,FALSE))</f>
        <v/>
      </c>
      <c r="D232" s="27">
        <f>IF($A232="","",VLOOKUP($A232,CoachRoster!$A:$E,4,FALSE))</f>
        <v/>
      </c>
      <c r="E232" s="27">
        <f>IF($A232="","",MIN(Settings!$B$8,IFERROR(SUMIF(Weekly_Coaching!$B:$B,$A232,Weekly_Coaching!$D:$D),0)+IFERROR(SUMIF(Monthly_Edu!$B:$B,$A232,Monthly_Edu!$D:$D),0)+IFERROR(SUMIF(Monthly_Ops!$B:$B,$A232,Monthly_Ops!$D:$D),0)+IFERROR(SUMIF(Monthly_Mentor!$B:$B,$A232,Monthly_Mentor!$D:$D),0)+IFERROR(SUMIF(Quarterly_Impact!$B:$B,$A232,Quarterly_Impact!$D:$D),0)+IFERROR(SUMIFS(XPLog!$M:$M,XPLog!$B:$B,$A232,XPLog!$J:$J,"Admin"),0)+IFERROR(SUMIFS(XPLog!$M:$M,XPLog!$B:$B,$A232,XPLog!$J:$J,"Seeding"),0)))</f>
        <v/>
      </c>
      <c r="F232" s="27">
        <f>IF($E232="","",LOOKUP($E232, XPBands!B$2:B$10, XPBands!A$2:A$10))</f>
        <v/>
      </c>
      <c r="G232" s="27">
        <f>IF($E232="","", VLOOKUP($F232, XPBands!A$2:G$10, 4, FALSE) + MIN(VLOOKUP($F232, XPBands!A$2:G$10, 5, FALSE) - VLOOKUP($F232, XPBands!A$2:G$10, 4, FALSE), FLOOR(( $E232 - VLOOKUP($F232, XPBands!A$2:G$10, 2, FALSE) ) / VLOOKUP($F232, XPBands!A$2:G$10, 7, FALSE),1)))</f>
        <v/>
      </c>
      <c r="H232" s="27">
        <f>IF($D232="","",VLOOKUP($D232,RoleTitles!$A:$E,3,FALSE))</f>
        <v/>
      </c>
      <c r="I232" s="27">
        <f>IF($D232="","",IF($C232="Greek",VLOOKUP($D232,RoleTitles!$A:$E,4,FALSE),IF($C232="Aesir",VLOOKUP($D232,RoleTitles!$A:$E,5,FALSE),VLOOKUP($D232,RoleTitles!$A:$E,3,FALSE))))</f>
        <v/>
      </c>
      <c r="J232" s="27">
        <f>IF($D232="","",IF($E232&gt;=VLOOKUP($D232,RoleTitles!$A:$B,2,FALSE),"Yes","No"))</f>
        <v/>
      </c>
      <c r="K232" s="27">
        <f>IF($D232="","",IF($D232="T1","T2",IF($D232="T2","T3",IF($D232="T3","T4",IF($D232="T4","T5",IF($D232="T5","T6",IF($D232="T6","T7",IF($D232="T7","T8",IF($D232="T8","T9","")))))))))</f>
        <v/>
      </c>
      <c r="L232" s="28">
        <f>IF($K232="","",MAX(0,VLOOKUP($K232,RoleTitles!$A:$B,2,FALSE)-$E232))</f>
        <v/>
      </c>
    </row>
    <row r="233">
      <c r="A233" s="24">
        <f>IFERROR(INDEX(CoachRoster!$A$2:$A$1000,ROW()-1),"")</f>
        <v/>
      </c>
      <c r="B233" s="27">
        <f>IF($A233="","",VLOOKUP($A233,CoachRoster!$A:$E,2,FALSE))</f>
        <v/>
      </c>
      <c r="C233" s="27">
        <f>IF($A233="","",VLOOKUP($A233,CoachRoster!$A:$E,3,FALSE))</f>
        <v/>
      </c>
      <c r="D233" s="27">
        <f>IF($A233="","",VLOOKUP($A233,CoachRoster!$A:$E,4,FALSE))</f>
        <v/>
      </c>
      <c r="E233" s="27">
        <f>IF($A233="","",MIN(Settings!$B$8,IFERROR(SUMIF(Weekly_Coaching!$B:$B,$A233,Weekly_Coaching!$D:$D),0)+IFERROR(SUMIF(Monthly_Edu!$B:$B,$A233,Monthly_Edu!$D:$D),0)+IFERROR(SUMIF(Monthly_Ops!$B:$B,$A233,Monthly_Ops!$D:$D),0)+IFERROR(SUMIF(Monthly_Mentor!$B:$B,$A233,Monthly_Mentor!$D:$D),0)+IFERROR(SUMIF(Quarterly_Impact!$B:$B,$A233,Quarterly_Impact!$D:$D),0)+IFERROR(SUMIFS(XPLog!$M:$M,XPLog!$B:$B,$A233,XPLog!$J:$J,"Admin"),0)+IFERROR(SUMIFS(XPLog!$M:$M,XPLog!$B:$B,$A233,XPLog!$J:$J,"Seeding"),0)))</f>
        <v/>
      </c>
      <c r="F233" s="27">
        <f>IF($E233="","",LOOKUP($E233, XPBands!B$2:B$10, XPBands!A$2:A$10))</f>
        <v/>
      </c>
      <c r="G233" s="27">
        <f>IF($E233="","", VLOOKUP($F233, XPBands!A$2:G$10, 4, FALSE) + MIN(VLOOKUP($F233, XPBands!A$2:G$10, 5, FALSE) - VLOOKUP($F233, XPBands!A$2:G$10, 4, FALSE), FLOOR(( $E233 - VLOOKUP($F233, XPBands!A$2:G$10, 2, FALSE) ) / VLOOKUP($F233, XPBands!A$2:G$10, 7, FALSE),1)))</f>
        <v/>
      </c>
      <c r="H233" s="27">
        <f>IF($D233="","",VLOOKUP($D233,RoleTitles!$A:$E,3,FALSE))</f>
        <v/>
      </c>
      <c r="I233" s="27">
        <f>IF($D233="","",IF($C233="Greek",VLOOKUP($D233,RoleTitles!$A:$E,4,FALSE),IF($C233="Aesir",VLOOKUP($D233,RoleTitles!$A:$E,5,FALSE),VLOOKUP($D233,RoleTitles!$A:$E,3,FALSE))))</f>
        <v/>
      </c>
      <c r="J233" s="27">
        <f>IF($D233="","",IF($E233&gt;=VLOOKUP($D233,RoleTitles!$A:$B,2,FALSE),"Yes","No"))</f>
        <v/>
      </c>
      <c r="K233" s="27">
        <f>IF($D233="","",IF($D233="T1","T2",IF($D233="T2","T3",IF($D233="T3","T4",IF($D233="T4","T5",IF($D233="T5","T6",IF($D233="T6","T7",IF($D233="T7","T8",IF($D233="T8","T9","")))))))))</f>
        <v/>
      </c>
      <c r="L233" s="28">
        <f>IF($K233="","",MAX(0,VLOOKUP($K233,RoleTitles!$A:$B,2,FALSE)-$E233))</f>
        <v/>
      </c>
    </row>
    <row r="234">
      <c r="A234" s="24">
        <f>IFERROR(INDEX(CoachRoster!$A$2:$A$1000,ROW()-1),"")</f>
        <v/>
      </c>
      <c r="B234" s="27">
        <f>IF($A234="","",VLOOKUP($A234,CoachRoster!$A:$E,2,FALSE))</f>
        <v/>
      </c>
      <c r="C234" s="27">
        <f>IF($A234="","",VLOOKUP($A234,CoachRoster!$A:$E,3,FALSE))</f>
        <v/>
      </c>
      <c r="D234" s="27">
        <f>IF($A234="","",VLOOKUP($A234,CoachRoster!$A:$E,4,FALSE))</f>
        <v/>
      </c>
      <c r="E234" s="27">
        <f>IF($A234="","",MIN(Settings!$B$8,IFERROR(SUMIF(Weekly_Coaching!$B:$B,$A234,Weekly_Coaching!$D:$D),0)+IFERROR(SUMIF(Monthly_Edu!$B:$B,$A234,Monthly_Edu!$D:$D),0)+IFERROR(SUMIF(Monthly_Ops!$B:$B,$A234,Monthly_Ops!$D:$D),0)+IFERROR(SUMIF(Monthly_Mentor!$B:$B,$A234,Monthly_Mentor!$D:$D),0)+IFERROR(SUMIF(Quarterly_Impact!$B:$B,$A234,Quarterly_Impact!$D:$D),0)+IFERROR(SUMIFS(XPLog!$M:$M,XPLog!$B:$B,$A234,XPLog!$J:$J,"Admin"),0)+IFERROR(SUMIFS(XPLog!$M:$M,XPLog!$B:$B,$A234,XPLog!$J:$J,"Seeding"),0)))</f>
        <v/>
      </c>
      <c r="F234" s="27">
        <f>IF($E234="","",LOOKUP($E234, XPBands!B$2:B$10, XPBands!A$2:A$10))</f>
        <v/>
      </c>
      <c r="G234" s="27">
        <f>IF($E234="","", VLOOKUP($F234, XPBands!A$2:G$10, 4, FALSE) + MIN(VLOOKUP($F234, XPBands!A$2:G$10, 5, FALSE) - VLOOKUP($F234, XPBands!A$2:G$10, 4, FALSE), FLOOR(( $E234 - VLOOKUP($F234, XPBands!A$2:G$10, 2, FALSE) ) / VLOOKUP($F234, XPBands!A$2:G$10, 7, FALSE),1)))</f>
        <v/>
      </c>
      <c r="H234" s="27">
        <f>IF($D234="","",VLOOKUP($D234,RoleTitles!$A:$E,3,FALSE))</f>
        <v/>
      </c>
      <c r="I234" s="27">
        <f>IF($D234="","",IF($C234="Greek",VLOOKUP($D234,RoleTitles!$A:$E,4,FALSE),IF($C234="Aesir",VLOOKUP($D234,RoleTitles!$A:$E,5,FALSE),VLOOKUP($D234,RoleTitles!$A:$E,3,FALSE))))</f>
        <v/>
      </c>
      <c r="J234" s="27">
        <f>IF($D234="","",IF($E234&gt;=VLOOKUP($D234,RoleTitles!$A:$B,2,FALSE),"Yes","No"))</f>
        <v/>
      </c>
      <c r="K234" s="27">
        <f>IF($D234="","",IF($D234="T1","T2",IF($D234="T2","T3",IF($D234="T3","T4",IF($D234="T4","T5",IF($D234="T5","T6",IF($D234="T6","T7",IF($D234="T7","T8",IF($D234="T8","T9","")))))))))</f>
        <v/>
      </c>
      <c r="L234" s="28">
        <f>IF($K234="","",MAX(0,VLOOKUP($K234,RoleTitles!$A:$B,2,FALSE)-$E234))</f>
        <v/>
      </c>
    </row>
    <row r="235">
      <c r="A235" s="24">
        <f>IFERROR(INDEX(CoachRoster!$A$2:$A$1000,ROW()-1),"")</f>
        <v/>
      </c>
      <c r="B235" s="27">
        <f>IF($A235="","",VLOOKUP($A235,CoachRoster!$A:$E,2,FALSE))</f>
        <v/>
      </c>
      <c r="C235" s="27">
        <f>IF($A235="","",VLOOKUP($A235,CoachRoster!$A:$E,3,FALSE))</f>
        <v/>
      </c>
      <c r="D235" s="27">
        <f>IF($A235="","",VLOOKUP($A235,CoachRoster!$A:$E,4,FALSE))</f>
        <v/>
      </c>
      <c r="E235" s="27">
        <f>IF($A235="","",MIN(Settings!$B$8,IFERROR(SUMIF(Weekly_Coaching!$B:$B,$A235,Weekly_Coaching!$D:$D),0)+IFERROR(SUMIF(Monthly_Edu!$B:$B,$A235,Monthly_Edu!$D:$D),0)+IFERROR(SUMIF(Monthly_Ops!$B:$B,$A235,Monthly_Ops!$D:$D),0)+IFERROR(SUMIF(Monthly_Mentor!$B:$B,$A235,Monthly_Mentor!$D:$D),0)+IFERROR(SUMIF(Quarterly_Impact!$B:$B,$A235,Quarterly_Impact!$D:$D),0)+IFERROR(SUMIFS(XPLog!$M:$M,XPLog!$B:$B,$A235,XPLog!$J:$J,"Admin"),0)+IFERROR(SUMIFS(XPLog!$M:$M,XPLog!$B:$B,$A235,XPLog!$J:$J,"Seeding"),0)))</f>
        <v/>
      </c>
      <c r="F235" s="27">
        <f>IF($E235="","",LOOKUP($E235, XPBands!B$2:B$10, XPBands!A$2:A$10))</f>
        <v/>
      </c>
      <c r="G235" s="27">
        <f>IF($E235="","", VLOOKUP($F235, XPBands!A$2:G$10, 4, FALSE) + MIN(VLOOKUP($F235, XPBands!A$2:G$10, 5, FALSE) - VLOOKUP($F235, XPBands!A$2:G$10, 4, FALSE), FLOOR(( $E235 - VLOOKUP($F235, XPBands!A$2:G$10, 2, FALSE) ) / VLOOKUP($F235, XPBands!A$2:G$10, 7, FALSE),1)))</f>
        <v/>
      </c>
      <c r="H235" s="27">
        <f>IF($D235="","",VLOOKUP($D235,RoleTitles!$A:$E,3,FALSE))</f>
        <v/>
      </c>
      <c r="I235" s="27">
        <f>IF($D235="","",IF($C235="Greek",VLOOKUP($D235,RoleTitles!$A:$E,4,FALSE),IF($C235="Aesir",VLOOKUP($D235,RoleTitles!$A:$E,5,FALSE),VLOOKUP($D235,RoleTitles!$A:$E,3,FALSE))))</f>
        <v/>
      </c>
      <c r="J235" s="27">
        <f>IF($D235="","",IF($E235&gt;=VLOOKUP($D235,RoleTitles!$A:$B,2,FALSE),"Yes","No"))</f>
        <v/>
      </c>
      <c r="K235" s="27">
        <f>IF($D235="","",IF($D235="T1","T2",IF($D235="T2","T3",IF($D235="T3","T4",IF($D235="T4","T5",IF($D235="T5","T6",IF($D235="T6","T7",IF($D235="T7","T8",IF($D235="T8","T9","")))))))))</f>
        <v/>
      </c>
      <c r="L235" s="28">
        <f>IF($K235="","",MAX(0,VLOOKUP($K235,RoleTitles!$A:$B,2,FALSE)-$E235))</f>
        <v/>
      </c>
    </row>
    <row r="236">
      <c r="A236" s="24">
        <f>IFERROR(INDEX(CoachRoster!$A$2:$A$1000,ROW()-1),"")</f>
        <v/>
      </c>
      <c r="B236" s="27">
        <f>IF($A236="","",VLOOKUP($A236,CoachRoster!$A:$E,2,FALSE))</f>
        <v/>
      </c>
      <c r="C236" s="27">
        <f>IF($A236="","",VLOOKUP($A236,CoachRoster!$A:$E,3,FALSE))</f>
        <v/>
      </c>
      <c r="D236" s="27">
        <f>IF($A236="","",VLOOKUP($A236,CoachRoster!$A:$E,4,FALSE))</f>
        <v/>
      </c>
      <c r="E236" s="27">
        <f>IF($A236="","",MIN(Settings!$B$8,IFERROR(SUMIF(Weekly_Coaching!$B:$B,$A236,Weekly_Coaching!$D:$D),0)+IFERROR(SUMIF(Monthly_Edu!$B:$B,$A236,Monthly_Edu!$D:$D),0)+IFERROR(SUMIF(Monthly_Ops!$B:$B,$A236,Monthly_Ops!$D:$D),0)+IFERROR(SUMIF(Monthly_Mentor!$B:$B,$A236,Monthly_Mentor!$D:$D),0)+IFERROR(SUMIF(Quarterly_Impact!$B:$B,$A236,Quarterly_Impact!$D:$D),0)+IFERROR(SUMIFS(XPLog!$M:$M,XPLog!$B:$B,$A236,XPLog!$J:$J,"Admin"),0)+IFERROR(SUMIFS(XPLog!$M:$M,XPLog!$B:$B,$A236,XPLog!$J:$J,"Seeding"),0)))</f>
        <v/>
      </c>
      <c r="F236" s="27">
        <f>IF($E236="","",LOOKUP($E236, XPBands!B$2:B$10, XPBands!A$2:A$10))</f>
        <v/>
      </c>
      <c r="G236" s="27">
        <f>IF($E236="","", VLOOKUP($F236, XPBands!A$2:G$10, 4, FALSE) + MIN(VLOOKUP($F236, XPBands!A$2:G$10, 5, FALSE) - VLOOKUP($F236, XPBands!A$2:G$10, 4, FALSE), FLOOR(( $E236 - VLOOKUP($F236, XPBands!A$2:G$10, 2, FALSE) ) / VLOOKUP($F236, XPBands!A$2:G$10, 7, FALSE),1)))</f>
        <v/>
      </c>
      <c r="H236" s="27">
        <f>IF($D236="","",VLOOKUP($D236,RoleTitles!$A:$E,3,FALSE))</f>
        <v/>
      </c>
      <c r="I236" s="27">
        <f>IF($D236="","",IF($C236="Greek",VLOOKUP($D236,RoleTitles!$A:$E,4,FALSE),IF($C236="Aesir",VLOOKUP($D236,RoleTitles!$A:$E,5,FALSE),VLOOKUP($D236,RoleTitles!$A:$E,3,FALSE))))</f>
        <v/>
      </c>
      <c r="J236" s="27">
        <f>IF($D236="","",IF($E236&gt;=VLOOKUP($D236,RoleTitles!$A:$B,2,FALSE),"Yes","No"))</f>
        <v/>
      </c>
      <c r="K236" s="27">
        <f>IF($D236="","",IF($D236="T1","T2",IF($D236="T2","T3",IF($D236="T3","T4",IF($D236="T4","T5",IF($D236="T5","T6",IF($D236="T6","T7",IF($D236="T7","T8",IF($D236="T8","T9","")))))))))</f>
        <v/>
      </c>
      <c r="L236" s="28">
        <f>IF($K236="","",MAX(0,VLOOKUP($K236,RoleTitles!$A:$B,2,FALSE)-$E236))</f>
        <v/>
      </c>
    </row>
    <row r="237">
      <c r="A237" s="24">
        <f>IFERROR(INDEX(CoachRoster!$A$2:$A$1000,ROW()-1),"")</f>
        <v/>
      </c>
      <c r="B237" s="27">
        <f>IF($A237="","",VLOOKUP($A237,CoachRoster!$A:$E,2,FALSE))</f>
        <v/>
      </c>
      <c r="C237" s="27">
        <f>IF($A237="","",VLOOKUP($A237,CoachRoster!$A:$E,3,FALSE))</f>
        <v/>
      </c>
      <c r="D237" s="27">
        <f>IF($A237="","",VLOOKUP($A237,CoachRoster!$A:$E,4,FALSE))</f>
        <v/>
      </c>
      <c r="E237" s="27">
        <f>IF($A237="","",MIN(Settings!$B$8,IFERROR(SUMIF(Weekly_Coaching!$B:$B,$A237,Weekly_Coaching!$D:$D),0)+IFERROR(SUMIF(Monthly_Edu!$B:$B,$A237,Monthly_Edu!$D:$D),0)+IFERROR(SUMIF(Monthly_Ops!$B:$B,$A237,Monthly_Ops!$D:$D),0)+IFERROR(SUMIF(Monthly_Mentor!$B:$B,$A237,Monthly_Mentor!$D:$D),0)+IFERROR(SUMIF(Quarterly_Impact!$B:$B,$A237,Quarterly_Impact!$D:$D),0)+IFERROR(SUMIFS(XPLog!$M:$M,XPLog!$B:$B,$A237,XPLog!$J:$J,"Admin"),0)+IFERROR(SUMIFS(XPLog!$M:$M,XPLog!$B:$B,$A237,XPLog!$J:$J,"Seeding"),0)))</f>
        <v/>
      </c>
      <c r="F237" s="27">
        <f>IF($E237="","",LOOKUP($E237, XPBands!B$2:B$10, XPBands!A$2:A$10))</f>
        <v/>
      </c>
      <c r="G237" s="27">
        <f>IF($E237="","", VLOOKUP($F237, XPBands!A$2:G$10, 4, FALSE) + MIN(VLOOKUP($F237, XPBands!A$2:G$10, 5, FALSE) - VLOOKUP($F237, XPBands!A$2:G$10, 4, FALSE), FLOOR(( $E237 - VLOOKUP($F237, XPBands!A$2:G$10, 2, FALSE) ) / VLOOKUP($F237, XPBands!A$2:G$10, 7, FALSE),1)))</f>
        <v/>
      </c>
      <c r="H237" s="27">
        <f>IF($D237="","",VLOOKUP($D237,RoleTitles!$A:$E,3,FALSE))</f>
        <v/>
      </c>
      <c r="I237" s="27">
        <f>IF($D237="","",IF($C237="Greek",VLOOKUP($D237,RoleTitles!$A:$E,4,FALSE),IF($C237="Aesir",VLOOKUP($D237,RoleTitles!$A:$E,5,FALSE),VLOOKUP($D237,RoleTitles!$A:$E,3,FALSE))))</f>
        <v/>
      </c>
      <c r="J237" s="27">
        <f>IF($D237="","",IF($E237&gt;=VLOOKUP($D237,RoleTitles!$A:$B,2,FALSE),"Yes","No"))</f>
        <v/>
      </c>
      <c r="K237" s="27">
        <f>IF($D237="","",IF($D237="T1","T2",IF($D237="T2","T3",IF($D237="T3","T4",IF($D237="T4","T5",IF($D237="T5","T6",IF($D237="T6","T7",IF($D237="T7","T8",IF($D237="T8","T9","")))))))))</f>
        <v/>
      </c>
      <c r="L237" s="28">
        <f>IF($K237="","",MAX(0,VLOOKUP($K237,RoleTitles!$A:$B,2,FALSE)-$E237))</f>
        <v/>
      </c>
    </row>
    <row r="238">
      <c r="A238" s="24">
        <f>IFERROR(INDEX(CoachRoster!$A$2:$A$1000,ROW()-1),"")</f>
        <v/>
      </c>
      <c r="B238" s="27">
        <f>IF($A238="","",VLOOKUP($A238,CoachRoster!$A:$E,2,FALSE))</f>
        <v/>
      </c>
      <c r="C238" s="27">
        <f>IF($A238="","",VLOOKUP($A238,CoachRoster!$A:$E,3,FALSE))</f>
        <v/>
      </c>
      <c r="D238" s="27">
        <f>IF($A238="","",VLOOKUP($A238,CoachRoster!$A:$E,4,FALSE))</f>
        <v/>
      </c>
      <c r="E238" s="27">
        <f>IF($A238="","",MIN(Settings!$B$8,IFERROR(SUMIF(Weekly_Coaching!$B:$B,$A238,Weekly_Coaching!$D:$D),0)+IFERROR(SUMIF(Monthly_Edu!$B:$B,$A238,Monthly_Edu!$D:$D),0)+IFERROR(SUMIF(Monthly_Ops!$B:$B,$A238,Monthly_Ops!$D:$D),0)+IFERROR(SUMIF(Monthly_Mentor!$B:$B,$A238,Monthly_Mentor!$D:$D),0)+IFERROR(SUMIF(Quarterly_Impact!$B:$B,$A238,Quarterly_Impact!$D:$D),0)+IFERROR(SUMIFS(XPLog!$M:$M,XPLog!$B:$B,$A238,XPLog!$J:$J,"Admin"),0)+IFERROR(SUMIFS(XPLog!$M:$M,XPLog!$B:$B,$A238,XPLog!$J:$J,"Seeding"),0)))</f>
        <v/>
      </c>
      <c r="F238" s="27">
        <f>IF($E238="","",LOOKUP($E238, XPBands!B$2:B$10, XPBands!A$2:A$10))</f>
        <v/>
      </c>
      <c r="G238" s="27">
        <f>IF($E238="","", VLOOKUP($F238, XPBands!A$2:G$10, 4, FALSE) + MIN(VLOOKUP($F238, XPBands!A$2:G$10, 5, FALSE) - VLOOKUP($F238, XPBands!A$2:G$10, 4, FALSE), FLOOR(( $E238 - VLOOKUP($F238, XPBands!A$2:G$10, 2, FALSE) ) / VLOOKUP($F238, XPBands!A$2:G$10, 7, FALSE),1)))</f>
        <v/>
      </c>
      <c r="H238" s="27">
        <f>IF($D238="","",VLOOKUP($D238,RoleTitles!$A:$E,3,FALSE))</f>
        <v/>
      </c>
      <c r="I238" s="27">
        <f>IF($D238="","",IF($C238="Greek",VLOOKUP($D238,RoleTitles!$A:$E,4,FALSE),IF($C238="Aesir",VLOOKUP($D238,RoleTitles!$A:$E,5,FALSE),VLOOKUP($D238,RoleTitles!$A:$E,3,FALSE))))</f>
        <v/>
      </c>
      <c r="J238" s="27">
        <f>IF($D238="","",IF($E238&gt;=VLOOKUP($D238,RoleTitles!$A:$B,2,FALSE),"Yes","No"))</f>
        <v/>
      </c>
      <c r="K238" s="27">
        <f>IF($D238="","",IF($D238="T1","T2",IF($D238="T2","T3",IF($D238="T3","T4",IF($D238="T4","T5",IF($D238="T5","T6",IF($D238="T6","T7",IF($D238="T7","T8",IF($D238="T8","T9","")))))))))</f>
        <v/>
      </c>
      <c r="L238" s="28">
        <f>IF($K238="","",MAX(0,VLOOKUP($K238,RoleTitles!$A:$B,2,FALSE)-$E238))</f>
        <v/>
      </c>
    </row>
    <row r="239">
      <c r="A239" s="24">
        <f>IFERROR(INDEX(CoachRoster!$A$2:$A$1000,ROW()-1),"")</f>
        <v/>
      </c>
      <c r="B239" s="27">
        <f>IF($A239="","",VLOOKUP($A239,CoachRoster!$A:$E,2,FALSE))</f>
        <v/>
      </c>
      <c r="C239" s="27">
        <f>IF($A239="","",VLOOKUP($A239,CoachRoster!$A:$E,3,FALSE))</f>
        <v/>
      </c>
      <c r="D239" s="27">
        <f>IF($A239="","",VLOOKUP($A239,CoachRoster!$A:$E,4,FALSE))</f>
        <v/>
      </c>
      <c r="E239" s="27">
        <f>IF($A239="","",MIN(Settings!$B$8,IFERROR(SUMIF(Weekly_Coaching!$B:$B,$A239,Weekly_Coaching!$D:$D),0)+IFERROR(SUMIF(Monthly_Edu!$B:$B,$A239,Monthly_Edu!$D:$D),0)+IFERROR(SUMIF(Monthly_Ops!$B:$B,$A239,Monthly_Ops!$D:$D),0)+IFERROR(SUMIF(Monthly_Mentor!$B:$B,$A239,Monthly_Mentor!$D:$D),0)+IFERROR(SUMIF(Quarterly_Impact!$B:$B,$A239,Quarterly_Impact!$D:$D),0)+IFERROR(SUMIFS(XPLog!$M:$M,XPLog!$B:$B,$A239,XPLog!$J:$J,"Admin"),0)+IFERROR(SUMIFS(XPLog!$M:$M,XPLog!$B:$B,$A239,XPLog!$J:$J,"Seeding"),0)))</f>
        <v/>
      </c>
      <c r="F239" s="27">
        <f>IF($E239="","",LOOKUP($E239, XPBands!B$2:B$10, XPBands!A$2:A$10))</f>
        <v/>
      </c>
      <c r="G239" s="27">
        <f>IF($E239="","", VLOOKUP($F239, XPBands!A$2:G$10, 4, FALSE) + MIN(VLOOKUP($F239, XPBands!A$2:G$10, 5, FALSE) - VLOOKUP($F239, XPBands!A$2:G$10, 4, FALSE), FLOOR(( $E239 - VLOOKUP($F239, XPBands!A$2:G$10, 2, FALSE) ) / VLOOKUP($F239, XPBands!A$2:G$10, 7, FALSE),1)))</f>
        <v/>
      </c>
      <c r="H239" s="27">
        <f>IF($D239="","",VLOOKUP($D239,RoleTitles!$A:$E,3,FALSE))</f>
        <v/>
      </c>
      <c r="I239" s="27">
        <f>IF($D239="","",IF($C239="Greek",VLOOKUP($D239,RoleTitles!$A:$E,4,FALSE),IF($C239="Aesir",VLOOKUP($D239,RoleTitles!$A:$E,5,FALSE),VLOOKUP($D239,RoleTitles!$A:$E,3,FALSE))))</f>
        <v/>
      </c>
      <c r="J239" s="27">
        <f>IF($D239="","",IF($E239&gt;=VLOOKUP($D239,RoleTitles!$A:$B,2,FALSE),"Yes","No"))</f>
        <v/>
      </c>
      <c r="K239" s="27">
        <f>IF($D239="","",IF($D239="T1","T2",IF($D239="T2","T3",IF($D239="T3","T4",IF($D239="T4","T5",IF($D239="T5","T6",IF($D239="T6","T7",IF($D239="T7","T8",IF($D239="T8","T9","")))))))))</f>
        <v/>
      </c>
      <c r="L239" s="28">
        <f>IF($K239="","",MAX(0,VLOOKUP($K239,RoleTitles!$A:$B,2,FALSE)-$E239))</f>
        <v/>
      </c>
    </row>
    <row r="240">
      <c r="A240" s="24">
        <f>IFERROR(INDEX(CoachRoster!$A$2:$A$1000,ROW()-1),"")</f>
        <v/>
      </c>
      <c r="B240" s="27">
        <f>IF($A240="","",VLOOKUP($A240,CoachRoster!$A:$E,2,FALSE))</f>
        <v/>
      </c>
      <c r="C240" s="27">
        <f>IF($A240="","",VLOOKUP($A240,CoachRoster!$A:$E,3,FALSE))</f>
        <v/>
      </c>
      <c r="D240" s="27">
        <f>IF($A240="","",VLOOKUP($A240,CoachRoster!$A:$E,4,FALSE))</f>
        <v/>
      </c>
      <c r="E240" s="27">
        <f>IF($A240="","",MIN(Settings!$B$8,IFERROR(SUMIF(Weekly_Coaching!$B:$B,$A240,Weekly_Coaching!$D:$D),0)+IFERROR(SUMIF(Monthly_Edu!$B:$B,$A240,Monthly_Edu!$D:$D),0)+IFERROR(SUMIF(Monthly_Ops!$B:$B,$A240,Monthly_Ops!$D:$D),0)+IFERROR(SUMIF(Monthly_Mentor!$B:$B,$A240,Monthly_Mentor!$D:$D),0)+IFERROR(SUMIF(Quarterly_Impact!$B:$B,$A240,Quarterly_Impact!$D:$D),0)+IFERROR(SUMIFS(XPLog!$M:$M,XPLog!$B:$B,$A240,XPLog!$J:$J,"Admin"),0)+IFERROR(SUMIFS(XPLog!$M:$M,XPLog!$B:$B,$A240,XPLog!$J:$J,"Seeding"),0)))</f>
        <v/>
      </c>
      <c r="F240" s="27">
        <f>IF($E240="","",LOOKUP($E240, XPBands!B$2:B$10, XPBands!A$2:A$10))</f>
        <v/>
      </c>
      <c r="G240" s="27">
        <f>IF($E240="","", VLOOKUP($F240, XPBands!A$2:G$10, 4, FALSE) + MIN(VLOOKUP($F240, XPBands!A$2:G$10, 5, FALSE) - VLOOKUP($F240, XPBands!A$2:G$10, 4, FALSE), FLOOR(( $E240 - VLOOKUP($F240, XPBands!A$2:G$10, 2, FALSE) ) / VLOOKUP($F240, XPBands!A$2:G$10, 7, FALSE),1)))</f>
        <v/>
      </c>
      <c r="H240" s="27">
        <f>IF($D240="","",VLOOKUP($D240,RoleTitles!$A:$E,3,FALSE))</f>
        <v/>
      </c>
      <c r="I240" s="27">
        <f>IF($D240="","",IF($C240="Greek",VLOOKUP($D240,RoleTitles!$A:$E,4,FALSE),IF($C240="Aesir",VLOOKUP($D240,RoleTitles!$A:$E,5,FALSE),VLOOKUP($D240,RoleTitles!$A:$E,3,FALSE))))</f>
        <v/>
      </c>
      <c r="J240" s="27">
        <f>IF($D240="","",IF($E240&gt;=VLOOKUP($D240,RoleTitles!$A:$B,2,FALSE),"Yes","No"))</f>
        <v/>
      </c>
      <c r="K240" s="27">
        <f>IF($D240="","",IF($D240="T1","T2",IF($D240="T2","T3",IF($D240="T3","T4",IF($D240="T4","T5",IF($D240="T5","T6",IF($D240="T6","T7",IF($D240="T7","T8",IF($D240="T8","T9","")))))))))</f>
        <v/>
      </c>
      <c r="L240" s="28">
        <f>IF($K240="","",MAX(0,VLOOKUP($K240,RoleTitles!$A:$B,2,FALSE)-$E240))</f>
        <v/>
      </c>
    </row>
    <row r="241">
      <c r="A241" s="24">
        <f>IFERROR(INDEX(CoachRoster!$A$2:$A$1000,ROW()-1),"")</f>
        <v/>
      </c>
      <c r="B241" s="27">
        <f>IF($A241="","",VLOOKUP($A241,CoachRoster!$A:$E,2,FALSE))</f>
        <v/>
      </c>
      <c r="C241" s="27">
        <f>IF($A241="","",VLOOKUP($A241,CoachRoster!$A:$E,3,FALSE))</f>
        <v/>
      </c>
      <c r="D241" s="27">
        <f>IF($A241="","",VLOOKUP($A241,CoachRoster!$A:$E,4,FALSE))</f>
        <v/>
      </c>
      <c r="E241" s="27">
        <f>IF($A241="","",MIN(Settings!$B$8,IFERROR(SUMIF(Weekly_Coaching!$B:$B,$A241,Weekly_Coaching!$D:$D),0)+IFERROR(SUMIF(Monthly_Edu!$B:$B,$A241,Monthly_Edu!$D:$D),0)+IFERROR(SUMIF(Monthly_Ops!$B:$B,$A241,Monthly_Ops!$D:$D),0)+IFERROR(SUMIF(Monthly_Mentor!$B:$B,$A241,Monthly_Mentor!$D:$D),0)+IFERROR(SUMIF(Quarterly_Impact!$B:$B,$A241,Quarterly_Impact!$D:$D),0)+IFERROR(SUMIFS(XPLog!$M:$M,XPLog!$B:$B,$A241,XPLog!$J:$J,"Admin"),0)+IFERROR(SUMIFS(XPLog!$M:$M,XPLog!$B:$B,$A241,XPLog!$J:$J,"Seeding"),0)))</f>
        <v/>
      </c>
      <c r="F241" s="27">
        <f>IF($E241="","",LOOKUP($E241, XPBands!B$2:B$10, XPBands!A$2:A$10))</f>
        <v/>
      </c>
      <c r="G241" s="27">
        <f>IF($E241="","", VLOOKUP($F241, XPBands!A$2:G$10, 4, FALSE) + MIN(VLOOKUP($F241, XPBands!A$2:G$10, 5, FALSE) - VLOOKUP($F241, XPBands!A$2:G$10, 4, FALSE), FLOOR(( $E241 - VLOOKUP($F241, XPBands!A$2:G$10, 2, FALSE) ) / VLOOKUP($F241, XPBands!A$2:G$10, 7, FALSE),1)))</f>
        <v/>
      </c>
      <c r="H241" s="27">
        <f>IF($D241="","",VLOOKUP($D241,RoleTitles!$A:$E,3,FALSE))</f>
        <v/>
      </c>
      <c r="I241" s="27">
        <f>IF($D241="","",IF($C241="Greek",VLOOKUP($D241,RoleTitles!$A:$E,4,FALSE),IF($C241="Aesir",VLOOKUP($D241,RoleTitles!$A:$E,5,FALSE),VLOOKUP($D241,RoleTitles!$A:$E,3,FALSE))))</f>
        <v/>
      </c>
      <c r="J241" s="27">
        <f>IF($D241="","",IF($E241&gt;=VLOOKUP($D241,RoleTitles!$A:$B,2,FALSE),"Yes","No"))</f>
        <v/>
      </c>
      <c r="K241" s="27">
        <f>IF($D241="","",IF($D241="T1","T2",IF($D241="T2","T3",IF($D241="T3","T4",IF($D241="T4","T5",IF($D241="T5","T6",IF($D241="T6","T7",IF($D241="T7","T8",IF($D241="T8","T9","")))))))))</f>
        <v/>
      </c>
      <c r="L241" s="28">
        <f>IF($K241="","",MAX(0,VLOOKUP($K241,RoleTitles!$A:$B,2,FALSE)-$E241))</f>
        <v/>
      </c>
    </row>
    <row r="242">
      <c r="A242" s="24">
        <f>IFERROR(INDEX(CoachRoster!$A$2:$A$1000,ROW()-1),"")</f>
        <v/>
      </c>
      <c r="B242" s="27">
        <f>IF($A242="","",VLOOKUP($A242,CoachRoster!$A:$E,2,FALSE))</f>
        <v/>
      </c>
      <c r="C242" s="27">
        <f>IF($A242="","",VLOOKUP($A242,CoachRoster!$A:$E,3,FALSE))</f>
        <v/>
      </c>
      <c r="D242" s="27">
        <f>IF($A242="","",VLOOKUP($A242,CoachRoster!$A:$E,4,FALSE))</f>
        <v/>
      </c>
      <c r="E242" s="27">
        <f>IF($A242="","",MIN(Settings!$B$8,IFERROR(SUMIF(Weekly_Coaching!$B:$B,$A242,Weekly_Coaching!$D:$D),0)+IFERROR(SUMIF(Monthly_Edu!$B:$B,$A242,Monthly_Edu!$D:$D),0)+IFERROR(SUMIF(Monthly_Ops!$B:$B,$A242,Monthly_Ops!$D:$D),0)+IFERROR(SUMIF(Monthly_Mentor!$B:$B,$A242,Monthly_Mentor!$D:$D),0)+IFERROR(SUMIF(Quarterly_Impact!$B:$B,$A242,Quarterly_Impact!$D:$D),0)+IFERROR(SUMIFS(XPLog!$M:$M,XPLog!$B:$B,$A242,XPLog!$J:$J,"Admin"),0)+IFERROR(SUMIFS(XPLog!$M:$M,XPLog!$B:$B,$A242,XPLog!$J:$J,"Seeding"),0)))</f>
        <v/>
      </c>
      <c r="F242" s="27">
        <f>IF($E242="","",LOOKUP($E242, XPBands!B$2:B$10, XPBands!A$2:A$10))</f>
        <v/>
      </c>
      <c r="G242" s="27">
        <f>IF($E242="","", VLOOKUP($F242, XPBands!A$2:G$10, 4, FALSE) + MIN(VLOOKUP($F242, XPBands!A$2:G$10, 5, FALSE) - VLOOKUP($F242, XPBands!A$2:G$10, 4, FALSE), FLOOR(( $E242 - VLOOKUP($F242, XPBands!A$2:G$10, 2, FALSE) ) / VLOOKUP($F242, XPBands!A$2:G$10, 7, FALSE),1)))</f>
        <v/>
      </c>
      <c r="H242" s="27">
        <f>IF($D242="","",VLOOKUP($D242,RoleTitles!$A:$E,3,FALSE))</f>
        <v/>
      </c>
      <c r="I242" s="27">
        <f>IF($D242="","",IF($C242="Greek",VLOOKUP($D242,RoleTitles!$A:$E,4,FALSE),IF($C242="Aesir",VLOOKUP($D242,RoleTitles!$A:$E,5,FALSE),VLOOKUP($D242,RoleTitles!$A:$E,3,FALSE))))</f>
        <v/>
      </c>
      <c r="J242" s="27">
        <f>IF($D242="","",IF($E242&gt;=VLOOKUP($D242,RoleTitles!$A:$B,2,FALSE),"Yes","No"))</f>
        <v/>
      </c>
      <c r="K242" s="27">
        <f>IF($D242="","",IF($D242="T1","T2",IF($D242="T2","T3",IF($D242="T3","T4",IF($D242="T4","T5",IF($D242="T5","T6",IF($D242="T6","T7",IF($D242="T7","T8",IF($D242="T8","T9","")))))))))</f>
        <v/>
      </c>
      <c r="L242" s="28">
        <f>IF($K242="","",MAX(0,VLOOKUP($K242,RoleTitles!$A:$B,2,FALSE)-$E242))</f>
        <v/>
      </c>
    </row>
    <row r="243">
      <c r="A243" s="24">
        <f>IFERROR(INDEX(CoachRoster!$A$2:$A$1000,ROW()-1),"")</f>
        <v/>
      </c>
      <c r="B243" s="27">
        <f>IF($A243="","",VLOOKUP($A243,CoachRoster!$A:$E,2,FALSE))</f>
        <v/>
      </c>
      <c r="C243" s="27">
        <f>IF($A243="","",VLOOKUP($A243,CoachRoster!$A:$E,3,FALSE))</f>
        <v/>
      </c>
      <c r="D243" s="27">
        <f>IF($A243="","",VLOOKUP($A243,CoachRoster!$A:$E,4,FALSE))</f>
        <v/>
      </c>
      <c r="E243" s="27">
        <f>IF($A243="","",MIN(Settings!$B$8,IFERROR(SUMIF(Weekly_Coaching!$B:$B,$A243,Weekly_Coaching!$D:$D),0)+IFERROR(SUMIF(Monthly_Edu!$B:$B,$A243,Monthly_Edu!$D:$D),0)+IFERROR(SUMIF(Monthly_Ops!$B:$B,$A243,Monthly_Ops!$D:$D),0)+IFERROR(SUMIF(Monthly_Mentor!$B:$B,$A243,Monthly_Mentor!$D:$D),0)+IFERROR(SUMIF(Quarterly_Impact!$B:$B,$A243,Quarterly_Impact!$D:$D),0)+IFERROR(SUMIFS(XPLog!$M:$M,XPLog!$B:$B,$A243,XPLog!$J:$J,"Admin"),0)+IFERROR(SUMIFS(XPLog!$M:$M,XPLog!$B:$B,$A243,XPLog!$J:$J,"Seeding"),0)))</f>
        <v/>
      </c>
      <c r="F243" s="27">
        <f>IF($E243="","",LOOKUP($E243, XPBands!B$2:B$10, XPBands!A$2:A$10))</f>
        <v/>
      </c>
      <c r="G243" s="27">
        <f>IF($E243="","", VLOOKUP($F243, XPBands!A$2:G$10, 4, FALSE) + MIN(VLOOKUP($F243, XPBands!A$2:G$10, 5, FALSE) - VLOOKUP($F243, XPBands!A$2:G$10, 4, FALSE), FLOOR(( $E243 - VLOOKUP($F243, XPBands!A$2:G$10, 2, FALSE) ) / VLOOKUP($F243, XPBands!A$2:G$10, 7, FALSE),1)))</f>
        <v/>
      </c>
      <c r="H243" s="27">
        <f>IF($D243="","",VLOOKUP($D243,RoleTitles!$A:$E,3,FALSE))</f>
        <v/>
      </c>
      <c r="I243" s="27">
        <f>IF($D243="","",IF($C243="Greek",VLOOKUP($D243,RoleTitles!$A:$E,4,FALSE),IF($C243="Aesir",VLOOKUP($D243,RoleTitles!$A:$E,5,FALSE),VLOOKUP($D243,RoleTitles!$A:$E,3,FALSE))))</f>
        <v/>
      </c>
      <c r="J243" s="27">
        <f>IF($D243="","",IF($E243&gt;=VLOOKUP($D243,RoleTitles!$A:$B,2,FALSE),"Yes","No"))</f>
        <v/>
      </c>
      <c r="K243" s="27">
        <f>IF($D243="","",IF($D243="T1","T2",IF($D243="T2","T3",IF($D243="T3","T4",IF($D243="T4","T5",IF($D243="T5","T6",IF($D243="T6","T7",IF($D243="T7","T8",IF($D243="T8","T9","")))))))))</f>
        <v/>
      </c>
      <c r="L243" s="28">
        <f>IF($K243="","",MAX(0,VLOOKUP($K243,RoleTitles!$A:$B,2,FALSE)-$E243))</f>
        <v/>
      </c>
    </row>
    <row r="244">
      <c r="A244" s="24">
        <f>IFERROR(INDEX(CoachRoster!$A$2:$A$1000,ROW()-1),"")</f>
        <v/>
      </c>
      <c r="B244" s="27">
        <f>IF($A244="","",VLOOKUP($A244,CoachRoster!$A:$E,2,FALSE))</f>
        <v/>
      </c>
      <c r="C244" s="27">
        <f>IF($A244="","",VLOOKUP($A244,CoachRoster!$A:$E,3,FALSE))</f>
        <v/>
      </c>
      <c r="D244" s="27">
        <f>IF($A244="","",VLOOKUP($A244,CoachRoster!$A:$E,4,FALSE))</f>
        <v/>
      </c>
      <c r="E244" s="27">
        <f>IF($A244="","",MIN(Settings!$B$8,IFERROR(SUMIF(Weekly_Coaching!$B:$B,$A244,Weekly_Coaching!$D:$D),0)+IFERROR(SUMIF(Monthly_Edu!$B:$B,$A244,Monthly_Edu!$D:$D),0)+IFERROR(SUMIF(Monthly_Ops!$B:$B,$A244,Monthly_Ops!$D:$D),0)+IFERROR(SUMIF(Monthly_Mentor!$B:$B,$A244,Monthly_Mentor!$D:$D),0)+IFERROR(SUMIF(Quarterly_Impact!$B:$B,$A244,Quarterly_Impact!$D:$D),0)+IFERROR(SUMIFS(XPLog!$M:$M,XPLog!$B:$B,$A244,XPLog!$J:$J,"Admin"),0)+IFERROR(SUMIFS(XPLog!$M:$M,XPLog!$B:$B,$A244,XPLog!$J:$J,"Seeding"),0)))</f>
        <v/>
      </c>
      <c r="F244" s="27">
        <f>IF($E244="","",LOOKUP($E244, XPBands!B$2:B$10, XPBands!A$2:A$10))</f>
        <v/>
      </c>
      <c r="G244" s="27">
        <f>IF($E244="","", VLOOKUP($F244, XPBands!A$2:G$10, 4, FALSE) + MIN(VLOOKUP($F244, XPBands!A$2:G$10, 5, FALSE) - VLOOKUP($F244, XPBands!A$2:G$10, 4, FALSE), FLOOR(( $E244 - VLOOKUP($F244, XPBands!A$2:G$10, 2, FALSE) ) / VLOOKUP($F244, XPBands!A$2:G$10, 7, FALSE),1)))</f>
        <v/>
      </c>
      <c r="H244" s="27">
        <f>IF($D244="","",VLOOKUP($D244,RoleTitles!$A:$E,3,FALSE))</f>
        <v/>
      </c>
      <c r="I244" s="27">
        <f>IF($D244="","",IF($C244="Greek",VLOOKUP($D244,RoleTitles!$A:$E,4,FALSE),IF($C244="Aesir",VLOOKUP($D244,RoleTitles!$A:$E,5,FALSE),VLOOKUP($D244,RoleTitles!$A:$E,3,FALSE))))</f>
        <v/>
      </c>
      <c r="J244" s="27">
        <f>IF($D244="","",IF($E244&gt;=VLOOKUP($D244,RoleTitles!$A:$B,2,FALSE),"Yes","No"))</f>
        <v/>
      </c>
      <c r="K244" s="27">
        <f>IF($D244="","",IF($D244="T1","T2",IF($D244="T2","T3",IF($D244="T3","T4",IF($D244="T4","T5",IF($D244="T5","T6",IF($D244="T6","T7",IF($D244="T7","T8",IF($D244="T8","T9","")))))))))</f>
        <v/>
      </c>
      <c r="L244" s="28">
        <f>IF($K244="","",MAX(0,VLOOKUP($K244,RoleTitles!$A:$B,2,FALSE)-$E244))</f>
        <v/>
      </c>
    </row>
    <row r="245">
      <c r="A245" s="24">
        <f>IFERROR(INDEX(CoachRoster!$A$2:$A$1000,ROW()-1),"")</f>
        <v/>
      </c>
      <c r="B245" s="27">
        <f>IF($A245="","",VLOOKUP($A245,CoachRoster!$A:$E,2,FALSE))</f>
        <v/>
      </c>
      <c r="C245" s="27">
        <f>IF($A245="","",VLOOKUP($A245,CoachRoster!$A:$E,3,FALSE))</f>
        <v/>
      </c>
      <c r="D245" s="27">
        <f>IF($A245="","",VLOOKUP($A245,CoachRoster!$A:$E,4,FALSE))</f>
        <v/>
      </c>
      <c r="E245" s="27">
        <f>IF($A245="","",MIN(Settings!$B$8,IFERROR(SUMIF(Weekly_Coaching!$B:$B,$A245,Weekly_Coaching!$D:$D),0)+IFERROR(SUMIF(Monthly_Edu!$B:$B,$A245,Monthly_Edu!$D:$D),0)+IFERROR(SUMIF(Monthly_Ops!$B:$B,$A245,Monthly_Ops!$D:$D),0)+IFERROR(SUMIF(Monthly_Mentor!$B:$B,$A245,Monthly_Mentor!$D:$D),0)+IFERROR(SUMIF(Quarterly_Impact!$B:$B,$A245,Quarterly_Impact!$D:$D),0)+IFERROR(SUMIFS(XPLog!$M:$M,XPLog!$B:$B,$A245,XPLog!$J:$J,"Admin"),0)+IFERROR(SUMIFS(XPLog!$M:$M,XPLog!$B:$B,$A245,XPLog!$J:$J,"Seeding"),0)))</f>
        <v/>
      </c>
      <c r="F245" s="27">
        <f>IF($E245="","",LOOKUP($E245, XPBands!B$2:B$10, XPBands!A$2:A$10))</f>
        <v/>
      </c>
      <c r="G245" s="27">
        <f>IF($E245="","", VLOOKUP($F245, XPBands!A$2:G$10, 4, FALSE) + MIN(VLOOKUP($F245, XPBands!A$2:G$10, 5, FALSE) - VLOOKUP($F245, XPBands!A$2:G$10, 4, FALSE), FLOOR(( $E245 - VLOOKUP($F245, XPBands!A$2:G$10, 2, FALSE) ) / VLOOKUP($F245, XPBands!A$2:G$10, 7, FALSE),1)))</f>
        <v/>
      </c>
      <c r="H245" s="27">
        <f>IF($D245="","",VLOOKUP($D245,RoleTitles!$A:$E,3,FALSE))</f>
        <v/>
      </c>
      <c r="I245" s="27">
        <f>IF($D245="","",IF($C245="Greek",VLOOKUP($D245,RoleTitles!$A:$E,4,FALSE),IF($C245="Aesir",VLOOKUP($D245,RoleTitles!$A:$E,5,FALSE),VLOOKUP($D245,RoleTitles!$A:$E,3,FALSE))))</f>
        <v/>
      </c>
      <c r="J245" s="27">
        <f>IF($D245="","",IF($E245&gt;=VLOOKUP($D245,RoleTitles!$A:$B,2,FALSE),"Yes","No"))</f>
        <v/>
      </c>
      <c r="K245" s="27">
        <f>IF($D245="","",IF($D245="T1","T2",IF($D245="T2","T3",IF($D245="T3","T4",IF($D245="T4","T5",IF($D245="T5","T6",IF($D245="T6","T7",IF($D245="T7","T8",IF($D245="T8","T9","")))))))))</f>
        <v/>
      </c>
      <c r="L245" s="28">
        <f>IF($K245="","",MAX(0,VLOOKUP($K245,RoleTitles!$A:$B,2,FALSE)-$E245))</f>
        <v/>
      </c>
    </row>
    <row r="246">
      <c r="A246" s="24">
        <f>IFERROR(INDEX(CoachRoster!$A$2:$A$1000,ROW()-1),"")</f>
        <v/>
      </c>
      <c r="B246" s="27">
        <f>IF($A246="","",VLOOKUP($A246,CoachRoster!$A:$E,2,FALSE))</f>
        <v/>
      </c>
      <c r="C246" s="27">
        <f>IF($A246="","",VLOOKUP($A246,CoachRoster!$A:$E,3,FALSE))</f>
        <v/>
      </c>
      <c r="D246" s="27">
        <f>IF($A246="","",VLOOKUP($A246,CoachRoster!$A:$E,4,FALSE))</f>
        <v/>
      </c>
      <c r="E246" s="27">
        <f>IF($A246="","",MIN(Settings!$B$8,IFERROR(SUMIF(Weekly_Coaching!$B:$B,$A246,Weekly_Coaching!$D:$D),0)+IFERROR(SUMIF(Monthly_Edu!$B:$B,$A246,Monthly_Edu!$D:$D),0)+IFERROR(SUMIF(Monthly_Ops!$B:$B,$A246,Monthly_Ops!$D:$D),0)+IFERROR(SUMIF(Monthly_Mentor!$B:$B,$A246,Monthly_Mentor!$D:$D),0)+IFERROR(SUMIF(Quarterly_Impact!$B:$B,$A246,Quarterly_Impact!$D:$D),0)+IFERROR(SUMIFS(XPLog!$M:$M,XPLog!$B:$B,$A246,XPLog!$J:$J,"Admin"),0)+IFERROR(SUMIFS(XPLog!$M:$M,XPLog!$B:$B,$A246,XPLog!$J:$J,"Seeding"),0)))</f>
        <v/>
      </c>
      <c r="F246" s="27">
        <f>IF($E246="","",LOOKUP($E246, XPBands!B$2:B$10, XPBands!A$2:A$10))</f>
        <v/>
      </c>
      <c r="G246" s="27">
        <f>IF($E246="","", VLOOKUP($F246, XPBands!A$2:G$10, 4, FALSE) + MIN(VLOOKUP($F246, XPBands!A$2:G$10, 5, FALSE) - VLOOKUP($F246, XPBands!A$2:G$10, 4, FALSE), FLOOR(( $E246 - VLOOKUP($F246, XPBands!A$2:G$10, 2, FALSE) ) / VLOOKUP($F246, XPBands!A$2:G$10, 7, FALSE),1)))</f>
        <v/>
      </c>
      <c r="H246" s="27">
        <f>IF($D246="","",VLOOKUP($D246,RoleTitles!$A:$E,3,FALSE))</f>
        <v/>
      </c>
      <c r="I246" s="27">
        <f>IF($D246="","",IF($C246="Greek",VLOOKUP($D246,RoleTitles!$A:$E,4,FALSE),IF($C246="Aesir",VLOOKUP($D246,RoleTitles!$A:$E,5,FALSE),VLOOKUP($D246,RoleTitles!$A:$E,3,FALSE))))</f>
        <v/>
      </c>
      <c r="J246" s="27">
        <f>IF($D246="","",IF($E246&gt;=VLOOKUP($D246,RoleTitles!$A:$B,2,FALSE),"Yes","No"))</f>
        <v/>
      </c>
      <c r="K246" s="27">
        <f>IF($D246="","",IF($D246="T1","T2",IF($D246="T2","T3",IF($D246="T3","T4",IF($D246="T4","T5",IF($D246="T5","T6",IF($D246="T6","T7",IF($D246="T7","T8",IF($D246="T8","T9","")))))))))</f>
        <v/>
      </c>
      <c r="L246" s="28">
        <f>IF($K246="","",MAX(0,VLOOKUP($K246,RoleTitles!$A:$B,2,FALSE)-$E246))</f>
        <v/>
      </c>
    </row>
    <row r="247">
      <c r="A247" s="24">
        <f>IFERROR(INDEX(CoachRoster!$A$2:$A$1000,ROW()-1),"")</f>
        <v/>
      </c>
      <c r="B247" s="27">
        <f>IF($A247="","",VLOOKUP($A247,CoachRoster!$A:$E,2,FALSE))</f>
        <v/>
      </c>
      <c r="C247" s="27">
        <f>IF($A247="","",VLOOKUP($A247,CoachRoster!$A:$E,3,FALSE))</f>
        <v/>
      </c>
      <c r="D247" s="27">
        <f>IF($A247="","",VLOOKUP($A247,CoachRoster!$A:$E,4,FALSE))</f>
        <v/>
      </c>
      <c r="E247" s="27">
        <f>IF($A247="","",MIN(Settings!$B$8,IFERROR(SUMIF(Weekly_Coaching!$B:$B,$A247,Weekly_Coaching!$D:$D),0)+IFERROR(SUMIF(Monthly_Edu!$B:$B,$A247,Monthly_Edu!$D:$D),0)+IFERROR(SUMIF(Monthly_Ops!$B:$B,$A247,Monthly_Ops!$D:$D),0)+IFERROR(SUMIF(Monthly_Mentor!$B:$B,$A247,Monthly_Mentor!$D:$D),0)+IFERROR(SUMIF(Quarterly_Impact!$B:$B,$A247,Quarterly_Impact!$D:$D),0)+IFERROR(SUMIFS(XPLog!$M:$M,XPLog!$B:$B,$A247,XPLog!$J:$J,"Admin"),0)+IFERROR(SUMIFS(XPLog!$M:$M,XPLog!$B:$B,$A247,XPLog!$J:$J,"Seeding"),0)))</f>
        <v/>
      </c>
      <c r="F247" s="27">
        <f>IF($E247="","",LOOKUP($E247, XPBands!B$2:B$10, XPBands!A$2:A$10))</f>
        <v/>
      </c>
      <c r="G247" s="27">
        <f>IF($E247="","", VLOOKUP($F247, XPBands!A$2:G$10, 4, FALSE) + MIN(VLOOKUP($F247, XPBands!A$2:G$10, 5, FALSE) - VLOOKUP($F247, XPBands!A$2:G$10, 4, FALSE), FLOOR(( $E247 - VLOOKUP($F247, XPBands!A$2:G$10, 2, FALSE) ) / VLOOKUP($F247, XPBands!A$2:G$10, 7, FALSE),1)))</f>
        <v/>
      </c>
      <c r="H247" s="27">
        <f>IF($D247="","",VLOOKUP($D247,RoleTitles!$A:$E,3,FALSE))</f>
        <v/>
      </c>
      <c r="I247" s="27">
        <f>IF($D247="","",IF($C247="Greek",VLOOKUP($D247,RoleTitles!$A:$E,4,FALSE),IF($C247="Aesir",VLOOKUP($D247,RoleTitles!$A:$E,5,FALSE),VLOOKUP($D247,RoleTitles!$A:$E,3,FALSE))))</f>
        <v/>
      </c>
      <c r="J247" s="27">
        <f>IF($D247="","",IF($E247&gt;=VLOOKUP($D247,RoleTitles!$A:$B,2,FALSE),"Yes","No"))</f>
        <v/>
      </c>
      <c r="K247" s="27">
        <f>IF($D247="","",IF($D247="T1","T2",IF($D247="T2","T3",IF($D247="T3","T4",IF($D247="T4","T5",IF($D247="T5","T6",IF($D247="T6","T7",IF($D247="T7","T8",IF($D247="T8","T9","")))))))))</f>
        <v/>
      </c>
      <c r="L247" s="28">
        <f>IF($K247="","",MAX(0,VLOOKUP($K247,RoleTitles!$A:$B,2,FALSE)-$E247))</f>
        <v/>
      </c>
    </row>
    <row r="248">
      <c r="A248" s="24">
        <f>IFERROR(INDEX(CoachRoster!$A$2:$A$1000,ROW()-1),"")</f>
        <v/>
      </c>
      <c r="B248" s="27">
        <f>IF($A248="","",VLOOKUP($A248,CoachRoster!$A:$E,2,FALSE))</f>
        <v/>
      </c>
      <c r="C248" s="27">
        <f>IF($A248="","",VLOOKUP($A248,CoachRoster!$A:$E,3,FALSE))</f>
        <v/>
      </c>
      <c r="D248" s="27">
        <f>IF($A248="","",VLOOKUP($A248,CoachRoster!$A:$E,4,FALSE))</f>
        <v/>
      </c>
      <c r="E248" s="27">
        <f>IF($A248="","",MIN(Settings!$B$8,IFERROR(SUMIF(Weekly_Coaching!$B:$B,$A248,Weekly_Coaching!$D:$D),0)+IFERROR(SUMIF(Monthly_Edu!$B:$B,$A248,Monthly_Edu!$D:$D),0)+IFERROR(SUMIF(Monthly_Ops!$B:$B,$A248,Monthly_Ops!$D:$D),0)+IFERROR(SUMIF(Monthly_Mentor!$B:$B,$A248,Monthly_Mentor!$D:$D),0)+IFERROR(SUMIF(Quarterly_Impact!$B:$B,$A248,Quarterly_Impact!$D:$D),0)+IFERROR(SUMIFS(XPLog!$M:$M,XPLog!$B:$B,$A248,XPLog!$J:$J,"Admin"),0)+IFERROR(SUMIFS(XPLog!$M:$M,XPLog!$B:$B,$A248,XPLog!$J:$J,"Seeding"),0)))</f>
        <v/>
      </c>
      <c r="F248" s="27">
        <f>IF($E248="","",LOOKUP($E248, XPBands!B$2:B$10, XPBands!A$2:A$10))</f>
        <v/>
      </c>
      <c r="G248" s="27">
        <f>IF($E248="","", VLOOKUP($F248, XPBands!A$2:G$10, 4, FALSE) + MIN(VLOOKUP($F248, XPBands!A$2:G$10, 5, FALSE) - VLOOKUP($F248, XPBands!A$2:G$10, 4, FALSE), FLOOR(( $E248 - VLOOKUP($F248, XPBands!A$2:G$10, 2, FALSE) ) / VLOOKUP($F248, XPBands!A$2:G$10, 7, FALSE),1)))</f>
        <v/>
      </c>
      <c r="H248" s="27">
        <f>IF($D248="","",VLOOKUP($D248,RoleTitles!$A:$E,3,FALSE))</f>
        <v/>
      </c>
      <c r="I248" s="27">
        <f>IF($D248="","",IF($C248="Greek",VLOOKUP($D248,RoleTitles!$A:$E,4,FALSE),IF($C248="Aesir",VLOOKUP($D248,RoleTitles!$A:$E,5,FALSE),VLOOKUP($D248,RoleTitles!$A:$E,3,FALSE))))</f>
        <v/>
      </c>
      <c r="J248" s="27">
        <f>IF($D248="","",IF($E248&gt;=VLOOKUP($D248,RoleTitles!$A:$B,2,FALSE),"Yes","No"))</f>
        <v/>
      </c>
      <c r="K248" s="27">
        <f>IF($D248="","",IF($D248="T1","T2",IF($D248="T2","T3",IF($D248="T3","T4",IF($D248="T4","T5",IF($D248="T5","T6",IF($D248="T6","T7",IF($D248="T7","T8",IF($D248="T8","T9","")))))))))</f>
        <v/>
      </c>
      <c r="L248" s="28">
        <f>IF($K248="","",MAX(0,VLOOKUP($K248,RoleTitles!$A:$B,2,FALSE)-$E248))</f>
        <v/>
      </c>
    </row>
    <row r="249">
      <c r="A249" s="24">
        <f>IFERROR(INDEX(CoachRoster!$A$2:$A$1000,ROW()-1),"")</f>
        <v/>
      </c>
      <c r="B249" s="27">
        <f>IF($A249="","",VLOOKUP($A249,CoachRoster!$A:$E,2,FALSE))</f>
        <v/>
      </c>
      <c r="C249" s="27">
        <f>IF($A249="","",VLOOKUP($A249,CoachRoster!$A:$E,3,FALSE))</f>
        <v/>
      </c>
      <c r="D249" s="27">
        <f>IF($A249="","",VLOOKUP($A249,CoachRoster!$A:$E,4,FALSE))</f>
        <v/>
      </c>
      <c r="E249" s="27">
        <f>IF($A249="","",MIN(Settings!$B$8,IFERROR(SUMIF(Weekly_Coaching!$B:$B,$A249,Weekly_Coaching!$D:$D),0)+IFERROR(SUMIF(Monthly_Edu!$B:$B,$A249,Monthly_Edu!$D:$D),0)+IFERROR(SUMIF(Monthly_Ops!$B:$B,$A249,Monthly_Ops!$D:$D),0)+IFERROR(SUMIF(Monthly_Mentor!$B:$B,$A249,Monthly_Mentor!$D:$D),0)+IFERROR(SUMIF(Quarterly_Impact!$B:$B,$A249,Quarterly_Impact!$D:$D),0)+IFERROR(SUMIFS(XPLog!$M:$M,XPLog!$B:$B,$A249,XPLog!$J:$J,"Admin"),0)+IFERROR(SUMIFS(XPLog!$M:$M,XPLog!$B:$B,$A249,XPLog!$J:$J,"Seeding"),0)))</f>
        <v/>
      </c>
      <c r="F249" s="27">
        <f>IF($E249="","",LOOKUP($E249, XPBands!B$2:B$10, XPBands!A$2:A$10))</f>
        <v/>
      </c>
      <c r="G249" s="27">
        <f>IF($E249="","", VLOOKUP($F249, XPBands!A$2:G$10, 4, FALSE) + MIN(VLOOKUP($F249, XPBands!A$2:G$10, 5, FALSE) - VLOOKUP($F249, XPBands!A$2:G$10, 4, FALSE), FLOOR(( $E249 - VLOOKUP($F249, XPBands!A$2:G$10, 2, FALSE) ) / VLOOKUP($F249, XPBands!A$2:G$10, 7, FALSE),1)))</f>
        <v/>
      </c>
      <c r="H249" s="27">
        <f>IF($D249="","",VLOOKUP($D249,RoleTitles!$A:$E,3,FALSE))</f>
        <v/>
      </c>
      <c r="I249" s="27">
        <f>IF($D249="","",IF($C249="Greek",VLOOKUP($D249,RoleTitles!$A:$E,4,FALSE),IF($C249="Aesir",VLOOKUP($D249,RoleTitles!$A:$E,5,FALSE),VLOOKUP($D249,RoleTitles!$A:$E,3,FALSE))))</f>
        <v/>
      </c>
      <c r="J249" s="27">
        <f>IF($D249="","",IF($E249&gt;=VLOOKUP($D249,RoleTitles!$A:$B,2,FALSE),"Yes","No"))</f>
        <v/>
      </c>
      <c r="K249" s="27">
        <f>IF($D249="","",IF($D249="T1","T2",IF($D249="T2","T3",IF($D249="T3","T4",IF($D249="T4","T5",IF($D249="T5","T6",IF($D249="T6","T7",IF($D249="T7","T8",IF($D249="T8","T9","")))))))))</f>
        <v/>
      </c>
      <c r="L249" s="28">
        <f>IF($K249="","",MAX(0,VLOOKUP($K249,RoleTitles!$A:$B,2,FALSE)-$E249))</f>
        <v/>
      </c>
    </row>
    <row r="250">
      <c r="A250" s="24">
        <f>IFERROR(INDEX(CoachRoster!$A$2:$A$1000,ROW()-1),"")</f>
        <v/>
      </c>
      <c r="B250" s="27">
        <f>IF($A250="","",VLOOKUP($A250,CoachRoster!$A:$E,2,FALSE))</f>
        <v/>
      </c>
      <c r="C250" s="27">
        <f>IF($A250="","",VLOOKUP($A250,CoachRoster!$A:$E,3,FALSE))</f>
        <v/>
      </c>
      <c r="D250" s="27">
        <f>IF($A250="","",VLOOKUP($A250,CoachRoster!$A:$E,4,FALSE))</f>
        <v/>
      </c>
      <c r="E250" s="27">
        <f>IF($A250="","",MIN(Settings!$B$8,IFERROR(SUMIF(Weekly_Coaching!$B:$B,$A250,Weekly_Coaching!$D:$D),0)+IFERROR(SUMIF(Monthly_Edu!$B:$B,$A250,Monthly_Edu!$D:$D),0)+IFERROR(SUMIF(Monthly_Ops!$B:$B,$A250,Monthly_Ops!$D:$D),0)+IFERROR(SUMIF(Monthly_Mentor!$B:$B,$A250,Monthly_Mentor!$D:$D),0)+IFERROR(SUMIF(Quarterly_Impact!$B:$B,$A250,Quarterly_Impact!$D:$D),0)+IFERROR(SUMIFS(XPLog!$M:$M,XPLog!$B:$B,$A250,XPLog!$J:$J,"Admin"),0)+IFERROR(SUMIFS(XPLog!$M:$M,XPLog!$B:$B,$A250,XPLog!$J:$J,"Seeding"),0)))</f>
        <v/>
      </c>
      <c r="F250" s="27">
        <f>IF($E250="","",LOOKUP($E250, XPBands!B$2:B$10, XPBands!A$2:A$10))</f>
        <v/>
      </c>
      <c r="G250" s="27">
        <f>IF($E250="","", VLOOKUP($F250, XPBands!A$2:G$10, 4, FALSE) + MIN(VLOOKUP($F250, XPBands!A$2:G$10, 5, FALSE) - VLOOKUP($F250, XPBands!A$2:G$10, 4, FALSE), FLOOR(( $E250 - VLOOKUP($F250, XPBands!A$2:G$10, 2, FALSE) ) / VLOOKUP($F250, XPBands!A$2:G$10, 7, FALSE),1)))</f>
        <v/>
      </c>
      <c r="H250" s="27">
        <f>IF($D250="","",VLOOKUP($D250,RoleTitles!$A:$E,3,FALSE))</f>
        <v/>
      </c>
      <c r="I250" s="27">
        <f>IF($D250="","",IF($C250="Greek",VLOOKUP($D250,RoleTitles!$A:$E,4,FALSE),IF($C250="Aesir",VLOOKUP($D250,RoleTitles!$A:$E,5,FALSE),VLOOKUP($D250,RoleTitles!$A:$E,3,FALSE))))</f>
        <v/>
      </c>
      <c r="J250" s="27">
        <f>IF($D250="","",IF($E250&gt;=VLOOKUP($D250,RoleTitles!$A:$B,2,FALSE),"Yes","No"))</f>
        <v/>
      </c>
      <c r="K250" s="27">
        <f>IF($D250="","",IF($D250="T1","T2",IF($D250="T2","T3",IF($D250="T3","T4",IF($D250="T4","T5",IF($D250="T5","T6",IF($D250="T6","T7",IF($D250="T7","T8",IF($D250="T8","T9","")))))))))</f>
        <v/>
      </c>
      <c r="L250" s="28">
        <f>IF($K250="","",MAX(0,VLOOKUP($K250,RoleTitles!$A:$B,2,FALSE)-$E250))</f>
        <v/>
      </c>
    </row>
    <row r="251">
      <c r="A251" s="24">
        <f>IFERROR(INDEX(CoachRoster!$A$2:$A$1000,ROW()-1),"")</f>
        <v/>
      </c>
      <c r="B251" s="27">
        <f>IF($A251="","",VLOOKUP($A251,CoachRoster!$A:$E,2,FALSE))</f>
        <v/>
      </c>
      <c r="C251" s="27">
        <f>IF($A251="","",VLOOKUP($A251,CoachRoster!$A:$E,3,FALSE))</f>
        <v/>
      </c>
      <c r="D251" s="27">
        <f>IF($A251="","",VLOOKUP($A251,CoachRoster!$A:$E,4,FALSE))</f>
        <v/>
      </c>
      <c r="E251" s="27">
        <f>IF($A251="","",MIN(Settings!$B$8,IFERROR(SUMIF(Weekly_Coaching!$B:$B,$A251,Weekly_Coaching!$D:$D),0)+IFERROR(SUMIF(Monthly_Edu!$B:$B,$A251,Monthly_Edu!$D:$D),0)+IFERROR(SUMIF(Monthly_Ops!$B:$B,$A251,Monthly_Ops!$D:$D),0)+IFERROR(SUMIF(Monthly_Mentor!$B:$B,$A251,Monthly_Mentor!$D:$D),0)+IFERROR(SUMIF(Quarterly_Impact!$B:$B,$A251,Quarterly_Impact!$D:$D),0)+IFERROR(SUMIFS(XPLog!$M:$M,XPLog!$B:$B,$A251,XPLog!$J:$J,"Admin"),0)+IFERROR(SUMIFS(XPLog!$M:$M,XPLog!$B:$B,$A251,XPLog!$J:$J,"Seeding"),0)))</f>
        <v/>
      </c>
      <c r="F251" s="27">
        <f>IF($E251="","",LOOKUP($E251, XPBands!B$2:B$10, XPBands!A$2:A$10))</f>
        <v/>
      </c>
      <c r="G251" s="27">
        <f>IF($E251="","", VLOOKUP($F251, XPBands!A$2:G$10, 4, FALSE) + MIN(VLOOKUP($F251, XPBands!A$2:G$10, 5, FALSE) - VLOOKUP($F251, XPBands!A$2:G$10, 4, FALSE), FLOOR(( $E251 - VLOOKUP($F251, XPBands!A$2:G$10, 2, FALSE) ) / VLOOKUP($F251, XPBands!A$2:G$10, 7, FALSE),1)))</f>
        <v/>
      </c>
      <c r="H251" s="27">
        <f>IF($D251="","",VLOOKUP($D251,RoleTitles!$A:$E,3,FALSE))</f>
        <v/>
      </c>
      <c r="I251" s="27">
        <f>IF($D251="","",IF($C251="Greek",VLOOKUP($D251,RoleTitles!$A:$E,4,FALSE),IF($C251="Aesir",VLOOKUP($D251,RoleTitles!$A:$E,5,FALSE),VLOOKUP($D251,RoleTitles!$A:$E,3,FALSE))))</f>
        <v/>
      </c>
      <c r="J251" s="27">
        <f>IF($D251="","",IF($E251&gt;=VLOOKUP($D251,RoleTitles!$A:$B,2,FALSE),"Yes","No"))</f>
        <v/>
      </c>
      <c r="K251" s="27">
        <f>IF($D251="","",IF($D251="T1","T2",IF($D251="T2","T3",IF($D251="T3","T4",IF($D251="T4","T5",IF($D251="T5","T6",IF($D251="T6","T7",IF($D251="T7","T8",IF($D251="T8","T9","")))))))))</f>
        <v/>
      </c>
      <c r="L251" s="28">
        <f>IF($K251="","",MAX(0,VLOOKUP($K251,RoleTitles!$A:$B,2,FALSE)-$E251))</f>
        <v/>
      </c>
    </row>
    <row r="252">
      <c r="A252" s="24">
        <f>IFERROR(INDEX(CoachRoster!$A$2:$A$1000,ROW()-1),"")</f>
        <v/>
      </c>
      <c r="B252" s="27">
        <f>IF($A252="","",VLOOKUP($A252,CoachRoster!$A:$E,2,FALSE))</f>
        <v/>
      </c>
      <c r="C252" s="27">
        <f>IF($A252="","",VLOOKUP($A252,CoachRoster!$A:$E,3,FALSE))</f>
        <v/>
      </c>
      <c r="D252" s="27">
        <f>IF($A252="","",VLOOKUP($A252,CoachRoster!$A:$E,4,FALSE))</f>
        <v/>
      </c>
      <c r="E252" s="27">
        <f>IF($A252="","",MIN(Settings!$B$8,IFERROR(SUMIF(Weekly_Coaching!$B:$B,$A252,Weekly_Coaching!$D:$D),0)+IFERROR(SUMIF(Monthly_Edu!$B:$B,$A252,Monthly_Edu!$D:$D),0)+IFERROR(SUMIF(Monthly_Ops!$B:$B,$A252,Monthly_Ops!$D:$D),0)+IFERROR(SUMIF(Monthly_Mentor!$B:$B,$A252,Monthly_Mentor!$D:$D),0)+IFERROR(SUMIF(Quarterly_Impact!$B:$B,$A252,Quarterly_Impact!$D:$D),0)+IFERROR(SUMIFS(XPLog!$M:$M,XPLog!$B:$B,$A252,XPLog!$J:$J,"Admin"),0)+IFERROR(SUMIFS(XPLog!$M:$M,XPLog!$B:$B,$A252,XPLog!$J:$J,"Seeding"),0)))</f>
        <v/>
      </c>
      <c r="F252" s="27">
        <f>IF($E252="","",LOOKUP($E252, XPBands!B$2:B$10, XPBands!A$2:A$10))</f>
        <v/>
      </c>
      <c r="G252" s="27">
        <f>IF($E252="","", VLOOKUP($F252, XPBands!A$2:G$10, 4, FALSE) + MIN(VLOOKUP($F252, XPBands!A$2:G$10, 5, FALSE) - VLOOKUP($F252, XPBands!A$2:G$10, 4, FALSE), FLOOR(( $E252 - VLOOKUP($F252, XPBands!A$2:G$10, 2, FALSE) ) / VLOOKUP($F252, XPBands!A$2:G$10, 7, FALSE),1)))</f>
        <v/>
      </c>
      <c r="H252" s="27">
        <f>IF($D252="","",VLOOKUP($D252,RoleTitles!$A:$E,3,FALSE))</f>
        <v/>
      </c>
      <c r="I252" s="27">
        <f>IF($D252="","",IF($C252="Greek",VLOOKUP($D252,RoleTitles!$A:$E,4,FALSE),IF($C252="Aesir",VLOOKUP($D252,RoleTitles!$A:$E,5,FALSE),VLOOKUP($D252,RoleTitles!$A:$E,3,FALSE))))</f>
        <v/>
      </c>
      <c r="J252" s="27">
        <f>IF($D252="","",IF($E252&gt;=VLOOKUP($D252,RoleTitles!$A:$B,2,FALSE),"Yes","No"))</f>
        <v/>
      </c>
      <c r="K252" s="27">
        <f>IF($D252="","",IF($D252="T1","T2",IF($D252="T2","T3",IF($D252="T3","T4",IF($D252="T4","T5",IF($D252="T5","T6",IF($D252="T6","T7",IF($D252="T7","T8",IF($D252="T8","T9","")))))))))</f>
        <v/>
      </c>
      <c r="L252" s="28">
        <f>IF($K252="","",MAX(0,VLOOKUP($K252,RoleTitles!$A:$B,2,FALSE)-$E252))</f>
        <v/>
      </c>
    </row>
    <row r="253">
      <c r="A253" s="24">
        <f>IFERROR(INDEX(CoachRoster!$A$2:$A$1000,ROW()-1),"")</f>
        <v/>
      </c>
      <c r="B253" s="27">
        <f>IF($A253="","",VLOOKUP($A253,CoachRoster!$A:$E,2,FALSE))</f>
        <v/>
      </c>
      <c r="C253" s="27">
        <f>IF($A253="","",VLOOKUP($A253,CoachRoster!$A:$E,3,FALSE))</f>
        <v/>
      </c>
      <c r="D253" s="27">
        <f>IF($A253="","",VLOOKUP($A253,CoachRoster!$A:$E,4,FALSE))</f>
        <v/>
      </c>
      <c r="E253" s="27">
        <f>IF($A253="","",MIN(Settings!$B$8,IFERROR(SUMIF(Weekly_Coaching!$B:$B,$A253,Weekly_Coaching!$D:$D),0)+IFERROR(SUMIF(Monthly_Edu!$B:$B,$A253,Monthly_Edu!$D:$D),0)+IFERROR(SUMIF(Monthly_Ops!$B:$B,$A253,Monthly_Ops!$D:$D),0)+IFERROR(SUMIF(Monthly_Mentor!$B:$B,$A253,Monthly_Mentor!$D:$D),0)+IFERROR(SUMIF(Quarterly_Impact!$B:$B,$A253,Quarterly_Impact!$D:$D),0)+IFERROR(SUMIFS(XPLog!$M:$M,XPLog!$B:$B,$A253,XPLog!$J:$J,"Admin"),0)+IFERROR(SUMIFS(XPLog!$M:$M,XPLog!$B:$B,$A253,XPLog!$J:$J,"Seeding"),0)))</f>
        <v/>
      </c>
      <c r="F253" s="27">
        <f>IF($E253="","",LOOKUP($E253, XPBands!B$2:B$10, XPBands!A$2:A$10))</f>
        <v/>
      </c>
      <c r="G253" s="27">
        <f>IF($E253="","", VLOOKUP($F253, XPBands!A$2:G$10, 4, FALSE) + MIN(VLOOKUP($F253, XPBands!A$2:G$10, 5, FALSE) - VLOOKUP($F253, XPBands!A$2:G$10, 4, FALSE), FLOOR(( $E253 - VLOOKUP($F253, XPBands!A$2:G$10, 2, FALSE) ) / VLOOKUP($F253, XPBands!A$2:G$10, 7, FALSE),1)))</f>
        <v/>
      </c>
      <c r="H253" s="27">
        <f>IF($D253="","",VLOOKUP($D253,RoleTitles!$A:$E,3,FALSE))</f>
        <v/>
      </c>
      <c r="I253" s="27">
        <f>IF($D253="","",IF($C253="Greek",VLOOKUP($D253,RoleTitles!$A:$E,4,FALSE),IF($C253="Aesir",VLOOKUP($D253,RoleTitles!$A:$E,5,FALSE),VLOOKUP($D253,RoleTitles!$A:$E,3,FALSE))))</f>
        <v/>
      </c>
      <c r="J253" s="27">
        <f>IF($D253="","",IF($E253&gt;=VLOOKUP($D253,RoleTitles!$A:$B,2,FALSE),"Yes","No"))</f>
        <v/>
      </c>
      <c r="K253" s="27">
        <f>IF($D253="","",IF($D253="T1","T2",IF($D253="T2","T3",IF($D253="T3","T4",IF($D253="T4","T5",IF($D253="T5","T6",IF($D253="T6","T7",IF($D253="T7","T8",IF($D253="T8","T9","")))))))))</f>
        <v/>
      </c>
      <c r="L253" s="28">
        <f>IF($K253="","",MAX(0,VLOOKUP($K253,RoleTitles!$A:$B,2,FALSE)-$E253))</f>
        <v/>
      </c>
    </row>
    <row r="254">
      <c r="A254" s="24">
        <f>IFERROR(INDEX(CoachRoster!$A$2:$A$1000,ROW()-1),"")</f>
        <v/>
      </c>
      <c r="B254" s="27">
        <f>IF($A254="","",VLOOKUP($A254,CoachRoster!$A:$E,2,FALSE))</f>
        <v/>
      </c>
      <c r="C254" s="27">
        <f>IF($A254="","",VLOOKUP($A254,CoachRoster!$A:$E,3,FALSE))</f>
        <v/>
      </c>
      <c r="D254" s="27">
        <f>IF($A254="","",VLOOKUP($A254,CoachRoster!$A:$E,4,FALSE))</f>
        <v/>
      </c>
      <c r="E254" s="27">
        <f>IF($A254="","",MIN(Settings!$B$8,IFERROR(SUMIF(Weekly_Coaching!$B:$B,$A254,Weekly_Coaching!$D:$D),0)+IFERROR(SUMIF(Monthly_Edu!$B:$B,$A254,Monthly_Edu!$D:$D),0)+IFERROR(SUMIF(Monthly_Ops!$B:$B,$A254,Monthly_Ops!$D:$D),0)+IFERROR(SUMIF(Monthly_Mentor!$B:$B,$A254,Monthly_Mentor!$D:$D),0)+IFERROR(SUMIF(Quarterly_Impact!$B:$B,$A254,Quarterly_Impact!$D:$D),0)+IFERROR(SUMIFS(XPLog!$M:$M,XPLog!$B:$B,$A254,XPLog!$J:$J,"Admin"),0)+IFERROR(SUMIFS(XPLog!$M:$M,XPLog!$B:$B,$A254,XPLog!$J:$J,"Seeding"),0)))</f>
        <v/>
      </c>
      <c r="F254" s="27">
        <f>IF($E254="","",LOOKUP($E254, XPBands!B$2:B$10, XPBands!A$2:A$10))</f>
        <v/>
      </c>
      <c r="G254" s="27">
        <f>IF($E254="","", VLOOKUP($F254, XPBands!A$2:G$10, 4, FALSE) + MIN(VLOOKUP($F254, XPBands!A$2:G$10, 5, FALSE) - VLOOKUP($F254, XPBands!A$2:G$10, 4, FALSE), FLOOR(( $E254 - VLOOKUP($F254, XPBands!A$2:G$10, 2, FALSE) ) / VLOOKUP($F254, XPBands!A$2:G$10, 7, FALSE),1)))</f>
        <v/>
      </c>
      <c r="H254" s="27">
        <f>IF($D254="","",VLOOKUP($D254,RoleTitles!$A:$E,3,FALSE))</f>
        <v/>
      </c>
      <c r="I254" s="27">
        <f>IF($D254="","",IF($C254="Greek",VLOOKUP($D254,RoleTitles!$A:$E,4,FALSE),IF($C254="Aesir",VLOOKUP($D254,RoleTitles!$A:$E,5,FALSE),VLOOKUP($D254,RoleTitles!$A:$E,3,FALSE))))</f>
        <v/>
      </c>
      <c r="J254" s="27">
        <f>IF($D254="","",IF($E254&gt;=VLOOKUP($D254,RoleTitles!$A:$B,2,FALSE),"Yes","No"))</f>
        <v/>
      </c>
      <c r="K254" s="27">
        <f>IF($D254="","",IF($D254="T1","T2",IF($D254="T2","T3",IF($D254="T3","T4",IF($D254="T4","T5",IF($D254="T5","T6",IF($D254="T6","T7",IF($D254="T7","T8",IF($D254="T8","T9","")))))))))</f>
        <v/>
      </c>
      <c r="L254" s="28">
        <f>IF($K254="","",MAX(0,VLOOKUP($K254,RoleTitles!$A:$B,2,FALSE)-$E254))</f>
        <v/>
      </c>
    </row>
    <row r="255">
      <c r="A255" s="24">
        <f>IFERROR(INDEX(CoachRoster!$A$2:$A$1000,ROW()-1),"")</f>
        <v/>
      </c>
      <c r="B255" s="27">
        <f>IF($A255="","",VLOOKUP($A255,CoachRoster!$A:$E,2,FALSE))</f>
        <v/>
      </c>
      <c r="C255" s="27">
        <f>IF($A255="","",VLOOKUP($A255,CoachRoster!$A:$E,3,FALSE))</f>
        <v/>
      </c>
      <c r="D255" s="27">
        <f>IF($A255="","",VLOOKUP($A255,CoachRoster!$A:$E,4,FALSE))</f>
        <v/>
      </c>
      <c r="E255" s="27">
        <f>IF($A255="","",MIN(Settings!$B$8,IFERROR(SUMIF(Weekly_Coaching!$B:$B,$A255,Weekly_Coaching!$D:$D),0)+IFERROR(SUMIF(Monthly_Edu!$B:$B,$A255,Monthly_Edu!$D:$D),0)+IFERROR(SUMIF(Monthly_Ops!$B:$B,$A255,Monthly_Ops!$D:$D),0)+IFERROR(SUMIF(Monthly_Mentor!$B:$B,$A255,Monthly_Mentor!$D:$D),0)+IFERROR(SUMIF(Quarterly_Impact!$B:$B,$A255,Quarterly_Impact!$D:$D),0)+IFERROR(SUMIFS(XPLog!$M:$M,XPLog!$B:$B,$A255,XPLog!$J:$J,"Admin"),0)+IFERROR(SUMIFS(XPLog!$M:$M,XPLog!$B:$B,$A255,XPLog!$J:$J,"Seeding"),0)))</f>
        <v/>
      </c>
      <c r="F255" s="27">
        <f>IF($E255="","",LOOKUP($E255, XPBands!B$2:B$10, XPBands!A$2:A$10))</f>
        <v/>
      </c>
      <c r="G255" s="27">
        <f>IF($E255="","", VLOOKUP($F255, XPBands!A$2:G$10, 4, FALSE) + MIN(VLOOKUP($F255, XPBands!A$2:G$10, 5, FALSE) - VLOOKUP($F255, XPBands!A$2:G$10, 4, FALSE), FLOOR(( $E255 - VLOOKUP($F255, XPBands!A$2:G$10, 2, FALSE) ) / VLOOKUP($F255, XPBands!A$2:G$10, 7, FALSE),1)))</f>
        <v/>
      </c>
      <c r="H255" s="27">
        <f>IF($D255="","",VLOOKUP($D255,RoleTitles!$A:$E,3,FALSE))</f>
        <v/>
      </c>
      <c r="I255" s="27">
        <f>IF($D255="","",IF($C255="Greek",VLOOKUP($D255,RoleTitles!$A:$E,4,FALSE),IF($C255="Aesir",VLOOKUP($D255,RoleTitles!$A:$E,5,FALSE),VLOOKUP($D255,RoleTitles!$A:$E,3,FALSE))))</f>
        <v/>
      </c>
      <c r="J255" s="27">
        <f>IF($D255="","",IF($E255&gt;=VLOOKUP($D255,RoleTitles!$A:$B,2,FALSE),"Yes","No"))</f>
        <v/>
      </c>
      <c r="K255" s="27">
        <f>IF($D255="","",IF($D255="T1","T2",IF($D255="T2","T3",IF($D255="T3","T4",IF($D255="T4","T5",IF($D255="T5","T6",IF($D255="T6","T7",IF($D255="T7","T8",IF($D255="T8","T9","")))))))))</f>
        <v/>
      </c>
      <c r="L255" s="28">
        <f>IF($K255="","",MAX(0,VLOOKUP($K255,RoleTitles!$A:$B,2,FALSE)-$E255))</f>
        <v/>
      </c>
    </row>
    <row r="256">
      <c r="A256" s="24">
        <f>IFERROR(INDEX(CoachRoster!$A$2:$A$1000,ROW()-1),"")</f>
        <v/>
      </c>
      <c r="B256" s="27">
        <f>IF($A256="","",VLOOKUP($A256,CoachRoster!$A:$E,2,FALSE))</f>
        <v/>
      </c>
      <c r="C256" s="27">
        <f>IF($A256="","",VLOOKUP($A256,CoachRoster!$A:$E,3,FALSE))</f>
        <v/>
      </c>
      <c r="D256" s="27">
        <f>IF($A256="","",VLOOKUP($A256,CoachRoster!$A:$E,4,FALSE))</f>
        <v/>
      </c>
      <c r="E256" s="27">
        <f>IF($A256="","",MIN(Settings!$B$8,IFERROR(SUMIF(Weekly_Coaching!$B:$B,$A256,Weekly_Coaching!$D:$D),0)+IFERROR(SUMIF(Monthly_Edu!$B:$B,$A256,Monthly_Edu!$D:$D),0)+IFERROR(SUMIF(Monthly_Ops!$B:$B,$A256,Monthly_Ops!$D:$D),0)+IFERROR(SUMIF(Monthly_Mentor!$B:$B,$A256,Monthly_Mentor!$D:$D),0)+IFERROR(SUMIF(Quarterly_Impact!$B:$B,$A256,Quarterly_Impact!$D:$D),0)+IFERROR(SUMIFS(XPLog!$M:$M,XPLog!$B:$B,$A256,XPLog!$J:$J,"Admin"),0)+IFERROR(SUMIFS(XPLog!$M:$M,XPLog!$B:$B,$A256,XPLog!$J:$J,"Seeding"),0)))</f>
        <v/>
      </c>
      <c r="F256" s="27">
        <f>IF($E256="","",LOOKUP($E256, XPBands!B$2:B$10, XPBands!A$2:A$10))</f>
        <v/>
      </c>
      <c r="G256" s="27">
        <f>IF($E256="","", VLOOKUP($F256, XPBands!A$2:G$10, 4, FALSE) + MIN(VLOOKUP($F256, XPBands!A$2:G$10, 5, FALSE) - VLOOKUP($F256, XPBands!A$2:G$10, 4, FALSE), FLOOR(( $E256 - VLOOKUP($F256, XPBands!A$2:G$10, 2, FALSE) ) / VLOOKUP($F256, XPBands!A$2:G$10, 7, FALSE),1)))</f>
        <v/>
      </c>
      <c r="H256" s="27">
        <f>IF($D256="","",VLOOKUP($D256,RoleTitles!$A:$E,3,FALSE))</f>
        <v/>
      </c>
      <c r="I256" s="27">
        <f>IF($D256="","",IF($C256="Greek",VLOOKUP($D256,RoleTitles!$A:$E,4,FALSE),IF($C256="Aesir",VLOOKUP($D256,RoleTitles!$A:$E,5,FALSE),VLOOKUP($D256,RoleTitles!$A:$E,3,FALSE))))</f>
        <v/>
      </c>
      <c r="J256" s="27">
        <f>IF($D256="","",IF($E256&gt;=VLOOKUP($D256,RoleTitles!$A:$B,2,FALSE),"Yes","No"))</f>
        <v/>
      </c>
      <c r="K256" s="27">
        <f>IF($D256="","",IF($D256="T1","T2",IF($D256="T2","T3",IF($D256="T3","T4",IF($D256="T4","T5",IF($D256="T5","T6",IF($D256="T6","T7",IF($D256="T7","T8",IF($D256="T8","T9","")))))))))</f>
        <v/>
      </c>
      <c r="L256" s="28">
        <f>IF($K256="","",MAX(0,VLOOKUP($K256,RoleTitles!$A:$B,2,FALSE)-$E256))</f>
        <v/>
      </c>
    </row>
    <row r="257">
      <c r="A257" s="24">
        <f>IFERROR(INDEX(CoachRoster!$A$2:$A$1000,ROW()-1),"")</f>
        <v/>
      </c>
      <c r="B257" s="27">
        <f>IF($A257="","",VLOOKUP($A257,CoachRoster!$A:$E,2,FALSE))</f>
        <v/>
      </c>
      <c r="C257" s="27">
        <f>IF($A257="","",VLOOKUP($A257,CoachRoster!$A:$E,3,FALSE))</f>
        <v/>
      </c>
      <c r="D257" s="27">
        <f>IF($A257="","",VLOOKUP($A257,CoachRoster!$A:$E,4,FALSE))</f>
        <v/>
      </c>
      <c r="E257" s="27">
        <f>IF($A257="","",MIN(Settings!$B$8,IFERROR(SUMIF(Weekly_Coaching!$B:$B,$A257,Weekly_Coaching!$D:$D),0)+IFERROR(SUMIF(Monthly_Edu!$B:$B,$A257,Monthly_Edu!$D:$D),0)+IFERROR(SUMIF(Monthly_Ops!$B:$B,$A257,Monthly_Ops!$D:$D),0)+IFERROR(SUMIF(Monthly_Mentor!$B:$B,$A257,Monthly_Mentor!$D:$D),0)+IFERROR(SUMIF(Quarterly_Impact!$B:$B,$A257,Quarterly_Impact!$D:$D),0)+IFERROR(SUMIFS(XPLog!$M:$M,XPLog!$B:$B,$A257,XPLog!$J:$J,"Admin"),0)+IFERROR(SUMIFS(XPLog!$M:$M,XPLog!$B:$B,$A257,XPLog!$J:$J,"Seeding"),0)))</f>
        <v/>
      </c>
      <c r="F257" s="27">
        <f>IF($E257="","",LOOKUP($E257, XPBands!B$2:B$10, XPBands!A$2:A$10))</f>
        <v/>
      </c>
      <c r="G257" s="27">
        <f>IF($E257="","", VLOOKUP($F257, XPBands!A$2:G$10, 4, FALSE) + MIN(VLOOKUP($F257, XPBands!A$2:G$10, 5, FALSE) - VLOOKUP($F257, XPBands!A$2:G$10, 4, FALSE), FLOOR(( $E257 - VLOOKUP($F257, XPBands!A$2:G$10, 2, FALSE) ) / VLOOKUP($F257, XPBands!A$2:G$10, 7, FALSE),1)))</f>
        <v/>
      </c>
      <c r="H257" s="27">
        <f>IF($D257="","",VLOOKUP($D257,RoleTitles!$A:$E,3,FALSE))</f>
        <v/>
      </c>
      <c r="I257" s="27">
        <f>IF($D257="","",IF($C257="Greek",VLOOKUP($D257,RoleTitles!$A:$E,4,FALSE),IF($C257="Aesir",VLOOKUP($D257,RoleTitles!$A:$E,5,FALSE),VLOOKUP($D257,RoleTitles!$A:$E,3,FALSE))))</f>
        <v/>
      </c>
      <c r="J257" s="27">
        <f>IF($D257="","",IF($E257&gt;=VLOOKUP($D257,RoleTitles!$A:$B,2,FALSE),"Yes","No"))</f>
        <v/>
      </c>
      <c r="K257" s="27">
        <f>IF($D257="","",IF($D257="T1","T2",IF($D257="T2","T3",IF($D257="T3","T4",IF($D257="T4","T5",IF($D257="T5","T6",IF($D257="T6","T7",IF($D257="T7","T8",IF($D257="T8","T9","")))))))))</f>
        <v/>
      </c>
      <c r="L257" s="28">
        <f>IF($K257="","",MAX(0,VLOOKUP($K257,RoleTitles!$A:$B,2,FALSE)-$E257))</f>
        <v/>
      </c>
    </row>
    <row r="258">
      <c r="A258" s="24">
        <f>IFERROR(INDEX(CoachRoster!$A$2:$A$1000,ROW()-1),"")</f>
        <v/>
      </c>
      <c r="B258" s="27">
        <f>IF($A258="","",VLOOKUP($A258,CoachRoster!$A:$E,2,FALSE))</f>
        <v/>
      </c>
      <c r="C258" s="27">
        <f>IF($A258="","",VLOOKUP($A258,CoachRoster!$A:$E,3,FALSE))</f>
        <v/>
      </c>
      <c r="D258" s="27">
        <f>IF($A258="","",VLOOKUP($A258,CoachRoster!$A:$E,4,FALSE))</f>
        <v/>
      </c>
      <c r="E258" s="27">
        <f>IF($A258="","",MIN(Settings!$B$8,IFERROR(SUMIF(Weekly_Coaching!$B:$B,$A258,Weekly_Coaching!$D:$D),0)+IFERROR(SUMIF(Monthly_Edu!$B:$B,$A258,Monthly_Edu!$D:$D),0)+IFERROR(SUMIF(Monthly_Ops!$B:$B,$A258,Monthly_Ops!$D:$D),0)+IFERROR(SUMIF(Monthly_Mentor!$B:$B,$A258,Monthly_Mentor!$D:$D),0)+IFERROR(SUMIF(Quarterly_Impact!$B:$B,$A258,Quarterly_Impact!$D:$D),0)+IFERROR(SUMIFS(XPLog!$M:$M,XPLog!$B:$B,$A258,XPLog!$J:$J,"Admin"),0)+IFERROR(SUMIFS(XPLog!$M:$M,XPLog!$B:$B,$A258,XPLog!$J:$J,"Seeding"),0)))</f>
        <v/>
      </c>
      <c r="F258" s="27">
        <f>IF($E258="","",LOOKUP($E258, XPBands!B$2:B$10, XPBands!A$2:A$10))</f>
        <v/>
      </c>
      <c r="G258" s="27">
        <f>IF($E258="","", VLOOKUP($F258, XPBands!A$2:G$10, 4, FALSE) + MIN(VLOOKUP($F258, XPBands!A$2:G$10, 5, FALSE) - VLOOKUP($F258, XPBands!A$2:G$10, 4, FALSE), FLOOR(( $E258 - VLOOKUP($F258, XPBands!A$2:G$10, 2, FALSE) ) / VLOOKUP($F258, XPBands!A$2:G$10, 7, FALSE),1)))</f>
        <v/>
      </c>
      <c r="H258" s="27">
        <f>IF($D258="","",VLOOKUP($D258,RoleTitles!$A:$E,3,FALSE))</f>
        <v/>
      </c>
      <c r="I258" s="27">
        <f>IF($D258="","",IF($C258="Greek",VLOOKUP($D258,RoleTitles!$A:$E,4,FALSE),IF($C258="Aesir",VLOOKUP($D258,RoleTitles!$A:$E,5,FALSE),VLOOKUP($D258,RoleTitles!$A:$E,3,FALSE))))</f>
        <v/>
      </c>
      <c r="J258" s="27">
        <f>IF($D258="","",IF($E258&gt;=VLOOKUP($D258,RoleTitles!$A:$B,2,FALSE),"Yes","No"))</f>
        <v/>
      </c>
      <c r="K258" s="27">
        <f>IF($D258="","",IF($D258="T1","T2",IF($D258="T2","T3",IF($D258="T3","T4",IF($D258="T4","T5",IF($D258="T5","T6",IF($D258="T6","T7",IF($D258="T7","T8",IF($D258="T8","T9","")))))))))</f>
        <v/>
      </c>
      <c r="L258" s="28">
        <f>IF($K258="","",MAX(0,VLOOKUP($K258,RoleTitles!$A:$B,2,FALSE)-$E258))</f>
        <v/>
      </c>
    </row>
    <row r="259">
      <c r="A259" s="24">
        <f>IFERROR(INDEX(CoachRoster!$A$2:$A$1000,ROW()-1),"")</f>
        <v/>
      </c>
      <c r="B259" s="27">
        <f>IF($A259="","",VLOOKUP($A259,CoachRoster!$A:$E,2,FALSE))</f>
        <v/>
      </c>
      <c r="C259" s="27">
        <f>IF($A259="","",VLOOKUP($A259,CoachRoster!$A:$E,3,FALSE))</f>
        <v/>
      </c>
      <c r="D259" s="27">
        <f>IF($A259="","",VLOOKUP($A259,CoachRoster!$A:$E,4,FALSE))</f>
        <v/>
      </c>
      <c r="E259" s="27">
        <f>IF($A259="","",MIN(Settings!$B$8,IFERROR(SUMIF(Weekly_Coaching!$B:$B,$A259,Weekly_Coaching!$D:$D),0)+IFERROR(SUMIF(Monthly_Edu!$B:$B,$A259,Monthly_Edu!$D:$D),0)+IFERROR(SUMIF(Monthly_Ops!$B:$B,$A259,Monthly_Ops!$D:$D),0)+IFERROR(SUMIF(Monthly_Mentor!$B:$B,$A259,Monthly_Mentor!$D:$D),0)+IFERROR(SUMIF(Quarterly_Impact!$B:$B,$A259,Quarterly_Impact!$D:$D),0)+IFERROR(SUMIFS(XPLog!$M:$M,XPLog!$B:$B,$A259,XPLog!$J:$J,"Admin"),0)+IFERROR(SUMIFS(XPLog!$M:$M,XPLog!$B:$B,$A259,XPLog!$J:$J,"Seeding"),0)))</f>
        <v/>
      </c>
      <c r="F259" s="27">
        <f>IF($E259="","",LOOKUP($E259, XPBands!B$2:B$10, XPBands!A$2:A$10))</f>
        <v/>
      </c>
      <c r="G259" s="27">
        <f>IF($E259="","", VLOOKUP($F259, XPBands!A$2:G$10, 4, FALSE) + MIN(VLOOKUP($F259, XPBands!A$2:G$10, 5, FALSE) - VLOOKUP($F259, XPBands!A$2:G$10, 4, FALSE), FLOOR(( $E259 - VLOOKUP($F259, XPBands!A$2:G$10, 2, FALSE) ) / VLOOKUP($F259, XPBands!A$2:G$10, 7, FALSE),1)))</f>
        <v/>
      </c>
      <c r="H259" s="27">
        <f>IF($D259="","",VLOOKUP($D259,RoleTitles!$A:$E,3,FALSE))</f>
        <v/>
      </c>
      <c r="I259" s="27">
        <f>IF($D259="","",IF($C259="Greek",VLOOKUP($D259,RoleTitles!$A:$E,4,FALSE),IF($C259="Aesir",VLOOKUP($D259,RoleTitles!$A:$E,5,FALSE),VLOOKUP($D259,RoleTitles!$A:$E,3,FALSE))))</f>
        <v/>
      </c>
      <c r="J259" s="27">
        <f>IF($D259="","",IF($E259&gt;=VLOOKUP($D259,RoleTitles!$A:$B,2,FALSE),"Yes","No"))</f>
        <v/>
      </c>
      <c r="K259" s="27">
        <f>IF($D259="","",IF($D259="T1","T2",IF($D259="T2","T3",IF($D259="T3","T4",IF($D259="T4","T5",IF($D259="T5","T6",IF($D259="T6","T7",IF($D259="T7","T8",IF($D259="T8","T9","")))))))))</f>
        <v/>
      </c>
      <c r="L259" s="28">
        <f>IF($K259="","",MAX(0,VLOOKUP($K259,RoleTitles!$A:$B,2,FALSE)-$E259))</f>
        <v/>
      </c>
    </row>
    <row r="260">
      <c r="A260" s="24">
        <f>IFERROR(INDEX(CoachRoster!$A$2:$A$1000,ROW()-1),"")</f>
        <v/>
      </c>
      <c r="B260" s="27">
        <f>IF($A260="","",VLOOKUP($A260,CoachRoster!$A:$E,2,FALSE))</f>
        <v/>
      </c>
      <c r="C260" s="27">
        <f>IF($A260="","",VLOOKUP($A260,CoachRoster!$A:$E,3,FALSE))</f>
        <v/>
      </c>
      <c r="D260" s="27">
        <f>IF($A260="","",VLOOKUP($A260,CoachRoster!$A:$E,4,FALSE))</f>
        <v/>
      </c>
      <c r="E260" s="27">
        <f>IF($A260="","",MIN(Settings!$B$8,IFERROR(SUMIF(Weekly_Coaching!$B:$B,$A260,Weekly_Coaching!$D:$D),0)+IFERROR(SUMIF(Monthly_Edu!$B:$B,$A260,Monthly_Edu!$D:$D),0)+IFERROR(SUMIF(Monthly_Ops!$B:$B,$A260,Monthly_Ops!$D:$D),0)+IFERROR(SUMIF(Monthly_Mentor!$B:$B,$A260,Monthly_Mentor!$D:$D),0)+IFERROR(SUMIF(Quarterly_Impact!$B:$B,$A260,Quarterly_Impact!$D:$D),0)+IFERROR(SUMIFS(XPLog!$M:$M,XPLog!$B:$B,$A260,XPLog!$J:$J,"Admin"),0)+IFERROR(SUMIFS(XPLog!$M:$M,XPLog!$B:$B,$A260,XPLog!$J:$J,"Seeding"),0)))</f>
        <v/>
      </c>
      <c r="F260" s="27">
        <f>IF($E260="","",LOOKUP($E260, XPBands!B$2:B$10, XPBands!A$2:A$10))</f>
        <v/>
      </c>
      <c r="G260" s="27">
        <f>IF($E260="","", VLOOKUP($F260, XPBands!A$2:G$10, 4, FALSE) + MIN(VLOOKUP($F260, XPBands!A$2:G$10, 5, FALSE) - VLOOKUP($F260, XPBands!A$2:G$10, 4, FALSE), FLOOR(( $E260 - VLOOKUP($F260, XPBands!A$2:G$10, 2, FALSE) ) / VLOOKUP($F260, XPBands!A$2:G$10, 7, FALSE),1)))</f>
        <v/>
      </c>
      <c r="H260" s="27">
        <f>IF($D260="","",VLOOKUP($D260,RoleTitles!$A:$E,3,FALSE))</f>
        <v/>
      </c>
      <c r="I260" s="27">
        <f>IF($D260="","",IF($C260="Greek",VLOOKUP($D260,RoleTitles!$A:$E,4,FALSE),IF($C260="Aesir",VLOOKUP($D260,RoleTitles!$A:$E,5,FALSE),VLOOKUP($D260,RoleTitles!$A:$E,3,FALSE))))</f>
        <v/>
      </c>
      <c r="J260" s="27">
        <f>IF($D260="","",IF($E260&gt;=VLOOKUP($D260,RoleTitles!$A:$B,2,FALSE),"Yes","No"))</f>
        <v/>
      </c>
      <c r="K260" s="27">
        <f>IF($D260="","",IF($D260="T1","T2",IF($D260="T2","T3",IF($D260="T3","T4",IF($D260="T4","T5",IF($D260="T5","T6",IF($D260="T6","T7",IF($D260="T7","T8",IF($D260="T8","T9","")))))))))</f>
        <v/>
      </c>
      <c r="L260" s="28">
        <f>IF($K260="","",MAX(0,VLOOKUP($K260,RoleTitles!$A:$B,2,FALSE)-$E260))</f>
        <v/>
      </c>
    </row>
    <row r="261">
      <c r="A261" s="24">
        <f>IFERROR(INDEX(CoachRoster!$A$2:$A$1000,ROW()-1),"")</f>
        <v/>
      </c>
      <c r="B261" s="27">
        <f>IF($A261="","",VLOOKUP($A261,CoachRoster!$A:$E,2,FALSE))</f>
        <v/>
      </c>
      <c r="C261" s="27">
        <f>IF($A261="","",VLOOKUP($A261,CoachRoster!$A:$E,3,FALSE))</f>
        <v/>
      </c>
      <c r="D261" s="27">
        <f>IF($A261="","",VLOOKUP($A261,CoachRoster!$A:$E,4,FALSE))</f>
        <v/>
      </c>
      <c r="E261" s="27">
        <f>IF($A261="","",MIN(Settings!$B$8,IFERROR(SUMIF(Weekly_Coaching!$B:$B,$A261,Weekly_Coaching!$D:$D),0)+IFERROR(SUMIF(Monthly_Edu!$B:$B,$A261,Monthly_Edu!$D:$D),0)+IFERROR(SUMIF(Monthly_Ops!$B:$B,$A261,Monthly_Ops!$D:$D),0)+IFERROR(SUMIF(Monthly_Mentor!$B:$B,$A261,Monthly_Mentor!$D:$D),0)+IFERROR(SUMIF(Quarterly_Impact!$B:$B,$A261,Quarterly_Impact!$D:$D),0)+IFERROR(SUMIFS(XPLog!$M:$M,XPLog!$B:$B,$A261,XPLog!$J:$J,"Admin"),0)+IFERROR(SUMIFS(XPLog!$M:$M,XPLog!$B:$B,$A261,XPLog!$J:$J,"Seeding"),0)))</f>
        <v/>
      </c>
      <c r="F261" s="27">
        <f>IF($E261="","",LOOKUP($E261, XPBands!B$2:B$10, XPBands!A$2:A$10))</f>
        <v/>
      </c>
      <c r="G261" s="27">
        <f>IF($E261="","", VLOOKUP($F261, XPBands!A$2:G$10, 4, FALSE) + MIN(VLOOKUP($F261, XPBands!A$2:G$10, 5, FALSE) - VLOOKUP($F261, XPBands!A$2:G$10, 4, FALSE), FLOOR(( $E261 - VLOOKUP($F261, XPBands!A$2:G$10, 2, FALSE) ) / VLOOKUP($F261, XPBands!A$2:G$10, 7, FALSE),1)))</f>
        <v/>
      </c>
      <c r="H261" s="27">
        <f>IF($D261="","",VLOOKUP($D261,RoleTitles!$A:$E,3,FALSE))</f>
        <v/>
      </c>
      <c r="I261" s="27">
        <f>IF($D261="","",IF($C261="Greek",VLOOKUP($D261,RoleTitles!$A:$E,4,FALSE),IF($C261="Aesir",VLOOKUP($D261,RoleTitles!$A:$E,5,FALSE),VLOOKUP($D261,RoleTitles!$A:$E,3,FALSE))))</f>
        <v/>
      </c>
      <c r="J261" s="27">
        <f>IF($D261="","",IF($E261&gt;=VLOOKUP($D261,RoleTitles!$A:$B,2,FALSE),"Yes","No"))</f>
        <v/>
      </c>
      <c r="K261" s="27">
        <f>IF($D261="","",IF($D261="T1","T2",IF($D261="T2","T3",IF($D261="T3","T4",IF($D261="T4","T5",IF($D261="T5","T6",IF($D261="T6","T7",IF($D261="T7","T8",IF($D261="T8","T9","")))))))))</f>
        <v/>
      </c>
      <c r="L261" s="28">
        <f>IF($K261="","",MAX(0,VLOOKUP($K261,RoleTitles!$A:$B,2,FALSE)-$E261))</f>
        <v/>
      </c>
    </row>
    <row r="262">
      <c r="A262" s="24">
        <f>IFERROR(INDEX(CoachRoster!$A$2:$A$1000,ROW()-1),"")</f>
        <v/>
      </c>
      <c r="B262" s="27">
        <f>IF($A262="","",VLOOKUP($A262,CoachRoster!$A:$E,2,FALSE))</f>
        <v/>
      </c>
      <c r="C262" s="27">
        <f>IF($A262="","",VLOOKUP($A262,CoachRoster!$A:$E,3,FALSE))</f>
        <v/>
      </c>
      <c r="D262" s="27">
        <f>IF($A262="","",VLOOKUP($A262,CoachRoster!$A:$E,4,FALSE))</f>
        <v/>
      </c>
      <c r="E262" s="27">
        <f>IF($A262="","",MIN(Settings!$B$8,IFERROR(SUMIF(Weekly_Coaching!$B:$B,$A262,Weekly_Coaching!$D:$D),0)+IFERROR(SUMIF(Monthly_Edu!$B:$B,$A262,Monthly_Edu!$D:$D),0)+IFERROR(SUMIF(Monthly_Ops!$B:$B,$A262,Monthly_Ops!$D:$D),0)+IFERROR(SUMIF(Monthly_Mentor!$B:$B,$A262,Monthly_Mentor!$D:$D),0)+IFERROR(SUMIF(Quarterly_Impact!$B:$B,$A262,Quarterly_Impact!$D:$D),0)+IFERROR(SUMIFS(XPLog!$M:$M,XPLog!$B:$B,$A262,XPLog!$J:$J,"Admin"),0)+IFERROR(SUMIFS(XPLog!$M:$M,XPLog!$B:$B,$A262,XPLog!$J:$J,"Seeding"),0)))</f>
        <v/>
      </c>
      <c r="F262" s="27">
        <f>IF($E262="","",LOOKUP($E262, XPBands!B$2:B$10, XPBands!A$2:A$10))</f>
        <v/>
      </c>
      <c r="G262" s="27">
        <f>IF($E262="","", VLOOKUP($F262, XPBands!A$2:G$10, 4, FALSE) + MIN(VLOOKUP($F262, XPBands!A$2:G$10, 5, FALSE) - VLOOKUP($F262, XPBands!A$2:G$10, 4, FALSE), FLOOR(( $E262 - VLOOKUP($F262, XPBands!A$2:G$10, 2, FALSE) ) / VLOOKUP($F262, XPBands!A$2:G$10, 7, FALSE),1)))</f>
        <v/>
      </c>
      <c r="H262" s="27">
        <f>IF($D262="","",VLOOKUP($D262,RoleTitles!$A:$E,3,FALSE))</f>
        <v/>
      </c>
      <c r="I262" s="27">
        <f>IF($D262="","",IF($C262="Greek",VLOOKUP($D262,RoleTitles!$A:$E,4,FALSE),IF($C262="Aesir",VLOOKUP($D262,RoleTitles!$A:$E,5,FALSE),VLOOKUP($D262,RoleTitles!$A:$E,3,FALSE))))</f>
        <v/>
      </c>
      <c r="J262" s="27">
        <f>IF($D262="","",IF($E262&gt;=VLOOKUP($D262,RoleTitles!$A:$B,2,FALSE),"Yes","No"))</f>
        <v/>
      </c>
      <c r="K262" s="27">
        <f>IF($D262="","",IF($D262="T1","T2",IF($D262="T2","T3",IF($D262="T3","T4",IF($D262="T4","T5",IF($D262="T5","T6",IF($D262="T6","T7",IF($D262="T7","T8",IF($D262="T8","T9","")))))))))</f>
        <v/>
      </c>
      <c r="L262" s="28">
        <f>IF($K262="","",MAX(0,VLOOKUP($K262,RoleTitles!$A:$B,2,FALSE)-$E262))</f>
        <v/>
      </c>
    </row>
    <row r="263">
      <c r="A263" s="24">
        <f>IFERROR(INDEX(CoachRoster!$A$2:$A$1000,ROW()-1),"")</f>
        <v/>
      </c>
      <c r="B263" s="27">
        <f>IF($A263="","",VLOOKUP($A263,CoachRoster!$A:$E,2,FALSE))</f>
        <v/>
      </c>
      <c r="C263" s="27">
        <f>IF($A263="","",VLOOKUP($A263,CoachRoster!$A:$E,3,FALSE))</f>
        <v/>
      </c>
      <c r="D263" s="27">
        <f>IF($A263="","",VLOOKUP($A263,CoachRoster!$A:$E,4,FALSE))</f>
        <v/>
      </c>
      <c r="E263" s="27">
        <f>IF($A263="","",MIN(Settings!$B$8,IFERROR(SUMIF(Weekly_Coaching!$B:$B,$A263,Weekly_Coaching!$D:$D),0)+IFERROR(SUMIF(Monthly_Edu!$B:$B,$A263,Monthly_Edu!$D:$D),0)+IFERROR(SUMIF(Monthly_Ops!$B:$B,$A263,Monthly_Ops!$D:$D),0)+IFERROR(SUMIF(Monthly_Mentor!$B:$B,$A263,Monthly_Mentor!$D:$D),0)+IFERROR(SUMIF(Quarterly_Impact!$B:$B,$A263,Quarterly_Impact!$D:$D),0)+IFERROR(SUMIFS(XPLog!$M:$M,XPLog!$B:$B,$A263,XPLog!$J:$J,"Admin"),0)+IFERROR(SUMIFS(XPLog!$M:$M,XPLog!$B:$B,$A263,XPLog!$J:$J,"Seeding"),0)))</f>
        <v/>
      </c>
      <c r="F263" s="27">
        <f>IF($E263="","",LOOKUP($E263, XPBands!B$2:B$10, XPBands!A$2:A$10))</f>
        <v/>
      </c>
      <c r="G263" s="27">
        <f>IF($E263="","", VLOOKUP($F263, XPBands!A$2:G$10, 4, FALSE) + MIN(VLOOKUP($F263, XPBands!A$2:G$10, 5, FALSE) - VLOOKUP($F263, XPBands!A$2:G$10, 4, FALSE), FLOOR(( $E263 - VLOOKUP($F263, XPBands!A$2:G$10, 2, FALSE) ) / VLOOKUP($F263, XPBands!A$2:G$10, 7, FALSE),1)))</f>
        <v/>
      </c>
      <c r="H263" s="27">
        <f>IF($D263="","",VLOOKUP($D263,RoleTitles!$A:$E,3,FALSE))</f>
        <v/>
      </c>
      <c r="I263" s="27">
        <f>IF($D263="","",IF($C263="Greek",VLOOKUP($D263,RoleTitles!$A:$E,4,FALSE),IF($C263="Aesir",VLOOKUP($D263,RoleTitles!$A:$E,5,FALSE),VLOOKUP($D263,RoleTitles!$A:$E,3,FALSE))))</f>
        <v/>
      </c>
      <c r="J263" s="27">
        <f>IF($D263="","",IF($E263&gt;=VLOOKUP($D263,RoleTitles!$A:$B,2,FALSE),"Yes","No"))</f>
        <v/>
      </c>
      <c r="K263" s="27">
        <f>IF($D263="","",IF($D263="T1","T2",IF($D263="T2","T3",IF($D263="T3","T4",IF($D263="T4","T5",IF($D263="T5","T6",IF($D263="T6","T7",IF($D263="T7","T8",IF($D263="T8","T9","")))))))))</f>
        <v/>
      </c>
      <c r="L263" s="28">
        <f>IF($K263="","",MAX(0,VLOOKUP($K263,RoleTitles!$A:$B,2,FALSE)-$E263))</f>
        <v/>
      </c>
    </row>
    <row r="264">
      <c r="A264" s="24">
        <f>IFERROR(INDEX(CoachRoster!$A$2:$A$1000,ROW()-1),"")</f>
        <v/>
      </c>
      <c r="B264" s="27">
        <f>IF($A264="","",VLOOKUP($A264,CoachRoster!$A:$E,2,FALSE))</f>
        <v/>
      </c>
      <c r="C264" s="27">
        <f>IF($A264="","",VLOOKUP($A264,CoachRoster!$A:$E,3,FALSE))</f>
        <v/>
      </c>
      <c r="D264" s="27">
        <f>IF($A264="","",VLOOKUP($A264,CoachRoster!$A:$E,4,FALSE))</f>
        <v/>
      </c>
      <c r="E264" s="27">
        <f>IF($A264="","",MIN(Settings!$B$8,IFERROR(SUMIF(Weekly_Coaching!$B:$B,$A264,Weekly_Coaching!$D:$D),0)+IFERROR(SUMIF(Monthly_Edu!$B:$B,$A264,Monthly_Edu!$D:$D),0)+IFERROR(SUMIF(Monthly_Ops!$B:$B,$A264,Monthly_Ops!$D:$D),0)+IFERROR(SUMIF(Monthly_Mentor!$B:$B,$A264,Monthly_Mentor!$D:$D),0)+IFERROR(SUMIF(Quarterly_Impact!$B:$B,$A264,Quarterly_Impact!$D:$D),0)+IFERROR(SUMIFS(XPLog!$M:$M,XPLog!$B:$B,$A264,XPLog!$J:$J,"Admin"),0)+IFERROR(SUMIFS(XPLog!$M:$M,XPLog!$B:$B,$A264,XPLog!$J:$J,"Seeding"),0)))</f>
        <v/>
      </c>
      <c r="F264" s="27">
        <f>IF($E264="","",LOOKUP($E264, XPBands!B$2:B$10, XPBands!A$2:A$10))</f>
        <v/>
      </c>
      <c r="G264" s="27">
        <f>IF($E264="","", VLOOKUP($F264, XPBands!A$2:G$10, 4, FALSE) + MIN(VLOOKUP($F264, XPBands!A$2:G$10, 5, FALSE) - VLOOKUP($F264, XPBands!A$2:G$10, 4, FALSE), FLOOR(( $E264 - VLOOKUP($F264, XPBands!A$2:G$10, 2, FALSE) ) / VLOOKUP($F264, XPBands!A$2:G$10, 7, FALSE),1)))</f>
        <v/>
      </c>
      <c r="H264" s="27">
        <f>IF($D264="","",VLOOKUP($D264,RoleTitles!$A:$E,3,FALSE))</f>
        <v/>
      </c>
      <c r="I264" s="27">
        <f>IF($D264="","",IF($C264="Greek",VLOOKUP($D264,RoleTitles!$A:$E,4,FALSE),IF($C264="Aesir",VLOOKUP($D264,RoleTitles!$A:$E,5,FALSE),VLOOKUP($D264,RoleTitles!$A:$E,3,FALSE))))</f>
        <v/>
      </c>
      <c r="J264" s="27">
        <f>IF($D264="","",IF($E264&gt;=VLOOKUP($D264,RoleTitles!$A:$B,2,FALSE),"Yes","No"))</f>
        <v/>
      </c>
      <c r="K264" s="27">
        <f>IF($D264="","",IF($D264="T1","T2",IF($D264="T2","T3",IF($D264="T3","T4",IF($D264="T4","T5",IF($D264="T5","T6",IF($D264="T6","T7",IF($D264="T7","T8",IF($D264="T8","T9","")))))))))</f>
        <v/>
      </c>
      <c r="L264" s="28">
        <f>IF($K264="","",MAX(0,VLOOKUP($K264,RoleTitles!$A:$B,2,FALSE)-$E264))</f>
        <v/>
      </c>
    </row>
    <row r="265">
      <c r="A265" s="24">
        <f>IFERROR(INDEX(CoachRoster!$A$2:$A$1000,ROW()-1),"")</f>
        <v/>
      </c>
      <c r="B265" s="27">
        <f>IF($A265="","",VLOOKUP($A265,CoachRoster!$A:$E,2,FALSE))</f>
        <v/>
      </c>
      <c r="C265" s="27">
        <f>IF($A265="","",VLOOKUP($A265,CoachRoster!$A:$E,3,FALSE))</f>
        <v/>
      </c>
      <c r="D265" s="27">
        <f>IF($A265="","",VLOOKUP($A265,CoachRoster!$A:$E,4,FALSE))</f>
        <v/>
      </c>
      <c r="E265" s="27">
        <f>IF($A265="","",MIN(Settings!$B$8,IFERROR(SUMIF(Weekly_Coaching!$B:$B,$A265,Weekly_Coaching!$D:$D),0)+IFERROR(SUMIF(Monthly_Edu!$B:$B,$A265,Monthly_Edu!$D:$D),0)+IFERROR(SUMIF(Monthly_Ops!$B:$B,$A265,Monthly_Ops!$D:$D),0)+IFERROR(SUMIF(Monthly_Mentor!$B:$B,$A265,Monthly_Mentor!$D:$D),0)+IFERROR(SUMIF(Quarterly_Impact!$B:$B,$A265,Quarterly_Impact!$D:$D),0)+IFERROR(SUMIFS(XPLog!$M:$M,XPLog!$B:$B,$A265,XPLog!$J:$J,"Admin"),0)+IFERROR(SUMIFS(XPLog!$M:$M,XPLog!$B:$B,$A265,XPLog!$J:$J,"Seeding"),0)))</f>
        <v/>
      </c>
      <c r="F265" s="27">
        <f>IF($E265="","",LOOKUP($E265, XPBands!B$2:B$10, XPBands!A$2:A$10))</f>
        <v/>
      </c>
      <c r="G265" s="27">
        <f>IF($E265="","", VLOOKUP($F265, XPBands!A$2:G$10, 4, FALSE) + MIN(VLOOKUP($F265, XPBands!A$2:G$10, 5, FALSE) - VLOOKUP($F265, XPBands!A$2:G$10, 4, FALSE), FLOOR(( $E265 - VLOOKUP($F265, XPBands!A$2:G$10, 2, FALSE) ) / VLOOKUP($F265, XPBands!A$2:G$10, 7, FALSE),1)))</f>
        <v/>
      </c>
      <c r="H265" s="27">
        <f>IF($D265="","",VLOOKUP($D265,RoleTitles!$A:$E,3,FALSE))</f>
        <v/>
      </c>
      <c r="I265" s="27">
        <f>IF($D265="","",IF($C265="Greek",VLOOKUP($D265,RoleTitles!$A:$E,4,FALSE),IF($C265="Aesir",VLOOKUP($D265,RoleTitles!$A:$E,5,FALSE),VLOOKUP($D265,RoleTitles!$A:$E,3,FALSE))))</f>
        <v/>
      </c>
      <c r="J265" s="27">
        <f>IF($D265="","",IF($E265&gt;=VLOOKUP($D265,RoleTitles!$A:$B,2,FALSE),"Yes","No"))</f>
        <v/>
      </c>
      <c r="K265" s="27">
        <f>IF($D265="","",IF($D265="T1","T2",IF($D265="T2","T3",IF($D265="T3","T4",IF($D265="T4","T5",IF($D265="T5","T6",IF($D265="T6","T7",IF($D265="T7","T8",IF($D265="T8","T9","")))))))))</f>
        <v/>
      </c>
      <c r="L265" s="28">
        <f>IF($K265="","",MAX(0,VLOOKUP($K265,RoleTitles!$A:$B,2,FALSE)-$E265))</f>
        <v/>
      </c>
    </row>
    <row r="266">
      <c r="A266" s="24">
        <f>IFERROR(INDEX(CoachRoster!$A$2:$A$1000,ROW()-1),"")</f>
        <v/>
      </c>
      <c r="B266" s="27">
        <f>IF($A266="","",VLOOKUP($A266,CoachRoster!$A:$E,2,FALSE))</f>
        <v/>
      </c>
      <c r="C266" s="27">
        <f>IF($A266="","",VLOOKUP($A266,CoachRoster!$A:$E,3,FALSE))</f>
        <v/>
      </c>
      <c r="D266" s="27">
        <f>IF($A266="","",VLOOKUP($A266,CoachRoster!$A:$E,4,FALSE))</f>
        <v/>
      </c>
      <c r="E266" s="27">
        <f>IF($A266="","",MIN(Settings!$B$8,IFERROR(SUMIF(Weekly_Coaching!$B:$B,$A266,Weekly_Coaching!$D:$D),0)+IFERROR(SUMIF(Monthly_Edu!$B:$B,$A266,Monthly_Edu!$D:$D),0)+IFERROR(SUMIF(Monthly_Ops!$B:$B,$A266,Monthly_Ops!$D:$D),0)+IFERROR(SUMIF(Monthly_Mentor!$B:$B,$A266,Monthly_Mentor!$D:$D),0)+IFERROR(SUMIF(Quarterly_Impact!$B:$B,$A266,Quarterly_Impact!$D:$D),0)+IFERROR(SUMIFS(XPLog!$M:$M,XPLog!$B:$B,$A266,XPLog!$J:$J,"Admin"),0)+IFERROR(SUMIFS(XPLog!$M:$M,XPLog!$B:$B,$A266,XPLog!$J:$J,"Seeding"),0)))</f>
        <v/>
      </c>
      <c r="F266" s="27">
        <f>IF($E266="","",LOOKUP($E266, XPBands!B$2:B$10, XPBands!A$2:A$10))</f>
        <v/>
      </c>
      <c r="G266" s="27">
        <f>IF($E266="","", VLOOKUP($F266, XPBands!A$2:G$10, 4, FALSE) + MIN(VLOOKUP($F266, XPBands!A$2:G$10, 5, FALSE) - VLOOKUP($F266, XPBands!A$2:G$10, 4, FALSE), FLOOR(( $E266 - VLOOKUP($F266, XPBands!A$2:G$10, 2, FALSE) ) / VLOOKUP($F266, XPBands!A$2:G$10, 7, FALSE),1)))</f>
        <v/>
      </c>
      <c r="H266" s="27">
        <f>IF($D266="","",VLOOKUP($D266,RoleTitles!$A:$E,3,FALSE))</f>
        <v/>
      </c>
      <c r="I266" s="27">
        <f>IF($D266="","",IF($C266="Greek",VLOOKUP($D266,RoleTitles!$A:$E,4,FALSE),IF($C266="Aesir",VLOOKUP($D266,RoleTitles!$A:$E,5,FALSE),VLOOKUP($D266,RoleTitles!$A:$E,3,FALSE))))</f>
        <v/>
      </c>
      <c r="J266" s="27">
        <f>IF($D266="","",IF($E266&gt;=VLOOKUP($D266,RoleTitles!$A:$B,2,FALSE),"Yes","No"))</f>
        <v/>
      </c>
      <c r="K266" s="27">
        <f>IF($D266="","",IF($D266="T1","T2",IF($D266="T2","T3",IF($D266="T3","T4",IF($D266="T4","T5",IF($D266="T5","T6",IF($D266="T6","T7",IF($D266="T7","T8",IF($D266="T8","T9","")))))))))</f>
        <v/>
      </c>
      <c r="L266" s="28">
        <f>IF($K266="","",MAX(0,VLOOKUP($K266,RoleTitles!$A:$B,2,FALSE)-$E266))</f>
        <v/>
      </c>
    </row>
    <row r="267">
      <c r="A267" s="24">
        <f>IFERROR(INDEX(CoachRoster!$A$2:$A$1000,ROW()-1),"")</f>
        <v/>
      </c>
      <c r="B267" s="27">
        <f>IF($A267="","",VLOOKUP($A267,CoachRoster!$A:$E,2,FALSE))</f>
        <v/>
      </c>
      <c r="C267" s="27">
        <f>IF($A267="","",VLOOKUP($A267,CoachRoster!$A:$E,3,FALSE))</f>
        <v/>
      </c>
      <c r="D267" s="27">
        <f>IF($A267="","",VLOOKUP($A267,CoachRoster!$A:$E,4,FALSE))</f>
        <v/>
      </c>
      <c r="E267" s="27">
        <f>IF($A267="","",MIN(Settings!$B$8,IFERROR(SUMIF(Weekly_Coaching!$B:$B,$A267,Weekly_Coaching!$D:$D),0)+IFERROR(SUMIF(Monthly_Edu!$B:$B,$A267,Monthly_Edu!$D:$D),0)+IFERROR(SUMIF(Monthly_Ops!$B:$B,$A267,Monthly_Ops!$D:$D),0)+IFERROR(SUMIF(Monthly_Mentor!$B:$B,$A267,Monthly_Mentor!$D:$D),0)+IFERROR(SUMIF(Quarterly_Impact!$B:$B,$A267,Quarterly_Impact!$D:$D),0)+IFERROR(SUMIFS(XPLog!$M:$M,XPLog!$B:$B,$A267,XPLog!$J:$J,"Admin"),0)+IFERROR(SUMIFS(XPLog!$M:$M,XPLog!$B:$B,$A267,XPLog!$J:$J,"Seeding"),0)))</f>
        <v/>
      </c>
      <c r="F267" s="27">
        <f>IF($E267="","",LOOKUP($E267, XPBands!B$2:B$10, XPBands!A$2:A$10))</f>
        <v/>
      </c>
      <c r="G267" s="27">
        <f>IF($E267="","", VLOOKUP($F267, XPBands!A$2:G$10, 4, FALSE) + MIN(VLOOKUP($F267, XPBands!A$2:G$10, 5, FALSE) - VLOOKUP($F267, XPBands!A$2:G$10, 4, FALSE), FLOOR(( $E267 - VLOOKUP($F267, XPBands!A$2:G$10, 2, FALSE) ) / VLOOKUP($F267, XPBands!A$2:G$10, 7, FALSE),1)))</f>
        <v/>
      </c>
      <c r="H267" s="27">
        <f>IF($D267="","",VLOOKUP($D267,RoleTitles!$A:$E,3,FALSE))</f>
        <v/>
      </c>
      <c r="I267" s="27">
        <f>IF($D267="","",IF($C267="Greek",VLOOKUP($D267,RoleTitles!$A:$E,4,FALSE),IF($C267="Aesir",VLOOKUP($D267,RoleTitles!$A:$E,5,FALSE),VLOOKUP($D267,RoleTitles!$A:$E,3,FALSE))))</f>
        <v/>
      </c>
      <c r="J267" s="27">
        <f>IF($D267="","",IF($E267&gt;=VLOOKUP($D267,RoleTitles!$A:$B,2,FALSE),"Yes","No"))</f>
        <v/>
      </c>
      <c r="K267" s="27">
        <f>IF($D267="","",IF($D267="T1","T2",IF($D267="T2","T3",IF($D267="T3","T4",IF($D267="T4","T5",IF($D267="T5","T6",IF($D267="T6","T7",IF($D267="T7","T8",IF($D267="T8","T9","")))))))))</f>
        <v/>
      </c>
      <c r="L267" s="28">
        <f>IF($K267="","",MAX(0,VLOOKUP($K267,RoleTitles!$A:$B,2,FALSE)-$E267))</f>
        <v/>
      </c>
    </row>
    <row r="268">
      <c r="A268" s="24">
        <f>IFERROR(INDEX(CoachRoster!$A$2:$A$1000,ROW()-1),"")</f>
        <v/>
      </c>
      <c r="B268" s="27">
        <f>IF($A268="","",VLOOKUP($A268,CoachRoster!$A:$E,2,FALSE))</f>
        <v/>
      </c>
      <c r="C268" s="27">
        <f>IF($A268="","",VLOOKUP($A268,CoachRoster!$A:$E,3,FALSE))</f>
        <v/>
      </c>
      <c r="D268" s="27">
        <f>IF($A268="","",VLOOKUP($A268,CoachRoster!$A:$E,4,FALSE))</f>
        <v/>
      </c>
      <c r="E268" s="27">
        <f>IF($A268="","",MIN(Settings!$B$8,IFERROR(SUMIF(Weekly_Coaching!$B:$B,$A268,Weekly_Coaching!$D:$D),0)+IFERROR(SUMIF(Monthly_Edu!$B:$B,$A268,Monthly_Edu!$D:$D),0)+IFERROR(SUMIF(Monthly_Ops!$B:$B,$A268,Monthly_Ops!$D:$D),0)+IFERROR(SUMIF(Monthly_Mentor!$B:$B,$A268,Monthly_Mentor!$D:$D),0)+IFERROR(SUMIF(Quarterly_Impact!$B:$B,$A268,Quarterly_Impact!$D:$D),0)+IFERROR(SUMIFS(XPLog!$M:$M,XPLog!$B:$B,$A268,XPLog!$J:$J,"Admin"),0)+IFERROR(SUMIFS(XPLog!$M:$M,XPLog!$B:$B,$A268,XPLog!$J:$J,"Seeding"),0)))</f>
        <v/>
      </c>
      <c r="F268" s="27">
        <f>IF($E268="","",LOOKUP($E268, XPBands!B$2:B$10, XPBands!A$2:A$10))</f>
        <v/>
      </c>
      <c r="G268" s="27">
        <f>IF($E268="","", VLOOKUP($F268, XPBands!A$2:G$10, 4, FALSE) + MIN(VLOOKUP($F268, XPBands!A$2:G$10, 5, FALSE) - VLOOKUP($F268, XPBands!A$2:G$10, 4, FALSE), FLOOR(( $E268 - VLOOKUP($F268, XPBands!A$2:G$10, 2, FALSE) ) / VLOOKUP($F268, XPBands!A$2:G$10, 7, FALSE),1)))</f>
        <v/>
      </c>
      <c r="H268" s="27">
        <f>IF($D268="","",VLOOKUP($D268,RoleTitles!$A:$E,3,FALSE))</f>
        <v/>
      </c>
      <c r="I268" s="27">
        <f>IF($D268="","",IF($C268="Greek",VLOOKUP($D268,RoleTitles!$A:$E,4,FALSE),IF($C268="Aesir",VLOOKUP($D268,RoleTitles!$A:$E,5,FALSE),VLOOKUP($D268,RoleTitles!$A:$E,3,FALSE))))</f>
        <v/>
      </c>
      <c r="J268" s="27">
        <f>IF($D268="","",IF($E268&gt;=VLOOKUP($D268,RoleTitles!$A:$B,2,FALSE),"Yes","No"))</f>
        <v/>
      </c>
      <c r="K268" s="27">
        <f>IF($D268="","",IF($D268="T1","T2",IF($D268="T2","T3",IF($D268="T3","T4",IF($D268="T4","T5",IF($D268="T5","T6",IF($D268="T6","T7",IF($D268="T7","T8",IF($D268="T8","T9","")))))))))</f>
        <v/>
      </c>
      <c r="L268" s="28">
        <f>IF($K268="","",MAX(0,VLOOKUP($K268,RoleTitles!$A:$B,2,FALSE)-$E268))</f>
        <v/>
      </c>
    </row>
    <row r="269">
      <c r="A269" s="24">
        <f>IFERROR(INDEX(CoachRoster!$A$2:$A$1000,ROW()-1),"")</f>
        <v/>
      </c>
      <c r="B269" s="27">
        <f>IF($A269="","",VLOOKUP($A269,CoachRoster!$A:$E,2,FALSE))</f>
        <v/>
      </c>
      <c r="C269" s="27">
        <f>IF($A269="","",VLOOKUP($A269,CoachRoster!$A:$E,3,FALSE))</f>
        <v/>
      </c>
      <c r="D269" s="27">
        <f>IF($A269="","",VLOOKUP($A269,CoachRoster!$A:$E,4,FALSE))</f>
        <v/>
      </c>
      <c r="E269" s="27">
        <f>IF($A269="","",MIN(Settings!$B$8,IFERROR(SUMIF(Weekly_Coaching!$B:$B,$A269,Weekly_Coaching!$D:$D),0)+IFERROR(SUMIF(Monthly_Edu!$B:$B,$A269,Monthly_Edu!$D:$D),0)+IFERROR(SUMIF(Monthly_Ops!$B:$B,$A269,Monthly_Ops!$D:$D),0)+IFERROR(SUMIF(Monthly_Mentor!$B:$B,$A269,Monthly_Mentor!$D:$D),0)+IFERROR(SUMIF(Quarterly_Impact!$B:$B,$A269,Quarterly_Impact!$D:$D),0)+IFERROR(SUMIFS(XPLog!$M:$M,XPLog!$B:$B,$A269,XPLog!$J:$J,"Admin"),0)+IFERROR(SUMIFS(XPLog!$M:$M,XPLog!$B:$B,$A269,XPLog!$J:$J,"Seeding"),0)))</f>
        <v/>
      </c>
      <c r="F269" s="27">
        <f>IF($E269="","",LOOKUP($E269, XPBands!B$2:B$10, XPBands!A$2:A$10))</f>
        <v/>
      </c>
      <c r="G269" s="27">
        <f>IF($E269="","", VLOOKUP($F269, XPBands!A$2:G$10, 4, FALSE) + MIN(VLOOKUP($F269, XPBands!A$2:G$10, 5, FALSE) - VLOOKUP($F269, XPBands!A$2:G$10, 4, FALSE), FLOOR(( $E269 - VLOOKUP($F269, XPBands!A$2:G$10, 2, FALSE) ) / VLOOKUP($F269, XPBands!A$2:G$10, 7, FALSE),1)))</f>
        <v/>
      </c>
      <c r="H269" s="27">
        <f>IF($D269="","",VLOOKUP($D269,RoleTitles!$A:$E,3,FALSE))</f>
        <v/>
      </c>
      <c r="I269" s="27">
        <f>IF($D269="","",IF($C269="Greek",VLOOKUP($D269,RoleTitles!$A:$E,4,FALSE),IF($C269="Aesir",VLOOKUP($D269,RoleTitles!$A:$E,5,FALSE),VLOOKUP($D269,RoleTitles!$A:$E,3,FALSE))))</f>
        <v/>
      </c>
      <c r="J269" s="27">
        <f>IF($D269="","",IF($E269&gt;=VLOOKUP($D269,RoleTitles!$A:$B,2,FALSE),"Yes","No"))</f>
        <v/>
      </c>
      <c r="K269" s="27">
        <f>IF($D269="","",IF($D269="T1","T2",IF($D269="T2","T3",IF($D269="T3","T4",IF($D269="T4","T5",IF($D269="T5","T6",IF($D269="T6","T7",IF($D269="T7","T8",IF($D269="T8","T9","")))))))))</f>
        <v/>
      </c>
      <c r="L269" s="28">
        <f>IF($K269="","",MAX(0,VLOOKUP($K269,RoleTitles!$A:$B,2,FALSE)-$E269))</f>
        <v/>
      </c>
    </row>
    <row r="270">
      <c r="A270" s="24">
        <f>IFERROR(INDEX(CoachRoster!$A$2:$A$1000,ROW()-1),"")</f>
        <v/>
      </c>
      <c r="B270" s="27">
        <f>IF($A270="","",VLOOKUP($A270,CoachRoster!$A:$E,2,FALSE))</f>
        <v/>
      </c>
      <c r="C270" s="27">
        <f>IF($A270="","",VLOOKUP($A270,CoachRoster!$A:$E,3,FALSE))</f>
        <v/>
      </c>
      <c r="D270" s="27">
        <f>IF($A270="","",VLOOKUP($A270,CoachRoster!$A:$E,4,FALSE))</f>
        <v/>
      </c>
      <c r="E270" s="27">
        <f>IF($A270="","",MIN(Settings!$B$8,IFERROR(SUMIF(Weekly_Coaching!$B:$B,$A270,Weekly_Coaching!$D:$D),0)+IFERROR(SUMIF(Monthly_Edu!$B:$B,$A270,Monthly_Edu!$D:$D),0)+IFERROR(SUMIF(Monthly_Ops!$B:$B,$A270,Monthly_Ops!$D:$D),0)+IFERROR(SUMIF(Monthly_Mentor!$B:$B,$A270,Monthly_Mentor!$D:$D),0)+IFERROR(SUMIF(Quarterly_Impact!$B:$B,$A270,Quarterly_Impact!$D:$D),0)+IFERROR(SUMIFS(XPLog!$M:$M,XPLog!$B:$B,$A270,XPLog!$J:$J,"Admin"),0)+IFERROR(SUMIFS(XPLog!$M:$M,XPLog!$B:$B,$A270,XPLog!$J:$J,"Seeding"),0)))</f>
        <v/>
      </c>
      <c r="F270" s="27">
        <f>IF($E270="","",LOOKUP($E270, XPBands!B$2:B$10, XPBands!A$2:A$10))</f>
        <v/>
      </c>
      <c r="G270" s="27">
        <f>IF($E270="","", VLOOKUP($F270, XPBands!A$2:G$10, 4, FALSE) + MIN(VLOOKUP($F270, XPBands!A$2:G$10, 5, FALSE) - VLOOKUP($F270, XPBands!A$2:G$10, 4, FALSE), FLOOR(( $E270 - VLOOKUP($F270, XPBands!A$2:G$10, 2, FALSE) ) / VLOOKUP($F270, XPBands!A$2:G$10, 7, FALSE),1)))</f>
        <v/>
      </c>
      <c r="H270" s="27">
        <f>IF($D270="","",VLOOKUP($D270,RoleTitles!$A:$E,3,FALSE))</f>
        <v/>
      </c>
      <c r="I270" s="27">
        <f>IF($D270="","",IF($C270="Greek",VLOOKUP($D270,RoleTitles!$A:$E,4,FALSE),IF($C270="Aesir",VLOOKUP($D270,RoleTitles!$A:$E,5,FALSE),VLOOKUP($D270,RoleTitles!$A:$E,3,FALSE))))</f>
        <v/>
      </c>
      <c r="J270" s="27">
        <f>IF($D270="","",IF($E270&gt;=VLOOKUP($D270,RoleTitles!$A:$B,2,FALSE),"Yes","No"))</f>
        <v/>
      </c>
      <c r="K270" s="27">
        <f>IF($D270="","",IF($D270="T1","T2",IF($D270="T2","T3",IF($D270="T3","T4",IF($D270="T4","T5",IF($D270="T5","T6",IF($D270="T6","T7",IF($D270="T7","T8",IF($D270="T8","T9","")))))))))</f>
        <v/>
      </c>
      <c r="L270" s="28">
        <f>IF($K270="","",MAX(0,VLOOKUP($K270,RoleTitles!$A:$B,2,FALSE)-$E270))</f>
        <v/>
      </c>
    </row>
    <row r="271">
      <c r="A271" s="24">
        <f>IFERROR(INDEX(CoachRoster!$A$2:$A$1000,ROW()-1),"")</f>
        <v/>
      </c>
      <c r="B271" s="27">
        <f>IF($A271="","",VLOOKUP($A271,CoachRoster!$A:$E,2,FALSE))</f>
        <v/>
      </c>
      <c r="C271" s="27">
        <f>IF($A271="","",VLOOKUP($A271,CoachRoster!$A:$E,3,FALSE))</f>
        <v/>
      </c>
      <c r="D271" s="27">
        <f>IF($A271="","",VLOOKUP($A271,CoachRoster!$A:$E,4,FALSE))</f>
        <v/>
      </c>
      <c r="E271" s="27">
        <f>IF($A271="","",MIN(Settings!$B$8,IFERROR(SUMIF(Weekly_Coaching!$B:$B,$A271,Weekly_Coaching!$D:$D),0)+IFERROR(SUMIF(Monthly_Edu!$B:$B,$A271,Monthly_Edu!$D:$D),0)+IFERROR(SUMIF(Monthly_Ops!$B:$B,$A271,Monthly_Ops!$D:$D),0)+IFERROR(SUMIF(Monthly_Mentor!$B:$B,$A271,Monthly_Mentor!$D:$D),0)+IFERROR(SUMIF(Quarterly_Impact!$B:$B,$A271,Quarterly_Impact!$D:$D),0)+IFERROR(SUMIFS(XPLog!$M:$M,XPLog!$B:$B,$A271,XPLog!$J:$J,"Admin"),0)+IFERROR(SUMIFS(XPLog!$M:$M,XPLog!$B:$B,$A271,XPLog!$J:$J,"Seeding"),0)))</f>
        <v/>
      </c>
      <c r="F271" s="27">
        <f>IF($E271="","",LOOKUP($E271, XPBands!B$2:B$10, XPBands!A$2:A$10))</f>
        <v/>
      </c>
      <c r="G271" s="27">
        <f>IF($E271="","", VLOOKUP($F271, XPBands!A$2:G$10, 4, FALSE) + MIN(VLOOKUP($F271, XPBands!A$2:G$10, 5, FALSE) - VLOOKUP($F271, XPBands!A$2:G$10, 4, FALSE), FLOOR(( $E271 - VLOOKUP($F271, XPBands!A$2:G$10, 2, FALSE) ) / VLOOKUP($F271, XPBands!A$2:G$10, 7, FALSE),1)))</f>
        <v/>
      </c>
      <c r="H271" s="27">
        <f>IF($D271="","",VLOOKUP($D271,RoleTitles!$A:$E,3,FALSE))</f>
        <v/>
      </c>
      <c r="I271" s="27">
        <f>IF($D271="","",IF($C271="Greek",VLOOKUP($D271,RoleTitles!$A:$E,4,FALSE),IF($C271="Aesir",VLOOKUP($D271,RoleTitles!$A:$E,5,FALSE),VLOOKUP($D271,RoleTitles!$A:$E,3,FALSE))))</f>
        <v/>
      </c>
      <c r="J271" s="27">
        <f>IF($D271="","",IF($E271&gt;=VLOOKUP($D271,RoleTitles!$A:$B,2,FALSE),"Yes","No"))</f>
        <v/>
      </c>
      <c r="K271" s="27">
        <f>IF($D271="","",IF($D271="T1","T2",IF($D271="T2","T3",IF($D271="T3","T4",IF($D271="T4","T5",IF($D271="T5","T6",IF($D271="T6","T7",IF($D271="T7","T8",IF($D271="T8","T9","")))))))))</f>
        <v/>
      </c>
      <c r="L271" s="28">
        <f>IF($K271="","",MAX(0,VLOOKUP($K271,RoleTitles!$A:$B,2,FALSE)-$E271))</f>
        <v/>
      </c>
    </row>
    <row r="272">
      <c r="A272" s="24">
        <f>IFERROR(INDEX(CoachRoster!$A$2:$A$1000,ROW()-1),"")</f>
        <v/>
      </c>
      <c r="B272" s="27">
        <f>IF($A272="","",VLOOKUP($A272,CoachRoster!$A:$E,2,FALSE))</f>
        <v/>
      </c>
      <c r="C272" s="27">
        <f>IF($A272="","",VLOOKUP($A272,CoachRoster!$A:$E,3,FALSE))</f>
        <v/>
      </c>
      <c r="D272" s="27">
        <f>IF($A272="","",VLOOKUP($A272,CoachRoster!$A:$E,4,FALSE))</f>
        <v/>
      </c>
      <c r="E272" s="27">
        <f>IF($A272="","",MIN(Settings!$B$8,IFERROR(SUMIF(Weekly_Coaching!$B:$B,$A272,Weekly_Coaching!$D:$D),0)+IFERROR(SUMIF(Monthly_Edu!$B:$B,$A272,Monthly_Edu!$D:$D),0)+IFERROR(SUMIF(Monthly_Ops!$B:$B,$A272,Monthly_Ops!$D:$D),0)+IFERROR(SUMIF(Monthly_Mentor!$B:$B,$A272,Monthly_Mentor!$D:$D),0)+IFERROR(SUMIF(Quarterly_Impact!$B:$B,$A272,Quarterly_Impact!$D:$D),0)+IFERROR(SUMIFS(XPLog!$M:$M,XPLog!$B:$B,$A272,XPLog!$J:$J,"Admin"),0)+IFERROR(SUMIFS(XPLog!$M:$M,XPLog!$B:$B,$A272,XPLog!$J:$J,"Seeding"),0)))</f>
        <v/>
      </c>
      <c r="F272" s="27">
        <f>IF($E272="","",LOOKUP($E272, XPBands!B$2:B$10, XPBands!A$2:A$10))</f>
        <v/>
      </c>
      <c r="G272" s="27">
        <f>IF($E272="","", VLOOKUP($F272, XPBands!A$2:G$10, 4, FALSE) + MIN(VLOOKUP($F272, XPBands!A$2:G$10, 5, FALSE) - VLOOKUP($F272, XPBands!A$2:G$10, 4, FALSE), FLOOR(( $E272 - VLOOKUP($F272, XPBands!A$2:G$10, 2, FALSE) ) / VLOOKUP($F272, XPBands!A$2:G$10, 7, FALSE),1)))</f>
        <v/>
      </c>
      <c r="H272" s="27">
        <f>IF($D272="","",VLOOKUP($D272,RoleTitles!$A:$E,3,FALSE))</f>
        <v/>
      </c>
      <c r="I272" s="27">
        <f>IF($D272="","",IF($C272="Greek",VLOOKUP($D272,RoleTitles!$A:$E,4,FALSE),IF($C272="Aesir",VLOOKUP($D272,RoleTitles!$A:$E,5,FALSE),VLOOKUP($D272,RoleTitles!$A:$E,3,FALSE))))</f>
        <v/>
      </c>
      <c r="J272" s="27">
        <f>IF($D272="","",IF($E272&gt;=VLOOKUP($D272,RoleTitles!$A:$B,2,FALSE),"Yes","No"))</f>
        <v/>
      </c>
      <c r="K272" s="27">
        <f>IF($D272="","",IF($D272="T1","T2",IF($D272="T2","T3",IF($D272="T3","T4",IF($D272="T4","T5",IF($D272="T5","T6",IF($D272="T6","T7",IF($D272="T7","T8",IF($D272="T8","T9","")))))))))</f>
        <v/>
      </c>
      <c r="L272" s="28">
        <f>IF($K272="","",MAX(0,VLOOKUP($K272,RoleTitles!$A:$B,2,FALSE)-$E272))</f>
        <v/>
      </c>
    </row>
    <row r="273">
      <c r="A273" s="24">
        <f>IFERROR(INDEX(CoachRoster!$A$2:$A$1000,ROW()-1),"")</f>
        <v/>
      </c>
      <c r="B273" s="27">
        <f>IF($A273="","",VLOOKUP($A273,CoachRoster!$A:$E,2,FALSE))</f>
        <v/>
      </c>
      <c r="C273" s="27">
        <f>IF($A273="","",VLOOKUP($A273,CoachRoster!$A:$E,3,FALSE))</f>
        <v/>
      </c>
      <c r="D273" s="27">
        <f>IF($A273="","",VLOOKUP($A273,CoachRoster!$A:$E,4,FALSE))</f>
        <v/>
      </c>
      <c r="E273" s="27">
        <f>IF($A273="","",MIN(Settings!$B$8,IFERROR(SUMIF(Weekly_Coaching!$B:$B,$A273,Weekly_Coaching!$D:$D),0)+IFERROR(SUMIF(Monthly_Edu!$B:$B,$A273,Monthly_Edu!$D:$D),0)+IFERROR(SUMIF(Monthly_Ops!$B:$B,$A273,Monthly_Ops!$D:$D),0)+IFERROR(SUMIF(Monthly_Mentor!$B:$B,$A273,Monthly_Mentor!$D:$D),0)+IFERROR(SUMIF(Quarterly_Impact!$B:$B,$A273,Quarterly_Impact!$D:$D),0)+IFERROR(SUMIFS(XPLog!$M:$M,XPLog!$B:$B,$A273,XPLog!$J:$J,"Admin"),0)+IFERROR(SUMIFS(XPLog!$M:$M,XPLog!$B:$B,$A273,XPLog!$J:$J,"Seeding"),0)))</f>
        <v/>
      </c>
      <c r="F273" s="27">
        <f>IF($E273="","",LOOKUP($E273, XPBands!B$2:B$10, XPBands!A$2:A$10))</f>
        <v/>
      </c>
      <c r="G273" s="27">
        <f>IF($E273="","", VLOOKUP($F273, XPBands!A$2:G$10, 4, FALSE) + MIN(VLOOKUP($F273, XPBands!A$2:G$10, 5, FALSE) - VLOOKUP($F273, XPBands!A$2:G$10, 4, FALSE), FLOOR(( $E273 - VLOOKUP($F273, XPBands!A$2:G$10, 2, FALSE) ) / VLOOKUP($F273, XPBands!A$2:G$10, 7, FALSE),1)))</f>
        <v/>
      </c>
      <c r="H273" s="27">
        <f>IF($D273="","",VLOOKUP($D273,RoleTitles!$A:$E,3,FALSE))</f>
        <v/>
      </c>
      <c r="I273" s="27">
        <f>IF($D273="","",IF($C273="Greek",VLOOKUP($D273,RoleTitles!$A:$E,4,FALSE),IF($C273="Aesir",VLOOKUP($D273,RoleTitles!$A:$E,5,FALSE),VLOOKUP($D273,RoleTitles!$A:$E,3,FALSE))))</f>
        <v/>
      </c>
      <c r="J273" s="27">
        <f>IF($D273="","",IF($E273&gt;=VLOOKUP($D273,RoleTitles!$A:$B,2,FALSE),"Yes","No"))</f>
        <v/>
      </c>
      <c r="K273" s="27">
        <f>IF($D273="","",IF($D273="T1","T2",IF($D273="T2","T3",IF($D273="T3","T4",IF($D273="T4","T5",IF($D273="T5","T6",IF($D273="T6","T7",IF($D273="T7","T8",IF($D273="T8","T9","")))))))))</f>
        <v/>
      </c>
      <c r="L273" s="28">
        <f>IF($K273="","",MAX(0,VLOOKUP($K273,RoleTitles!$A:$B,2,FALSE)-$E273))</f>
        <v/>
      </c>
    </row>
    <row r="274">
      <c r="A274" s="24">
        <f>IFERROR(INDEX(CoachRoster!$A$2:$A$1000,ROW()-1),"")</f>
        <v/>
      </c>
      <c r="B274" s="27">
        <f>IF($A274="","",VLOOKUP($A274,CoachRoster!$A:$E,2,FALSE))</f>
        <v/>
      </c>
      <c r="C274" s="27">
        <f>IF($A274="","",VLOOKUP($A274,CoachRoster!$A:$E,3,FALSE))</f>
        <v/>
      </c>
      <c r="D274" s="27">
        <f>IF($A274="","",VLOOKUP($A274,CoachRoster!$A:$E,4,FALSE))</f>
        <v/>
      </c>
      <c r="E274" s="27">
        <f>IF($A274="","",MIN(Settings!$B$8,IFERROR(SUMIF(Weekly_Coaching!$B:$B,$A274,Weekly_Coaching!$D:$D),0)+IFERROR(SUMIF(Monthly_Edu!$B:$B,$A274,Monthly_Edu!$D:$D),0)+IFERROR(SUMIF(Monthly_Ops!$B:$B,$A274,Monthly_Ops!$D:$D),0)+IFERROR(SUMIF(Monthly_Mentor!$B:$B,$A274,Monthly_Mentor!$D:$D),0)+IFERROR(SUMIF(Quarterly_Impact!$B:$B,$A274,Quarterly_Impact!$D:$D),0)+IFERROR(SUMIFS(XPLog!$M:$M,XPLog!$B:$B,$A274,XPLog!$J:$J,"Admin"),0)+IFERROR(SUMIFS(XPLog!$M:$M,XPLog!$B:$B,$A274,XPLog!$J:$J,"Seeding"),0)))</f>
        <v/>
      </c>
      <c r="F274" s="27">
        <f>IF($E274="","",LOOKUP($E274, XPBands!B$2:B$10, XPBands!A$2:A$10))</f>
        <v/>
      </c>
      <c r="G274" s="27">
        <f>IF($E274="","", VLOOKUP($F274, XPBands!A$2:G$10, 4, FALSE) + MIN(VLOOKUP($F274, XPBands!A$2:G$10, 5, FALSE) - VLOOKUP($F274, XPBands!A$2:G$10, 4, FALSE), FLOOR(( $E274 - VLOOKUP($F274, XPBands!A$2:G$10, 2, FALSE) ) / VLOOKUP($F274, XPBands!A$2:G$10, 7, FALSE),1)))</f>
        <v/>
      </c>
      <c r="H274" s="27">
        <f>IF($D274="","",VLOOKUP($D274,RoleTitles!$A:$E,3,FALSE))</f>
        <v/>
      </c>
      <c r="I274" s="27">
        <f>IF($D274="","",IF($C274="Greek",VLOOKUP($D274,RoleTitles!$A:$E,4,FALSE),IF($C274="Aesir",VLOOKUP($D274,RoleTitles!$A:$E,5,FALSE),VLOOKUP($D274,RoleTitles!$A:$E,3,FALSE))))</f>
        <v/>
      </c>
      <c r="J274" s="27">
        <f>IF($D274="","",IF($E274&gt;=VLOOKUP($D274,RoleTitles!$A:$B,2,FALSE),"Yes","No"))</f>
        <v/>
      </c>
      <c r="K274" s="27">
        <f>IF($D274="","",IF($D274="T1","T2",IF($D274="T2","T3",IF($D274="T3","T4",IF($D274="T4","T5",IF($D274="T5","T6",IF($D274="T6","T7",IF($D274="T7","T8",IF($D274="T8","T9","")))))))))</f>
        <v/>
      </c>
      <c r="L274" s="28">
        <f>IF($K274="","",MAX(0,VLOOKUP($K274,RoleTitles!$A:$B,2,FALSE)-$E274))</f>
        <v/>
      </c>
    </row>
    <row r="275">
      <c r="A275" s="24">
        <f>IFERROR(INDEX(CoachRoster!$A$2:$A$1000,ROW()-1),"")</f>
        <v/>
      </c>
      <c r="B275" s="27">
        <f>IF($A275="","",VLOOKUP($A275,CoachRoster!$A:$E,2,FALSE))</f>
        <v/>
      </c>
      <c r="C275" s="27">
        <f>IF($A275="","",VLOOKUP($A275,CoachRoster!$A:$E,3,FALSE))</f>
        <v/>
      </c>
      <c r="D275" s="27">
        <f>IF($A275="","",VLOOKUP($A275,CoachRoster!$A:$E,4,FALSE))</f>
        <v/>
      </c>
      <c r="E275" s="27">
        <f>IF($A275="","",MIN(Settings!$B$8,IFERROR(SUMIF(Weekly_Coaching!$B:$B,$A275,Weekly_Coaching!$D:$D),0)+IFERROR(SUMIF(Monthly_Edu!$B:$B,$A275,Monthly_Edu!$D:$D),0)+IFERROR(SUMIF(Monthly_Ops!$B:$B,$A275,Monthly_Ops!$D:$D),0)+IFERROR(SUMIF(Monthly_Mentor!$B:$B,$A275,Monthly_Mentor!$D:$D),0)+IFERROR(SUMIF(Quarterly_Impact!$B:$B,$A275,Quarterly_Impact!$D:$D),0)+IFERROR(SUMIFS(XPLog!$M:$M,XPLog!$B:$B,$A275,XPLog!$J:$J,"Admin"),0)+IFERROR(SUMIFS(XPLog!$M:$M,XPLog!$B:$B,$A275,XPLog!$J:$J,"Seeding"),0)))</f>
        <v/>
      </c>
      <c r="F275" s="27">
        <f>IF($E275="","",LOOKUP($E275, XPBands!B$2:B$10, XPBands!A$2:A$10))</f>
        <v/>
      </c>
      <c r="G275" s="27">
        <f>IF($E275="","", VLOOKUP($F275, XPBands!A$2:G$10, 4, FALSE) + MIN(VLOOKUP($F275, XPBands!A$2:G$10, 5, FALSE) - VLOOKUP($F275, XPBands!A$2:G$10, 4, FALSE), FLOOR(( $E275 - VLOOKUP($F275, XPBands!A$2:G$10, 2, FALSE) ) / VLOOKUP($F275, XPBands!A$2:G$10, 7, FALSE),1)))</f>
        <v/>
      </c>
      <c r="H275" s="27">
        <f>IF($D275="","",VLOOKUP($D275,RoleTitles!$A:$E,3,FALSE))</f>
        <v/>
      </c>
      <c r="I275" s="27">
        <f>IF($D275="","",IF($C275="Greek",VLOOKUP($D275,RoleTitles!$A:$E,4,FALSE),IF($C275="Aesir",VLOOKUP($D275,RoleTitles!$A:$E,5,FALSE),VLOOKUP($D275,RoleTitles!$A:$E,3,FALSE))))</f>
        <v/>
      </c>
      <c r="J275" s="27">
        <f>IF($D275="","",IF($E275&gt;=VLOOKUP($D275,RoleTitles!$A:$B,2,FALSE),"Yes","No"))</f>
        <v/>
      </c>
      <c r="K275" s="27">
        <f>IF($D275="","",IF($D275="T1","T2",IF($D275="T2","T3",IF($D275="T3","T4",IF($D275="T4","T5",IF($D275="T5","T6",IF($D275="T6","T7",IF($D275="T7","T8",IF($D275="T8","T9","")))))))))</f>
        <v/>
      </c>
      <c r="L275" s="28">
        <f>IF($K275="","",MAX(0,VLOOKUP($K275,RoleTitles!$A:$B,2,FALSE)-$E275))</f>
        <v/>
      </c>
    </row>
    <row r="276">
      <c r="A276" s="24">
        <f>IFERROR(INDEX(CoachRoster!$A$2:$A$1000,ROW()-1),"")</f>
        <v/>
      </c>
      <c r="B276" s="27">
        <f>IF($A276="","",VLOOKUP($A276,CoachRoster!$A:$E,2,FALSE))</f>
        <v/>
      </c>
      <c r="C276" s="27">
        <f>IF($A276="","",VLOOKUP($A276,CoachRoster!$A:$E,3,FALSE))</f>
        <v/>
      </c>
      <c r="D276" s="27">
        <f>IF($A276="","",VLOOKUP($A276,CoachRoster!$A:$E,4,FALSE))</f>
        <v/>
      </c>
      <c r="E276" s="27">
        <f>IF($A276="","",MIN(Settings!$B$8,IFERROR(SUMIF(Weekly_Coaching!$B:$B,$A276,Weekly_Coaching!$D:$D),0)+IFERROR(SUMIF(Monthly_Edu!$B:$B,$A276,Monthly_Edu!$D:$D),0)+IFERROR(SUMIF(Monthly_Ops!$B:$B,$A276,Monthly_Ops!$D:$D),0)+IFERROR(SUMIF(Monthly_Mentor!$B:$B,$A276,Monthly_Mentor!$D:$D),0)+IFERROR(SUMIF(Quarterly_Impact!$B:$B,$A276,Quarterly_Impact!$D:$D),0)+IFERROR(SUMIFS(XPLog!$M:$M,XPLog!$B:$B,$A276,XPLog!$J:$J,"Admin"),0)+IFERROR(SUMIFS(XPLog!$M:$M,XPLog!$B:$B,$A276,XPLog!$J:$J,"Seeding"),0)))</f>
        <v/>
      </c>
      <c r="F276" s="27">
        <f>IF($E276="","",LOOKUP($E276, XPBands!B$2:B$10, XPBands!A$2:A$10))</f>
        <v/>
      </c>
      <c r="G276" s="27">
        <f>IF($E276="","", VLOOKUP($F276, XPBands!A$2:G$10, 4, FALSE) + MIN(VLOOKUP($F276, XPBands!A$2:G$10, 5, FALSE) - VLOOKUP($F276, XPBands!A$2:G$10, 4, FALSE), FLOOR(( $E276 - VLOOKUP($F276, XPBands!A$2:G$10, 2, FALSE) ) / VLOOKUP($F276, XPBands!A$2:G$10, 7, FALSE),1)))</f>
        <v/>
      </c>
      <c r="H276" s="27">
        <f>IF($D276="","",VLOOKUP($D276,RoleTitles!$A:$E,3,FALSE))</f>
        <v/>
      </c>
      <c r="I276" s="27">
        <f>IF($D276="","",IF($C276="Greek",VLOOKUP($D276,RoleTitles!$A:$E,4,FALSE),IF($C276="Aesir",VLOOKUP($D276,RoleTitles!$A:$E,5,FALSE),VLOOKUP($D276,RoleTitles!$A:$E,3,FALSE))))</f>
        <v/>
      </c>
      <c r="J276" s="27">
        <f>IF($D276="","",IF($E276&gt;=VLOOKUP($D276,RoleTitles!$A:$B,2,FALSE),"Yes","No"))</f>
        <v/>
      </c>
      <c r="K276" s="27">
        <f>IF($D276="","",IF($D276="T1","T2",IF($D276="T2","T3",IF($D276="T3","T4",IF($D276="T4","T5",IF($D276="T5","T6",IF($D276="T6","T7",IF($D276="T7","T8",IF($D276="T8","T9","")))))))))</f>
        <v/>
      </c>
      <c r="L276" s="28">
        <f>IF($K276="","",MAX(0,VLOOKUP($K276,RoleTitles!$A:$B,2,FALSE)-$E276))</f>
        <v/>
      </c>
    </row>
    <row r="277">
      <c r="A277" s="24">
        <f>IFERROR(INDEX(CoachRoster!$A$2:$A$1000,ROW()-1),"")</f>
        <v/>
      </c>
      <c r="B277" s="27">
        <f>IF($A277="","",VLOOKUP($A277,CoachRoster!$A:$E,2,FALSE))</f>
        <v/>
      </c>
      <c r="C277" s="27">
        <f>IF($A277="","",VLOOKUP($A277,CoachRoster!$A:$E,3,FALSE))</f>
        <v/>
      </c>
      <c r="D277" s="27">
        <f>IF($A277="","",VLOOKUP($A277,CoachRoster!$A:$E,4,FALSE))</f>
        <v/>
      </c>
      <c r="E277" s="27">
        <f>IF($A277="","",MIN(Settings!$B$8,IFERROR(SUMIF(Weekly_Coaching!$B:$B,$A277,Weekly_Coaching!$D:$D),0)+IFERROR(SUMIF(Monthly_Edu!$B:$B,$A277,Monthly_Edu!$D:$D),0)+IFERROR(SUMIF(Monthly_Ops!$B:$B,$A277,Monthly_Ops!$D:$D),0)+IFERROR(SUMIF(Monthly_Mentor!$B:$B,$A277,Monthly_Mentor!$D:$D),0)+IFERROR(SUMIF(Quarterly_Impact!$B:$B,$A277,Quarterly_Impact!$D:$D),0)+IFERROR(SUMIFS(XPLog!$M:$M,XPLog!$B:$B,$A277,XPLog!$J:$J,"Admin"),0)+IFERROR(SUMIFS(XPLog!$M:$M,XPLog!$B:$B,$A277,XPLog!$J:$J,"Seeding"),0)))</f>
        <v/>
      </c>
      <c r="F277" s="27">
        <f>IF($E277="","",LOOKUP($E277, XPBands!B$2:B$10, XPBands!A$2:A$10))</f>
        <v/>
      </c>
      <c r="G277" s="27">
        <f>IF($E277="","", VLOOKUP($F277, XPBands!A$2:G$10, 4, FALSE) + MIN(VLOOKUP($F277, XPBands!A$2:G$10, 5, FALSE) - VLOOKUP($F277, XPBands!A$2:G$10, 4, FALSE), FLOOR(( $E277 - VLOOKUP($F277, XPBands!A$2:G$10, 2, FALSE) ) / VLOOKUP($F277, XPBands!A$2:G$10, 7, FALSE),1)))</f>
        <v/>
      </c>
      <c r="H277" s="27">
        <f>IF($D277="","",VLOOKUP($D277,RoleTitles!$A:$E,3,FALSE))</f>
        <v/>
      </c>
      <c r="I277" s="27">
        <f>IF($D277="","",IF($C277="Greek",VLOOKUP($D277,RoleTitles!$A:$E,4,FALSE),IF($C277="Aesir",VLOOKUP($D277,RoleTitles!$A:$E,5,FALSE),VLOOKUP($D277,RoleTitles!$A:$E,3,FALSE))))</f>
        <v/>
      </c>
      <c r="J277" s="27">
        <f>IF($D277="","",IF($E277&gt;=VLOOKUP($D277,RoleTitles!$A:$B,2,FALSE),"Yes","No"))</f>
        <v/>
      </c>
      <c r="K277" s="27">
        <f>IF($D277="","",IF($D277="T1","T2",IF($D277="T2","T3",IF($D277="T3","T4",IF($D277="T4","T5",IF($D277="T5","T6",IF($D277="T6","T7",IF($D277="T7","T8",IF($D277="T8","T9","")))))))))</f>
        <v/>
      </c>
      <c r="L277" s="28">
        <f>IF($K277="","",MAX(0,VLOOKUP($K277,RoleTitles!$A:$B,2,FALSE)-$E277))</f>
        <v/>
      </c>
    </row>
    <row r="278">
      <c r="A278" s="24">
        <f>IFERROR(INDEX(CoachRoster!$A$2:$A$1000,ROW()-1),"")</f>
        <v/>
      </c>
      <c r="B278" s="27">
        <f>IF($A278="","",VLOOKUP($A278,CoachRoster!$A:$E,2,FALSE))</f>
        <v/>
      </c>
      <c r="C278" s="27">
        <f>IF($A278="","",VLOOKUP($A278,CoachRoster!$A:$E,3,FALSE))</f>
        <v/>
      </c>
      <c r="D278" s="27">
        <f>IF($A278="","",VLOOKUP($A278,CoachRoster!$A:$E,4,FALSE))</f>
        <v/>
      </c>
      <c r="E278" s="27">
        <f>IF($A278="","",MIN(Settings!$B$8,IFERROR(SUMIF(Weekly_Coaching!$B:$B,$A278,Weekly_Coaching!$D:$D),0)+IFERROR(SUMIF(Monthly_Edu!$B:$B,$A278,Monthly_Edu!$D:$D),0)+IFERROR(SUMIF(Monthly_Ops!$B:$B,$A278,Monthly_Ops!$D:$D),0)+IFERROR(SUMIF(Monthly_Mentor!$B:$B,$A278,Monthly_Mentor!$D:$D),0)+IFERROR(SUMIF(Quarterly_Impact!$B:$B,$A278,Quarterly_Impact!$D:$D),0)+IFERROR(SUMIFS(XPLog!$M:$M,XPLog!$B:$B,$A278,XPLog!$J:$J,"Admin"),0)+IFERROR(SUMIFS(XPLog!$M:$M,XPLog!$B:$B,$A278,XPLog!$J:$J,"Seeding"),0)))</f>
        <v/>
      </c>
      <c r="F278" s="27">
        <f>IF($E278="","",LOOKUP($E278, XPBands!B$2:B$10, XPBands!A$2:A$10))</f>
        <v/>
      </c>
      <c r="G278" s="27">
        <f>IF($E278="","", VLOOKUP($F278, XPBands!A$2:G$10, 4, FALSE) + MIN(VLOOKUP($F278, XPBands!A$2:G$10, 5, FALSE) - VLOOKUP($F278, XPBands!A$2:G$10, 4, FALSE), FLOOR(( $E278 - VLOOKUP($F278, XPBands!A$2:G$10, 2, FALSE) ) / VLOOKUP($F278, XPBands!A$2:G$10, 7, FALSE),1)))</f>
        <v/>
      </c>
      <c r="H278" s="27">
        <f>IF($D278="","",VLOOKUP($D278,RoleTitles!$A:$E,3,FALSE))</f>
        <v/>
      </c>
      <c r="I278" s="27">
        <f>IF($D278="","",IF($C278="Greek",VLOOKUP($D278,RoleTitles!$A:$E,4,FALSE),IF($C278="Aesir",VLOOKUP($D278,RoleTitles!$A:$E,5,FALSE),VLOOKUP($D278,RoleTitles!$A:$E,3,FALSE))))</f>
        <v/>
      </c>
      <c r="J278" s="27">
        <f>IF($D278="","",IF($E278&gt;=VLOOKUP($D278,RoleTitles!$A:$B,2,FALSE),"Yes","No"))</f>
        <v/>
      </c>
      <c r="K278" s="27">
        <f>IF($D278="","",IF($D278="T1","T2",IF($D278="T2","T3",IF($D278="T3","T4",IF($D278="T4","T5",IF($D278="T5","T6",IF($D278="T6","T7",IF($D278="T7","T8",IF($D278="T8","T9","")))))))))</f>
        <v/>
      </c>
      <c r="L278" s="28">
        <f>IF($K278="","",MAX(0,VLOOKUP($K278,RoleTitles!$A:$B,2,FALSE)-$E278))</f>
        <v/>
      </c>
    </row>
    <row r="279">
      <c r="A279" s="24">
        <f>IFERROR(INDEX(CoachRoster!$A$2:$A$1000,ROW()-1),"")</f>
        <v/>
      </c>
      <c r="B279" s="27">
        <f>IF($A279="","",VLOOKUP($A279,CoachRoster!$A:$E,2,FALSE))</f>
        <v/>
      </c>
      <c r="C279" s="27">
        <f>IF($A279="","",VLOOKUP($A279,CoachRoster!$A:$E,3,FALSE))</f>
        <v/>
      </c>
      <c r="D279" s="27">
        <f>IF($A279="","",VLOOKUP($A279,CoachRoster!$A:$E,4,FALSE))</f>
        <v/>
      </c>
      <c r="E279" s="27">
        <f>IF($A279="","",MIN(Settings!$B$8,IFERROR(SUMIF(Weekly_Coaching!$B:$B,$A279,Weekly_Coaching!$D:$D),0)+IFERROR(SUMIF(Monthly_Edu!$B:$B,$A279,Monthly_Edu!$D:$D),0)+IFERROR(SUMIF(Monthly_Ops!$B:$B,$A279,Monthly_Ops!$D:$D),0)+IFERROR(SUMIF(Monthly_Mentor!$B:$B,$A279,Monthly_Mentor!$D:$D),0)+IFERROR(SUMIF(Quarterly_Impact!$B:$B,$A279,Quarterly_Impact!$D:$D),0)+IFERROR(SUMIFS(XPLog!$M:$M,XPLog!$B:$B,$A279,XPLog!$J:$J,"Admin"),0)+IFERROR(SUMIFS(XPLog!$M:$M,XPLog!$B:$B,$A279,XPLog!$J:$J,"Seeding"),0)))</f>
        <v/>
      </c>
      <c r="F279" s="27">
        <f>IF($E279="","",LOOKUP($E279, XPBands!B$2:B$10, XPBands!A$2:A$10))</f>
        <v/>
      </c>
      <c r="G279" s="27">
        <f>IF($E279="","", VLOOKUP($F279, XPBands!A$2:G$10, 4, FALSE) + MIN(VLOOKUP($F279, XPBands!A$2:G$10, 5, FALSE) - VLOOKUP($F279, XPBands!A$2:G$10, 4, FALSE), FLOOR(( $E279 - VLOOKUP($F279, XPBands!A$2:G$10, 2, FALSE) ) / VLOOKUP($F279, XPBands!A$2:G$10, 7, FALSE),1)))</f>
        <v/>
      </c>
      <c r="H279" s="27">
        <f>IF($D279="","",VLOOKUP($D279,RoleTitles!$A:$E,3,FALSE))</f>
        <v/>
      </c>
      <c r="I279" s="27">
        <f>IF($D279="","",IF($C279="Greek",VLOOKUP($D279,RoleTitles!$A:$E,4,FALSE),IF($C279="Aesir",VLOOKUP($D279,RoleTitles!$A:$E,5,FALSE),VLOOKUP($D279,RoleTitles!$A:$E,3,FALSE))))</f>
        <v/>
      </c>
      <c r="J279" s="27">
        <f>IF($D279="","",IF($E279&gt;=VLOOKUP($D279,RoleTitles!$A:$B,2,FALSE),"Yes","No"))</f>
        <v/>
      </c>
      <c r="K279" s="27">
        <f>IF($D279="","",IF($D279="T1","T2",IF($D279="T2","T3",IF($D279="T3","T4",IF($D279="T4","T5",IF($D279="T5","T6",IF($D279="T6","T7",IF($D279="T7","T8",IF($D279="T8","T9","")))))))))</f>
        <v/>
      </c>
      <c r="L279" s="28">
        <f>IF($K279="","",MAX(0,VLOOKUP($K279,RoleTitles!$A:$B,2,FALSE)-$E279))</f>
        <v/>
      </c>
    </row>
    <row r="280">
      <c r="A280" s="24">
        <f>IFERROR(INDEX(CoachRoster!$A$2:$A$1000,ROW()-1),"")</f>
        <v/>
      </c>
      <c r="B280" s="27">
        <f>IF($A280="","",VLOOKUP($A280,CoachRoster!$A:$E,2,FALSE))</f>
        <v/>
      </c>
      <c r="C280" s="27">
        <f>IF($A280="","",VLOOKUP($A280,CoachRoster!$A:$E,3,FALSE))</f>
        <v/>
      </c>
      <c r="D280" s="27">
        <f>IF($A280="","",VLOOKUP($A280,CoachRoster!$A:$E,4,FALSE))</f>
        <v/>
      </c>
      <c r="E280" s="27">
        <f>IF($A280="","",MIN(Settings!$B$8,IFERROR(SUMIF(Weekly_Coaching!$B:$B,$A280,Weekly_Coaching!$D:$D),0)+IFERROR(SUMIF(Monthly_Edu!$B:$B,$A280,Monthly_Edu!$D:$D),0)+IFERROR(SUMIF(Monthly_Ops!$B:$B,$A280,Monthly_Ops!$D:$D),0)+IFERROR(SUMIF(Monthly_Mentor!$B:$B,$A280,Monthly_Mentor!$D:$D),0)+IFERROR(SUMIF(Quarterly_Impact!$B:$B,$A280,Quarterly_Impact!$D:$D),0)+IFERROR(SUMIFS(XPLog!$M:$M,XPLog!$B:$B,$A280,XPLog!$J:$J,"Admin"),0)+IFERROR(SUMIFS(XPLog!$M:$M,XPLog!$B:$B,$A280,XPLog!$J:$J,"Seeding"),0)))</f>
        <v/>
      </c>
      <c r="F280" s="27">
        <f>IF($E280="","",LOOKUP($E280, XPBands!B$2:B$10, XPBands!A$2:A$10))</f>
        <v/>
      </c>
      <c r="G280" s="27">
        <f>IF($E280="","", VLOOKUP($F280, XPBands!A$2:G$10, 4, FALSE) + MIN(VLOOKUP($F280, XPBands!A$2:G$10, 5, FALSE) - VLOOKUP($F280, XPBands!A$2:G$10, 4, FALSE), FLOOR(( $E280 - VLOOKUP($F280, XPBands!A$2:G$10, 2, FALSE) ) / VLOOKUP($F280, XPBands!A$2:G$10, 7, FALSE),1)))</f>
        <v/>
      </c>
      <c r="H280" s="27">
        <f>IF($D280="","",VLOOKUP($D280,RoleTitles!$A:$E,3,FALSE))</f>
        <v/>
      </c>
      <c r="I280" s="27">
        <f>IF($D280="","",IF($C280="Greek",VLOOKUP($D280,RoleTitles!$A:$E,4,FALSE),IF($C280="Aesir",VLOOKUP($D280,RoleTitles!$A:$E,5,FALSE),VLOOKUP($D280,RoleTitles!$A:$E,3,FALSE))))</f>
        <v/>
      </c>
      <c r="J280" s="27">
        <f>IF($D280="","",IF($E280&gt;=VLOOKUP($D280,RoleTitles!$A:$B,2,FALSE),"Yes","No"))</f>
        <v/>
      </c>
      <c r="K280" s="27">
        <f>IF($D280="","",IF($D280="T1","T2",IF($D280="T2","T3",IF($D280="T3","T4",IF($D280="T4","T5",IF($D280="T5","T6",IF($D280="T6","T7",IF($D280="T7","T8",IF($D280="T8","T9","")))))))))</f>
        <v/>
      </c>
      <c r="L280" s="28">
        <f>IF($K280="","",MAX(0,VLOOKUP($K280,RoleTitles!$A:$B,2,FALSE)-$E280))</f>
        <v/>
      </c>
    </row>
    <row r="281">
      <c r="A281" s="24">
        <f>IFERROR(INDEX(CoachRoster!$A$2:$A$1000,ROW()-1),"")</f>
        <v/>
      </c>
      <c r="B281" s="27">
        <f>IF($A281="","",VLOOKUP($A281,CoachRoster!$A:$E,2,FALSE))</f>
        <v/>
      </c>
      <c r="C281" s="27">
        <f>IF($A281="","",VLOOKUP($A281,CoachRoster!$A:$E,3,FALSE))</f>
        <v/>
      </c>
      <c r="D281" s="27">
        <f>IF($A281="","",VLOOKUP($A281,CoachRoster!$A:$E,4,FALSE))</f>
        <v/>
      </c>
      <c r="E281" s="27">
        <f>IF($A281="","",MIN(Settings!$B$8,IFERROR(SUMIF(Weekly_Coaching!$B:$B,$A281,Weekly_Coaching!$D:$D),0)+IFERROR(SUMIF(Monthly_Edu!$B:$B,$A281,Monthly_Edu!$D:$D),0)+IFERROR(SUMIF(Monthly_Ops!$B:$B,$A281,Monthly_Ops!$D:$D),0)+IFERROR(SUMIF(Monthly_Mentor!$B:$B,$A281,Monthly_Mentor!$D:$D),0)+IFERROR(SUMIF(Quarterly_Impact!$B:$B,$A281,Quarterly_Impact!$D:$D),0)+IFERROR(SUMIFS(XPLog!$M:$M,XPLog!$B:$B,$A281,XPLog!$J:$J,"Admin"),0)+IFERROR(SUMIFS(XPLog!$M:$M,XPLog!$B:$B,$A281,XPLog!$J:$J,"Seeding"),0)))</f>
        <v/>
      </c>
      <c r="F281" s="27">
        <f>IF($E281="","",LOOKUP($E281, XPBands!B$2:B$10, XPBands!A$2:A$10))</f>
        <v/>
      </c>
      <c r="G281" s="27">
        <f>IF($E281="","", VLOOKUP($F281, XPBands!A$2:G$10, 4, FALSE) + MIN(VLOOKUP($F281, XPBands!A$2:G$10, 5, FALSE) - VLOOKUP($F281, XPBands!A$2:G$10, 4, FALSE), FLOOR(( $E281 - VLOOKUP($F281, XPBands!A$2:G$10, 2, FALSE) ) / VLOOKUP($F281, XPBands!A$2:G$10, 7, FALSE),1)))</f>
        <v/>
      </c>
      <c r="H281" s="27">
        <f>IF($D281="","",VLOOKUP($D281,RoleTitles!$A:$E,3,FALSE))</f>
        <v/>
      </c>
      <c r="I281" s="27">
        <f>IF($D281="","",IF($C281="Greek",VLOOKUP($D281,RoleTitles!$A:$E,4,FALSE),IF($C281="Aesir",VLOOKUP($D281,RoleTitles!$A:$E,5,FALSE),VLOOKUP($D281,RoleTitles!$A:$E,3,FALSE))))</f>
        <v/>
      </c>
      <c r="J281" s="27">
        <f>IF($D281="","",IF($E281&gt;=VLOOKUP($D281,RoleTitles!$A:$B,2,FALSE),"Yes","No"))</f>
        <v/>
      </c>
      <c r="K281" s="27">
        <f>IF($D281="","",IF($D281="T1","T2",IF($D281="T2","T3",IF($D281="T3","T4",IF($D281="T4","T5",IF($D281="T5","T6",IF($D281="T6","T7",IF($D281="T7","T8",IF($D281="T8","T9","")))))))))</f>
        <v/>
      </c>
      <c r="L281" s="28">
        <f>IF($K281="","",MAX(0,VLOOKUP($K281,RoleTitles!$A:$B,2,FALSE)-$E281))</f>
        <v/>
      </c>
    </row>
    <row r="282">
      <c r="A282" s="24">
        <f>IFERROR(INDEX(CoachRoster!$A$2:$A$1000,ROW()-1),"")</f>
        <v/>
      </c>
      <c r="B282" s="27">
        <f>IF($A282="","",VLOOKUP($A282,CoachRoster!$A:$E,2,FALSE))</f>
        <v/>
      </c>
      <c r="C282" s="27">
        <f>IF($A282="","",VLOOKUP($A282,CoachRoster!$A:$E,3,FALSE))</f>
        <v/>
      </c>
      <c r="D282" s="27">
        <f>IF($A282="","",VLOOKUP($A282,CoachRoster!$A:$E,4,FALSE))</f>
        <v/>
      </c>
      <c r="E282" s="27">
        <f>IF($A282="","",MIN(Settings!$B$8,IFERROR(SUMIF(Weekly_Coaching!$B:$B,$A282,Weekly_Coaching!$D:$D),0)+IFERROR(SUMIF(Monthly_Edu!$B:$B,$A282,Monthly_Edu!$D:$D),0)+IFERROR(SUMIF(Monthly_Ops!$B:$B,$A282,Monthly_Ops!$D:$D),0)+IFERROR(SUMIF(Monthly_Mentor!$B:$B,$A282,Monthly_Mentor!$D:$D),0)+IFERROR(SUMIF(Quarterly_Impact!$B:$B,$A282,Quarterly_Impact!$D:$D),0)+IFERROR(SUMIFS(XPLog!$M:$M,XPLog!$B:$B,$A282,XPLog!$J:$J,"Admin"),0)+IFERROR(SUMIFS(XPLog!$M:$M,XPLog!$B:$B,$A282,XPLog!$J:$J,"Seeding"),0)))</f>
        <v/>
      </c>
      <c r="F282" s="27">
        <f>IF($E282="","",LOOKUP($E282, XPBands!B$2:B$10, XPBands!A$2:A$10))</f>
        <v/>
      </c>
      <c r="G282" s="27">
        <f>IF($E282="","", VLOOKUP($F282, XPBands!A$2:G$10, 4, FALSE) + MIN(VLOOKUP($F282, XPBands!A$2:G$10, 5, FALSE) - VLOOKUP($F282, XPBands!A$2:G$10, 4, FALSE), FLOOR(( $E282 - VLOOKUP($F282, XPBands!A$2:G$10, 2, FALSE) ) / VLOOKUP($F282, XPBands!A$2:G$10, 7, FALSE),1)))</f>
        <v/>
      </c>
      <c r="H282" s="27">
        <f>IF($D282="","",VLOOKUP($D282,RoleTitles!$A:$E,3,FALSE))</f>
        <v/>
      </c>
      <c r="I282" s="27">
        <f>IF($D282="","",IF($C282="Greek",VLOOKUP($D282,RoleTitles!$A:$E,4,FALSE),IF($C282="Aesir",VLOOKUP($D282,RoleTitles!$A:$E,5,FALSE),VLOOKUP($D282,RoleTitles!$A:$E,3,FALSE))))</f>
        <v/>
      </c>
      <c r="J282" s="27">
        <f>IF($D282="","",IF($E282&gt;=VLOOKUP($D282,RoleTitles!$A:$B,2,FALSE),"Yes","No"))</f>
        <v/>
      </c>
      <c r="K282" s="27">
        <f>IF($D282="","",IF($D282="T1","T2",IF($D282="T2","T3",IF($D282="T3","T4",IF($D282="T4","T5",IF($D282="T5","T6",IF($D282="T6","T7",IF($D282="T7","T8",IF($D282="T8","T9","")))))))))</f>
        <v/>
      </c>
      <c r="L282" s="28">
        <f>IF($K282="","",MAX(0,VLOOKUP($K282,RoleTitles!$A:$B,2,FALSE)-$E282))</f>
        <v/>
      </c>
    </row>
    <row r="283">
      <c r="A283" s="24">
        <f>IFERROR(INDEX(CoachRoster!$A$2:$A$1000,ROW()-1),"")</f>
        <v/>
      </c>
      <c r="B283" s="27">
        <f>IF($A283="","",VLOOKUP($A283,CoachRoster!$A:$E,2,FALSE))</f>
        <v/>
      </c>
      <c r="C283" s="27">
        <f>IF($A283="","",VLOOKUP($A283,CoachRoster!$A:$E,3,FALSE))</f>
        <v/>
      </c>
      <c r="D283" s="27">
        <f>IF($A283="","",VLOOKUP($A283,CoachRoster!$A:$E,4,FALSE))</f>
        <v/>
      </c>
      <c r="E283" s="27">
        <f>IF($A283="","",MIN(Settings!$B$8,IFERROR(SUMIF(Weekly_Coaching!$B:$B,$A283,Weekly_Coaching!$D:$D),0)+IFERROR(SUMIF(Monthly_Edu!$B:$B,$A283,Monthly_Edu!$D:$D),0)+IFERROR(SUMIF(Monthly_Ops!$B:$B,$A283,Monthly_Ops!$D:$D),0)+IFERROR(SUMIF(Monthly_Mentor!$B:$B,$A283,Monthly_Mentor!$D:$D),0)+IFERROR(SUMIF(Quarterly_Impact!$B:$B,$A283,Quarterly_Impact!$D:$D),0)+IFERROR(SUMIFS(XPLog!$M:$M,XPLog!$B:$B,$A283,XPLog!$J:$J,"Admin"),0)+IFERROR(SUMIFS(XPLog!$M:$M,XPLog!$B:$B,$A283,XPLog!$J:$J,"Seeding"),0)))</f>
        <v/>
      </c>
      <c r="F283" s="27">
        <f>IF($E283="","",LOOKUP($E283, XPBands!B$2:B$10, XPBands!A$2:A$10))</f>
        <v/>
      </c>
      <c r="G283" s="27">
        <f>IF($E283="","", VLOOKUP($F283, XPBands!A$2:G$10, 4, FALSE) + MIN(VLOOKUP($F283, XPBands!A$2:G$10, 5, FALSE) - VLOOKUP($F283, XPBands!A$2:G$10, 4, FALSE), FLOOR(( $E283 - VLOOKUP($F283, XPBands!A$2:G$10, 2, FALSE) ) / VLOOKUP($F283, XPBands!A$2:G$10, 7, FALSE),1)))</f>
        <v/>
      </c>
      <c r="H283" s="27">
        <f>IF($D283="","",VLOOKUP($D283,RoleTitles!$A:$E,3,FALSE))</f>
        <v/>
      </c>
      <c r="I283" s="27">
        <f>IF($D283="","",IF($C283="Greek",VLOOKUP($D283,RoleTitles!$A:$E,4,FALSE),IF($C283="Aesir",VLOOKUP($D283,RoleTitles!$A:$E,5,FALSE),VLOOKUP($D283,RoleTitles!$A:$E,3,FALSE))))</f>
        <v/>
      </c>
      <c r="J283" s="27">
        <f>IF($D283="","",IF($E283&gt;=VLOOKUP($D283,RoleTitles!$A:$B,2,FALSE),"Yes","No"))</f>
        <v/>
      </c>
      <c r="K283" s="27">
        <f>IF($D283="","",IF($D283="T1","T2",IF($D283="T2","T3",IF($D283="T3","T4",IF($D283="T4","T5",IF($D283="T5","T6",IF($D283="T6","T7",IF($D283="T7","T8",IF($D283="T8","T9","")))))))))</f>
        <v/>
      </c>
      <c r="L283" s="28">
        <f>IF($K283="","",MAX(0,VLOOKUP($K283,RoleTitles!$A:$B,2,FALSE)-$E283))</f>
        <v/>
      </c>
    </row>
    <row r="284">
      <c r="A284" s="24">
        <f>IFERROR(INDEX(CoachRoster!$A$2:$A$1000,ROW()-1),"")</f>
        <v/>
      </c>
      <c r="B284" s="27">
        <f>IF($A284="","",VLOOKUP($A284,CoachRoster!$A:$E,2,FALSE))</f>
        <v/>
      </c>
      <c r="C284" s="27">
        <f>IF($A284="","",VLOOKUP($A284,CoachRoster!$A:$E,3,FALSE))</f>
        <v/>
      </c>
      <c r="D284" s="27">
        <f>IF($A284="","",VLOOKUP($A284,CoachRoster!$A:$E,4,FALSE))</f>
        <v/>
      </c>
      <c r="E284" s="27">
        <f>IF($A284="","",MIN(Settings!$B$8,IFERROR(SUMIF(Weekly_Coaching!$B:$B,$A284,Weekly_Coaching!$D:$D),0)+IFERROR(SUMIF(Monthly_Edu!$B:$B,$A284,Monthly_Edu!$D:$D),0)+IFERROR(SUMIF(Monthly_Ops!$B:$B,$A284,Monthly_Ops!$D:$D),0)+IFERROR(SUMIF(Monthly_Mentor!$B:$B,$A284,Monthly_Mentor!$D:$D),0)+IFERROR(SUMIF(Quarterly_Impact!$B:$B,$A284,Quarterly_Impact!$D:$D),0)+IFERROR(SUMIFS(XPLog!$M:$M,XPLog!$B:$B,$A284,XPLog!$J:$J,"Admin"),0)+IFERROR(SUMIFS(XPLog!$M:$M,XPLog!$B:$B,$A284,XPLog!$J:$J,"Seeding"),0)))</f>
        <v/>
      </c>
      <c r="F284" s="27">
        <f>IF($E284="","",LOOKUP($E284, XPBands!B$2:B$10, XPBands!A$2:A$10))</f>
        <v/>
      </c>
      <c r="G284" s="27">
        <f>IF($E284="","", VLOOKUP($F284, XPBands!A$2:G$10, 4, FALSE) + MIN(VLOOKUP($F284, XPBands!A$2:G$10, 5, FALSE) - VLOOKUP($F284, XPBands!A$2:G$10, 4, FALSE), FLOOR(( $E284 - VLOOKUP($F284, XPBands!A$2:G$10, 2, FALSE) ) / VLOOKUP($F284, XPBands!A$2:G$10, 7, FALSE),1)))</f>
        <v/>
      </c>
      <c r="H284" s="27">
        <f>IF($D284="","",VLOOKUP($D284,RoleTitles!$A:$E,3,FALSE))</f>
        <v/>
      </c>
      <c r="I284" s="27">
        <f>IF($D284="","",IF($C284="Greek",VLOOKUP($D284,RoleTitles!$A:$E,4,FALSE),IF($C284="Aesir",VLOOKUP($D284,RoleTitles!$A:$E,5,FALSE),VLOOKUP($D284,RoleTitles!$A:$E,3,FALSE))))</f>
        <v/>
      </c>
      <c r="J284" s="27">
        <f>IF($D284="","",IF($E284&gt;=VLOOKUP($D284,RoleTitles!$A:$B,2,FALSE),"Yes","No"))</f>
        <v/>
      </c>
      <c r="K284" s="27">
        <f>IF($D284="","",IF($D284="T1","T2",IF($D284="T2","T3",IF($D284="T3","T4",IF($D284="T4","T5",IF($D284="T5","T6",IF($D284="T6","T7",IF($D284="T7","T8",IF($D284="T8","T9","")))))))))</f>
        <v/>
      </c>
      <c r="L284" s="28">
        <f>IF($K284="","",MAX(0,VLOOKUP($K284,RoleTitles!$A:$B,2,FALSE)-$E284))</f>
        <v/>
      </c>
    </row>
    <row r="285">
      <c r="A285" s="24">
        <f>IFERROR(INDEX(CoachRoster!$A$2:$A$1000,ROW()-1),"")</f>
        <v/>
      </c>
      <c r="B285" s="27">
        <f>IF($A285="","",VLOOKUP($A285,CoachRoster!$A:$E,2,FALSE))</f>
        <v/>
      </c>
      <c r="C285" s="27">
        <f>IF($A285="","",VLOOKUP($A285,CoachRoster!$A:$E,3,FALSE))</f>
        <v/>
      </c>
      <c r="D285" s="27">
        <f>IF($A285="","",VLOOKUP($A285,CoachRoster!$A:$E,4,FALSE))</f>
        <v/>
      </c>
      <c r="E285" s="27">
        <f>IF($A285="","",MIN(Settings!$B$8,IFERROR(SUMIF(Weekly_Coaching!$B:$B,$A285,Weekly_Coaching!$D:$D),0)+IFERROR(SUMIF(Monthly_Edu!$B:$B,$A285,Monthly_Edu!$D:$D),0)+IFERROR(SUMIF(Monthly_Ops!$B:$B,$A285,Monthly_Ops!$D:$D),0)+IFERROR(SUMIF(Monthly_Mentor!$B:$B,$A285,Monthly_Mentor!$D:$D),0)+IFERROR(SUMIF(Quarterly_Impact!$B:$B,$A285,Quarterly_Impact!$D:$D),0)+IFERROR(SUMIFS(XPLog!$M:$M,XPLog!$B:$B,$A285,XPLog!$J:$J,"Admin"),0)+IFERROR(SUMIFS(XPLog!$M:$M,XPLog!$B:$B,$A285,XPLog!$J:$J,"Seeding"),0)))</f>
        <v/>
      </c>
      <c r="F285" s="27">
        <f>IF($E285="","",LOOKUP($E285, XPBands!B$2:B$10, XPBands!A$2:A$10))</f>
        <v/>
      </c>
      <c r="G285" s="27">
        <f>IF($E285="","", VLOOKUP($F285, XPBands!A$2:G$10, 4, FALSE) + MIN(VLOOKUP($F285, XPBands!A$2:G$10, 5, FALSE) - VLOOKUP($F285, XPBands!A$2:G$10, 4, FALSE), FLOOR(( $E285 - VLOOKUP($F285, XPBands!A$2:G$10, 2, FALSE) ) / VLOOKUP($F285, XPBands!A$2:G$10, 7, FALSE),1)))</f>
        <v/>
      </c>
      <c r="H285" s="27">
        <f>IF($D285="","",VLOOKUP($D285,RoleTitles!$A:$E,3,FALSE))</f>
        <v/>
      </c>
      <c r="I285" s="27">
        <f>IF($D285="","",IF($C285="Greek",VLOOKUP($D285,RoleTitles!$A:$E,4,FALSE),IF($C285="Aesir",VLOOKUP($D285,RoleTitles!$A:$E,5,FALSE),VLOOKUP($D285,RoleTitles!$A:$E,3,FALSE))))</f>
        <v/>
      </c>
      <c r="J285" s="27">
        <f>IF($D285="","",IF($E285&gt;=VLOOKUP($D285,RoleTitles!$A:$B,2,FALSE),"Yes","No"))</f>
        <v/>
      </c>
      <c r="K285" s="27">
        <f>IF($D285="","",IF($D285="T1","T2",IF($D285="T2","T3",IF($D285="T3","T4",IF($D285="T4","T5",IF($D285="T5","T6",IF($D285="T6","T7",IF($D285="T7","T8",IF($D285="T8","T9","")))))))))</f>
        <v/>
      </c>
      <c r="L285" s="28">
        <f>IF($K285="","",MAX(0,VLOOKUP($K285,RoleTitles!$A:$B,2,FALSE)-$E285))</f>
        <v/>
      </c>
    </row>
    <row r="286">
      <c r="A286" s="24">
        <f>IFERROR(INDEX(CoachRoster!$A$2:$A$1000,ROW()-1),"")</f>
        <v/>
      </c>
      <c r="B286" s="27">
        <f>IF($A286="","",VLOOKUP($A286,CoachRoster!$A:$E,2,FALSE))</f>
        <v/>
      </c>
      <c r="C286" s="27">
        <f>IF($A286="","",VLOOKUP($A286,CoachRoster!$A:$E,3,FALSE))</f>
        <v/>
      </c>
      <c r="D286" s="27">
        <f>IF($A286="","",VLOOKUP($A286,CoachRoster!$A:$E,4,FALSE))</f>
        <v/>
      </c>
      <c r="E286" s="27">
        <f>IF($A286="","",MIN(Settings!$B$8,IFERROR(SUMIF(Weekly_Coaching!$B:$B,$A286,Weekly_Coaching!$D:$D),0)+IFERROR(SUMIF(Monthly_Edu!$B:$B,$A286,Monthly_Edu!$D:$D),0)+IFERROR(SUMIF(Monthly_Ops!$B:$B,$A286,Monthly_Ops!$D:$D),0)+IFERROR(SUMIF(Monthly_Mentor!$B:$B,$A286,Monthly_Mentor!$D:$D),0)+IFERROR(SUMIF(Quarterly_Impact!$B:$B,$A286,Quarterly_Impact!$D:$D),0)+IFERROR(SUMIFS(XPLog!$M:$M,XPLog!$B:$B,$A286,XPLog!$J:$J,"Admin"),0)+IFERROR(SUMIFS(XPLog!$M:$M,XPLog!$B:$B,$A286,XPLog!$J:$J,"Seeding"),0)))</f>
        <v/>
      </c>
      <c r="F286" s="27">
        <f>IF($E286="","",LOOKUP($E286, XPBands!B$2:B$10, XPBands!A$2:A$10))</f>
        <v/>
      </c>
      <c r="G286" s="27">
        <f>IF($E286="","", VLOOKUP($F286, XPBands!A$2:G$10, 4, FALSE) + MIN(VLOOKUP($F286, XPBands!A$2:G$10, 5, FALSE) - VLOOKUP($F286, XPBands!A$2:G$10, 4, FALSE), FLOOR(( $E286 - VLOOKUP($F286, XPBands!A$2:G$10, 2, FALSE) ) / VLOOKUP($F286, XPBands!A$2:G$10, 7, FALSE),1)))</f>
        <v/>
      </c>
      <c r="H286" s="27">
        <f>IF($D286="","",VLOOKUP($D286,RoleTitles!$A:$E,3,FALSE))</f>
        <v/>
      </c>
      <c r="I286" s="27">
        <f>IF($D286="","",IF($C286="Greek",VLOOKUP($D286,RoleTitles!$A:$E,4,FALSE),IF($C286="Aesir",VLOOKUP($D286,RoleTitles!$A:$E,5,FALSE),VLOOKUP($D286,RoleTitles!$A:$E,3,FALSE))))</f>
        <v/>
      </c>
      <c r="J286" s="27">
        <f>IF($D286="","",IF($E286&gt;=VLOOKUP($D286,RoleTitles!$A:$B,2,FALSE),"Yes","No"))</f>
        <v/>
      </c>
      <c r="K286" s="27">
        <f>IF($D286="","",IF($D286="T1","T2",IF($D286="T2","T3",IF($D286="T3","T4",IF($D286="T4","T5",IF($D286="T5","T6",IF($D286="T6","T7",IF($D286="T7","T8",IF($D286="T8","T9","")))))))))</f>
        <v/>
      </c>
      <c r="L286" s="28">
        <f>IF($K286="","",MAX(0,VLOOKUP($K286,RoleTitles!$A:$B,2,FALSE)-$E286))</f>
        <v/>
      </c>
    </row>
    <row r="287">
      <c r="A287" s="24">
        <f>IFERROR(INDEX(CoachRoster!$A$2:$A$1000,ROW()-1),"")</f>
        <v/>
      </c>
      <c r="B287" s="27">
        <f>IF($A287="","",VLOOKUP($A287,CoachRoster!$A:$E,2,FALSE))</f>
        <v/>
      </c>
      <c r="C287" s="27">
        <f>IF($A287="","",VLOOKUP($A287,CoachRoster!$A:$E,3,FALSE))</f>
        <v/>
      </c>
      <c r="D287" s="27">
        <f>IF($A287="","",VLOOKUP($A287,CoachRoster!$A:$E,4,FALSE))</f>
        <v/>
      </c>
      <c r="E287" s="27">
        <f>IF($A287="","",MIN(Settings!$B$8,IFERROR(SUMIF(Weekly_Coaching!$B:$B,$A287,Weekly_Coaching!$D:$D),0)+IFERROR(SUMIF(Monthly_Edu!$B:$B,$A287,Monthly_Edu!$D:$D),0)+IFERROR(SUMIF(Monthly_Ops!$B:$B,$A287,Monthly_Ops!$D:$D),0)+IFERROR(SUMIF(Monthly_Mentor!$B:$B,$A287,Monthly_Mentor!$D:$D),0)+IFERROR(SUMIF(Quarterly_Impact!$B:$B,$A287,Quarterly_Impact!$D:$D),0)+IFERROR(SUMIFS(XPLog!$M:$M,XPLog!$B:$B,$A287,XPLog!$J:$J,"Admin"),0)+IFERROR(SUMIFS(XPLog!$M:$M,XPLog!$B:$B,$A287,XPLog!$J:$J,"Seeding"),0)))</f>
        <v/>
      </c>
      <c r="F287" s="27">
        <f>IF($E287="","",LOOKUP($E287, XPBands!B$2:B$10, XPBands!A$2:A$10))</f>
        <v/>
      </c>
      <c r="G287" s="27">
        <f>IF($E287="","", VLOOKUP($F287, XPBands!A$2:G$10, 4, FALSE) + MIN(VLOOKUP($F287, XPBands!A$2:G$10, 5, FALSE) - VLOOKUP($F287, XPBands!A$2:G$10, 4, FALSE), FLOOR(( $E287 - VLOOKUP($F287, XPBands!A$2:G$10, 2, FALSE) ) / VLOOKUP($F287, XPBands!A$2:G$10, 7, FALSE),1)))</f>
        <v/>
      </c>
      <c r="H287" s="27">
        <f>IF($D287="","",VLOOKUP($D287,RoleTitles!$A:$E,3,FALSE))</f>
        <v/>
      </c>
      <c r="I287" s="27">
        <f>IF($D287="","",IF($C287="Greek",VLOOKUP($D287,RoleTitles!$A:$E,4,FALSE),IF($C287="Aesir",VLOOKUP($D287,RoleTitles!$A:$E,5,FALSE),VLOOKUP($D287,RoleTitles!$A:$E,3,FALSE))))</f>
        <v/>
      </c>
      <c r="J287" s="27">
        <f>IF($D287="","",IF($E287&gt;=VLOOKUP($D287,RoleTitles!$A:$B,2,FALSE),"Yes","No"))</f>
        <v/>
      </c>
      <c r="K287" s="27">
        <f>IF($D287="","",IF($D287="T1","T2",IF($D287="T2","T3",IF($D287="T3","T4",IF($D287="T4","T5",IF($D287="T5","T6",IF($D287="T6","T7",IF($D287="T7","T8",IF($D287="T8","T9","")))))))))</f>
        <v/>
      </c>
      <c r="L287" s="28">
        <f>IF($K287="","",MAX(0,VLOOKUP($K287,RoleTitles!$A:$B,2,FALSE)-$E287))</f>
        <v/>
      </c>
    </row>
    <row r="288">
      <c r="A288" s="24">
        <f>IFERROR(INDEX(CoachRoster!$A$2:$A$1000,ROW()-1),"")</f>
        <v/>
      </c>
      <c r="B288" s="27">
        <f>IF($A288="","",VLOOKUP($A288,CoachRoster!$A:$E,2,FALSE))</f>
        <v/>
      </c>
      <c r="C288" s="27">
        <f>IF($A288="","",VLOOKUP($A288,CoachRoster!$A:$E,3,FALSE))</f>
        <v/>
      </c>
      <c r="D288" s="27">
        <f>IF($A288="","",VLOOKUP($A288,CoachRoster!$A:$E,4,FALSE))</f>
        <v/>
      </c>
      <c r="E288" s="27">
        <f>IF($A288="","",MIN(Settings!$B$8,IFERROR(SUMIF(Weekly_Coaching!$B:$B,$A288,Weekly_Coaching!$D:$D),0)+IFERROR(SUMIF(Monthly_Edu!$B:$B,$A288,Monthly_Edu!$D:$D),0)+IFERROR(SUMIF(Monthly_Ops!$B:$B,$A288,Monthly_Ops!$D:$D),0)+IFERROR(SUMIF(Monthly_Mentor!$B:$B,$A288,Monthly_Mentor!$D:$D),0)+IFERROR(SUMIF(Quarterly_Impact!$B:$B,$A288,Quarterly_Impact!$D:$D),0)+IFERROR(SUMIFS(XPLog!$M:$M,XPLog!$B:$B,$A288,XPLog!$J:$J,"Admin"),0)+IFERROR(SUMIFS(XPLog!$M:$M,XPLog!$B:$B,$A288,XPLog!$J:$J,"Seeding"),0)))</f>
        <v/>
      </c>
      <c r="F288" s="27">
        <f>IF($E288="","",LOOKUP($E288, XPBands!B$2:B$10, XPBands!A$2:A$10))</f>
        <v/>
      </c>
      <c r="G288" s="27">
        <f>IF($E288="","", VLOOKUP($F288, XPBands!A$2:G$10, 4, FALSE) + MIN(VLOOKUP($F288, XPBands!A$2:G$10, 5, FALSE) - VLOOKUP($F288, XPBands!A$2:G$10, 4, FALSE), FLOOR(( $E288 - VLOOKUP($F288, XPBands!A$2:G$10, 2, FALSE) ) / VLOOKUP($F288, XPBands!A$2:G$10, 7, FALSE),1)))</f>
        <v/>
      </c>
      <c r="H288" s="27">
        <f>IF($D288="","",VLOOKUP($D288,RoleTitles!$A:$E,3,FALSE))</f>
        <v/>
      </c>
      <c r="I288" s="27">
        <f>IF($D288="","",IF($C288="Greek",VLOOKUP($D288,RoleTitles!$A:$E,4,FALSE),IF($C288="Aesir",VLOOKUP($D288,RoleTitles!$A:$E,5,FALSE),VLOOKUP($D288,RoleTitles!$A:$E,3,FALSE))))</f>
        <v/>
      </c>
      <c r="J288" s="27">
        <f>IF($D288="","",IF($E288&gt;=VLOOKUP($D288,RoleTitles!$A:$B,2,FALSE),"Yes","No"))</f>
        <v/>
      </c>
      <c r="K288" s="27">
        <f>IF($D288="","",IF($D288="T1","T2",IF($D288="T2","T3",IF($D288="T3","T4",IF($D288="T4","T5",IF($D288="T5","T6",IF($D288="T6","T7",IF($D288="T7","T8",IF($D288="T8","T9","")))))))))</f>
        <v/>
      </c>
      <c r="L288" s="28">
        <f>IF($K288="","",MAX(0,VLOOKUP($K288,RoleTitles!$A:$B,2,FALSE)-$E288))</f>
        <v/>
      </c>
    </row>
    <row r="289">
      <c r="A289" s="24">
        <f>IFERROR(INDEX(CoachRoster!$A$2:$A$1000,ROW()-1),"")</f>
        <v/>
      </c>
      <c r="B289" s="27">
        <f>IF($A289="","",VLOOKUP($A289,CoachRoster!$A:$E,2,FALSE))</f>
        <v/>
      </c>
      <c r="C289" s="27">
        <f>IF($A289="","",VLOOKUP($A289,CoachRoster!$A:$E,3,FALSE))</f>
        <v/>
      </c>
      <c r="D289" s="27">
        <f>IF($A289="","",VLOOKUP($A289,CoachRoster!$A:$E,4,FALSE))</f>
        <v/>
      </c>
      <c r="E289" s="27">
        <f>IF($A289="","",MIN(Settings!$B$8,IFERROR(SUMIF(Weekly_Coaching!$B:$B,$A289,Weekly_Coaching!$D:$D),0)+IFERROR(SUMIF(Monthly_Edu!$B:$B,$A289,Monthly_Edu!$D:$D),0)+IFERROR(SUMIF(Monthly_Ops!$B:$B,$A289,Monthly_Ops!$D:$D),0)+IFERROR(SUMIF(Monthly_Mentor!$B:$B,$A289,Monthly_Mentor!$D:$D),0)+IFERROR(SUMIF(Quarterly_Impact!$B:$B,$A289,Quarterly_Impact!$D:$D),0)+IFERROR(SUMIFS(XPLog!$M:$M,XPLog!$B:$B,$A289,XPLog!$J:$J,"Admin"),0)+IFERROR(SUMIFS(XPLog!$M:$M,XPLog!$B:$B,$A289,XPLog!$J:$J,"Seeding"),0)))</f>
        <v/>
      </c>
      <c r="F289" s="27">
        <f>IF($E289="","",LOOKUP($E289, XPBands!B$2:B$10, XPBands!A$2:A$10))</f>
        <v/>
      </c>
      <c r="G289" s="27">
        <f>IF($E289="","", VLOOKUP($F289, XPBands!A$2:G$10, 4, FALSE) + MIN(VLOOKUP($F289, XPBands!A$2:G$10, 5, FALSE) - VLOOKUP($F289, XPBands!A$2:G$10, 4, FALSE), FLOOR(( $E289 - VLOOKUP($F289, XPBands!A$2:G$10, 2, FALSE) ) / VLOOKUP($F289, XPBands!A$2:G$10, 7, FALSE),1)))</f>
        <v/>
      </c>
      <c r="H289" s="27">
        <f>IF($D289="","",VLOOKUP($D289,RoleTitles!$A:$E,3,FALSE))</f>
        <v/>
      </c>
      <c r="I289" s="27">
        <f>IF($D289="","",IF($C289="Greek",VLOOKUP($D289,RoleTitles!$A:$E,4,FALSE),IF($C289="Aesir",VLOOKUP($D289,RoleTitles!$A:$E,5,FALSE),VLOOKUP($D289,RoleTitles!$A:$E,3,FALSE))))</f>
        <v/>
      </c>
      <c r="J289" s="27">
        <f>IF($D289="","",IF($E289&gt;=VLOOKUP($D289,RoleTitles!$A:$B,2,FALSE),"Yes","No"))</f>
        <v/>
      </c>
      <c r="K289" s="27">
        <f>IF($D289="","",IF($D289="T1","T2",IF($D289="T2","T3",IF($D289="T3","T4",IF($D289="T4","T5",IF($D289="T5","T6",IF($D289="T6","T7",IF($D289="T7","T8",IF($D289="T8","T9","")))))))))</f>
        <v/>
      </c>
      <c r="L289" s="28">
        <f>IF($K289="","",MAX(0,VLOOKUP($K289,RoleTitles!$A:$B,2,FALSE)-$E289))</f>
        <v/>
      </c>
    </row>
    <row r="290">
      <c r="A290" s="24">
        <f>IFERROR(INDEX(CoachRoster!$A$2:$A$1000,ROW()-1),"")</f>
        <v/>
      </c>
      <c r="B290" s="27">
        <f>IF($A290="","",VLOOKUP($A290,CoachRoster!$A:$E,2,FALSE))</f>
        <v/>
      </c>
      <c r="C290" s="27">
        <f>IF($A290="","",VLOOKUP($A290,CoachRoster!$A:$E,3,FALSE))</f>
        <v/>
      </c>
      <c r="D290" s="27">
        <f>IF($A290="","",VLOOKUP($A290,CoachRoster!$A:$E,4,FALSE))</f>
        <v/>
      </c>
      <c r="E290" s="27">
        <f>IF($A290="","",MIN(Settings!$B$8,IFERROR(SUMIF(Weekly_Coaching!$B:$B,$A290,Weekly_Coaching!$D:$D),0)+IFERROR(SUMIF(Monthly_Edu!$B:$B,$A290,Monthly_Edu!$D:$D),0)+IFERROR(SUMIF(Monthly_Ops!$B:$B,$A290,Monthly_Ops!$D:$D),0)+IFERROR(SUMIF(Monthly_Mentor!$B:$B,$A290,Monthly_Mentor!$D:$D),0)+IFERROR(SUMIF(Quarterly_Impact!$B:$B,$A290,Quarterly_Impact!$D:$D),0)+IFERROR(SUMIFS(XPLog!$M:$M,XPLog!$B:$B,$A290,XPLog!$J:$J,"Admin"),0)+IFERROR(SUMIFS(XPLog!$M:$M,XPLog!$B:$B,$A290,XPLog!$J:$J,"Seeding"),0)))</f>
        <v/>
      </c>
      <c r="F290" s="27">
        <f>IF($E290="","",LOOKUP($E290, XPBands!B$2:B$10, XPBands!A$2:A$10))</f>
        <v/>
      </c>
      <c r="G290" s="27">
        <f>IF($E290="","", VLOOKUP($F290, XPBands!A$2:G$10, 4, FALSE) + MIN(VLOOKUP($F290, XPBands!A$2:G$10, 5, FALSE) - VLOOKUP($F290, XPBands!A$2:G$10, 4, FALSE), FLOOR(( $E290 - VLOOKUP($F290, XPBands!A$2:G$10, 2, FALSE) ) / VLOOKUP($F290, XPBands!A$2:G$10, 7, FALSE),1)))</f>
        <v/>
      </c>
      <c r="H290" s="27">
        <f>IF($D290="","",VLOOKUP($D290,RoleTitles!$A:$E,3,FALSE))</f>
        <v/>
      </c>
      <c r="I290" s="27">
        <f>IF($D290="","",IF($C290="Greek",VLOOKUP($D290,RoleTitles!$A:$E,4,FALSE),IF($C290="Aesir",VLOOKUP($D290,RoleTitles!$A:$E,5,FALSE),VLOOKUP($D290,RoleTitles!$A:$E,3,FALSE))))</f>
        <v/>
      </c>
      <c r="J290" s="27">
        <f>IF($D290="","",IF($E290&gt;=VLOOKUP($D290,RoleTitles!$A:$B,2,FALSE),"Yes","No"))</f>
        <v/>
      </c>
      <c r="K290" s="27">
        <f>IF($D290="","",IF($D290="T1","T2",IF($D290="T2","T3",IF($D290="T3","T4",IF($D290="T4","T5",IF($D290="T5","T6",IF($D290="T6","T7",IF($D290="T7","T8",IF($D290="T8","T9","")))))))))</f>
        <v/>
      </c>
      <c r="L290" s="28">
        <f>IF($K290="","",MAX(0,VLOOKUP($K290,RoleTitles!$A:$B,2,FALSE)-$E290))</f>
        <v/>
      </c>
    </row>
    <row r="291">
      <c r="A291" s="24">
        <f>IFERROR(INDEX(CoachRoster!$A$2:$A$1000,ROW()-1),"")</f>
        <v/>
      </c>
      <c r="B291" s="27">
        <f>IF($A291="","",VLOOKUP($A291,CoachRoster!$A:$E,2,FALSE))</f>
        <v/>
      </c>
      <c r="C291" s="27">
        <f>IF($A291="","",VLOOKUP($A291,CoachRoster!$A:$E,3,FALSE))</f>
        <v/>
      </c>
      <c r="D291" s="27">
        <f>IF($A291="","",VLOOKUP($A291,CoachRoster!$A:$E,4,FALSE))</f>
        <v/>
      </c>
      <c r="E291" s="27">
        <f>IF($A291="","",MIN(Settings!$B$8,IFERROR(SUMIF(Weekly_Coaching!$B:$B,$A291,Weekly_Coaching!$D:$D),0)+IFERROR(SUMIF(Monthly_Edu!$B:$B,$A291,Monthly_Edu!$D:$D),0)+IFERROR(SUMIF(Monthly_Ops!$B:$B,$A291,Monthly_Ops!$D:$D),0)+IFERROR(SUMIF(Monthly_Mentor!$B:$B,$A291,Monthly_Mentor!$D:$D),0)+IFERROR(SUMIF(Quarterly_Impact!$B:$B,$A291,Quarterly_Impact!$D:$D),0)+IFERROR(SUMIFS(XPLog!$M:$M,XPLog!$B:$B,$A291,XPLog!$J:$J,"Admin"),0)+IFERROR(SUMIFS(XPLog!$M:$M,XPLog!$B:$B,$A291,XPLog!$J:$J,"Seeding"),0)))</f>
        <v/>
      </c>
      <c r="F291" s="27">
        <f>IF($E291="","",LOOKUP($E291, XPBands!B$2:B$10, XPBands!A$2:A$10))</f>
        <v/>
      </c>
      <c r="G291" s="27">
        <f>IF($E291="","", VLOOKUP($F291, XPBands!A$2:G$10, 4, FALSE) + MIN(VLOOKUP($F291, XPBands!A$2:G$10, 5, FALSE) - VLOOKUP($F291, XPBands!A$2:G$10, 4, FALSE), FLOOR(( $E291 - VLOOKUP($F291, XPBands!A$2:G$10, 2, FALSE) ) / VLOOKUP($F291, XPBands!A$2:G$10, 7, FALSE),1)))</f>
        <v/>
      </c>
      <c r="H291" s="27">
        <f>IF($D291="","",VLOOKUP($D291,RoleTitles!$A:$E,3,FALSE))</f>
        <v/>
      </c>
      <c r="I291" s="27">
        <f>IF($D291="","",IF($C291="Greek",VLOOKUP($D291,RoleTitles!$A:$E,4,FALSE),IF($C291="Aesir",VLOOKUP($D291,RoleTitles!$A:$E,5,FALSE),VLOOKUP($D291,RoleTitles!$A:$E,3,FALSE))))</f>
        <v/>
      </c>
      <c r="J291" s="27">
        <f>IF($D291="","",IF($E291&gt;=VLOOKUP($D291,RoleTitles!$A:$B,2,FALSE),"Yes","No"))</f>
        <v/>
      </c>
      <c r="K291" s="27">
        <f>IF($D291="","",IF($D291="T1","T2",IF($D291="T2","T3",IF($D291="T3","T4",IF($D291="T4","T5",IF($D291="T5","T6",IF($D291="T6","T7",IF($D291="T7","T8",IF($D291="T8","T9","")))))))))</f>
        <v/>
      </c>
      <c r="L291" s="28">
        <f>IF($K291="","",MAX(0,VLOOKUP($K291,RoleTitles!$A:$B,2,FALSE)-$E291))</f>
        <v/>
      </c>
    </row>
    <row r="292">
      <c r="A292" s="24">
        <f>IFERROR(INDEX(CoachRoster!$A$2:$A$1000,ROW()-1),"")</f>
        <v/>
      </c>
      <c r="B292" s="27">
        <f>IF($A292="","",VLOOKUP($A292,CoachRoster!$A:$E,2,FALSE))</f>
        <v/>
      </c>
      <c r="C292" s="27">
        <f>IF($A292="","",VLOOKUP($A292,CoachRoster!$A:$E,3,FALSE))</f>
        <v/>
      </c>
      <c r="D292" s="27">
        <f>IF($A292="","",VLOOKUP($A292,CoachRoster!$A:$E,4,FALSE))</f>
        <v/>
      </c>
      <c r="E292" s="27">
        <f>IF($A292="","",MIN(Settings!$B$8,IFERROR(SUMIF(Weekly_Coaching!$B:$B,$A292,Weekly_Coaching!$D:$D),0)+IFERROR(SUMIF(Monthly_Edu!$B:$B,$A292,Monthly_Edu!$D:$D),0)+IFERROR(SUMIF(Monthly_Ops!$B:$B,$A292,Monthly_Ops!$D:$D),0)+IFERROR(SUMIF(Monthly_Mentor!$B:$B,$A292,Monthly_Mentor!$D:$D),0)+IFERROR(SUMIF(Quarterly_Impact!$B:$B,$A292,Quarterly_Impact!$D:$D),0)+IFERROR(SUMIFS(XPLog!$M:$M,XPLog!$B:$B,$A292,XPLog!$J:$J,"Admin"),0)+IFERROR(SUMIFS(XPLog!$M:$M,XPLog!$B:$B,$A292,XPLog!$J:$J,"Seeding"),0)))</f>
        <v/>
      </c>
      <c r="F292" s="27">
        <f>IF($E292="","",LOOKUP($E292, XPBands!B$2:B$10, XPBands!A$2:A$10))</f>
        <v/>
      </c>
      <c r="G292" s="27">
        <f>IF($E292="","", VLOOKUP($F292, XPBands!A$2:G$10, 4, FALSE) + MIN(VLOOKUP($F292, XPBands!A$2:G$10, 5, FALSE) - VLOOKUP($F292, XPBands!A$2:G$10, 4, FALSE), FLOOR(( $E292 - VLOOKUP($F292, XPBands!A$2:G$10, 2, FALSE) ) / VLOOKUP($F292, XPBands!A$2:G$10, 7, FALSE),1)))</f>
        <v/>
      </c>
      <c r="H292" s="27">
        <f>IF($D292="","",VLOOKUP($D292,RoleTitles!$A:$E,3,FALSE))</f>
        <v/>
      </c>
      <c r="I292" s="27">
        <f>IF($D292="","",IF($C292="Greek",VLOOKUP($D292,RoleTitles!$A:$E,4,FALSE),IF($C292="Aesir",VLOOKUP($D292,RoleTitles!$A:$E,5,FALSE),VLOOKUP($D292,RoleTitles!$A:$E,3,FALSE))))</f>
        <v/>
      </c>
      <c r="J292" s="27">
        <f>IF($D292="","",IF($E292&gt;=VLOOKUP($D292,RoleTitles!$A:$B,2,FALSE),"Yes","No"))</f>
        <v/>
      </c>
      <c r="K292" s="27">
        <f>IF($D292="","",IF($D292="T1","T2",IF($D292="T2","T3",IF($D292="T3","T4",IF($D292="T4","T5",IF($D292="T5","T6",IF($D292="T6","T7",IF($D292="T7","T8",IF($D292="T8","T9","")))))))))</f>
        <v/>
      </c>
      <c r="L292" s="28">
        <f>IF($K292="","",MAX(0,VLOOKUP($K292,RoleTitles!$A:$B,2,FALSE)-$E292))</f>
        <v/>
      </c>
    </row>
    <row r="293">
      <c r="A293" s="24">
        <f>IFERROR(INDEX(CoachRoster!$A$2:$A$1000,ROW()-1),"")</f>
        <v/>
      </c>
      <c r="B293" s="27">
        <f>IF($A293="","",VLOOKUP($A293,CoachRoster!$A:$E,2,FALSE))</f>
        <v/>
      </c>
      <c r="C293" s="27">
        <f>IF($A293="","",VLOOKUP($A293,CoachRoster!$A:$E,3,FALSE))</f>
        <v/>
      </c>
      <c r="D293" s="27">
        <f>IF($A293="","",VLOOKUP($A293,CoachRoster!$A:$E,4,FALSE))</f>
        <v/>
      </c>
      <c r="E293" s="27">
        <f>IF($A293="","",MIN(Settings!$B$8,IFERROR(SUMIF(Weekly_Coaching!$B:$B,$A293,Weekly_Coaching!$D:$D),0)+IFERROR(SUMIF(Monthly_Edu!$B:$B,$A293,Monthly_Edu!$D:$D),0)+IFERROR(SUMIF(Monthly_Ops!$B:$B,$A293,Monthly_Ops!$D:$D),0)+IFERROR(SUMIF(Monthly_Mentor!$B:$B,$A293,Monthly_Mentor!$D:$D),0)+IFERROR(SUMIF(Quarterly_Impact!$B:$B,$A293,Quarterly_Impact!$D:$D),0)+IFERROR(SUMIFS(XPLog!$M:$M,XPLog!$B:$B,$A293,XPLog!$J:$J,"Admin"),0)+IFERROR(SUMIFS(XPLog!$M:$M,XPLog!$B:$B,$A293,XPLog!$J:$J,"Seeding"),0)))</f>
        <v/>
      </c>
      <c r="F293" s="27">
        <f>IF($E293="","",LOOKUP($E293, XPBands!B$2:B$10, XPBands!A$2:A$10))</f>
        <v/>
      </c>
      <c r="G293" s="27">
        <f>IF($E293="","", VLOOKUP($F293, XPBands!A$2:G$10, 4, FALSE) + MIN(VLOOKUP($F293, XPBands!A$2:G$10, 5, FALSE) - VLOOKUP($F293, XPBands!A$2:G$10, 4, FALSE), FLOOR(( $E293 - VLOOKUP($F293, XPBands!A$2:G$10, 2, FALSE) ) / VLOOKUP($F293, XPBands!A$2:G$10, 7, FALSE),1)))</f>
        <v/>
      </c>
      <c r="H293" s="27">
        <f>IF($D293="","",VLOOKUP($D293,RoleTitles!$A:$E,3,FALSE))</f>
        <v/>
      </c>
      <c r="I293" s="27">
        <f>IF($D293="","",IF($C293="Greek",VLOOKUP($D293,RoleTitles!$A:$E,4,FALSE),IF($C293="Aesir",VLOOKUP($D293,RoleTitles!$A:$E,5,FALSE),VLOOKUP($D293,RoleTitles!$A:$E,3,FALSE))))</f>
        <v/>
      </c>
      <c r="J293" s="27">
        <f>IF($D293="","",IF($E293&gt;=VLOOKUP($D293,RoleTitles!$A:$B,2,FALSE),"Yes","No"))</f>
        <v/>
      </c>
      <c r="K293" s="27">
        <f>IF($D293="","",IF($D293="T1","T2",IF($D293="T2","T3",IF($D293="T3","T4",IF($D293="T4","T5",IF($D293="T5","T6",IF($D293="T6","T7",IF($D293="T7","T8",IF($D293="T8","T9","")))))))))</f>
        <v/>
      </c>
      <c r="L293" s="28">
        <f>IF($K293="","",MAX(0,VLOOKUP($K293,RoleTitles!$A:$B,2,FALSE)-$E293))</f>
        <v/>
      </c>
    </row>
    <row r="294">
      <c r="A294" s="24">
        <f>IFERROR(INDEX(CoachRoster!$A$2:$A$1000,ROW()-1),"")</f>
        <v/>
      </c>
      <c r="B294" s="27">
        <f>IF($A294="","",VLOOKUP($A294,CoachRoster!$A:$E,2,FALSE))</f>
        <v/>
      </c>
      <c r="C294" s="27">
        <f>IF($A294="","",VLOOKUP($A294,CoachRoster!$A:$E,3,FALSE))</f>
        <v/>
      </c>
      <c r="D294" s="27">
        <f>IF($A294="","",VLOOKUP($A294,CoachRoster!$A:$E,4,FALSE))</f>
        <v/>
      </c>
      <c r="E294" s="27">
        <f>IF($A294="","",MIN(Settings!$B$8,IFERROR(SUMIF(Weekly_Coaching!$B:$B,$A294,Weekly_Coaching!$D:$D),0)+IFERROR(SUMIF(Monthly_Edu!$B:$B,$A294,Monthly_Edu!$D:$D),0)+IFERROR(SUMIF(Monthly_Ops!$B:$B,$A294,Monthly_Ops!$D:$D),0)+IFERROR(SUMIF(Monthly_Mentor!$B:$B,$A294,Monthly_Mentor!$D:$D),0)+IFERROR(SUMIF(Quarterly_Impact!$B:$B,$A294,Quarterly_Impact!$D:$D),0)+IFERROR(SUMIFS(XPLog!$M:$M,XPLog!$B:$B,$A294,XPLog!$J:$J,"Admin"),0)+IFERROR(SUMIFS(XPLog!$M:$M,XPLog!$B:$B,$A294,XPLog!$J:$J,"Seeding"),0)))</f>
        <v/>
      </c>
      <c r="F294" s="27">
        <f>IF($E294="","",LOOKUP($E294, XPBands!B$2:B$10, XPBands!A$2:A$10))</f>
        <v/>
      </c>
      <c r="G294" s="27">
        <f>IF($E294="","", VLOOKUP($F294, XPBands!A$2:G$10, 4, FALSE) + MIN(VLOOKUP($F294, XPBands!A$2:G$10, 5, FALSE) - VLOOKUP($F294, XPBands!A$2:G$10, 4, FALSE), FLOOR(( $E294 - VLOOKUP($F294, XPBands!A$2:G$10, 2, FALSE) ) / VLOOKUP($F294, XPBands!A$2:G$10, 7, FALSE),1)))</f>
        <v/>
      </c>
      <c r="H294" s="27">
        <f>IF($D294="","",VLOOKUP($D294,RoleTitles!$A:$E,3,FALSE))</f>
        <v/>
      </c>
      <c r="I294" s="27">
        <f>IF($D294="","",IF($C294="Greek",VLOOKUP($D294,RoleTitles!$A:$E,4,FALSE),IF($C294="Aesir",VLOOKUP($D294,RoleTitles!$A:$E,5,FALSE),VLOOKUP($D294,RoleTitles!$A:$E,3,FALSE))))</f>
        <v/>
      </c>
      <c r="J294" s="27">
        <f>IF($D294="","",IF($E294&gt;=VLOOKUP($D294,RoleTitles!$A:$B,2,FALSE),"Yes","No"))</f>
        <v/>
      </c>
      <c r="K294" s="27">
        <f>IF($D294="","",IF($D294="T1","T2",IF($D294="T2","T3",IF($D294="T3","T4",IF($D294="T4","T5",IF($D294="T5","T6",IF($D294="T6","T7",IF($D294="T7","T8",IF($D294="T8","T9","")))))))))</f>
        <v/>
      </c>
      <c r="L294" s="28">
        <f>IF($K294="","",MAX(0,VLOOKUP($K294,RoleTitles!$A:$B,2,FALSE)-$E294))</f>
        <v/>
      </c>
    </row>
    <row r="295">
      <c r="A295" s="24">
        <f>IFERROR(INDEX(CoachRoster!$A$2:$A$1000,ROW()-1),"")</f>
        <v/>
      </c>
      <c r="B295" s="27">
        <f>IF($A295="","",VLOOKUP($A295,CoachRoster!$A:$E,2,FALSE))</f>
        <v/>
      </c>
      <c r="C295" s="27">
        <f>IF($A295="","",VLOOKUP($A295,CoachRoster!$A:$E,3,FALSE))</f>
        <v/>
      </c>
      <c r="D295" s="27">
        <f>IF($A295="","",VLOOKUP($A295,CoachRoster!$A:$E,4,FALSE))</f>
        <v/>
      </c>
      <c r="E295" s="27">
        <f>IF($A295="","",MIN(Settings!$B$8,IFERROR(SUMIF(Weekly_Coaching!$B:$B,$A295,Weekly_Coaching!$D:$D),0)+IFERROR(SUMIF(Monthly_Edu!$B:$B,$A295,Monthly_Edu!$D:$D),0)+IFERROR(SUMIF(Monthly_Ops!$B:$B,$A295,Monthly_Ops!$D:$D),0)+IFERROR(SUMIF(Monthly_Mentor!$B:$B,$A295,Monthly_Mentor!$D:$D),0)+IFERROR(SUMIF(Quarterly_Impact!$B:$B,$A295,Quarterly_Impact!$D:$D),0)+IFERROR(SUMIFS(XPLog!$M:$M,XPLog!$B:$B,$A295,XPLog!$J:$J,"Admin"),0)+IFERROR(SUMIFS(XPLog!$M:$M,XPLog!$B:$B,$A295,XPLog!$J:$J,"Seeding"),0)))</f>
        <v/>
      </c>
      <c r="F295" s="27">
        <f>IF($E295="","",LOOKUP($E295, XPBands!B$2:B$10, XPBands!A$2:A$10))</f>
        <v/>
      </c>
      <c r="G295" s="27">
        <f>IF($E295="","", VLOOKUP($F295, XPBands!A$2:G$10, 4, FALSE) + MIN(VLOOKUP($F295, XPBands!A$2:G$10, 5, FALSE) - VLOOKUP($F295, XPBands!A$2:G$10, 4, FALSE), FLOOR(( $E295 - VLOOKUP($F295, XPBands!A$2:G$10, 2, FALSE) ) / VLOOKUP($F295, XPBands!A$2:G$10, 7, FALSE),1)))</f>
        <v/>
      </c>
      <c r="H295" s="27">
        <f>IF($D295="","",VLOOKUP($D295,RoleTitles!$A:$E,3,FALSE))</f>
        <v/>
      </c>
      <c r="I295" s="27">
        <f>IF($D295="","",IF($C295="Greek",VLOOKUP($D295,RoleTitles!$A:$E,4,FALSE),IF($C295="Aesir",VLOOKUP($D295,RoleTitles!$A:$E,5,FALSE),VLOOKUP($D295,RoleTitles!$A:$E,3,FALSE))))</f>
        <v/>
      </c>
      <c r="J295" s="27">
        <f>IF($D295="","",IF($E295&gt;=VLOOKUP($D295,RoleTitles!$A:$B,2,FALSE),"Yes","No"))</f>
        <v/>
      </c>
      <c r="K295" s="27">
        <f>IF($D295="","",IF($D295="T1","T2",IF($D295="T2","T3",IF($D295="T3","T4",IF($D295="T4","T5",IF($D295="T5","T6",IF($D295="T6","T7",IF($D295="T7","T8",IF($D295="T8","T9","")))))))))</f>
        <v/>
      </c>
      <c r="L295" s="28">
        <f>IF($K295="","",MAX(0,VLOOKUP($K295,RoleTitles!$A:$B,2,FALSE)-$E295))</f>
        <v/>
      </c>
    </row>
    <row r="296">
      <c r="A296" s="24">
        <f>IFERROR(INDEX(CoachRoster!$A$2:$A$1000,ROW()-1),"")</f>
        <v/>
      </c>
      <c r="B296" s="27">
        <f>IF($A296="","",VLOOKUP($A296,CoachRoster!$A:$E,2,FALSE))</f>
        <v/>
      </c>
      <c r="C296" s="27">
        <f>IF($A296="","",VLOOKUP($A296,CoachRoster!$A:$E,3,FALSE))</f>
        <v/>
      </c>
      <c r="D296" s="27">
        <f>IF($A296="","",VLOOKUP($A296,CoachRoster!$A:$E,4,FALSE))</f>
        <v/>
      </c>
      <c r="E296" s="27">
        <f>IF($A296="","",MIN(Settings!$B$8,IFERROR(SUMIF(Weekly_Coaching!$B:$B,$A296,Weekly_Coaching!$D:$D),0)+IFERROR(SUMIF(Monthly_Edu!$B:$B,$A296,Monthly_Edu!$D:$D),0)+IFERROR(SUMIF(Monthly_Ops!$B:$B,$A296,Monthly_Ops!$D:$D),0)+IFERROR(SUMIF(Monthly_Mentor!$B:$B,$A296,Monthly_Mentor!$D:$D),0)+IFERROR(SUMIF(Quarterly_Impact!$B:$B,$A296,Quarterly_Impact!$D:$D),0)+IFERROR(SUMIFS(XPLog!$M:$M,XPLog!$B:$B,$A296,XPLog!$J:$J,"Admin"),0)+IFERROR(SUMIFS(XPLog!$M:$M,XPLog!$B:$B,$A296,XPLog!$J:$J,"Seeding"),0)))</f>
        <v/>
      </c>
      <c r="F296" s="27">
        <f>IF($E296="","",LOOKUP($E296, XPBands!B$2:B$10, XPBands!A$2:A$10))</f>
        <v/>
      </c>
      <c r="G296" s="27">
        <f>IF($E296="","", VLOOKUP($F296, XPBands!A$2:G$10, 4, FALSE) + MIN(VLOOKUP($F296, XPBands!A$2:G$10, 5, FALSE) - VLOOKUP($F296, XPBands!A$2:G$10, 4, FALSE), FLOOR(( $E296 - VLOOKUP($F296, XPBands!A$2:G$10, 2, FALSE) ) / VLOOKUP($F296, XPBands!A$2:G$10, 7, FALSE),1)))</f>
        <v/>
      </c>
      <c r="H296" s="27">
        <f>IF($D296="","",VLOOKUP($D296,RoleTitles!$A:$E,3,FALSE))</f>
        <v/>
      </c>
      <c r="I296" s="27">
        <f>IF($D296="","",IF($C296="Greek",VLOOKUP($D296,RoleTitles!$A:$E,4,FALSE),IF($C296="Aesir",VLOOKUP($D296,RoleTitles!$A:$E,5,FALSE),VLOOKUP($D296,RoleTitles!$A:$E,3,FALSE))))</f>
        <v/>
      </c>
      <c r="J296" s="27">
        <f>IF($D296="","",IF($E296&gt;=VLOOKUP($D296,RoleTitles!$A:$B,2,FALSE),"Yes","No"))</f>
        <v/>
      </c>
      <c r="K296" s="27">
        <f>IF($D296="","",IF($D296="T1","T2",IF($D296="T2","T3",IF($D296="T3","T4",IF($D296="T4","T5",IF($D296="T5","T6",IF($D296="T6","T7",IF($D296="T7","T8",IF($D296="T8","T9","")))))))))</f>
        <v/>
      </c>
      <c r="L296" s="28">
        <f>IF($K296="","",MAX(0,VLOOKUP($K296,RoleTitles!$A:$B,2,FALSE)-$E296))</f>
        <v/>
      </c>
    </row>
    <row r="297">
      <c r="A297" s="24">
        <f>IFERROR(INDEX(CoachRoster!$A$2:$A$1000,ROW()-1),"")</f>
        <v/>
      </c>
      <c r="B297" s="27">
        <f>IF($A297="","",VLOOKUP($A297,CoachRoster!$A:$E,2,FALSE))</f>
        <v/>
      </c>
      <c r="C297" s="27">
        <f>IF($A297="","",VLOOKUP($A297,CoachRoster!$A:$E,3,FALSE))</f>
        <v/>
      </c>
      <c r="D297" s="27">
        <f>IF($A297="","",VLOOKUP($A297,CoachRoster!$A:$E,4,FALSE))</f>
        <v/>
      </c>
      <c r="E297" s="27">
        <f>IF($A297="","",MIN(Settings!$B$8,IFERROR(SUMIF(Weekly_Coaching!$B:$B,$A297,Weekly_Coaching!$D:$D),0)+IFERROR(SUMIF(Monthly_Edu!$B:$B,$A297,Monthly_Edu!$D:$D),0)+IFERROR(SUMIF(Monthly_Ops!$B:$B,$A297,Monthly_Ops!$D:$D),0)+IFERROR(SUMIF(Monthly_Mentor!$B:$B,$A297,Monthly_Mentor!$D:$D),0)+IFERROR(SUMIF(Quarterly_Impact!$B:$B,$A297,Quarterly_Impact!$D:$D),0)+IFERROR(SUMIFS(XPLog!$M:$M,XPLog!$B:$B,$A297,XPLog!$J:$J,"Admin"),0)+IFERROR(SUMIFS(XPLog!$M:$M,XPLog!$B:$B,$A297,XPLog!$J:$J,"Seeding"),0)))</f>
        <v/>
      </c>
      <c r="F297" s="27">
        <f>IF($E297="","",LOOKUP($E297, XPBands!B$2:B$10, XPBands!A$2:A$10))</f>
        <v/>
      </c>
      <c r="G297" s="27">
        <f>IF($E297="","", VLOOKUP($F297, XPBands!A$2:G$10, 4, FALSE) + MIN(VLOOKUP($F297, XPBands!A$2:G$10, 5, FALSE) - VLOOKUP($F297, XPBands!A$2:G$10, 4, FALSE), FLOOR(( $E297 - VLOOKUP($F297, XPBands!A$2:G$10, 2, FALSE) ) / VLOOKUP($F297, XPBands!A$2:G$10, 7, FALSE),1)))</f>
        <v/>
      </c>
      <c r="H297" s="27">
        <f>IF($D297="","",VLOOKUP($D297,RoleTitles!$A:$E,3,FALSE))</f>
        <v/>
      </c>
      <c r="I297" s="27">
        <f>IF($D297="","",IF($C297="Greek",VLOOKUP($D297,RoleTitles!$A:$E,4,FALSE),IF($C297="Aesir",VLOOKUP($D297,RoleTitles!$A:$E,5,FALSE),VLOOKUP($D297,RoleTitles!$A:$E,3,FALSE))))</f>
        <v/>
      </c>
      <c r="J297" s="27">
        <f>IF($D297="","",IF($E297&gt;=VLOOKUP($D297,RoleTitles!$A:$B,2,FALSE),"Yes","No"))</f>
        <v/>
      </c>
      <c r="K297" s="27">
        <f>IF($D297="","",IF($D297="T1","T2",IF($D297="T2","T3",IF($D297="T3","T4",IF($D297="T4","T5",IF($D297="T5","T6",IF($D297="T6","T7",IF($D297="T7","T8",IF($D297="T8","T9","")))))))))</f>
        <v/>
      </c>
      <c r="L297" s="28">
        <f>IF($K297="","",MAX(0,VLOOKUP($K297,RoleTitles!$A:$B,2,FALSE)-$E297))</f>
        <v/>
      </c>
    </row>
    <row r="298">
      <c r="A298" s="24">
        <f>IFERROR(INDEX(CoachRoster!$A$2:$A$1000,ROW()-1),"")</f>
        <v/>
      </c>
      <c r="B298" s="27">
        <f>IF($A298="","",VLOOKUP($A298,CoachRoster!$A:$E,2,FALSE))</f>
        <v/>
      </c>
      <c r="C298" s="27">
        <f>IF($A298="","",VLOOKUP($A298,CoachRoster!$A:$E,3,FALSE))</f>
        <v/>
      </c>
      <c r="D298" s="27">
        <f>IF($A298="","",VLOOKUP($A298,CoachRoster!$A:$E,4,FALSE))</f>
        <v/>
      </c>
      <c r="E298" s="27">
        <f>IF($A298="","",MIN(Settings!$B$8,IFERROR(SUMIF(Weekly_Coaching!$B:$B,$A298,Weekly_Coaching!$D:$D),0)+IFERROR(SUMIF(Monthly_Edu!$B:$B,$A298,Monthly_Edu!$D:$D),0)+IFERROR(SUMIF(Monthly_Ops!$B:$B,$A298,Monthly_Ops!$D:$D),0)+IFERROR(SUMIF(Monthly_Mentor!$B:$B,$A298,Monthly_Mentor!$D:$D),0)+IFERROR(SUMIF(Quarterly_Impact!$B:$B,$A298,Quarterly_Impact!$D:$D),0)+IFERROR(SUMIFS(XPLog!$M:$M,XPLog!$B:$B,$A298,XPLog!$J:$J,"Admin"),0)+IFERROR(SUMIFS(XPLog!$M:$M,XPLog!$B:$B,$A298,XPLog!$J:$J,"Seeding"),0)))</f>
        <v/>
      </c>
      <c r="F298" s="27">
        <f>IF($E298="","",LOOKUP($E298, XPBands!B$2:B$10, XPBands!A$2:A$10))</f>
        <v/>
      </c>
      <c r="G298" s="27">
        <f>IF($E298="","", VLOOKUP($F298, XPBands!A$2:G$10, 4, FALSE) + MIN(VLOOKUP($F298, XPBands!A$2:G$10, 5, FALSE) - VLOOKUP($F298, XPBands!A$2:G$10, 4, FALSE), FLOOR(( $E298 - VLOOKUP($F298, XPBands!A$2:G$10, 2, FALSE) ) / VLOOKUP($F298, XPBands!A$2:G$10, 7, FALSE),1)))</f>
        <v/>
      </c>
      <c r="H298" s="27">
        <f>IF($D298="","",VLOOKUP($D298,RoleTitles!$A:$E,3,FALSE))</f>
        <v/>
      </c>
      <c r="I298" s="27">
        <f>IF($D298="","",IF($C298="Greek",VLOOKUP($D298,RoleTitles!$A:$E,4,FALSE),IF($C298="Aesir",VLOOKUP($D298,RoleTitles!$A:$E,5,FALSE),VLOOKUP($D298,RoleTitles!$A:$E,3,FALSE))))</f>
        <v/>
      </c>
      <c r="J298" s="27">
        <f>IF($D298="","",IF($E298&gt;=VLOOKUP($D298,RoleTitles!$A:$B,2,FALSE),"Yes","No"))</f>
        <v/>
      </c>
      <c r="K298" s="27">
        <f>IF($D298="","",IF($D298="T1","T2",IF($D298="T2","T3",IF($D298="T3","T4",IF($D298="T4","T5",IF($D298="T5","T6",IF($D298="T6","T7",IF($D298="T7","T8",IF($D298="T8","T9","")))))))))</f>
        <v/>
      </c>
      <c r="L298" s="28">
        <f>IF($K298="","",MAX(0,VLOOKUP($K298,RoleTitles!$A:$B,2,FALSE)-$E298))</f>
        <v/>
      </c>
    </row>
    <row r="299">
      <c r="A299" s="24">
        <f>IFERROR(INDEX(CoachRoster!$A$2:$A$1000,ROW()-1),"")</f>
        <v/>
      </c>
      <c r="B299" s="27">
        <f>IF($A299="","",VLOOKUP($A299,CoachRoster!$A:$E,2,FALSE))</f>
        <v/>
      </c>
      <c r="C299" s="27">
        <f>IF($A299="","",VLOOKUP($A299,CoachRoster!$A:$E,3,FALSE))</f>
        <v/>
      </c>
      <c r="D299" s="27">
        <f>IF($A299="","",VLOOKUP($A299,CoachRoster!$A:$E,4,FALSE))</f>
        <v/>
      </c>
      <c r="E299" s="27">
        <f>IF($A299="","",MIN(Settings!$B$8,IFERROR(SUMIF(Weekly_Coaching!$B:$B,$A299,Weekly_Coaching!$D:$D),0)+IFERROR(SUMIF(Monthly_Edu!$B:$B,$A299,Monthly_Edu!$D:$D),0)+IFERROR(SUMIF(Monthly_Ops!$B:$B,$A299,Monthly_Ops!$D:$D),0)+IFERROR(SUMIF(Monthly_Mentor!$B:$B,$A299,Monthly_Mentor!$D:$D),0)+IFERROR(SUMIF(Quarterly_Impact!$B:$B,$A299,Quarterly_Impact!$D:$D),0)+IFERROR(SUMIFS(XPLog!$M:$M,XPLog!$B:$B,$A299,XPLog!$J:$J,"Admin"),0)+IFERROR(SUMIFS(XPLog!$M:$M,XPLog!$B:$B,$A299,XPLog!$J:$J,"Seeding"),0)))</f>
        <v/>
      </c>
      <c r="F299" s="27">
        <f>IF($E299="","",LOOKUP($E299, XPBands!B$2:B$10, XPBands!A$2:A$10))</f>
        <v/>
      </c>
      <c r="G299" s="27">
        <f>IF($E299="","", VLOOKUP($F299, XPBands!A$2:G$10, 4, FALSE) + MIN(VLOOKUP($F299, XPBands!A$2:G$10, 5, FALSE) - VLOOKUP($F299, XPBands!A$2:G$10, 4, FALSE), FLOOR(( $E299 - VLOOKUP($F299, XPBands!A$2:G$10, 2, FALSE) ) / VLOOKUP($F299, XPBands!A$2:G$10, 7, FALSE),1)))</f>
        <v/>
      </c>
      <c r="H299" s="27">
        <f>IF($D299="","",VLOOKUP($D299,RoleTitles!$A:$E,3,FALSE))</f>
        <v/>
      </c>
      <c r="I299" s="27">
        <f>IF($D299="","",IF($C299="Greek",VLOOKUP($D299,RoleTitles!$A:$E,4,FALSE),IF($C299="Aesir",VLOOKUP($D299,RoleTitles!$A:$E,5,FALSE),VLOOKUP($D299,RoleTitles!$A:$E,3,FALSE))))</f>
        <v/>
      </c>
      <c r="J299" s="27">
        <f>IF($D299="","",IF($E299&gt;=VLOOKUP($D299,RoleTitles!$A:$B,2,FALSE),"Yes","No"))</f>
        <v/>
      </c>
      <c r="K299" s="27">
        <f>IF($D299="","",IF($D299="T1","T2",IF($D299="T2","T3",IF($D299="T3","T4",IF($D299="T4","T5",IF($D299="T5","T6",IF($D299="T6","T7",IF($D299="T7","T8",IF($D299="T8","T9","")))))))))</f>
        <v/>
      </c>
      <c r="L299" s="28">
        <f>IF($K299="","",MAX(0,VLOOKUP($K299,RoleTitles!$A:$B,2,FALSE)-$E299))</f>
        <v/>
      </c>
    </row>
    <row r="300">
      <c r="A300" s="24">
        <f>IFERROR(INDEX(CoachRoster!$A$2:$A$1000,ROW()-1),"")</f>
        <v/>
      </c>
      <c r="B300" s="27">
        <f>IF($A300="","",VLOOKUP($A300,CoachRoster!$A:$E,2,FALSE))</f>
        <v/>
      </c>
      <c r="C300" s="27">
        <f>IF($A300="","",VLOOKUP($A300,CoachRoster!$A:$E,3,FALSE))</f>
        <v/>
      </c>
      <c r="D300" s="27">
        <f>IF($A300="","",VLOOKUP($A300,CoachRoster!$A:$E,4,FALSE))</f>
        <v/>
      </c>
      <c r="E300" s="27">
        <f>IF($A300="","",MIN(Settings!$B$8,IFERROR(SUMIF(Weekly_Coaching!$B:$B,$A300,Weekly_Coaching!$D:$D),0)+IFERROR(SUMIF(Monthly_Edu!$B:$B,$A300,Monthly_Edu!$D:$D),0)+IFERROR(SUMIF(Monthly_Ops!$B:$B,$A300,Monthly_Ops!$D:$D),0)+IFERROR(SUMIF(Monthly_Mentor!$B:$B,$A300,Monthly_Mentor!$D:$D),0)+IFERROR(SUMIF(Quarterly_Impact!$B:$B,$A300,Quarterly_Impact!$D:$D),0)+IFERROR(SUMIFS(XPLog!$M:$M,XPLog!$B:$B,$A300,XPLog!$J:$J,"Admin"),0)+IFERROR(SUMIFS(XPLog!$M:$M,XPLog!$B:$B,$A300,XPLog!$J:$J,"Seeding"),0)))</f>
        <v/>
      </c>
      <c r="F300" s="27">
        <f>IF($E300="","",LOOKUP($E300, XPBands!B$2:B$10, XPBands!A$2:A$10))</f>
        <v/>
      </c>
      <c r="G300" s="27">
        <f>IF($E300="","", VLOOKUP($F300, XPBands!A$2:G$10, 4, FALSE) + MIN(VLOOKUP($F300, XPBands!A$2:G$10, 5, FALSE) - VLOOKUP($F300, XPBands!A$2:G$10, 4, FALSE), FLOOR(( $E300 - VLOOKUP($F300, XPBands!A$2:G$10, 2, FALSE) ) / VLOOKUP($F300, XPBands!A$2:G$10, 7, FALSE),1)))</f>
        <v/>
      </c>
      <c r="H300" s="27">
        <f>IF($D300="","",VLOOKUP($D300,RoleTitles!$A:$E,3,FALSE))</f>
        <v/>
      </c>
      <c r="I300" s="27">
        <f>IF($D300="","",IF($C300="Greek",VLOOKUP($D300,RoleTitles!$A:$E,4,FALSE),IF($C300="Aesir",VLOOKUP($D300,RoleTitles!$A:$E,5,FALSE),VLOOKUP($D300,RoleTitles!$A:$E,3,FALSE))))</f>
        <v/>
      </c>
      <c r="J300" s="27">
        <f>IF($D300="","",IF($E300&gt;=VLOOKUP($D300,RoleTitles!$A:$B,2,FALSE),"Yes","No"))</f>
        <v/>
      </c>
      <c r="K300" s="27">
        <f>IF($D300="","",IF($D300="T1","T2",IF($D300="T2","T3",IF($D300="T3","T4",IF($D300="T4","T5",IF($D300="T5","T6",IF($D300="T6","T7",IF($D300="T7","T8",IF($D300="T8","T9","")))))))))</f>
        <v/>
      </c>
      <c r="L300" s="28">
        <f>IF($K300="","",MAX(0,VLOOKUP($K300,RoleTitles!$A:$B,2,FALSE)-$E300))</f>
        <v/>
      </c>
    </row>
    <row r="301">
      <c r="A301" s="24">
        <f>IFERROR(INDEX(CoachRoster!$A$2:$A$1000,ROW()-1),"")</f>
        <v/>
      </c>
      <c r="B301" s="27">
        <f>IF($A301="","",VLOOKUP($A301,CoachRoster!$A:$E,2,FALSE))</f>
        <v/>
      </c>
      <c r="C301" s="27">
        <f>IF($A301="","",VLOOKUP($A301,CoachRoster!$A:$E,3,FALSE))</f>
        <v/>
      </c>
      <c r="D301" s="27">
        <f>IF($A301="","",VLOOKUP($A301,CoachRoster!$A:$E,4,FALSE))</f>
        <v/>
      </c>
      <c r="E301" s="27">
        <f>IF($A301="","",MIN(Settings!$B$8,IFERROR(SUMIF(Weekly_Coaching!$B:$B,$A301,Weekly_Coaching!$D:$D),0)+IFERROR(SUMIF(Monthly_Edu!$B:$B,$A301,Monthly_Edu!$D:$D),0)+IFERROR(SUMIF(Monthly_Ops!$B:$B,$A301,Monthly_Ops!$D:$D),0)+IFERROR(SUMIF(Monthly_Mentor!$B:$B,$A301,Monthly_Mentor!$D:$D),0)+IFERROR(SUMIF(Quarterly_Impact!$B:$B,$A301,Quarterly_Impact!$D:$D),0)+IFERROR(SUMIFS(XPLog!$M:$M,XPLog!$B:$B,$A301,XPLog!$J:$J,"Admin"),0)+IFERROR(SUMIFS(XPLog!$M:$M,XPLog!$B:$B,$A301,XPLog!$J:$J,"Seeding"),0)))</f>
        <v/>
      </c>
      <c r="F301" s="27">
        <f>IF($E301="","",LOOKUP($E301, XPBands!B$2:B$10, XPBands!A$2:A$10))</f>
        <v/>
      </c>
      <c r="G301" s="27">
        <f>IF($E301="","", VLOOKUP($F301, XPBands!A$2:G$10, 4, FALSE) + MIN(VLOOKUP($F301, XPBands!A$2:G$10, 5, FALSE) - VLOOKUP($F301, XPBands!A$2:G$10, 4, FALSE), FLOOR(( $E301 - VLOOKUP($F301, XPBands!A$2:G$10, 2, FALSE) ) / VLOOKUP($F301, XPBands!A$2:G$10, 7, FALSE),1)))</f>
        <v/>
      </c>
      <c r="H301" s="27">
        <f>IF($D301="","",VLOOKUP($D301,RoleTitles!$A:$E,3,FALSE))</f>
        <v/>
      </c>
      <c r="I301" s="27">
        <f>IF($D301="","",IF($C301="Greek",VLOOKUP($D301,RoleTitles!$A:$E,4,FALSE),IF($C301="Aesir",VLOOKUP($D301,RoleTitles!$A:$E,5,FALSE),VLOOKUP($D301,RoleTitles!$A:$E,3,FALSE))))</f>
        <v/>
      </c>
      <c r="J301" s="27">
        <f>IF($D301="","",IF($E301&gt;=VLOOKUP($D301,RoleTitles!$A:$B,2,FALSE),"Yes","No"))</f>
        <v/>
      </c>
      <c r="K301" s="27">
        <f>IF($D301="","",IF($D301="T1","T2",IF($D301="T2","T3",IF($D301="T3","T4",IF($D301="T4","T5",IF($D301="T5","T6",IF($D301="T6","T7",IF($D301="T7","T8",IF($D301="T8","T9","")))))))))</f>
        <v/>
      </c>
      <c r="L301" s="28">
        <f>IF($K301="","",MAX(0,VLOOKUP($K301,RoleTitles!$A:$B,2,FALSE)-$E301))</f>
        <v/>
      </c>
    </row>
    <row r="302">
      <c r="A302" s="24">
        <f>IFERROR(INDEX(CoachRoster!$A$2:$A$1000,ROW()-1),"")</f>
        <v/>
      </c>
      <c r="B302" s="27">
        <f>IF($A302="","",VLOOKUP($A302,CoachRoster!$A:$E,2,FALSE))</f>
        <v/>
      </c>
      <c r="C302" s="27">
        <f>IF($A302="","",VLOOKUP($A302,CoachRoster!$A:$E,3,FALSE))</f>
        <v/>
      </c>
      <c r="D302" s="27">
        <f>IF($A302="","",VLOOKUP($A302,CoachRoster!$A:$E,4,FALSE))</f>
        <v/>
      </c>
      <c r="E302" s="27">
        <f>IF($A302="","",MIN(Settings!$B$8,IFERROR(SUMIF(Weekly_Coaching!$B:$B,$A302,Weekly_Coaching!$D:$D),0)+IFERROR(SUMIF(Monthly_Edu!$B:$B,$A302,Monthly_Edu!$D:$D),0)+IFERROR(SUMIF(Monthly_Ops!$B:$B,$A302,Monthly_Ops!$D:$D),0)+IFERROR(SUMIF(Monthly_Mentor!$B:$B,$A302,Monthly_Mentor!$D:$D),0)+IFERROR(SUMIF(Quarterly_Impact!$B:$B,$A302,Quarterly_Impact!$D:$D),0)+IFERROR(SUMIFS(XPLog!$M:$M,XPLog!$B:$B,$A302,XPLog!$J:$J,"Admin"),0)+IFERROR(SUMIFS(XPLog!$M:$M,XPLog!$B:$B,$A302,XPLog!$J:$J,"Seeding"),0)))</f>
        <v/>
      </c>
      <c r="F302" s="27">
        <f>IF($E302="","",LOOKUP($E302, XPBands!B$2:B$10, XPBands!A$2:A$10))</f>
        <v/>
      </c>
      <c r="G302" s="27">
        <f>IF($E302="","", VLOOKUP($F302, XPBands!A$2:G$10, 4, FALSE) + MIN(VLOOKUP($F302, XPBands!A$2:G$10, 5, FALSE) - VLOOKUP($F302, XPBands!A$2:G$10, 4, FALSE), FLOOR(( $E302 - VLOOKUP($F302, XPBands!A$2:G$10, 2, FALSE) ) / VLOOKUP($F302, XPBands!A$2:G$10, 7, FALSE),1)))</f>
        <v/>
      </c>
      <c r="H302" s="27">
        <f>IF($D302="","",VLOOKUP($D302,RoleTitles!$A:$E,3,FALSE))</f>
        <v/>
      </c>
      <c r="I302" s="27">
        <f>IF($D302="","",IF($C302="Greek",VLOOKUP($D302,RoleTitles!$A:$E,4,FALSE),IF($C302="Aesir",VLOOKUP($D302,RoleTitles!$A:$E,5,FALSE),VLOOKUP($D302,RoleTitles!$A:$E,3,FALSE))))</f>
        <v/>
      </c>
      <c r="J302" s="27">
        <f>IF($D302="","",IF($E302&gt;=VLOOKUP($D302,RoleTitles!$A:$B,2,FALSE),"Yes","No"))</f>
        <v/>
      </c>
      <c r="K302" s="27">
        <f>IF($D302="","",IF($D302="T1","T2",IF($D302="T2","T3",IF($D302="T3","T4",IF($D302="T4","T5",IF($D302="T5","T6",IF($D302="T6","T7",IF($D302="T7","T8",IF($D302="T8","T9","")))))))))</f>
        <v/>
      </c>
      <c r="L302" s="28">
        <f>IF($K302="","",MAX(0,VLOOKUP($K302,RoleTitles!$A:$B,2,FALSE)-$E302))</f>
        <v/>
      </c>
    </row>
    <row r="303">
      <c r="A303" s="24">
        <f>IFERROR(INDEX(CoachRoster!$A$2:$A$1000,ROW()-1),"")</f>
        <v/>
      </c>
      <c r="B303" s="27">
        <f>IF($A303="","",VLOOKUP($A303,CoachRoster!$A:$E,2,FALSE))</f>
        <v/>
      </c>
      <c r="C303" s="27">
        <f>IF($A303="","",VLOOKUP($A303,CoachRoster!$A:$E,3,FALSE))</f>
        <v/>
      </c>
      <c r="D303" s="27">
        <f>IF($A303="","",VLOOKUP($A303,CoachRoster!$A:$E,4,FALSE))</f>
        <v/>
      </c>
      <c r="E303" s="27">
        <f>IF($A303="","",MIN(Settings!$B$8,IFERROR(SUMIF(Weekly_Coaching!$B:$B,$A303,Weekly_Coaching!$D:$D),0)+IFERROR(SUMIF(Monthly_Edu!$B:$B,$A303,Monthly_Edu!$D:$D),0)+IFERROR(SUMIF(Monthly_Ops!$B:$B,$A303,Monthly_Ops!$D:$D),0)+IFERROR(SUMIF(Monthly_Mentor!$B:$B,$A303,Monthly_Mentor!$D:$D),0)+IFERROR(SUMIF(Quarterly_Impact!$B:$B,$A303,Quarterly_Impact!$D:$D),0)+IFERROR(SUMIFS(XPLog!$M:$M,XPLog!$B:$B,$A303,XPLog!$J:$J,"Admin"),0)+IFERROR(SUMIFS(XPLog!$M:$M,XPLog!$B:$B,$A303,XPLog!$J:$J,"Seeding"),0)))</f>
        <v/>
      </c>
      <c r="F303" s="27">
        <f>IF($E303="","",LOOKUP($E303, XPBands!B$2:B$10, XPBands!A$2:A$10))</f>
        <v/>
      </c>
      <c r="G303" s="27">
        <f>IF($E303="","", VLOOKUP($F303, XPBands!A$2:G$10, 4, FALSE) + MIN(VLOOKUP($F303, XPBands!A$2:G$10, 5, FALSE) - VLOOKUP($F303, XPBands!A$2:G$10, 4, FALSE), FLOOR(( $E303 - VLOOKUP($F303, XPBands!A$2:G$10, 2, FALSE) ) / VLOOKUP($F303, XPBands!A$2:G$10, 7, FALSE),1)))</f>
        <v/>
      </c>
      <c r="H303" s="27">
        <f>IF($D303="","",VLOOKUP($D303,RoleTitles!$A:$E,3,FALSE))</f>
        <v/>
      </c>
      <c r="I303" s="27">
        <f>IF($D303="","",IF($C303="Greek",VLOOKUP($D303,RoleTitles!$A:$E,4,FALSE),IF($C303="Aesir",VLOOKUP($D303,RoleTitles!$A:$E,5,FALSE),VLOOKUP($D303,RoleTitles!$A:$E,3,FALSE))))</f>
        <v/>
      </c>
      <c r="J303" s="27">
        <f>IF($D303="","",IF($E303&gt;=VLOOKUP($D303,RoleTitles!$A:$B,2,FALSE),"Yes","No"))</f>
        <v/>
      </c>
      <c r="K303" s="27">
        <f>IF($D303="","",IF($D303="T1","T2",IF($D303="T2","T3",IF($D303="T3","T4",IF($D303="T4","T5",IF($D303="T5","T6",IF($D303="T6","T7",IF($D303="T7","T8",IF($D303="T8","T9","")))))))))</f>
        <v/>
      </c>
      <c r="L303" s="28">
        <f>IF($K303="","",MAX(0,VLOOKUP($K303,RoleTitles!$A:$B,2,FALSE)-$E303))</f>
        <v/>
      </c>
    </row>
    <row r="304">
      <c r="A304" s="24">
        <f>IFERROR(INDEX(CoachRoster!$A$2:$A$1000,ROW()-1),"")</f>
        <v/>
      </c>
      <c r="B304" s="27">
        <f>IF($A304="","",VLOOKUP($A304,CoachRoster!$A:$E,2,FALSE))</f>
        <v/>
      </c>
      <c r="C304" s="27">
        <f>IF($A304="","",VLOOKUP($A304,CoachRoster!$A:$E,3,FALSE))</f>
        <v/>
      </c>
      <c r="D304" s="27">
        <f>IF($A304="","",VLOOKUP($A304,CoachRoster!$A:$E,4,FALSE))</f>
        <v/>
      </c>
      <c r="E304" s="27">
        <f>IF($A304="","",MIN(Settings!$B$8,IFERROR(SUMIF(Weekly_Coaching!$B:$B,$A304,Weekly_Coaching!$D:$D),0)+IFERROR(SUMIF(Monthly_Edu!$B:$B,$A304,Monthly_Edu!$D:$D),0)+IFERROR(SUMIF(Monthly_Ops!$B:$B,$A304,Monthly_Ops!$D:$D),0)+IFERROR(SUMIF(Monthly_Mentor!$B:$B,$A304,Monthly_Mentor!$D:$D),0)+IFERROR(SUMIF(Quarterly_Impact!$B:$B,$A304,Quarterly_Impact!$D:$D),0)+IFERROR(SUMIFS(XPLog!$M:$M,XPLog!$B:$B,$A304,XPLog!$J:$J,"Admin"),0)+IFERROR(SUMIFS(XPLog!$M:$M,XPLog!$B:$B,$A304,XPLog!$J:$J,"Seeding"),0)))</f>
        <v/>
      </c>
      <c r="F304" s="27">
        <f>IF($E304="","",LOOKUP($E304, XPBands!B$2:B$10, XPBands!A$2:A$10))</f>
        <v/>
      </c>
      <c r="G304" s="27">
        <f>IF($E304="","", VLOOKUP($F304, XPBands!A$2:G$10, 4, FALSE) + MIN(VLOOKUP($F304, XPBands!A$2:G$10, 5, FALSE) - VLOOKUP($F304, XPBands!A$2:G$10, 4, FALSE), FLOOR(( $E304 - VLOOKUP($F304, XPBands!A$2:G$10, 2, FALSE) ) / VLOOKUP($F304, XPBands!A$2:G$10, 7, FALSE),1)))</f>
        <v/>
      </c>
      <c r="H304" s="27">
        <f>IF($D304="","",VLOOKUP($D304,RoleTitles!$A:$E,3,FALSE))</f>
        <v/>
      </c>
      <c r="I304" s="27">
        <f>IF($D304="","",IF($C304="Greek",VLOOKUP($D304,RoleTitles!$A:$E,4,FALSE),IF($C304="Aesir",VLOOKUP($D304,RoleTitles!$A:$E,5,FALSE),VLOOKUP($D304,RoleTitles!$A:$E,3,FALSE))))</f>
        <v/>
      </c>
      <c r="J304" s="27">
        <f>IF($D304="","",IF($E304&gt;=VLOOKUP($D304,RoleTitles!$A:$B,2,FALSE),"Yes","No"))</f>
        <v/>
      </c>
      <c r="K304" s="27">
        <f>IF($D304="","",IF($D304="T1","T2",IF($D304="T2","T3",IF($D304="T3","T4",IF($D304="T4","T5",IF($D304="T5","T6",IF($D304="T6","T7",IF($D304="T7","T8",IF($D304="T8","T9","")))))))))</f>
        <v/>
      </c>
      <c r="L304" s="28">
        <f>IF($K304="","",MAX(0,VLOOKUP($K304,RoleTitles!$A:$B,2,FALSE)-$E304))</f>
        <v/>
      </c>
    </row>
    <row r="305">
      <c r="A305" s="24">
        <f>IFERROR(INDEX(CoachRoster!$A$2:$A$1000,ROW()-1),"")</f>
        <v/>
      </c>
      <c r="B305" s="27">
        <f>IF($A305="","",VLOOKUP($A305,CoachRoster!$A:$E,2,FALSE))</f>
        <v/>
      </c>
      <c r="C305" s="27">
        <f>IF($A305="","",VLOOKUP($A305,CoachRoster!$A:$E,3,FALSE))</f>
        <v/>
      </c>
      <c r="D305" s="27">
        <f>IF($A305="","",VLOOKUP($A305,CoachRoster!$A:$E,4,FALSE))</f>
        <v/>
      </c>
      <c r="E305" s="27">
        <f>IF($A305="","",MIN(Settings!$B$8,IFERROR(SUMIF(Weekly_Coaching!$B:$B,$A305,Weekly_Coaching!$D:$D),0)+IFERROR(SUMIF(Monthly_Edu!$B:$B,$A305,Monthly_Edu!$D:$D),0)+IFERROR(SUMIF(Monthly_Ops!$B:$B,$A305,Monthly_Ops!$D:$D),0)+IFERROR(SUMIF(Monthly_Mentor!$B:$B,$A305,Monthly_Mentor!$D:$D),0)+IFERROR(SUMIF(Quarterly_Impact!$B:$B,$A305,Quarterly_Impact!$D:$D),0)+IFERROR(SUMIFS(XPLog!$M:$M,XPLog!$B:$B,$A305,XPLog!$J:$J,"Admin"),0)+IFERROR(SUMIFS(XPLog!$M:$M,XPLog!$B:$B,$A305,XPLog!$J:$J,"Seeding"),0)))</f>
        <v/>
      </c>
      <c r="F305" s="27">
        <f>IF($E305="","",LOOKUP($E305, XPBands!B$2:B$10, XPBands!A$2:A$10))</f>
        <v/>
      </c>
      <c r="G305" s="27">
        <f>IF($E305="","", VLOOKUP($F305, XPBands!A$2:G$10, 4, FALSE) + MIN(VLOOKUP($F305, XPBands!A$2:G$10, 5, FALSE) - VLOOKUP($F305, XPBands!A$2:G$10, 4, FALSE), FLOOR(( $E305 - VLOOKUP($F305, XPBands!A$2:G$10, 2, FALSE) ) / VLOOKUP($F305, XPBands!A$2:G$10, 7, FALSE),1)))</f>
        <v/>
      </c>
      <c r="H305" s="27">
        <f>IF($D305="","",VLOOKUP($D305,RoleTitles!$A:$E,3,FALSE))</f>
        <v/>
      </c>
      <c r="I305" s="27">
        <f>IF($D305="","",IF($C305="Greek",VLOOKUP($D305,RoleTitles!$A:$E,4,FALSE),IF($C305="Aesir",VLOOKUP($D305,RoleTitles!$A:$E,5,FALSE),VLOOKUP($D305,RoleTitles!$A:$E,3,FALSE))))</f>
        <v/>
      </c>
      <c r="J305" s="27">
        <f>IF($D305="","",IF($E305&gt;=VLOOKUP($D305,RoleTitles!$A:$B,2,FALSE),"Yes","No"))</f>
        <v/>
      </c>
      <c r="K305" s="27">
        <f>IF($D305="","",IF($D305="T1","T2",IF($D305="T2","T3",IF($D305="T3","T4",IF($D305="T4","T5",IF($D305="T5","T6",IF($D305="T6","T7",IF($D305="T7","T8",IF($D305="T8","T9","")))))))))</f>
        <v/>
      </c>
      <c r="L305" s="28">
        <f>IF($K305="","",MAX(0,VLOOKUP($K305,RoleTitles!$A:$B,2,FALSE)-$E305))</f>
        <v/>
      </c>
    </row>
    <row r="306">
      <c r="A306" s="24">
        <f>IFERROR(INDEX(CoachRoster!$A$2:$A$1000,ROW()-1),"")</f>
        <v/>
      </c>
      <c r="B306" s="27">
        <f>IF($A306="","",VLOOKUP($A306,CoachRoster!$A:$E,2,FALSE))</f>
        <v/>
      </c>
      <c r="C306" s="27">
        <f>IF($A306="","",VLOOKUP($A306,CoachRoster!$A:$E,3,FALSE))</f>
        <v/>
      </c>
      <c r="D306" s="27">
        <f>IF($A306="","",VLOOKUP($A306,CoachRoster!$A:$E,4,FALSE))</f>
        <v/>
      </c>
      <c r="E306" s="27">
        <f>IF($A306="","",MIN(Settings!$B$8,IFERROR(SUMIF(Weekly_Coaching!$B:$B,$A306,Weekly_Coaching!$D:$D),0)+IFERROR(SUMIF(Monthly_Edu!$B:$B,$A306,Monthly_Edu!$D:$D),0)+IFERROR(SUMIF(Monthly_Ops!$B:$B,$A306,Monthly_Ops!$D:$D),0)+IFERROR(SUMIF(Monthly_Mentor!$B:$B,$A306,Monthly_Mentor!$D:$D),0)+IFERROR(SUMIF(Quarterly_Impact!$B:$B,$A306,Quarterly_Impact!$D:$D),0)+IFERROR(SUMIFS(XPLog!$M:$M,XPLog!$B:$B,$A306,XPLog!$J:$J,"Admin"),0)+IFERROR(SUMIFS(XPLog!$M:$M,XPLog!$B:$B,$A306,XPLog!$J:$J,"Seeding"),0)))</f>
        <v/>
      </c>
      <c r="F306" s="27">
        <f>IF($E306="","",LOOKUP($E306, XPBands!B$2:B$10, XPBands!A$2:A$10))</f>
        <v/>
      </c>
      <c r="G306" s="27">
        <f>IF($E306="","", VLOOKUP($F306, XPBands!A$2:G$10, 4, FALSE) + MIN(VLOOKUP($F306, XPBands!A$2:G$10, 5, FALSE) - VLOOKUP($F306, XPBands!A$2:G$10, 4, FALSE), FLOOR(( $E306 - VLOOKUP($F306, XPBands!A$2:G$10, 2, FALSE) ) / VLOOKUP($F306, XPBands!A$2:G$10, 7, FALSE),1)))</f>
        <v/>
      </c>
      <c r="H306" s="27">
        <f>IF($D306="","",VLOOKUP($D306,RoleTitles!$A:$E,3,FALSE))</f>
        <v/>
      </c>
      <c r="I306" s="27">
        <f>IF($D306="","",IF($C306="Greek",VLOOKUP($D306,RoleTitles!$A:$E,4,FALSE),IF($C306="Aesir",VLOOKUP($D306,RoleTitles!$A:$E,5,FALSE),VLOOKUP($D306,RoleTitles!$A:$E,3,FALSE))))</f>
        <v/>
      </c>
      <c r="J306" s="27">
        <f>IF($D306="","",IF($E306&gt;=VLOOKUP($D306,RoleTitles!$A:$B,2,FALSE),"Yes","No"))</f>
        <v/>
      </c>
      <c r="K306" s="27">
        <f>IF($D306="","",IF($D306="T1","T2",IF($D306="T2","T3",IF($D306="T3","T4",IF($D306="T4","T5",IF($D306="T5","T6",IF($D306="T6","T7",IF($D306="T7","T8",IF($D306="T8","T9","")))))))))</f>
        <v/>
      </c>
      <c r="L306" s="28">
        <f>IF($K306="","",MAX(0,VLOOKUP($K306,RoleTitles!$A:$B,2,FALSE)-$E306))</f>
        <v/>
      </c>
    </row>
    <row r="307">
      <c r="A307" s="24">
        <f>IFERROR(INDEX(CoachRoster!$A$2:$A$1000,ROW()-1),"")</f>
        <v/>
      </c>
      <c r="B307" s="27">
        <f>IF($A307="","",VLOOKUP($A307,CoachRoster!$A:$E,2,FALSE))</f>
        <v/>
      </c>
      <c r="C307" s="27">
        <f>IF($A307="","",VLOOKUP($A307,CoachRoster!$A:$E,3,FALSE))</f>
        <v/>
      </c>
      <c r="D307" s="27">
        <f>IF($A307="","",VLOOKUP($A307,CoachRoster!$A:$E,4,FALSE))</f>
        <v/>
      </c>
      <c r="E307" s="27">
        <f>IF($A307="","",MIN(Settings!$B$8,IFERROR(SUMIF(Weekly_Coaching!$B:$B,$A307,Weekly_Coaching!$D:$D),0)+IFERROR(SUMIF(Monthly_Edu!$B:$B,$A307,Monthly_Edu!$D:$D),0)+IFERROR(SUMIF(Monthly_Ops!$B:$B,$A307,Monthly_Ops!$D:$D),0)+IFERROR(SUMIF(Monthly_Mentor!$B:$B,$A307,Monthly_Mentor!$D:$D),0)+IFERROR(SUMIF(Quarterly_Impact!$B:$B,$A307,Quarterly_Impact!$D:$D),0)+IFERROR(SUMIFS(XPLog!$M:$M,XPLog!$B:$B,$A307,XPLog!$J:$J,"Admin"),0)+IFERROR(SUMIFS(XPLog!$M:$M,XPLog!$B:$B,$A307,XPLog!$J:$J,"Seeding"),0)))</f>
        <v/>
      </c>
      <c r="F307" s="27">
        <f>IF($E307="","",LOOKUP($E307, XPBands!B$2:B$10, XPBands!A$2:A$10))</f>
        <v/>
      </c>
      <c r="G307" s="27">
        <f>IF($E307="","", VLOOKUP($F307, XPBands!A$2:G$10, 4, FALSE) + MIN(VLOOKUP($F307, XPBands!A$2:G$10, 5, FALSE) - VLOOKUP($F307, XPBands!A$2:G$10, 4, FALSE), FLOOR(( $E307 - VLOOKUP($F307, XPBands!A$2:G$10, 2, FALSE) ) / VLOOKUP($F307, XPBands!A$2:G$10, 7, FALSE),1)))</f>
        <v/>
      </c>
      <c r="H307" s="27">
        <f>IF($D307="","",VLOOKUP($D307,RoleTitles!$A:$E,3,FALSE))</f>
        <v/>
      </c>
      <c r="I307" s="27">
        <f>IF($D307="","",IF($C307="Greek",VLOOKUP($D307,RoleTitles!$A:$E,4,FALSE),IF($C307="Aesir",VLOOKUP($D307,RoleTitles!$A:$E,5,FALSE),VLOOKUP($D307,RoleTitles!$A:$E,3,FALSE))))</f>
        <v/>
      </c>
      <c r="J307" s="27">
        <f>IF($D307="","",IF($E307&gt;=VLOOKUP($D307,RoleTitles!$A:$B,2,FALSE),"Yes","No"))</f>
        <v/>
      </c>
      <c r="K307" s="27">
        <f>IF($D307="","",IF($D307="T1","T2",IF($D307="T2","T3",IF($D307="T3","T4",IF($D307="T4","T5",IF($D307="T5","T6",IF($D307="T6","T7",IF($D307="T7","T8",IF($D307="T8","T9","")))))))))</f>
        <v/>
      </c>
      <c r="L307" s="28">
        <f>IF($K307="","",MAX(0,VLOOKUP($K307,RoleTitles!$A:$B,2,FALSE)-$E307))</f>
        <v/>
      </c>
    </row>
    <row r="308">
      <c r="A308" s="24">
        <f>IFERROR(INDEX(CoachRoster!$A$2:$A$1000,ROW()-1),"")</f>
        <v/>
      </c>
      <c r="B308" s="27">
        <f>IF($A308="","",VLOOKUP($A308,CoachRoster!$A:$E,2,FALSE))</f>
        <v/>
      </c>
      <c r="C308" s="27">
        <f>IF($A308="","",VLOOKUP($A308,CoachRoster!$A:$E,3,FALSE))</f>
        <v/>
      </c>
      <c r="D308" s="27">
        <f>IF($A308="","",VLOOKUP($A308,CoachRoster!$A:$E,4,FALSE))</f>
        <v/>
      </c>
      <c r="E308" s="27">
        <f>IF($A308="","",MIN(Settings!$B$8,IFERROR(SUMIF(Weekly_Coaching!$B:$B,$A308,Weekly_Coaching!$D:$D),0)+IFERROR(SUMIF(Monthly_Edu!$B:$B,$A308,Monthly_Edu!$D:$D),0)+IFERROR(SUMIF(Monthly_Ops!$B:$B,$A308,Monthly_Ops!$D:$D),0)+IFERROR(SUMIF(Monthly_Mentor!$B:$B,$A308,Monthly_Mentor!$D:$D),0)+IFERROR(SUMIF(Quarterly_Impact!$B:$B,$A308,Quarterly_Impact!$D:$D),0)+IFERROR(SUMIFS(XPLog!$M:$M,XPLog!$B:$B,$A308,XPLog!$J:$J,"Admin"),0)+IFERROR(SUMIFS(XPLog!$M:$M,XPLog!$B:$B,$A308,XPLog!$J:$J,"Seeding"),0)))</f>
        <v/>
      </c>
      <c r="F308" s="27">
        <f>IF($E308="","",LOOKUP($E308, XPBands!B$2:B$10, XPBands!A$2:A$10))</f>
        <v/>
      </c>
      <c r="G308" s="27">
        <f>IF($E308="","", VLOOKUP($F308, XPBands!A$2:G$10, 4, FALSE) + MIN(VLOOKUP($F308, XPBands!A$2:G$10, 5, FALSE) - VLOOKUP($F308, XPBands!A$2:G$10, 4, FALSE), FLOOR(( $E308 - VLOOKUP($F308, XPBands!A$2:G$10, 2, FALSE) ) / VLOOKUP($F308, XPBands!A$2:G$10, 7, FALSE),1)))</f>
        <v/>
      </c>
      <c r="H308" s="27">
        <f>IF($D308="","",VLOOKUP($D308,RoleTitles!$A:$E,3,FALSE))</f>
        <v/>
      </c>
      <c r="I308" s="27">
        <f>IF($D308="","",IF($C308="Greek",VLOOKUP($D308,RoleTitles!$A:$E,4,FALSE),IF($C308="Aesir",VLOOKUP($D308,RoleTitles!$A:$E,5,FALSE),VLOOKUP($D308,RoleTitles!$A:$E,3,FALSE))))</f>
        <v/>
      </c>
      <c r="J308" s="27">
        <f>IF($D308="","",IF($E308&gt;=VLOOKUP($D308,RoleTitles!$A:$B,2,FALSE),"Yes","No"))</f>
        <v/>
      </c>
      <c r="K308" s="27">
        <f>IF($D308="","",IF($D308="T1","T2",IF($D308="T2","T3",IF($D308="T3","T4",IF($D308="T4","T5",IF($D308="T5","T6",IF($D308="T6","T7",IF($D308="T7","T8",IF($D308="T8","T9","")))))))))</f>
        <v/>
      </c>
      <c r="L308" s="28">
        <f>IF($K308="","",MAX(0,VLOOKUP($K308,RoleTitles!$A:$B,2,FALSE)-$E308))</f>
        <v/>
      </c>
    </row>
    <row r="309">
      <c r="A309" s="24">
        <f>IFERROR(INDEX(CoachRoster!$A$2:$A$1000,ROW()-1),"")</f>
        <v/>
      </c>
      <c r="B309" s="27">
        <f>IF($A309="","",VLOOKUP($A309,CoachRoster!$A:$E,2,FALSE))</f>
        <v/>
      </c>
      <c r="C309" s="27">
        <f>IF($A309="","",VLOOKUP($A309,CoachRoster!$A:$E,3,FALSE))</f>
        <v/>
      </c>
      <c r="D309" s="27">
        <f>IF($A309="","",VLOOKUP($A309,CoachRoster!$A:$E,4,FALSE))</f>
        <v/>
      </c>
      <c r="E309" s="27">
        <f>IF($A309="","",MIN(Settings!$B$8,IFERROR(SUMIF(Weekly_Coaching!$B:$B,$A309,Weekly_Coaching!$D:$D),0)+IFERROR(SUMIF(Monthly_Edu!$B:$B,$A309,Monthly_Edu!$D:$D),0)+IFERROR(SUMIF(Monthly_Ops!$B:$B,$A309,Monthly_Ops!$D:$D),0)+IFERROR(SUMIF(Monthly_Mentor!$B:$B,$A309,Monthly_Mentor!$D:$D),0)+IFERROR(SUMIF(Quarterly_Impact!$B:$B,$A309,Quarterly_Impact!$D:$D),0)+IFERROR(SUMIFS(XPLog!$M:$M,XPLog!$B:$B,$A309,XPLog!$J:$J,"Admin"),0)+IFERROR(SUMIFS(XPLog!$M:$M,XPLog!$B:$B,$A309,XPLog!$J:$J,"Seeding"),0)))</f>
        <v/>
      </c>
      <c r="F309" s="27">
        <f>IF($E309="","",LOOKUP($E309, XPBands!B$2:B$10, XPBands!A$2:A$10))</f>
        <v/>
      </c>
      <c r="G309" s="27">
        <f>IF($E309="","", VLOOKUP($F309, XPBands!A$2:G$10, 4, FALSE) + MIN(VLOOKUP($F309, XPBands!A$2:G$10, 5, FALSE) - VLOOKUP($F309, XPBands!A$2:G$10, 4, FALSE), FLOOR(( $E309 - VLOOKUP($F309, XPBands!A$2:G$10, 2, FALSE) ) / VLOOKUP($F309, XPBands!A$2:G$10, 7, FALSE),1)))</f>
        <v/>
      </c>
      <c r="H309" s="27">
        <f>IF($D309="","",VLOOKUP($D309,RoleTitles!$A:$E,3,FALSE))</f>
        <v/>
      </c>
      <c r="I309" s="27">
        <f>IF($D309="","",IF($C309="Greek",VLOOKUP($D309,RoleTitles!$A:$E,4,FALSE),IF($C309="Aesir",VLOOKUP($D309,RoleTitles!$A:$E,5,FALSE),VLOOKUP($D309,RoleTitles!$A:$E,3,FALSE))))</f>
        <v/>
      </c>
      <c r="J309" s="27">
        <f>IF($D309="","",IF($E309&gt;=VLOOKUP($D309,RoleTitles!$A:$B,2,FALSE),"Yes","No"))</f>
        <v/>
      </c>
      <c r="K309" s="27">
        <f>IF($D309="","",IF($D309="T1","T2",IF($D309="T2","T3",IF($D309="T3","T4",IF($D309="T4","T5",IF($D309="T5","T6",IF($D309="T6","T7",IF($D309="T7","T8",IF($D309="T8","T9","")))))))))</f>
        <v/>
      </c>
      <c r="L309" s="28">
        <f>IF($K309="","",MAX(0,VLOOKUP($K309,RoleTitles!$A:$B,2,FALSE)-$E309))</f>
        <v/>
      </c>
    </row>
    <row r="310">
      <c r="A310" s="24">
        <f>IFERROR(INDEX(CoachRoster!$A$2:$A$1000,ROW()-1),"")</f>
        <v/>
      </c>
      <c r="B310" s="27">
        <f>IF($A310="","",VLOOKUP($A310,CoachRoster!$A:$E,2,FALSE))</f>
        <v/>
      </c>
      <c r="C310" s="27">
        <f>IF($A310="","",VLOOKUP($A310,CoachRoster!$A:$E,3,FALSE))</f>
        <v/>
      </c>
      <c r="D310" s="27">
        <f>IF($A310="","",VLOOKUP($A310,CoachRoster!$A:$E,4,FALSE))</f>
        <v/>
      </c>
      <c r="E310" s="27">
        <f>IF($A310="","",MIN(Settings!$B$8,IFERROR(SUMIF(Weekly_Coaching!$B:$B,$A310,Weekly_Coaching!$D:$D),0)+IFERROR(SUMIF(Monthly_Edu!$B:$B,$A310,Monthly_Edu!$D:$D),0)+IFERROR(SUMIF(Monthly_Ops!$B:$B,$A310,Monthly_Ops!$D:$D),0)+IFERROR(SUMIF(Monthly_Mentor!$B:$B,$A310,Monthly_Mentor!$D:$D),0)+IFERROR(SUMIF(Quarterly_Impact!$B:$B,$A310,Quarterly_Impact!$D:$D),0)+IFERROR(SUMIFS(XPLog!$M:$M,XPLog!$B:$B,$A310,XPLog!$J:$J,"Admin"),0)+IFERROR(SUMIFS(XPLog!$M:$M,XPLog!$B:$B,$A310,XPLog!$J:$J,"Seeding"),0)))</f>
        <v/>
      </c>
      <c r="F310" s="27">
        <f>IF($E310="","",LOOKUP($E310, XPBands!B$2:B$10, XPBands!A$2:A$10))</f>
        <v/>
      </c>
      <c r="G310" s="27">
        <f>IF($E310="","", VLOOKUP($F310, XPBands!A$2:G$10, 4, FALSE) + MIN(VLOOKUP($F310, XPBands!A$2:G$10, 5, FALSE) - VLOOKUP($F310, XPBands!A$2:G$10, 4, FALSE), FLOOR(( $E310 - VLOOKUP($F310, XPBands!A$2:G$10, 2, FALSE) ) / VLOOKUP($F310, XPBands!A$2:G$10, 7, FALSE),1)))</f>
        <v/>
      </c>
      <c r="H310" s="27">
        <f>IF($D310="","",VLOOKUP($D310,RoleTitles!$A:$E,3,FALSE))</f>
        <v/>
      </c>
      <c r="I310" s="27">
        <f>IF($D310="","",IF($C310="Greek",VLOOKUP($D310,RoleTitles!$A:$E,4,FALSE),IF($C310="Aesir",VLOOKUP($D310,RoleTitles!$A:$E,5,FALSE),VLOOKUP($D310,RoleTitles!$A:$E,3,FALSE))))</f>
        <v/>
      </c>
      <c r="J310" s="27">
        <f>IF($D310="","",IF($E310&gt;=VLOOKUP($D310,RoleTitles!$A:$B,2,FALSE),"Yes","No"))</f>
        <v/>
      </c>
      <c r="K310" s="27">
        <f>IF($D310="","",IF($D310="T1","T2",IF($D310="T2","T3",IF($D310="T3","T4",IF($D310="T4","T5",IF($D310="T5","T6",IF($D310="T6","T7",IF($D310="T7","T8",IF($D310="T8","T9","")))))))))</f>
        <v/>
      </c>
      <c r="L310" s="28">
        <f>IF($K310="","",MAX(0,VLOOKUP($K310,RoleTitles!$A:$B,2,FALSE)-$E310))</f>
        <v/>
      </c>
    </row>
    <row r="311">
      <c r="A311" s="24">
        <f>IFERROR(INDEX(CoachRoster!$A$2:$A$1000,ROW()-1),"")</f>
        <v/>
      </c>
      <c r="B311" s="27">
        <f>IF($A311="","",VLOOKUP($A311,CoachRoster!$A:$E,2,FALSE))</f>
        <v/>
      </c>
      <c r="C311" s="27">
        <f>IF($A311="","",VLOOKUP($A311,CoachRoster!$A:$E,3,FALSE))</f>
        <v/>
      </c>
      <c r="D311" s="27">
        <f>IF($A311="","",VLOOKUP($A311,CoachRoster!$A:$E,4,FALSE))</f>
        <v/>
      </c>
      <c r="E311" s="27">
        <f>IF($A311="","",MIN(Settings!$B$8,IFERROR(SUMIF(Weekly_Coaching!$B:$B,$A311,Weekly_Coaching!$D:$D),0)+IFERROR(SUMIF(Monthly_Edu!$B:$B,$A311,Monthly_Edu!$D:$D),0)+IFERROR(SUMIF(Monthly_Ops!$B:$B,$A311,Monthly_Ops!$D:$D),0)+IFERROR(SUMIF(Monthly_Mentor!$B:$B,$A311,Monthly_Mentor!$D:$D),0)+IFERROR(SUMIF(Quarterly_Impact!$B:$B,$A311,Quarterly_Impact!$D:$D),0)+IFERROR(SUMIFS(XPLog!$M:$M,XPLog!$B:$B,$A311,XPLog!$J:$J,"Admin"),0)+IFERROR(SUMIFS(XPLog!$M:$M,XPLog!$B:$B,$A311,XPLog!$J:$J,"Seeding"),0)))</f>
        <v/>
      </c>
      <c r="F311" s="27">
        <f>IF($E311="","",LOOKUP($E311, XPBands!B$2:B$10, XPBands!A$2:A$10))</f>
        <v/>
      </c>
      <c r="G311" s="27">
        <f>IF($E311="","", VLOOKUP($F311, XPBands!A$2:G$10, 4, FALSE) + MIN(VLOOKUP($F311, XPBands!A$2:G$10, 5, FALSE) - VLOOKUP($F311, XPBands!A$2:G$10, 4, FALSE), FLOOR(( $E311 - VLOOKUP($F311, XPBands!A$2:G$10, 2, FALSE) ) / VLOOKUP($F311, XPBands!A$2:G$10, 7, FALSE),1)))</f>
        <v/>
      </c>
      <c r="H311" s="27">
        <f>IF($D311="","",VLOOKUP($D311,RoleTitles!$A:$E,3,FALSE))</f>
        <v/>
      </c>
      <c r="I311" s="27">
        <f>IF($D311="","",IF($C311="Greek",VLOOKUP($D311,RoleTitles!$A:$E,4,FALSE),IF($C311="Aesir",VLOOKUP($D311,RoleTitles!$A:$E,5,FALSE),VLOOKUP($D311,RoleTitles!$A:$E,3,FALSE))))</f>
        <v/>
      </c>
      <c r="J311" s="27">
        <f>IF($D311="","",IF($E311&gt;=VLOOKUP($D311,RoleTitles!$A:$B,2,FALSE),"Yes","No"))</f>
        <v/>
      </c>
      <c r="K311" s="27">
        <f>IF($D311="","",IF($D311="T1","T2",IF($D311="T2","T3",IF($D311="T3","T4",IF($D311="T4","T5",IF($D311="T5","T6",IF($D311="T6","T7",IF($D311="T7","T8",IF($D311="T8","T9","")))))))))</f>
        <v/>
      </c>
      <c r="L311" s="28">
        <f>IF($K311="","",MAX(0,VLOOKUP($K311,RoleTitles!$A:$B,2,FALSE)-$E311))</f>
        <v/>
      </c>
    </row>
    <row r="312">
      <c r="A312" s="24">
        <f>IFERROR(INDEX(CoachRoster!$A$2:$A$1000,ROW()-1),"")</f>
        <v/>
      </c>
      <c r="B312" s="27">
        <f>IF($A312="","",VLOOKUP($A312,CoachRoster!$A:$E,2,FALSE))</f>
        <v/>
      </c>
      <c r="C312" s="27">
        <f>IF($A312="","",VLOOKUP($A312,CoachRoster!$A:$E,3,FALSE))</f>
        <v/>
      </c>
      <c r="D312" s="27">
        <f>IF($A312="","",VLOOKUP($A312,CoachRoster!$A:$E,4,FALSE))</f>
        <v/>
      </c>
      <c r="E312" s="27">
        <f>IF($A312="","",MIN(Settings!$B$8,IFERROR(SUMIF(Weekly_Coaching!$B:$B,$A312,Weekly_Coaching!$D:$D),0)+IFERROR(SUMIF(Monthly_Edu!$B:$B,$A312,Monthly_Edu!$D:$D),0)+IFERROR(SUMIF(Monthly_Ops!$B:$B,$A312,Monthly_Ops!$D:$D),0)+IFERROR(SUMIF(Monthly_Mentor!$B:$B,$A312,Monthly_Mentor!$D:$D),0)+IFERROR(SUMIF(Quarterly_Impact!$B:$B,$A312,Quarterly_Impact!$D:$D),0)+IFERROR(SUMIFS(XPLog!$M:$M,XPLog!$B:$B,$A312,XPLog!$J:$J,"Admin"),0)+IFERROR(SUMIFS(XPLog!$M:$M,XPLog!$B:$B,$A312,XPLog!$J:$J,"Seeding"),0)))</f>
        <v/>
      </c>
      <c r="F312" s="27">
        <f>IF($E312="","",LOOKUP($E312, XPBands!B$2:B$10, XPBands!A$2:A$10))</f>
        <v/>
      </c>
      <c r="G312" s="27">
        <f>IF($E312="","", VLOOKUP($F312, XPBands!A$2:G$10, 4, FALSE) + MIN(VLOOKUP($F312, XPBands!A$2:G$10, 5, FALSE) - VLOOKUP($F312, XPBands!A$2:G$10, 4, FALSE), FLOOR(( $E312 - VLOOKUP($F312, XPBands!A$2:G$10, 2, FALSE) ) / VLOOKUP($F312, XPBands!A$2:G$10, 7, FALSE),1)))</f>
        <v/>
      </c>
      <c r="H312" s="27">
        <f>IF($D312="","",VLOOKUP($D312,RoleTitles!$A:$E,3,FALSE))</f>
        <v/>
      </c>
      <c r="I312" s="27">
        <f>IF($D312="","",IF($C312="Greek",VLOOKUP($D312,RoleTitles!$A:$E,4,FALSE),IF($C312="Aesir",VLOOKUP($D312,RoleTitles!$A:$E,5,FALSE),VLOOKUP($D312,RoleTitles!$A:$E,3,FALSE))))</f>
        <v/>
      </c>
      <c r="J312" s="27">
        <f>IF($D312="","",IF($E312&gt;=VLOOKUP($D312,RoleTitles!$A:$B,2,FALSE),"Yes","No"))</f>
        <v/>
      </c>
      <c r="K312" s="27">
        <f>IF($D312="","",IF($D312="T1","T2",IF($D312="T2","T3",IF($D312="T3","T4",IF($D312="T4","T5",IF($D312="T5","T6",IF($D312="T6","T7",IF($D312="T7","T8",IF($D312="T8","T9","")))))))))</f>
        <v/>
      </c>
      <c r="L312" s="28">
        <f>IF($K312="","",MAX(0,VLOOKUP($K312,RoleTitles!$A:$B,2,FALSE)-$E312))</f>
        <v/>
      </c>
    </row>
    <row r="313">
      <c r="A313" s="24">
        <f>IFERROR(INDEX(CoachRoster!$A$2:$A$1000,ROW()-1),"")</f>
        <v/>
      </c>
      <c r="B313" s="27">
        <f>IF($A313="","",VLOOKUP($A313,CoachRoster!$A:$E,2,FALSE))</f>
        <v/>
      </c>
      <c r="C313" s="27">
        <f>IF($A313="","",VLOOKUP($A313,CoachRoster!$A:$E,3,FALSE))</f>
        <v/>
      </c>
      <c r="D313" s="27">
        <f>IF($A313="","",VLOOKUP($A313,CoachRoster!$A:$E,4,FALSE))</f>
        <v/>
      </c>
      <c r="E313" s="27">
        <f>IF($A313="","",MIN(Settings!$B$8,IFERROR(SUMIF(Weekly_Coaching!$B:$B,$A313,Weekly_Coaching!$D:$D),0)+IFERROR(SUMIF(Monthly_Edu!$B:$B,$A313,Monthly_Edu!$D:$D),0)+IFERROR(SUMIF(Monthly_Ops!$B:$B,$A313,Monthly_Ops!$D:$D),0)+IFERROR(SUMIF(Monthly_Mentor!$B:$B,$A313,Monthly_Mentor!$D:$D),0)+IFERROR(SUMIF(Quarterly_Impact!$B:$B,$A313,Quarterly_Impact!$D:$D),0)+IFERROR(SUMIFS(XPLog!$M:$M,XPLog!$B:$B,$A313,XPLog!$J:$J,"Admin"),0)+IFERROR(SUMIFS(XPLog!$M:$M,XPLog!$B:$B,$A313,XPLog!$J:$J,"Seeding"),0)))</f>
        <v/>
      </c>
      <c r="F313" s="27">
        <f>IF($E313="","",LOOKUP($E313, XPBands!B$2:B$10, XPBands!A$2:A$10))</f>
        <v/>
      </c>
      <c r="G313" s="27">
        <f>IF($E313="","", VLOOKUP($F313, XPBands!A$2:G$10, 4, FALSE) + MIN(VLOOKUP($F313, XPBands!A$2:G$10, 5, FALSE) - VLOOKUP($F313, XPBands!A$2:G$10, 4, FALSE), FLOOR(( $E313 - VLOOKUP($F313, XPBands!A$2:G$10, 2, FALSE) ) / VLOOKUP($F313, XPBands!A$2:G$10, 7, FALSE),1)))</f>
        <v/>
      </c>
      <c r="H313" s="27">
        <f>IF($D313="","",VLOOKUP($D313,RoleTitles!$A:$E,3,FALSE))</f>
        <v/>
      </c>
      <c r="I313" s="27">
        <f>IF($D313="","",IF($C313="Greek",VLOOKUP($D313,RoleTitles!$A:$E,4,FALSE),IF($C313="Aesir",VLOOKUP($D313,RoleTitles!$A:$E,5,FALSE),VLOOKUP($D313,RoleTitles!$A:$E,3,FALSE))))</f>
        <v/>
      </c>
      <c r="J313" s="27">
        <f>IF($D313="","",IF($E313&gt;=VLOOKUP($D313,RoleTitles!$A:$B,2,FALSE),"Yes","No"))</f>
        <v/>
      </c>
      <c r="K313" s="27">
        <f>IF($D313="","",IF($D313="T1","T2",IF($D313="T2","T3",IF($D313="T3","T4",IF($D313="T4","T5",IF($D313="T5","T6",IF($D313="T6","T7",IF($D313="T7","T8",IF($D313="T8","T9","")))))))))</f>
        <v/>
      </c>
      <c r="L313" s="28">
        <f>IF($K313="","",MAX(0,VLOOKUP($K313,RoleTitles!$A:$B,2,FALSE)-$E313))</f>
        <v/>
      </c>
    </row>
    <row r="314">
      <c r="A314" s="24">
        <f>IFERROR(INDEX(CoachRoster!$A$2:$A$1000,ROW()-1),"")</f>
        <v/>
      </c>
      <c r="B314" s="27">
        <f>IF($A314="","",VLOOKUP($A314,CoachRoster!$A:$E,2,FALSE))</f>
        <v/>
      </c>
      <c r="C314" s="27">
        <f>IF($A314="","",VLOOKUP($A314,CoachRoster!$A:$E,3,FALSE))</f>
        <v/>
      </c>
      <c r="D314" s="27">
        <f>IF($A314="","",VLOOKUP($A314,CoachRoster!$A:$E,4,FALSE))</f>
        <v/>
      </c>
      <c r="E314" s="27">
        <f>IF($A314="","",MIN(Settings!$B$8,IFERROR(SUMIF(Weekly_Coaching!$B:$B,$A314,Weekly_Coaching!$D:$D),0)+IFERROR(SUMIF(Monthly_Edu!$B:$B,$A314,Monthly_Edu!$D:$D),0)+IFERROR(SUMIF(Monthly_Ops!$B:$B,$A314,Monthly_Ops!$D:$D),0)+IFERROR(SUMIF(Monthly_Mentor!$B:$B,$A314,Monthly_Mentor!$D:$D),0)+IFERROR(SUMIF(Quarterly_Impact!$B:$B,$A314,Quarterly_Impact!$D:$D),0)+IFERROR(SUMIFS(XPLog!$M:$M,XPLog!$B:$B,$A314,XPLog!$J:$J,"Admin"),0)+IFERROR(SUMIFS(XPLog!$M:$M,XPLog!$B:$B,$A314,XPLog!$J:$J,"Seeding"),0)))</f>
        <v/>
      </c>
      <c r="F314" s="27">
        <f>IF($E314="","",LOOKUP($E314, XPBands!B$2:B$10, XPBands!A$2:A$10))</f>
        <v/>
      </c>
      <c r="G314" s="27">
        <f>IF($E314="","", VLOOKUP($F314, XPBands!A$2:G$10, 4, FALSE) + MIN(VLOOKUP($F314, XPBands!A$2:G$10, 5, FALSE) - VLOOKUP($F314, XPBands!A$2:G$10, 4, FALSE), FLOOR(( $E314 - VLOOKUP($F314, XPBands!A$2:G$10, 2, FALSE) ) / VLOOKUP($F314, XPBands!A$2:G$10, 7, FALSE),1)))</f>
        <v/>
      </c>
      <c r="H314" s="27">
        <f>IF($D314="","",VLOOKUP($D314,RoleTitles!$A:$E,3,FALSE))</f>
        <v/>
      </c>
      <c r="I314" s="27">
        <f>IF($D314="","",IF($C314="Greek",VLOOKUP($D314,RoleTitles!$A:$E,4,FALSE),IF($C314="Aesir",VLOOKUP($D314,RoleTitles!$A:$E,5,FALSE),VLOOKUP($D314,RoleTitles!$A:$E,3,FALSE))))</f>
        <v/>
      </c>
      <c r="J314" s="27">
        <f>IF($D314="","",IF($E314&gt;=VLOOKUP($D314,RoleTitles!$A:$B,2,FALSE),"Yes","No"))</f>
        <v/>
      </c>
      <c r="K314" s="27">
        <f>IF($D314="","",IF($D314="T1","T2",IF($D314="T2","T3",IF($D314="T3","T4",IF($D314="T4","T5",IF($D314="T5","T6",IF($D314="T6","T7",IF($D314="T7","T8",IF($D314="T8","T9","")))))))))</f>
        <v/>
      </c>
      <c r="L314" s="28">
        <f>IF($K314="","",MAX(0,VLOOKUP($K314,RoleTitles!$A:$B,2,FALSE)-$E314))</f>
        <v/>
      </c>
    </row>
    <row r="315">
      <c r="A315" s="24">
        <f>IFERROR(INDEX(CoachRoster!$A$2:$A$1000,ROW()-1),"")</f>
        <v/>
      </c>
      <c r="B315" s="27">
        <f>IF($A315="","",VLOOKUP($A315,CoachRoster!$A:$E,2,FALSE))</f>
        <v/>
      </c>
      <c r="C315" s="27">
        <f>IF($A315="","",VLOOKUP($A315,CoachRoster!$A:$E,3,FALSE))</f>
        <v/>
      </c>
      <c r="D315" s="27">
        <f>IF($A315="","",VLOOKUP($A315,CoachRoster!$A:$E,4,FALSE))</f>
        <v/>
      </c>
      <c r="E315" s="27">
        <f>IF($A315="","",MIN(Settings!$B$8,IFERROR(SUMIF(Weekly_Coaching!$B:$B,$A315,Weekly_Coaching!$D:$D),0)+IFERROR(SUMIF(Monthly_Edu!$B:$B,$A315,Monthly_Edu!$D:$D),0)+IFERROR(SUMIF(Monthly_Ops!$B:$B,$A315,Monthly_Ops!$D:$D),0)+IFERROR(SUMIF(Monthly_Mentor!$B:$B,$A315,Monthly_Mentor!$D:$D),0)+IFERROR(SUMIF(Quarterly_Impact!$B:$B,$A315,Quarterly_Impact!$D:$D),0)+IFERROR(SUMIFS(XPLog!$M:$M,XPLog!$B:$B,$A315,XPLog!$J:$J,"Admin"),0)+IFERROR(SUMIFS(XPLog!$M:$M,XPLog!$B:$B,$A315,XPLog!$J:$J,"Seeding"),0)))</f>
        <v/>
      </c>
      <c r="F315" s="27">
        <f>IF($E315="","",LOOKUP($E315, XPBands!B$2:B$10, XPBands!A$2:A$10))</f>
        <v/>
      </c>
      <c r="G315" s="27">
        <f>IF($E315="","", VLOOKUP($F315, XPBands!A$2:G$10, 4, FALSE) + MIN(VLOOKUP($F315, XPBands!A$2:G$10, 5, FALSE) - VLOOKUP($F315, XPBands!A$2:G$10, 4, FALSE), FLOOR(( $E315 - VLOOKUP($F315, XPBands!A$2:G$10, 2, FALSE) ) / VLOOKUP($F315, XPBands!A$2:G$10, 7, FALSE),1)))</f>
        <v/>
      </c>
      <c r="H315" s="27">
        <f>IF($D315="","",VLOOKUP($D315,RoleTitles!$A:$E,3,FALSE))</f>
        <v/>
      </c>
      <c r="I315" s="27">
        <f>IF($D315="","",IF($C315="Greek",VLOOKUP($D315,RoleTitles!$A:$E,4,FALSE),IF($C315="Aesir",VLOOKUP($D315,RoleTitles!$A:$E,5,FALSE),VLOOKUP($D315,RoleTitles!$A:$E,3,FALSE))))</f>
        <v/>
      </c>
      <c r="J315" s="27">
        <f>IF($D315="","",IF($E315&gt;=VLOOKUP($D315,RoleTitles!$A:$B,2,FALSE),"Yes","No"))</f>
        <v/>
      </c>
      <c r="K315" s="27">
        <f>IF($D315="","",IF($D315="T1","T2",IF($D315="T2","T3",IF($D315="T3","T4",IF($D315="T4","T5",IF($D315="T5","T6",IF($D315="T6","T7",IF($D315="T7","T8",IF($D315="T8","T9","")))))))))</f>
        <v/>
      </c>
      <c r="L315" s="28">
        <f>IF($K315="","",MAX(0,VLOOKUP($K315,RoleTitles!$A:$B,2,FALSE)-$E315))</f>
        <v/>
      </c>
    </row>
    <row r="316">
      <c r="A316" s="24">
        <f>IFERROR(INDEX(CoachRoster!$A$2:$A$1000,ROW()-1),"")</f>
        <v/>
      </c>
      <c r="B316" s="27">
        <f>IF($A316="","",VLOOKUP($A316,CoachRoster!$A:$E,2,FALSE))</f>
        <v/>
      </c>
      <c r="C316" s="27">
        <f>IF($A316="","",VLOOKUP($A316,CoachRoster!$A:$E,3,FALSE))</f>
        <v/>
      </c>
      <c r="D316" s="27">
        <f>IF($A316="","",VLOOKUP($A316,CoachRoster!$A:$E,4,FALSE))</f>
        <v/>
      </c>
      <c r="E316" s="27">
        <f>IF($A316="","",MIN(Settings!$B$8,IFERROR(SUMIF(Weekly_Coaching!$B:$B,$A316,Weekly_Coaching!$D:$D),0)+IFERROR(SUMIF(Monthly_Edu!$B:$B,$A316,Monthly_Edu!$D:$D),0)+IFERROR(SUMIF(Monthly_Ops!$B:$B,$A316,Monthly_Ops!$D:$D),0)+IFERROR(SUMIF(Monthly_Mentor!$B:$B,$A316,Monthly_Mentor!$D:$D),0)+IFERROR(SUMIF(Quarterly_Impact!$B:$B,$A316,Quarterly_Impact!$D:$D),0)+IFERROR(SUMIFS(XPLog!$M:$M,XPLog!$B:$B,$A316,XPLog!$J:$J,"Admin"),0)+IFERROR(SUMIFS(XPLog!$M:$M,XPLog!$B:$B,$A316,XPLog!$J:$J,"Seeding"),0)))</f>
        <v/>
      </c>
      <c r="F316" s="27">
        <f>IF($E316="","",LOOKUP($E316, XPBands!B$2:B$10, XPBands!A$2:A$10))</f>
        <v/>
      </c>
      <c r="G316" s="27">
        <f>IF($E316="","", VLOOKUP($F316, XPBands!A$2:G$10, 4, FALSE) + MIN(VLOOKUP($F316, XPBands!A$2:G$10, 5, FALSE) - VLOOKUP($F316, XPBands!A$2:G$10, 4, FALSE), FLOOR(( $E316 - VLOOKUP($F316, XPBands!A$2:G$10, 2, FALSE) ) / VLOOKUP($F316, XPBands!A$2:G$10, 7, FALSE),1)))</f>
        <v/>
      </c>
      <c r="H316" s="27">
        <f>IF($D316="","",VLOOKUP($D316,RoleTitles!$A:$E,3,FALSE))</f>
        <v/>
      </c>
      <c r="I316" s="27">
        <f>IF($D316="","",IF($C316="Greek",VLOOKUP($D316,RoleTitles!$A:$E,4,FALSE),IF($C316="Aesir",VLOOKUP($D316,RoleTitles!$A:$E,5,FALSE),VLOOKUP($D316,RoleTitles!$A:$E,3,FALSE))))</f>
        <v/>
      </c>
      <c r="J316" s="27">
        <f>IF($D316="","",IF($E316&gt;=VLOOKUP($D316,RoleTitles!$A:$B,2,FALSE),"Yes","No"))</f>
        <v/>
      </c>
      <c r="K316" s="27">
        <f>IF($D316="","",IF($D316="T1","T2",IF($D316="T2","T3",IF($D316="T3","T4",IF($D316="T4","T5",IF($D316="T5","T6",IF($D316="T6","T7",IF($D316="T7","T8",IF($D316="T8","T9","")))))))))</f>
        <v/>
      </c>
      <c r="L316" s="28">
        <f>IF($K316="","",MAX(0,VLOOKUP($K316,RoleTitles!$A:$B,2,FALSE)-$E316))</f>
        <v/>
      </c>
    </row>
    <row r="317">
      <c r="A317" s="24">
        <f>IFERROR(INDEX(CoachRoster!$A$2:$A$1000,ROW()-1),"")</f>
        <v/>
      </c>
      <c r="B317" s="27">
        <f>IF($A317="","",VLOOKUP($A317,CoachRoster!$A:$E,2,FALSE))</f>
        <v/>
      </c>
      <c r="C317" s="27">
        <f>IF($A317="","",VLOOKUP($A317,CoachRoster!$A:$E,3,FALSE))</f>
        <v/>
      </c>
      <c r="D317" s="27">
        <f>IF($A317="","",VLOOKUP($A317,CoachRoster!$A:$E,4,FALSE))</f>
        <v/>
      </c>
      <c r="E317" s="27">
        <f>IF($A317="","",MIN(Settings!$B$8,IFERROR(SUMIF(Weekly_Coaching!$B:$B,$A317,Weekly_Coaching!$D:$D),0)+IFERROR(SUMIF(Monthly_Edu!$B:$B,$A317,Monthly_Edu!$D:$D),0)+IFERROR(SUMIF(Monthly_Ops!$B:$B,$A317,Monthly_Ops!$D:$D),0)+IFERROR(SUMIF(Monthly_Mentor!$B:$B,$A317,Monthly_Mentor!$D:$D),0)+IFERROR(SUMIF(Quarterly_Impact!$B:$B,$A317,Quarterly_Impact!$D:$D),0)+IFERROR(SUMIFS(XPLog!$M:$M,XPLog!$B:$B,$A317,XPLog!$J:$J,"Admin"),0)+IFERROR(SUMIFS(XPLog!$M:$M,XPLog!$B:$B,$A317,XPLog!$J:$J,"Seeding"),0)))</f>
        <v/>
      </c>
      <c r="F317" s="27">
        <f>IF($E317="","",LOOKUP($E317, XPBands!B$2:B$10, XPBands!A$2:A$10))</f>
        <v/>
      </c>
      <c r="G317" s="27">
        <f>IF($E317="","", VLOOKUP($F317, XPBands!A$2:G$10, 4, FALSE) + MIN(VLOOKUP($F317, XPBands!A$2:G$10, 5, FALSE) - VLOOKUP($F317, XPBands!A$2:G$10, 4, FALSE), FLOOR(( $E317 - VLOOKUP($F317, XPBands!A$2:G$10, 2, FALSE) ) / VLOOKUP($F317, XPBands!A$2:G$10, 7, FALSE),1)))</f>
        <v/>
      </c>
      <c r="H317" s="27">
        <f>IF($D317="","",VLOOKUP($D317,RoleTitles!$A:$E,3,FALSE))</f>
        <v/>
      </c>
      <c r="I317" s="27">
        <f>IF($D317="","",IF($C317="Greek",VLOOKUP($D317,RoleTitles!$A:$E,4,FALSE),IF($C317="Aesir",VLOOKUP($D317,RoleTitles!$A:$E,5,FALSE),VLOOKUP($D317,RoleTitles!$A:$E,3,FALSE))))</f>
        <v/>
      </c>
      <c r="J317" s="27">
        <f>IF($D317="","",IF($E317&gt;=VLOOKUP($D317,RoleTitles!$A:$B,2,FALSE),"Yes","No"))</f>
        <v/>
      </c>
      <c r="K317" s="27">
        <f>IF($D317="","",IF($D317="T1","T2",IF($D317="T2","T3",IF($D317="T3","T4",IF($D317="T4","T5",IF($D317="T5","T6",IF($D317="T6","T7",IF($D317="T7","T8",IF($D317="T8","T9","")))))))))</f>
        <v/>
      </c>
      <c r="L317" s="28">
        <f>IF($K317="","",MAX(0,VLOOKUP($K317,RoleTitles!$A:$B,2,FALSE)-$E317))</f>
        <v/>
      </c>
    </row>
    <row r="318">
      <c r="A318" s="24">
        <f>IFERROR(INDEX(CoachRoster!$A$2:$A$1000,ROW()-1),"")</f>
        <v/>
      </c>
      <c r="B318" s="27">
        <f>IF($A318="","",VLOOKUP($A318,CoachRoster!$A:$E,2,FALSE))</f>
        <v/>
      </c>
      <c r="C318" s="27">
        <f>IF($A318="","",VLOOKUP($A318,CoachRoster!$A:$E,3,FALSE))</f>
        <v/>
      </c>
      <c r="D318" s="27">
        <f>IF($A318="","",VLOOKUP($A318,CoachRoster!$A:$E,4,FALSE))</f>
        <v/>
      </c>
      <c r="E318" s="27">
        <f>IF($A318="","",MIN(Settings!$B$8,IFERROR(SUMIF(Weekly_Coaching!$B:$B,$A318,Weekly_Coaching!$D:$D),0)+IFERROR(SUMIF(Monthly_Edu!$B:$B,$A318,Monthly_Edu!$D:$D),0)+IFERROR(SUMIF(Monthly_Ops!$B:$B,$A318,Monthly_Ops!$D:$D),0)+IFERROR(SUMIF(Monthly_Mentor!$B:$B,$A318,Monthly_Mentor!$D:$D),0)+IFERROR(SUMIF(Quarterly_Impact!$B:$B,$A318,Quarterly_Impact!$D:$D),0)+IFERROR(SUMIFS(XPLog!$M:$M,XPLog!$B:$B,$A318,XPLog!$J:$J,"Admin"),0)+IFERROR(SUMIFS(XPLog!$M:$M,XPLog!$B:$B,$A318,XPLog!$J:$J,"Seeding"),0)))</f>
        <v/>
      </c>
      <c r="F318" s="27">
        <f>IF($E318="","",LOOKUP($E318, XPBands!B$2:B$10, XPBands!A$2:A$10))</f>
        <v/>
      </c>
      <c r="G318" s="27">
        <f>IF($E318="","", VLOOKUP($F318, XPBands!A$2:G$10, 4, FALSE) + MIN(VLOOKUP($F318, XPBands!A$2:G$10, 5, FALSE) - VLOOKUP($F318, XPBands!A$2:G$10, 4, FALSE), FLOOR(( $E318 - VLOOKUP($F318, XPBands!A$2:G$10, 2, FALSE) ) / VLOOKUP($F318, XPBands!A$2:G$10, 7, FALSE),1)))</f>
        <v/>
      </c>
      <c r="H318" s="27">
        <f>IF($D318="","",VLOOKUP($D318,RoleTitles!$A:$E,3,FALSE))</f>
        <v/>
      </c>
      <c r="I318" s="27">
        <f>IF($D318="","",IF($C318="Greek",VLOOKUP($D318,RoleTitles!$A:$E,4,FALSE),IF($C318="Aesir",VLOOKUP($D318,RoleTitles!$A:$E,5,FALSE),VLOOKUP($D318,RoleTitles!$A:$E,3,FALSE))))</f>
        <v/>
      </c>
      <c r="J318" s="27">
        <f>IF($D318="","",IF($E318&gt;=VLOOKUP($D318,RoleTitles!$A:$B,2,FALSE),"Yes","No"))</f>
        <v/>
      </c>
      <c r="K318" s="27">
        <f>IF($D318="","",IF($D318="T1","T2",IF($D318="T2","T3",IF($D318="T3","T4",IF($D318="T4","T5",IF($D318="T5","T6",IF($D318="T6","T7",IF($D318="T7","T8",IF($D318="T8","T9","")))))))))</f>
        <v/>
      </c>
      <c r="L318" s="28">
        <f>IF($K318="","",MAX(0,VLOOKUP($K318,RoleTitles!$A:$B,2,FALSE)-$E318))</f>
        <v/>
      </c>
    </row>
    <row r="319">
      <c r="A319" s="24">
        <f>IFERROR(INDEX(CoachRoster!$A$2:$A$1000,ROW()-1),"")</f>
        <v/>
      </c>
      <c r="B319" s="27">
        <f>IF($A319="","",VLOOKUP($A319,CoachRoster!$A:$E,2,FALSE))</f>
        <v/>
      </c>
      <c r="C319" s="27">
        <f>IF($A319="","",VLOOKUP($A319,CoachRoster!$A:$E,3,FALSE))</f>
        <v/>
      </c>
      <c r="D319" s="27">
        <f>IF($A319="","",VLOOKUP($A319,CoachRoster!$A:$E,4,FALSE))</f>
        <v/>
      </c>
      <c r="E319" s="27">
        <f>IF($A319="","",MIN(Settings!$B$8,IFERROR(SUMIF(Weekly_Coaching!$B:$B,$A319,Weekly_Coaching!$D:$D),0)+IFERROR(SUMIF(Monthly_Edu!$B:$B,$A319,Monthly_Edu!$D:$D),0)+IFERROR(SUMIF(Monthly_Ops!$B:$B,$A319,Monthly_Ops!$D:$D),0)+IFERROR(SUMIF(Monthly_Mentor!$B:$B,$A319,Monthly_Mentor!$D:$D),0)+IFERROR(SUMIF(Quarterly_Impact!$B:$B,$A319,Quarterly_Impact!$D:$D),0)+IFERROR(SUMIFS(XPLog!$M:$M,XPLog!$B:$B,$A319,XPLog!$J:$J,"Admin"),0)+IFERROR(SUMIFS(XPLog!$M:$M,XPLog!$B:$B,$A319,XPLog!$J:$J,"Seeding"),0)))</f>
        <v/>
      </c>
      <c r="F319" s="27">
        <f>IF($E319="","",LOOKUP($E319, XPBands!B$2:B$10, XPBands!A$2:A$10))</f>
        <v/>
      </c>
      <c r="G319" s="27">
        <f>IF($E319="","", VLOOKUP($F319, XPBands!A$2:G$10, 4, FALSE) + MIN(VLOOKUP($F319, XPBands!A$2:G$10, 5, FALSE) - VLOOKUP($F319, XPBands!A$2:G$10, 4, FALSE), FLOOR(( $E319 - VLOOKUP($F319, XPBands!A$2:G$10, 2, FALSE) ) / VLOOKUP($F319, XPBands!A$2:G$10, 7, FALSE),1)))</f>
        <v/>
      </c>
      <c r="H319" s="27">
        <f>IF($D319="","",VLOOKUP($D319,RoleTitles!$A:$E,3,FALSE))</f>
        <v/>
      </c>
      <c r="I319" s="27">
        <f>IF($D319="","",IF($C319="Greek",VLOOKUP($D319,RoleTitles!$A:$E,4,FALSE),IF($C319="Aesir",VLOOKUP($D319,RoleTitles!$A:$E,5,FALSE),VLOOKUP($D319,RoleTitles!$A:$E,3,FALSE))))</f>
        <v/>
      </c>
      <c r="J319" s="27">
        <f>IF($D319="","",IF($E319&gt;=VLOOKUP($D319,RoleTitles!$A:$B,2,FALSE),"Yes","No"))</f>
        <v/>
      </c>
      <c r="K319" s="27">
        <f>IF($D319="","",IF($D319="T1","T2",IF($D319="T2","T3",IF($D319="T3","T4",IF($D319="T4","T5",IF($D319="T5","T6",IF($D319="T6","T7",IF($D319="T7","T8",IF($D319="T8","T9","")))))))))</f>
        <v/>
      </c>
      <c r="L319" s="28">
        <f>IF($K319="","",MAX(0,VLOOKUP($K319,RoleTitles!$A:$B,2,FALSE)-$E319))</f>
        <v/>
      </c>
    </row>
    <row r="320">
      <c r="A320" s="24">
        <f>IFERROR(INDEX(CoachRoster!$A$2:$A$1000,ROW()-1),"")</f>
        <v/>
      </c>
      <c r="B320" s="27">
        <f>IF($A320="","",VLOOKUP($A320,CoachRoster!$A:$E,2,FALSE))</f>
        <v/>
      </c>
      <c r="C320" s="27">
        <f>IF($A320="","",VLOOKUP($A320,CoachRoster!$A:$E,3,FALSE))</f>
        <v/>
      </c>
      <c r="D320" s="27">
        <f>IF($A320="","",VLOOKUP($A320,CoachRoster!$A:$E,4,FALSE))</f>
        <v/>
      </c>
      <c r="E320" s="27">
        <f>IF($A320="","",MIN(Settings!$B$8,IFERROR(SUMIF(Weekly_Coaching!$B:$B,$A320,Weekly_Coaching!$D:$D),0)+IFERROR(SUMIF(Monthly_Edu!$B:$B,$A320,Monthly_Edu!$D:$D),0)+IFERROR(SUMIF(Monthly_Ops!$B:$B,$A320,Monthly_Ops!$D:$D),0)+IFERROR(SUMIF(Monthly_Mentor!$B:$B,$A320,Monthly_Mentor!$D:$D),0)+IFERROR(SUMIF(Quarterly_Impact!$B:$B,$A320,Quarterly_Impact!$D:$D),0)+IFERROR(SUMIFS(XPLog!$M:$M,XPLog!$B:$B,$A320,XPLog!$J:$J,"Admin"),0)+IFERROR(SUMIFS(XPLog!$M:$M,XPLog!$B:$B,$A320,XPLog!$J:$J,"Seeding"),0)))</f>
        <v/>
      </c>
      <c r="F320" s="27">
        <f>IF($E320="","",LOOKUP($E320, XPBands!B$2:B$10, XPBands!A$2:A$10))</f>
        <v/>
      </c>
      <c r="G320" s="27">
        <f>IF($E320="","", VLOOKUP($F320, XPBands!A$2:G$10, 4, FALSE) + MIN(VLOOKUP($F320, XPBands!A$2:G$10, 5, FALSE) - VLOOKUP($F320, XPBands!A$2:G$10, 4, FALSE), FLOOR(( $E320 - VLOOKUP($F320, XPBands!A$2:G$10, 2, FALSE) ) / VLOOKUP($F320, XPBands!A$2:G$10, 7, FALSE),1)))</f>
        <v/>
      </c>
      <c r="H320" s="27">
        <f>IF($D320="","",VLOOKUP($D320,RoleTitles!$A:$E,3,FALSE))</f>
        <v/>
      </c>
      <c r="I320" s="27">
        <f>IF($D320="","",IF($C320="Greek",VLOOKUP($D320,RoleTitles!$A:$E,4,FALSE),IF($C320="Aesir",VLOOKUP($D320,RoleTitles!$A:$E,5,FALSE),VLOOKUP($D320,RoleTitles!$A:$E,3,FALSE))))</f>
        <v/>
      </c>
      <c r="J320" s="27">
        <f>IF($D320="","",IF($E320&gt;=VLOOKUP($D320,RoleTitles!$A:$B,2,FALSE),"Yes","No"))</f>
        <v/>
      </c>
      <c r="K320" s="27">
        <f>IF($D320="","",IF($D320="T1","T2",IF($D320="T2","T3",IF($D320="T3","T4",IF($D320="T4","T5",IF($D320="T5","T6",IF($D320="T6","T7",IF($D320="T7","T8",IF($D320="T8","T9","")))))))))</f>
        <v/>
      </c>
      <c r="L320" s="28">
        <f>IF($K320="","",MAX(0,VLOOKUP($K320,RoleTitles!$A:$B,2,FALSE)-$E320))</f>
        <v/>
      </c>
    </row>
    <row r="321">
      <c r="A321" s="24">
        <f>IFERROR(INDEX(CoachRoster!$A$2:$A$1000,ROW()-1),"")</f>
        <v/>
      </c>
      <c r="B321" s="27">
        <f>IF($A321="","",VLOOKUP($A321,CoachRoster!$A:$E,2,FALSE))</f>
        <v/>
      </c>
      <c r="C321" s="27">
        <f>IF($A321="","",VLOOKUP($A321,CoachRoster!$A:$E,3,FALSE))</f>
        <v/>
      </c>
      <c r="D321" s="27">
        <f>IF($A321="","",VLOOKUP($A321,CoachRoster!$A:$E,4,FALSE))</f>
        <v/>
      </c>
      <c r="E321" s="27">
        <f>IF($A321="","",MIN(Settings!$B$8,IFERROR(SUMIF(Weekly_Coaching!$B:$B,$A321,Weekly_Coaching!$D:$D),0)+IFERROR(SUMIF(Monthly_Edu!$B:$B,$A321,Monthly_Edu!$D:$D),0)+IFERROR(SUMIF(Monthly_Ops!$B:$B,$A321,Monthly_Ops!$D:$D),0)+IFERROR(SUMIF(Monthly_Mentor!$B:$B,$A321,Monthly_Mentor!$D:$D),0)+IFERROR(SUMIF(Quarterly_Impact!$B:$B,$A321,Quarterly_Impact!$D:$D),0)+IFERROR(SUMIFS(XPLog!$M:$M,XPLog!$B:$B,$A321,XPLog!$J:$J,"Admin"),0)+IFERROR(SUMIFS(XPLog!$M:$M,XPLog!$B:$B,$A321,XPLog!$J:$J,"Seeding"),0)))</f>
        <v/>
      </c>
      <c r="F321" s="27">
        <f>IF($E321="","",LOOKUP($E321, XPBands!B$2:B$10, XPBands!A$2:A$10))</f>
        <v/>
      </c>
      <c r="G321" s="27">
        <f>IF($E321="","", VLOOKUP($F321, XPBands!A$2:G$10, 4, FALSE) + MIN(VLOOKUP($F321, XPBands!A$2:G$10, 5, FALSE) - VLOOKUP($F321, XPBands!A$2:G$10, 4, FALSE), FLOOR(( $E321 - VLOOKUP($F321, XPBands!A$2:G$10, 2, FALSE) ) / VLOOKUP($F321, XPBands!A$2:G$10, 7, FALSE),1)))</f>
        <v/>
      </c>
      <c r="H321" s="27">
        <f>IF($D321="","",VLOOKUP($D321,RoleTitles!$A:$E,3,FALSE))</f>
        <v/>
      </c>
      <c r="I321" s="27">
        <f>IF($D321="","",IF($C321="Greek",VLOOKUP($D321,RoleTitles!$A:$E,4,FALSE),IF($C321="Aesir",VLOOKUP($D321,RoleTitles!$A:$E,5,FALSE),VLOOKUP($D321,RoleTitles!$A:$E,3,FALSE))))</f>
        <v/>
      </c>
      <c r="J321" s="27">
        <f>IF($D321="","",IF($E321&gt;=VLOOKUP($D321,RoleTitles!$A:$B,2,FALSE),"Yes","No"))</f>
        <v/>
      </c>
      <c r="K321" s="27">
        <f>IF($D321="","",IF($D321="T1","T2",IF($D321="T2","T3",IF($D321="T3","T4",IF($D321="T4","T5",IF($D321="T5","T6",IF($D321="T6","T7",IF($D321="T7","T8",IF($D321="T8","T9","")))))))))</f>
        <v/>
      </c>
      <c r="L321" s="28">
        <f>IF($K321="","",MAX(0,VLOOKUP($K321,RoleTitles!$A:$B,2,FALSE)-$E321))</f>
        <v/>
      </c>
    </row>
    <row r="322">
      <c r="A322" s="24">
        <f>IFERROR(INDEX(CoachRoster!$A$2:$A$1000,ROW()-1),"")</f>
        <v/>
      </c>
      <c r="B322" s="27">
        <f>IF($A322="","",VLOOKUP($A322,CoachRoster!$A:$E,2,FALSE))</f>
        <v/>
      </c>
      <c r="C322" s="27">
        <f>IF($A322="","",VLOOKUP($A322,CoachRoster!$A:$E,3,FALSE))</f>
        <v/>
      </c>
      <c r="D322" s="27">
        <f>IF($A322="","",VLOOKUP($A322,CoachRoster!$A:$E,4,FALSE))</f>
        <v/>
      </c>
      <c r="E322" s="27">
        <f>IF($A322="","",MIN(Settings!$B$8,IFERROR(SUMIF(Weekly_Coaching!$B:$B,$A322,Weekly_Coaching!$D:$D),0)+IFERROR(SUMIF(Monthly_Edu!$B:$B,$A322,Monthly_Edu!$D:$D),0)+IFERROR(SUMIF(Monthly_Ops!$B:$B,$A322,Monthly_Ops!$D:$D),0)+IFERROR(SUMIF(Monthly_Mentor!$B:$B,$A322,Monthly_Mentor!$D:$D),0)+IFERROR(SUMIF(Quarterly_Impact!$B:$B,$A322,Quarterly_Impact!$D:$D),0)+IFERROR(SUMIFS(XPLog!$M:$M,XPLog!$B:$B,$A322,XPLog!$J:$J,"Admin"),0)+IFERROR(SUMIFS(XPLog!$M:$M,XPLog!$B:$B,$A322,XPLog!$J:$J,"Seeding"),0)))</f>
        <v/>
      </c>
      <c r="F322" s="27">
        <f>IF($E322="","",LOOKUP($E322, XPBands!B$2:B$10, XPBands!A$2:A$10))</f>
        <v/>
      </c>
      <c r="G322" s="27">
        <f>IF($E322="","", VLOOKUP($F322, XPBands!A$2:G$10, 4, FALSE) + MIN(VLOOKUP($F322, XPBands!A$2:G$10, 5, FALSE) - VLOOKUP($F322, XPBands!A$2:G$10, 4, FALSE), FLOOR(( $E322 - VLOOKUP($F322, XPBands!A$2:G$10, 2, FALSE) ) / VLOOKUP($F322, XPBands!A$2:G$10, 7, FALSE),1)))</f>
        <v/>
      </c>
      <c r="H322" s="27">
        <f>IF($D322="","",VLOOKUP($D322,RoleTitles!$A:$E,3,FALSE))</f>
        <v/>
      </c>
      <c r="I322" s="27">
        <f>IF($D322="","",IF($C322="Greek",VLOOKUP($D322,RoleTitles!$A:$E,4,FALSE),IF($C322="Aesir",VLOOKUP($D322,RoleTitles!$A:$E,5,FALSE),VLOOKUP($D322,RoleTitles!$A:$E,3,FALSE))))</f>
        <v/>
      </c>
      <c r="J322" s="27">
        <f>IF($D322="","",IF($E322&gt;=VLOOKUP($D322,RoleTitles!$A:$B,2,FALSE),"Yes","No"))</f>
        <v/>
      </c>
      <c r="K322" s="27">
        <f>IF($D322="","",IF($D322="T1","T2",IF($D322="T2","T3",IF($D322="T3","T4",IF($D322="T4","T5",IF($D322="T5","T6",IF($D322="T6","T7",IF($D322="T7","T8",IF($D322="T8","T9","")))))))))</f>
        <v/>
      </c>
      <c r="L322" s="28">
        <f>IF($K322="","",MAX(0,VLOOKUP($K322,RoleTitles!$A:$B,2,FALSE)-$E322))</f>
        <v/>
      </c>
    </row>
    <row r="323">
      <c r="A323" s="24">
        <f>IFERROR(INDEX(CoachRoster!$A$2:$A$1000,ROW()-1),"")</f>
        <v/>
      </c>
      <c r="B323" s="27">
        <f>IF($A323="","",VLOOKUP($A323,CoachRoster!$A:$E,2,FALSE))</f>
        <v/>
      </c>
      <c r="C323" s="27">
        <f>IF($A323="","",VLOOKUP($A323,CoachRoster!$A:$E,3,FALSE))</f>
        <v/>
      </c>
      <c r="D323" s="27">
        <f>IF($A323="","",VLOOKUP($A323,CoachRoster!$A:$E,4,FALSE))</f>
        <v/>
      </c>
      <c r="E323" s="27">
        <f>IF($A323="","",MIN(Settings!$B$8,IFERROR(SUMIF(Weekly_Coaching!$B:$B,$A323,Weekly_Coaching!$D:$D),0)+IFERROR(SUMIF(Monthly_Edu!$B:$B,$A323,Monthly_Edu!$D:$D),0)+IFERROR(SUMIF(Monthly_Ops!$B:$B,$A323,Monthly_Ops!$D:$D),0)+IFERROR(SUMIF(Monthly_Mentor!$B:$B,$A323,Monthly_Mentor!$D:$D),0)+IFERROR(SUMIF(Quarterly_Impact!$B:$B,$A323,Quarterly_Impact!$D:$D),0)+IFERROR(SUMIFS(XPLog!$M:$M,XPLog!$B:$B,$A323,XPLog!$J:$J,"Admin"),0)+IFERROR(SUMIFS(XPLog!$M:$M,XPLog!$B:$B,$A323,XPLog!$J:$J,"Seeding"),0)))</f>
        <v/>
      </c>
      <c r="F323" s="27">
        <f>IF($E323="","",LOOKUP($E323, XPBands!B$2:B$10, XPBands!A$2:A$10))</f>
        <v/>
      </c>
      <c r="G323" s="27">
        <f>IF($E323="","", VLOOKUP($F323, XPBands!A$2:G$10, 4, FALSE) + MIN(VLOOKUP($F323, XPBands!A$2:G$10, 5, FALSE) - VLOOKUP($F323, XPBands!A$2:G$10, 4, FALSE), FLOOR(( $E323 - VLOOKUP($F323, XPBands!A$2:G$10, 2, FALSE) ) / VLOOKUP($F323, XPBands!A$2:G$10, 7, FALSE),1)))</f>
        <v/>
      </c>
      <c r="H323" s="27">
        <f>IF($D323="","",VLOOKUP($D323,RoleTitles!$A:$E,3,FALSE))</f>
        <v/>
      </c>
      <c r="I323" s="27">
        <f>IF($D323="","",IF($C323="Greek",VLOOKUP($D323,RoleTitles!$A:$E,4,FALSE),IF($C323="Aesir",VLOOKUP($D323,RoleTitles!$A:$E,5,FALSE),VLOOKUP($D323,RoleTitles!$A:$E,3,FALSE))))</f>
        <v/>
      </c>
      <c r="J323" s="27">
        <f>IF($D323="","",IF($E323&gt;=VLOOKUP($D323,RoleTitles!$A:$B,2,FALSE),"Yes","No"))</f>
        <v/>
      </c>
      <c r="K323" s="27">
        <f>IF($D323="","",IF($D323="T1","T2",IF($D323="T2","T3",IF($D323="T3","T4",IF($D323="T4","T5",IF($D323="T5","T6",IF($D323="T6","T7",IF($D323="T7","T8",IF($D323="T8","T9","")))))))))</f>
        <v/>
      </c>
      <c r="L323" s="28">
        <f>IF($K323="","",MAX(0,VLOOKUP($K323,RoleTitles!$A:$B,2,FALSE)-$E323))</f>
        <v/>
      </c>
    </row>
    <row r="324">
      <c r="A324" s="24">
        <f>IFERROR(INDEX(CoachRoster!$A$2:$A$1000,ROW()-1),"")</f>
        <v/>
      </c>
      <c r="B324" s="27">
        <f>IF($A324="","",VLOOKUP($A324,CoachRoster!$A:$E,2,FALSE))</f>
        <v/>
      </c>
      <c r="C324" s="27">
        <f>IF($A324="","",VLOOKUP($A324,CoachRoster!$A:$E,3,FALSE))</f>
        <v/>
      </c>
      <c r="D324" s="27">
        <f>IF($A324="","",VLOOKUP($A324,CoachRoster!$A:$E,4,FALSE))</f>
        <v/>
      </c>
      <c r="E324" s="27">
        <f>IF($A324="","",MIN(Settings!$B$8,IFERROR(SUMIF(Weekly_Coaching!$B:$B,$A324,Weekly_Coaching!$D:$D),0)+IFERROR(SUMIF(Monthly_Edu!$B:$B,$A324,Monthly_Edu!$D:$D),0)+IFERROR(SUMIF(Monthly_Ops!$B:$B,$A324,Monthly_Ops!$D:$D),0)+IFERROR(SUMIF(Monthly_Mentor!$B:$B,$A324,Monthly_Mentor!$D:$D),0)+IFERROR(SUMIF(Quarterly_Impact!$B:$B,$A324,Quarterly_Impact!$D:$D),0)+IFERROR(SUMIFS(XPLog!$M:$M,XPLog!$B:$B,$A324,XPLog!$J:$J,"Admin"),0)+IFERROR(SUMIFS(XPLog!$M:$M,XPLog!$B:$B,$A324,XPLog!$J:$J,"Seeding"),0)))</f>
        <v/>
      </c>
      <c r="F324" s="27">
        <f>IF($E324="","",LOOKUP($E324, XPBands!B$2:B$10, XPBands!A$2:A$10))</f>
        <v/>
      </c>
      <c r="G324" s="27">
        <f>IF($E324="","", VLOOKUP($F324, XPBands!A$2:G$10, 4, FALSE) + MIN(VLOOKUP($F324, XPBands!A$2:G$10, 5, FALSE) - VLOOKUP($F324, XPBands!A$2:G$10, 4, FALSE), FLOOR(( $E324 - VLOOKUP($F324, XPBands!A$2:G$10, 2, FALSE) ) / VLOOKUP($F324, XPBands!A$2:G$10, 7, FALSE),1)))</f>
        <v/>
      </c>
      <c r="H324" s="27">
        <f>IF($D324="","",VLOOKUP($D324,RoleTitles!$A:$E,3,FALSE))</f>
        <v/>
      </c>
      <c r="I324" s="27">
        <f>IF($D324="","",IF($C324="Greek",VLOOKUP($D324,RoleTitles!$A:$E,4,FALSE),IF($C324="Aesir",VLOOKUP($D324,RoleTitles!$A:$E,5,FALSE),VLOOKUP($D324,RoleTitles!$A:$E,3,FALSE))))</f>
        <v/>
      </c>
      <c r="J324" s="27">
        <f>IF($D324="","",IF($E324&gt;=VLOOKUP($D324,RoleTitles!$A:$B,2,FALSE),"Yes","No"))</f>
        <v/>
      </c>
      <c r="K324" s="27">
        <f>IF($D324="","",IF($D324="T1","T2",IF($D324="T2","T3",IF($D324="T3","T4",IF($D324="T4","T5",IF($D324="T5","T6",IF($D324="T6","T7",IF($D324="T7","T8",IF($D324="T8","T9","")))))))))</f>
        <v/>
      </c>
      <c r="L324" s="28">
        <f>IF($K324="","",MAX(0,VLOOKUP($K324,RoleTitles!$A:$B,2,FALSE)-$E324))</f>
        <v/>
      </c>
    </row>
    <row r="325">
      <c r="A325" s="24">
        <f>IFERROR(INDEX(CoachRoster!$A$2:$A$1000,ROW()-1),"")</f>
        <v/>
      </c>
      <c r="B325" s="27">
        <f>IF($A325="","",VLOOKUP($A325,CoachRoster!$A:$E,2,FALSE))</f>
        <v/>
      </c>
      <c r="C325" s="27">
        <f>IF($A325="","",VLOOKUP($A325,CoachRoster!$A:$E,3,FALSE))</f>
        <v/>
      </c>
      <c r="D325" s="27">
        <f>IF($A325="","",VLOOKUP($A325,CoachRoster!$A:$E,4,FALSE))</f>
        <v/>
      </c>
      <c r="E325" s="27">
        <f>IF($A325="","",MIN(Settings!$B$8,IFERROR(SUMIF(Weekly_Coaching!$B:$B,$A325,Weekly_Coaching!$D:$D),0)+IFERROR(SUMIF(Monthly_Edu!$B:$B,$A325,Monthly_Edu!$D:$D),0)+IFERROR(SUMIF(Monthly_Ops!$B:$B,$A325,Monthly_Ops!$D:$D),0)+IFERROR(SUMIF(Monthly_Mentor!$B:$B,$A325,Monthly_Mentor!$D:$D),0)+IFERROR(SUMIF(Quarterly_Impact!$B:$B,$A325,Quarterly_Impact!$D:$D),0)+IFERROR(SUMIFS(XPLog!$M:$M,XPLog!$B:$B,$A325,XPLog!$J:$J,"Admin"),0)+IFERROR(SUMIFS(XPLog!$M:$M,XPLog!$B:$B,$A325,XPLog!$J:$J,"Seeding"),0)))</f>
        <v/>
      </c>
      <c r="F325" s="27">
        <f>IF($E325="","",LOOKUP($E325, XPBands!B$2:B$10, XPBands!A$2:A$10))</f>
        <v/>
      </c>
      <c r="G325" s="27">
        <f>IF($E325="","", VLOOKUP($F325, XPBands!A$2:G$10, 4, FALSE) + MIN(VLOOKUP($F325, XPBands!A$2:G$10, 5, FALSE) - VLOOKUP($F325, XPBands!A$2:G$10, 4, FALSE), FLOOR(( $E325 - VLOOKUP($F325, XPBands!A$2:G$10, 2, FALSE) ) / VLOOKUP($F325, XPBands!A$2:G$10, 7, FALSE),1)))</f>
        <v/>
      </c>
      <c r="H325" s="27">
        <f>IF($D325="","",VLOOKUP($D325,RoleTitles!$A:$E,3,FALSE))</f>
        <v/>
      </c>
      <c r="I325" s="27">
        <f>IF($D325="","",IF($C325="Greek",VLOOKUP($D325,RoleTitles!$A:$E,4,FALSE),IF($C325="Aesir",VLOOKUP($D325,RoleTitles!$A:$E,5,FALSE),VLOOKUP($D325,RoleTitles!$A:$E,3,FALSE))))</f>
        <v/>
      </c>
      <c r="J325" s="27">
        <f>IF($D325="","",IF($E325&gt;=VLOOKUP($D325,RoleTitles!$A:$B,2,FALSE),"Yes","No"))</f>
        <v/>
      </c>
      <c r="K325" s="27">
        <f>IF($D325="","",IF($D325="T1","T2",IF($D325="T2","T3",IF($D325="T3","T4",IF($D325="T4","T5",IF($D325="T5","T6",IF($D325="T6","T7",IF($D325="T7","T8",IF($D325="T8","T9","")))))))))</f>
        <v/>
      </c>
      <c r="L325" s="28">
        <f>IF($K325="","",MAX(0,VLOOKUP($K325,RoleTitles!$A:$B,2,FALSE)-$E325))</f>
        <v/>
      </c>
    </row>
    <row r="326">
      <c r="A326" s="24">
        <f>IFERROR(INDEX(CoachRoster!$A$2:$A$1000,ROW()-1),"")</f>
        <v/>
      </c>
      <c r="B326" s="27">
        <f>IF($A326="","",VLOOKUP($A326,CoachRoster!$A:$E,2,FALSE))</f>
        <v/>
      </c>
      <c r="C326" s="27">
        <f>IF($A326="","",VLOOKUP($A326,CoachRoster!$A:$E,3,FALSE))</f>
        <v/>
      </c>
      <c r="D326" s="27">
        <f>IF($A326="","",VLOOKUP($A326,CoachRoster!$A:$E,4,FALSE))</f>
        <v/>
      </c>
      <c r="E326" s="27">
        <f>IF($A326="","",MIN(Settings!$B$8,IFERROR(SUMIF(Weekly_Coaching!$B:$B,$A326,Weekly_Coaching!$D:$D),0)+IFERROR(SUMIF(Monthly_Edu!$B:$B,$A326,Monthly_Edu!$D:$D),0)+IFERROR(SUMIF(Monthly_Ops!$B:$B,$A326,Monthly_Ops!$D:$D),0)+IFERROR(SUMIF(Monthly_Mentor!$B:$B,$A326,Monthly_Mentor!$D:$D),0)+IFERROR(SUMIF(Quarterly_Impact!$B:$B,$A326,Quarterly_Impact!$D:$D),0)+IFERROR(SUMIFS(XPLog!$M:$M,XPLog!$B:$B,$A326,XPLog!$J:$J,"Admin"),0)+IFERROR(SUMIFS(XPLog!$M:$M,XPLog!$B:$B,$A326,XPLog!$J:$J,"Seeding"),0)))</f>
        <v/>
      </c>
      <c r="F326" s="27">
        <f>IF($E326="","",LOOKUP($E326, XPBands!B$2:B$10, XPBands!A$2:A$10))</f>
        <v/>
      </c>
      <c r="G326" s="27">
        <f>IF($E326="","", VLOOKUP($F326, XPBands!A$2:G$10, 4, FALSE) + MIN(VLOOKUP($F326, XPBands!A$2:G$10, 5, FALSE) - VLOOKUP($F326, XPBands!A$2:G$10, 4, FALSE), FLOOR(( $E326 - VLOOKUP($F326, XPBands!A$2:G$10, 2, FALSE) ) / VLOOKUP($F326, XPBands!A$2:G$10, 7, FALSE),1)))</f>
        <v/>
      </c>
      <c r="H326" s="27">
        <f>IF($D326="","",VLOOKUP($D326,RoleTitles!$A:$E,3,FALSE))</f>
        <v/>
      </c>
      <c r="I326" s="27">
        <f>IF($D326="","",IF($C326="Greek",VLOOKUP($D326,RoleTitles!$A:$E,4,FALSE),IF($C326="Aesir",VLOOKUP($D326,RoleTitles!$A:$E,5,FALSE),VLOOKUP($D326,RoleTitles!$A:$E,3,FALSE))))</f>
        <v/>
      </c>
      <c r="J326" s="27">
        <f>IF($D326="","",IF($E326&gt;=VLOOKUP($D326,RoleTitles!$A:$B,2,FALSE),"Yes","No"))</f>
        <v/>
      </c>
      <c r="K326" s="27">
        <f>IF($D326="","",IF($D326="T1","T2",IF($D326="T2","T3",IF($D326="T3","T4",IF($D326="T4","T5",IF($D326="T5","T6",IF($D326="T6","T7",IF($D326="T7","T8",IF($D326="T8","T9","")))))))))</f>
        <v/>
      </c>
      <c r="L326" s="28">
        <f>IF($K326="","",MAX(0,VLOOKUP($K326,RoleTitles!$A:$B,2,FALSE)-$E326))</f>
        <v/>
      </c>
    </row>
    <row r="327">
      <c r="A327" s="24">
        <f>IFERROR(INDEX(CoachRoster!$A$2:$A$1000,ROW()-1),"")</f>
        <v/>
      </c>
      <c r="B327" s="27">
        <f>IF($A327="","",VLOOKUP($A327,CoachRoster!$A:$E,2,FALSE))</f>
        <v/>
      </c>
      <c r="C327" s="27">
        <f>IF($A327="","",VLOOKUP($A327,CoachRoster!$A:$E,3,FALSE))</f>
        <v/>
      </c>
      <c r="D327" s="27">
        <f>IF($A327="","",VLOOKUP($A327,CoachRoster!$A:$E,4,FALSE))</f>
        <v/>
      </c>
      <c r="E327" s="27">
        <f>IF($A327="","",MIN(Settings!$B$8,IFERROR(SUMIF(Weekly_Coaching!$B:$B,$A327,Weekly_Coaching!$D:$D),0)+IFERROR(SUMIF(Monthly_Edu!$B:$B,$A327,Monthly_Edu!$D:$D),0)+IFERROR(SUMIF(Monthly_Ops!$B:$B,$A327,Monthly_Ops!$D:$D),0)+IFERROR(SUMIF(Monthly_Mentor!$B:$B,$A327,Monthly_Mentor!$D:$D),0)+IFERROR(SUMIF(Quarterly_Impact!$B:$B,$A327,Quarterly_Impact!$D:$D),0)+IFERROR(SUMIFS(XPLog!$M:$M,XPLog!$B:$B,$A327,XPLog!$J:$J,"Admin"),0)+IFERROR(SUMIFS(XPLog!$M:$M,XPLog!$B:$B,$A327,XPLog!$J:$J,"Seeding"),0)))</f>
        <v/>
      </c>
      <c r="F327" s="27">
        <f>IF($E327="","",LOOKUP($E327, XPBands!B$2:B$10, XPBands!A$2:A$10))</f>
        <v/>
      </c>
      <c r="G327" s="27">
        <f>IF($E327="","", VLOOKUP($F327, XPBands!A$2:G$10, 4, FALSE) + MIN(VLOOKUP($F327, XPBands!A$2:G$10, 5, FALSE) - VLOOKUP($F327, XPBands!A$2:G$10, 4, FALSE), FLOOR(( $E327 - VLOOKUP($F327, XPBands!A$2:G$10, 2, FALSE) ) / VLOOKUP($F327, XPBands!A$2:G$10, 7, FALSE),1)))</f>
        <v/>
      </c>
      <c r="H327" s="27">
        <f>IF($D327="","",VLOOKUP($D327,RoleTitles!$A:$E,3,FALSE))</f>
        <v/>
      </c>
      <c r="I327" s="27">
        <f>IF($D327="","",IF($C327="Greek",VLOOKUP($D327,RoleTitles!$A:$E,4,FALSE),IF($C327="Aesir",VLOOKUP($D327,RoleTitles!$A:$E,5,FALSE),VLOOKUP($D327,RoleTitles!$A:$E,3,FALSE))))</f>
        <v/>
      </c>
      <c r="J327" s="27">
        <f>IF($D327="","",IF($E327&gt;=VLOOKUP($D327,RoleTitles!$A:$B,2,FALSE),"Yes","No"))</f>
        <v/>
      </c>
      <c r="K327" s="27">
        <f>IF($D327="","",IF($D327="T1","T2",IF($D327="T2","T3",IF($D327="T3","T4",IF($D327="T4","T5",IF($D327="T5","T6",IF($D327="T6","T7",IF($D327="T7","T8",IF($D327="T8","T9","")))))))))</f>
        <v/>
      </c>
      <c r="L327" s="28">
        <f>IF($K327="","",MAX(0,VLOOKUP($K327,RoleTitles!$A:$B,2,FALSE)-$E327))</f>
        <v/>
      </c>
    </row>
    <row r="328">
      <c r="A328" s="24">
        <f>IFERROR(INDEX(CoachRoster!$A$2:$A$1000,ROW()-1),"")</f>
        <v/>
      </c>
      <c r="B328" s="27">
        <f>IF($A328="","",VLOOKUP($A328,CoachRoster!$A:$E,2,FALSE))</f>
        <v/>
      </c>
      <c r="C328" s="27">
        <f>IF($A328="","",VLOOKUP($A328,CoachRoster!$A:$E,3,FALSE))</f>
        <v/>
      </c>
      <c r="D328" s="27">
        <f>IF($A328="","",VLOOKUP($A328,CoachRoster!$A:$E,4,FALSE))</f>
        <v/>
      </c>
      <c r="E328" s="27">
        <f>IF($A328="","",MIN(Settings!$B$8,IFERROR(SUMIF(Weekly_Coaching!$B:$B,$A328,Weekly_Coaching!$D:$D),0)+IFERROR(SUMIF(Monthly_Edu!$B:$B,$A328,Monthly_Edu!$D:$D),0)+IFERROR(SUMIF(Monthly_Ops!$B:$B,$A328,Monthly_Ops!$D:$D),0)+IFERROR(SUMIF(Monthly_Mentor!$B:$B,$A328,Monthly_Mentor!$D:$D),0)+IFERROR(SUMIF(Quarterly_Impact!$B:$B,$A328,Quarterly_Impact!$D:$D),0)+IFERROR(SUMIFS(XPLog!$M:$M,XPLog!$B:$B,$A328,XPLog!$J:$J,"Admin"),0)+IFERROR(SUMIFS(XPLog!$M:$M,XPLog!$B:$B,$A328,XPLog!$J:$J,"Seeding"),0)))</f>
        <v/>
      </c>
      <c r="F328" s="27">
        <f>IF($E328="","",LOOKUP($E328, XPBands!B$2:B$10, XPBands!A$2:A$10))</f>
        <v/>
      </c>
      <c r="G328" s="27">
        <f>IF($E328="","", VLOOKUP($F328, XPBands!A$2:G$10, 4, FALSE) + MIN(VLOOKUP($F328, XPBands!A$2:G$10, 5, FALSE) - VLOOKUP($F328, XPBands!A$2:G$10, 4, FALSE), FLOOR(( $E328 - VLOOKUP($F328, XPBands!A$2:G$10, 2, FALSE) ) / VLOOKUP($F328, XPBands!A$2:G$10, 7, FALSE),1)))</f>
        <v/>
      </c>
      <c r="H328" s="27">
        <f>IF($D328="","",VLOOKUP($D328,RoleTitles!$A:$E,3,FALSE))</f>
        <v/>
      </c>
      <c r="I328" s="27">
        <f>IF($D328="","",IF($C328="Greek",VLOOKUP($D328,RoleTitles!$A:$E,4,FALSE),IF($C328="Aesir",VLOOKUP($D328,RoleTitles!$A:$E,5,FALSE),VLOOKUP($D328,RoleTitles!$A:$E,3,FALSE))))</f>
        <v/>
      </c>
      <c r="J328" s="27">
        <f>IF($D328="","",IF($E328&gt;=VLOOKUP($D328,RoleTitles!$A:$B,2,FALSE),"Yes","No"))</f>
        <v/>
      </c>
      <c r="K328" s="27">
        <f>IF($D328="","",IF($D328="T1","T2",IF($D328="T2","T3",IF($D328="T3","T4",IF($D328="T4","T5",IF($D328="T5","T6",IF($D328="T6","T7",IF($D328="T7","T8",IF($D328="T8","T9","")))))))))</f>
        <v/>
      </c>
      <c r="L328" s="28">
        <f>IF($K328="","",MAX(0,VLOOKUP($K328,RoleTitles!$A:$B,2,FALSE)-$E328))</f>
        <v/>
      </c>
    </row>
    <row r="329">
      <c r="A329" s="24">
        <f>IFERROR(INDEX(CoachRoster!$A$2:$A$1000,ROW()-1),"")</f>
        <v/>
      </c>
      <c r="B329" s="27">
        <f>IF($A329="","",VLOOKUP($A329,CoachRoster!$A:$E,2,FALSE))</f>
        <v/>
      </c>
      <c r="C329" s="27">
        <f>IF($A329="","",VLOOKUP($A329,CoachRoster!$A:$E,3,FALSE))</f>
        <v/>
      </c>
      <c r="D329" s="27">
        <f>IF($A329="","",VLOOKUP($A329,CoachRoster!$A:$E,4,FALSE))</f>
        <v/>
      </c>
      <c r="E329" s="27">
        <f>IF($A329="","",MIN(Settings!$B$8,IFERROR(SUMIF(Weekly_Coaching!$B:$B,$A329,Weekly_Coaching!$D:$D),0)+IFERROR(SUMIF(Monthly_Edu!$B:$B,$A329,Monthly_Edu!$D:$D),0)+IFERROR(SUMIF(Monthly_Ops!$B:$B,$A329,Monthly_Ops!$D:$D),0)+IFERROR(SUMIF(Monthly_Mentor!$B:$B,$A329,Monthly_Mentor!$D:$D),0)+IFERROR(SUMIF(Quarterly_Impact!$B:$B,$A329,Quarterly_Impact!$D:$D),0)+IFERROR(SUMIFS(XPLog!$M:$M,XPLog!$B:$B,$A329,XPLog!$J:$J,"Admin"),0)+IFERROR(SUMIFS(XPLog!$M:$M,XPLog!$B:$B,$A329,XPLog!$J:$J,"Seeding"),0)))</f>
        <v/>
      </c>
      <c r="F329" s="27">
        <f>IF($E329="","",LOOKUP($E329, XPBands!B$2:B$10, XPBands!A$2:A$10))</f>
        <v/>
      </c>
      <c r="G329" s="27">
        <f>IF($E329="","", VLOOKUP($F329, XPBands!A$2:G$10, 4, FALSE) + MIN(VLOOKUP($F329, XPBands!A$2:G$10, 5, FALSE) - VLOOKUP($F329, XPBands!A$2:G$10, 4, FALSE), FLOOR(( $E329 - VLOOKUP($F329, XPBands!A$2:G$10, 2, FALSE) ) / VLOOKUP($F329, XPBands!A$2:G$10, 7, FALSE),1)))</f>
        <v/>
      </c>
      <c r="H329" s="27">
        <f>IF($D329="","",VLOOKUP($D329,RoleTitles!$A:$E,3,FALSE))</f>
        <v/>
      </c>
      <c r="I329" s="27">
        <f>IF($D329="","",IF($C329="Greek",VLOOKUP($D329,RoleTitles!$A:$E,4,FALSE),IF($C329="Aesir",VLOOKUP($D329,RoleTitles!$A:$E,5,FALSE),VLOOKUP($D329,RoleTitles!$A:$E,3,FALSE))))</f>
        <v/>
      </c>
      <c r="J329" s="27">
        <f>IF($D329="","",IF($E329&gt;=VLOOKUP($D329,RoleTitles!$A:$B,2,FALSE),"Yes","No"))</f>
        <v/>
      </c>
      <c r="K329" s="27">
        <f>IF($D329="","",IF($D329="T1","T2",IF($D329="T2","T3",IF($D329="T3","T4",IF($D329="T4","T5",IF($D329="T5","T6",IF($D329="T6","T7",IF($D329="T7","T8",IF($D329="T8","T9","")))))))))</f>
        <v/>
      </c>
      <c r="L329" s="28">
        <f>IF($K329="","",MAX(0,VLOOKUP($K329,RoleTitles!$A:$B,2,FALSE)-$E329))</f>
        <v/>
      </c>
    </row>
    <row r="330">
      <c r="A330" s="24">
        <f>IFERROR(INDEX(CoachRoster!$A$2:$A$1000,ROW()-1),"")</f>
        <v/>
      </c>
      <c r="B330" s="27">
        <f>IF($A330="","",VLOOKUP($A330,CoachRoster!$A:$E,2,FALSE))</f>
        <v/>
      </c>
      <c r="C330" s="27">
        <f>IF($A330="","",VLOOKUP($A330,CoachRoster!$A:$E,3,FALSE))</f>
        <v/>
      </c>
      <c r="D330" s="27">
        <f>IF($A330="","",VLOOKUP($A330,CoachRoster!$A:$E,4,FALSE))</f>
        <v/>
      </c>
      <c r="E330" s="27">
        <f>IF($A330="","",MIN(Settings!$B$8,IFERROR(SUMIF(Weekly_Coaching!$B:$B,$A330,Weekly_Coaching!$D:$D),0)+IFERROR(SUMIF(Monthly_Edu!$B:$B,$A330,Monthly_Edu!$D:$D),0)+IFERROR(SUMIF(Monthly_Ops!$B:$B,$A330,Monthly_Ops!$D:$D),0)+IFERROR(SUMIF(Monthly_Mentor!$B:$B,$A330,Monthly_Mentor!$D:$D),0)+IFERROR(SUMIF(Quarterly_Impact!$B:$B,$A330,Quarterly_Impact!$D:$D),0)+IFERROR(SUMIFS(XPLog!$M:$M,XPLog!$B:$B,$A330,XPLog!$J:$J,"Admin"),0)+IFERROR(SUMIFS(XPLog!$M:$M,XPLog!$B:$B,$A330,XPLog!$J:$J,"Seeding"),0)))</f>
        <v/>
      </c>
      <c r="F330" s="27">
        <f>IF($E330="","",LOOKUP($E330, XPBands!B$2:B$10, XPBands!A$2:A$10))</f>
        <v/>
      </c>
      <c r="G330" s="27">
        <f>IF($E330="","", VLOOKUP($F330, XPBands!A$2:G$10, 4, FALSE) + MIN(VLOOKUP($F330, XPBands!A$2:G$10, 5, FALSE) - VLOOKUP($F330, XPBands!A$2:G$10, 4, FALSE), FLOOR(( $E330 - VLOOKUP($F330, XPBands!A$2:G$10, 2, FALSE) ) / VLOOKUP($F330, XPBands!A$2:G$10, 7, FALSE),1)))</f>
        <v/>
      </c>
      <c r="H330" s="27">
        <f>IF($D330="","",VLOOKUP($D330,RoleTitles!$A:$E,3,FALSE))</f>
        <v/>
      </c>
      <c r="I330" s="27">
        <f>IF($D330="","",IF($C330="Greek",VLOOKUP($D330,RoleTitles!$A:$E,4,FALSE),IF($C330="Aesir",VLOOKUP($D330,RoleTitles!$A:$E,5,FALSE),VLOOKUP($D330,RoleTitles!$A:$E,3,FALSE))))</f>
        <v/>
      </c>
      <c r="J330" s="27">
        <f>IF($D330="","",IF($E330&gt;=VLOOKUP($D330,RoleTitles!$A:$B,2,FALSE),"Yes","No"))</f>
        <v/>
      </c>
      <c r="K330" s="27">
        <f>IF($D330="","",IF($D330="T1","T2",IF($D330="T2","T3",IF($D330="T3","T4",IF($D330="T4","T5",IF($D330="T5","T6",IF($D330="T6","T7",IF($D330="T7","T8",IF($D330="T8","T9","")))))))))</f>
        <v/>
      </c>
      <c r="L330" s="28">
        <f>IF($K330="","",MAX(0,VLOOKUP($K330,RoleTitles!$A:$B,2,FALSE)-$E330))</f>
        <v/>
      </c>
    </row>
    <row r="331">
      <c r="A331" s="24">
        <f>IFERROR(INDEX(CoachRoster!$A$2:$A$1000,ROW()-1),"")</f>
        <v/>
      </c>
      <c r="B331" s="27">
        <f>IF($A331="","",VLOOKUP($A331,CoachRoster!$A:$E,2,FALSE))</f>
        <v/>
      </c>
      <c r="C331" s="27">
        <f>IF($A331="","",VLOOKUP($A331,CoachRoster!$A:$E,3,FALSE))</f>
        <v/>
      </c>
      <c r="D331" s="27">
        <f>IF($A331="","",VLOOKUP($A331,CoachRoster!$A:$E,4,FALSE))</f>
        <v/>
      </c>
      <c r="E331" s="27">
        <f>IF($A331="","",MIN(Settings!$B$8,IFERROR(SUMIF(Weekly_Coaching!$B:$B,$A331,Weekly_Coaching!$D:$D),0)+IFERROR(SUMIF(Monthly_Edu!$B:$B,$A331,Monthly_Edu!$D:$D),0)+IFERROR(SUMIF(Monthly_Ops!$B:$B,$A331,Monthly_Ops!$D:$D),0)+IFERROR(SUMIF(Monthly_Mentor!$B:$B,$A331,Monthly_Mentor!$D:$D),0)+IFERROR(SUMIF(Quarterly_Impact!$B:$B,$A331,Quarterly_Impact!$D:$D),0)+IFERROR(SUMIFS(XPLog!$M:$M,XPLog!$B:$B,$A331,XPLog!$J:$J,"Admin"),0)+IFERROR(SUMIFS(XPLog!$M:$M,XPLog!$B:$B,$A331,XPLog!$J:$J,"Seeding"),0)))</f>
        <v/>
      </c>
      <c r="F331" s="27">
        <f>IF($E331="","",LOOKUP($E331, XPBands!B$2:B$10, XPBands!A$2:A$10))</f>
        <v/>
      </c>
      <c r="G331" s="27">
        <f>IF($E331="","", VLOOKUP($F331, XPBands!A$2:G$10, 4, FALSE) + MIN(VLOOKUP($F331, XPBands!A$2:G$10, 5, FALSE) - VLOOKUP($F331, XPBands!A$2:G$10, 4, FALSE), FLOOR(( $E331 - VLOOKUP($F331, XPBands!A$2:G$10, 2, FALSE) ) / VLOOKUP($F331, XPBands!A$2:G$10, 7, FALSE),1)))</f>
        <v/>
      </c>
      <c r="H331" s="27">
        <f>IF($D331="","",VLOOKUP($D331,RoleTitles!$A:$E,3,FALSE))</f>
        <v/>
      </c>
      <c r="I331" s="27">
        <f>IF($D331="","",IF($C331="Greek",VLOOKUP($D331,RoleTitles!$A:$E,4,FALSE),IF($C331="Aesir",VLOOKUP($D331,RoleTitles!$A:$E,5,FALSE),VLOOKUP($D331,RoleTitles!$A:$E,3,FALSE))))</f>
        <v/>
      </c>
      <c r="J331" s="27">
        <f>IF($D331="","",IF($E331&gt;=VLOOKUP($D331,RoleTitles!$A:$B,2,FALSE),"Yes","No"))</f>
        <v/>
      </c>
      <c r="K331" s="27">
        <f>IF($D331="","",IF($D331="T1","T2",IF($D331="T2","T3",IF($D331="T3","T4",IF($D331="T4","T5",IF($D331="T5","T6",IF($D331="T6","T7",IF($D331="T7","T8",IF($D331="T8","T9","")))))))))</f>
        <v/>
      </c>
      <c r="L331" s="28">
        <f>IF($K331="","",MAX(0,VLOOKUP($K331,RoleTitles!$A:$B,2,FALSE)-$E331))</f>
        <v/>
      </c>
    </row>
    <row r="332">
      <c r="A332" s="24">
        <f>IFERROR(INDEX(CoachRoster!$A$2:$A$1000,ROW()-1),"")</f>
        <v/>
      </c>
      <c r="B332" s="27">
        <f>IF($A332="","",VLOOKUP($A332,CoachRoster!$A:$E,2,FALSE))</f>
        <v/>
      </c>
      <c r="C332" s="27">
        <f>IF($A332="","",VLOOKUP($A332,CoachRoster!$A:$E,3,FALSE))</f>
        <v/>
      </c>
      <c r="D332" s="27">
        <f>IF($A332="","",VLOOKUP($A332,CoachRoster!$A:$E,4,FALSE))</f>
        <v/>
      </c>
      <c r="E332" s="27">
        <f>IF($A332="","",MIN(Settings!$B$8,IFERROR(SUMIF(Weekly_Coaching!$B:$B,$A332,Weekly_Coaching!$D:$D),0)+IFERROR(SUMIF(Monthly_Edu!$B:$B,$A332,Monthly_Edu!$D:$D),0)+IFERROR(SUMIF(Monthly_Ops!$B:$B,$A332,Monthly_Ops!$D:$D),0)+IFERROR(SUMIF(Monthly_Mentor!$B:$B,$A332,Monthly_Mentor!$D:$D),0)+IFERROR(SUMIF(Quarterly_Impact!$B:$B,$A332,Quarterly_Impact!$D:$D),0)+IFERROR(SUMIFS(XPLog!$M:$M,XPLog!$B:$B,$A332,XPLog!$J:$J,"Admin"),0)+IFERROR(SUMIFS(XPLog!$M:$M,XPLog!$B:$B,$A332,XPLog!$J:$J,"Seeding"),0)))</f>
        <v/>
      </c>
      <c r="F332" s="27">
        <f>IF($E332="","",LOOKUP($E332, XPBands!B$2:B$10, XPBands!A$2:A$10))</f>
        <v/>
      </c>
      <c r="G332" s="27">
        <f>IF($E332="","", VLOOKUP($F332, XPBands!A$2:G$10, 4, FALSE) + MIN(VLOOKUP($F332, XPBands!A$2:G$10, 5, FALSE) - VLOOKUP($F332, XPBands!A$2:G$10, 4, FALSE), FLOOR(( $E332 - VLOOKUP($F332, XPBands!A$2:G$10, 2, FALSE) ) / VLOOKUP($F332, XPBands!A$2:G$10, 7, FALSE),1)))</f>
        <v/>
      </c>
      <c r="H332" s="27">
        <f>IF($D332="","",VLOOKUP($D332,RoleTitles!$A:$E,3,FALSE))</f>
        <v/>
      </c>
      <c r="I332" s="27">
        <f>IF($D332="","",IF($C332="Greek",VLOOKUP($D332,RoleTitles!$A:$E,4,FALSE),IF($C332="Aesir",VLOOKUP($D332,RoleTitles!$A:$E,5,FALSE),VLOOKUP($D332,RoleTitles!$A:$E,3,FALSE))))</f>
        <v/>
      </c>
      <c r="J332" s="27">
        <f>IF($D332="","",IF($E332&gt;=VLOOKUP($D332,RoleTitles!$A:$B,2,FALSE),"Yes","No"))</f>
        <v/>
      </c>
      <c r="K332" s="27">
        <f>IF($D332="","",IF($D332="T1","T2",IF($D332="T2","T3",IF($D332="T3","T4",IF($D332="T4","T5",IF($D332="T5","T6",IF($D332="T6","T7",IF($D332="T7","T8",IF($D332="T8","T9","")))))))))</f>
        <v/>
      </c>
      <c r="L332" s="28">
        <f>IF($K332="","",MAX(0,VLOOKUP($K332,RoleTitles!$A:$B,2,FALSE)-$E332))</f>
        <v/>
      </c>
    </row>
    <row r="333">
      <c r="A333" s="24">
        <f>IFERROR(INDEX(CoachRoster!$A$2:$A$1000,ROW()-1),"")</f>
        <v/>
      </c>
      <c r="B333" s="27">
        <f>IF($A333="","",VLOOKUP($A333,CoachRoster!$A:$E,2,FALSE))</f>
        <v/>
      </c>
      <c r="C333" s="27">
        <f>IF($A333="","",VLOOKUP($A333,CoachRoster!$A:$E,3,FALSE))</f>
        <v/>
      </c>
      <c r="D333" s="27">
        <f>IF($A333="","",VLOOKUP($A333,CoachRoster!$A:$E,4,FALSE))</f>
        <v/>
      </c>
      <c r="E333" s="27">
        <f>IF($A333="","",MIN(Settings!$B$8,IFERROR(SUMIF(Weekly_Coaching!$B:$B,$A333,Weekly_Coaching!$D:$D),0)+IFERROR(SUMIF(Monthly_Edu!$B:$B,$A333,Monthly_Edu!$D:$D),0)+IFERROR(SUMIF(Monthly_Ops!$B:$B,$A333,Monthly_Ops!$D:$D),0)+IFERROR(SUMIF(Monthly_Mentor!$B:$B,$A333,Monthly_Mentor!$D:$D),0)+IFERROR(SUMIF(Quarterly_Impact!$B:$B,$A333,Quarterly_Impact!$D:$D),0)+IFERROR(SUMIFS(XPLog!$M:$M,XPLog!$B:$B,$A333,XPLog!$J:$J,"Admin"),0)+IFERROR(SUMIFS(XPLog!$M:$M,XPLog!$B:$B,$A333,XPLog!$J:$J,"Seeding"),0)))</f>
        <v/>
      </c>
      <c r="F333" s="27">
        <f>IF($E333="","",LOOKUP($E333, XPBands!B$2:B$10, XPBands!A$2:A$10))</f>
        <v/>
      </c>
      <c r="G333" s="27">
        <f>IF($E333="","", VLOOKUP($F333, XPBands!A$2:G$10, 4, FALSE) + MIN(VLOOKUP($F333, XPBands!A$2:G$10, 5, FALSE) - VLOOKUP($F333, XPBands!A$2:G$10, 4, FALSE), FLOOR(( $E333 - VLOOKUP($F333, XPBands!A$2:G$10, 2, FALSE) ) / VLOOKUP($F333, XPBands!A$2:G$10, 7, FALSE),1)))</f>
        <v/>
      </c>
      <c r="H333" s="27">
        <f>IF($D333="","",VLOOKUP($D333,RoleTitles!$A:$E,3,FALSE))</f>
        <v/>
      </c>
      <c r="I333" s="27">
        <f>IF($D333="","",IF($C333="Greek",VLOOKUP($D333,RoleTitles!$A:$E,4,FALSE),IF($C333="Aesir",VLOOKUP($D333,RoleTitles!$A:$E,5,FALSE),VLOOKUP($D333,RoleTitles!$A:$E,3,FALSE))))</f>
        <v/>
      </c>
      <c r="J333" s="27">
        <f>IF($D333="","",IF($E333&gt;=VLOOKUP($D333,RoleTitles!$A:$B,2,FALSE),"Yes","No"))</f>
        <v/>
      </c>
      <c r="K333" s="27">
        <f>IF($D333="","",IF($D333="T1","T2",IF($D333="T2","T3",IF($D333="T3","T4",IF($D333="T4","T5",IF($D333="T5","T6",IF($D333="T6","T7",IF($D333="T7","T8",IF($D333="T8","T9","")))))))))</f>
        <v/>
      </c>
      <c r="L333" s="28">
        <f>IF($K333="","",MAX(0,VLOOKUP($K333,RoleTitles!$A:$B,2,FALSE)-$E333))</f>
        <v/>
      </c>
    </row>
    <row r="334">
      <c r="A334" s="24">
        <f>IFERROR(INDEX(CoachRoster!$A$2:$A$1000,ROW()-1),"")</f>
        <v/>
      </c>
      <c r="B334" s="27">
        <f>IF($A334="","",VLOOKUP($A334,CoachRoster!$A:$E,2,FALSE))</f>
        <v/>
      </c>
      <c r="C334" s="27">
        <f>IF($A334="","",VLOOKUP($A334,CoachRoster!$A:$E,3,FALSE))</f>
        <v/>
      </c>
      <c r="D334" s="27">
        <f>IF($A334="","",VLOOKUP($A334,CoachRoster!$A:$E,4,FALSE))</f>
        <v/>
      </c>
      <c r="E334" s="27">
        <f>IF($A334="","",MIN(Settings!$B$8,IFERROR(SUMIF(Weekly_Coaching!$B:$B,$A334,Weekly_Coaching!$D:$D),0)+IFERROR(SUMIF(Monthly_Edu!$B:$B,$A334,Monthly_Edu!$D:$D),0)+IFERROR(SUMIF(Monthly_Ops!$B:$B,$A334,Monthly_Ops!$D:$D),0)+IFERROR(SUMIF(Monthly_Mentor!$B:$B,$A334,Monthly_Mentor!$D:$D),0)+IFERROR(SUMIF(Quarterly_Impact!$B:$B,$A334,Quarterly_Impact!$D:$D),0)+IFERROR(SUMIFS(XPLog!$M:$M,XPLog!$B:$B,$A334,XPLog!$J:$J,"Admin"),0)+IFERROR(SUMIFS(XPLog!$M:$M,XPLog!$B:$B,$A334,XPLog!$J:$J,"Seeding"),0)))</f>
        <v/>
      </c>
      <c r="F334" s="27">
        <f>IF($E334="","",LOOKUP($E334, XPBands!B$2:B$10, XPBands!A$2:A$10))</f>
        <v/>
      </c>
      <c r="G334" s="27">
        <f>IF($E334="","", VLOOKUP($F334, XPBands!A$2:G$10, 4, FALSE) + MIN(VLOOKUP($F334, XPBands!A$2:G$10, 5, FALSE) - VLOOKUP($F334, XPBands!A$2:G$10, 4, FALSE), FLOOR(( $E334 - VLOOKUP($F334, XPBands!A$2:G$10, 2, FALSE) ) / VLOOKUP($F334, XPBands!A$2:G$10, 7, FALSE),1)))</f>
        <v/>
      </c>
      <c r="H334" s="27">
        <f>IF($D334="","",VLOOKUP($D334,RoleTitles!$A:$E,3,FALSE))</f>
        <v/>
      </c>
      <c r="I334" s="27">
        <f>IF($D334="","",IF($C334="Greek",VLOOKUP($D334,RoleTitles!$A:$E,4,FALSE),IF($C334="Aesir",VLOOKUP($D334,RoleTitles!$A:$E,5,FALSE),VLOOKUP($D334,RoleTitles!$A:$E,3,FALSE))))</f>
        <v/>
      </c>
      <c r="J334" s="27">
        <f>IF($D334="","",IF($E334&gt;=VLOOKUP($D334,RoleTitles!$A:$B,2,FALSE),"Yes","No"))</f>
        <v/>
      </c>
      <c r="K334" s="27">
        <f>IF($D334="","",IF($D334="T1","T2",IF($D334="T2","T3",IF($D334="T3","T4",IF($D334="T4","T5",IF($D334="T5","T6",IF($D334="T6","T7",IF($D334="T7","T8",IF($D334="T8","T9","")))))))))</f>
        <v/>
      </c>
      <c r="L334" s="28">
        <f>IF($K334="","",MAX(0,VLOOKUP($K334,RoleTitles!$A:$B,2,FALSE)-$E334))</f>
        <v/>
      </c>
    </row>
    <row r="335">
      <c r="A335" s="24">
        <f>IFERROR(INDEX(CoachRoster!$A$2:$A$1000,ROW()-1),"")</f>
        <v/>
      </c>
      <c r="B335" s="27">
        <f>IF($A335="","",VLOOKUP($A335,CoachRoster!$A:$E,2,FALSE))</f>
        <v/>
      </c>
      <c r="C335" s="27">
        <f>IF($A335="","",VLOOKUP($A335,CoachRoster!$A:$E,3,FALSE))</f>
        <v/>
      </c>
      <c r="D335" s="27">
        <f>IF($A335="","",VLOOKUP($A335,CoachRoster!$A:$E,4,FALSE))</f>
        <v/>
      </c>
      <c r="E335" s="27">
        <f>IF($A335="","",MIN(Settings!$B$8,IFERROR(SUMIF(Weekly_Coaching!$B:$B,$A335,Weekly_Coaching!$D:$D),0)+IFERROR(SUMIF(Monthly_Edu!$B:$B,$A335,Monthly_Edu!$D:$D),0)+IFERROR(SUMIF(Monthly_Ops!$B:$B,$A335,Monthly_Ops!$D:$D),0)+IFERROR(SUMIF(Monthly_Mentor!$B:$B,$A335,Monthly_Mentor!$D:$D),0)+IFERROR(SUMIF(Quarterly_Impact!$B:$B,$A335,Quarterly_Impact!$D:$D),0)+IFERROR(SUMIFS(XPLog!$M:$M,XPLog!$B:$B,$A335,XPLog!$J:$J,"Admin"),0)+IFERROR(SUMIFS(XPLog!$M:$M,XPLog!$B:$B,$A335,XPLog!$J:$J,"Seeding"),0)))</f>
        <v/>
      </c>
      <c r="F335" s="27">
        <f>IF($E335="","",LOOKUP($E335, XPBands!B$2:B$10, XPBands!A$2:A$10))</f>
        <v/>
      </c>
      <c r="G335" s="27">
        <f>IF($E335="","", VLOOKUP($F335, XPBands!A$2:G$10, 4, FALSE) + MIN(VLOOKUP($F335, XPBands!A$2:G$10, 5, FALSE) - VLOOKUP($F335, XPBands!A$2:G$10, 4, FALSE), FLOOR(( $E335 - VLOOKUP($F335, XPBands!A$2:G$10, 2, FALSE) ) / VLOOKUP($F335, XPBands!A$2:G$10, 7, FALSE),1)))</f>
        <v/>
      </c>
      <c r="H335" s="27">
        <f>IF($D335="","",VLOOKUP($D335,RoleTitles!$A:$E,3,FALSE))</f>
        <v/>
      </c>
      <c r="I335" s="27">
        <f>IF($D335="","",IF($C335="Greek",VLOOKUP($D335,RoleTitles!$A:$E,4,FALSE),IF($C335="Aesir",VLOOKUP($D335,RoleTitles!$A:$E,5,FALSE),VLOOKUP($D335,RoleTitles!$A:$E,3,FALSE))))</f>
        <v/>
      </c>
      <c r="J335" s="27">
        <f>IF($D335="","",IF($E335&gt;=VLOOKUP($D335,RoleTitles!$A:$B,2,FALSE),"Yes","No"))</f>
        <v/>
      </c>
      <c r="K335" s="27">
        <f>IF($D335="","",IF($D335="T1","T2",IF($D335="T2","T3",IF($D335="T3","T4",IF($D335="T4","T5",IF($D335="T5","T6",IF($D335="T6","T7",IF($D335="T7","T8",IF($D335="T8","T9","")))))))))</f>
        <v/>
      </c>
      <c r="L335" s="28">
        <f>IF($K335="","",MAX(0,VLOOKUP($K335,RoleTitles!$A:$B,2,FALSE)-$E335))</f>
        <v/>
      </c>
    </row>
    <row r="336">
      <c r="A336" s="24">
        <f>IFERROR(INDEX(CoachRoster!$A$2:$A$1000,ROW()-1),"")</f>
        <v/>
      </c>
      <c r="B336" s="27">
        <f>IF($A336="","",VLOOKUP($A336,CoachRoster!$A:$E,2,FALSE))</f>
        <v/>
      </c>
      <c r="C336" s="27">
        <f>IF($A336="","",VLOOKUP($A336,CoachRoster!$A:$E,3,FALSE))</f>
        <v/>
      </c>
      <c r="D336" s="27">
        <f>IF($A336="","",VLOOKUP($A336,CoachRoster!$A:$E,4,FALSE))</f>
        <v/>
      </c>
      <c r="E336" s="27">
        <f>IF($A336="","",MIN(Settings!$B$8,IFERROR(SUMIF(Weekly_Coaching!$B:$B,$A336,Weekly_Coaching!$D:$D),0)+IFERROR(SUMIF(Monthly_Edu!$B:$B,$A336,Monthly_Edu!$D:$D),0)+IFERROR(SUMIF(Monthly_Ops!$B:$B,$A336,Monthly_Ops!$D:$D),0)+IFERROR(SUMIF(Monthly_Mentor!$B:$B,$A336,Monthly_Mentor!$D:$D),0)+IFERROR(SUMIF(Quarterly_Impact!$B:$B,$A336,Quarterly_Impact!$D:$D),0)+IFERROR(SUMIFS(XPLog!$M:$M,XPLog!$B:$B,$A336,XPLog!$J:$J,"Admin"),0)+IFERROR(SUMIFS(XPLog!$M:$M,XPLog!$B:$B,$A336,XPLog!$J:$J,"Seeding"),0)))</f>
        <v/>
      </c>
      <c r="F336" s="27">
        <f>IF($E336="","",LOOKUP($E336, XPBands!B$2:B$10, XPBands!A$2:A$10))</f>
        <v/>
      </c>
      <c r="G336" s="27">
        <f>IF($E336="","", VLOOKUP($F336, XPBands!A$2:G$10, 4, FALSE) + MIN(VLOOKUP($F336, XPBands!A$2:G$10, 5, FALSE) - VLOOKUP($F336, XPBands!A$2:G$10, 4, FALSE), FLOOR(( $E336 - VLOOKUP($F336, XPBands!A$2:G$10, 2, FALSE) ) / VLOOKUP($F336, XPBands!A$2:G$10, 7, FALSE),1)))</f>
        <v/>
      </c>
      <c r="H336" s="27">
        <f>IF($D336="","",VLOOKUP($D336,RoleTitles!$A:$E,3,FALSE))</f>
        <v/>
      </c>
      <c r="I336" s="27">
        <f>IF($D336="","",IF($C336="Greek",VLOOKUP($D336,RoleTitles!$A:$E,4,FALSE),IF($C336="Aesir",VLOOKUP($D336,RoleTitles!$A:$E,5,FALSE),VLOOKUP($D336,RoleTitles!$A:$E,3,FALSE))))</f>
        <v/>
      </c>
      <c r="J336" s="27">
        <f>IF($D336="","",IF($E336&gt;=VLOOKUP($D336,RoleTitles!$A:$B,2,FALSE),"Yes","No"))</f>
        <v/>
      </c>
      <c r="K336" s="27">
        <f>IF($D336="","",IF($D336="T1","T2",IF($D336="T2","T3",IF($D336="T3","T4",IF($D336="T4","T5",IF($D336="T5","T6",IF($D336="T6","T7",IF($D336="T7","T8",IF($D336="T8","T9","")))))))))</f>
        <v/>
      </c>
      <c r="L336" s="28">
        <f>IF($K336="","",MAX(0,VLOOKUP($K336,RoleTitles!$A:$B,2,FALSE)-$E336))</f>
        <v/>
      </c>
    </row>
    <row r="337">
      <c r="A337" s="24">
        <f>IFERROR(INDEX(CoachRoster!$A$2:$A$1000,ROW()-1),"")</f>
        <v/>
      </c>
      <c r="B337" s="27">
        <f>IF($A337="","",VLOOKUP($A337,CoachRoster!$A:$E,2,FALSE))</f>
        <v/>
      </c>
      <c r="C337" s="27">
        <f>IF($A337="","",VLOOKUP($A337,CoachRoster!$A:$E,3,FALSE))</f>
        <v/>
      </c>
      <c r="D337" s="27">
        <f>IF($A337="","",VLOOKUP($A337,CoachRoster!$A:$E,4,FALSE))</f>
        <v/>
      </c>
      <c r="E337" s="27">
        <f>IF($A337="","",MIN(Settings!$B$8,IFERROR(SUMIF(Weekly_Coaching!$B:$B,$A337,Weekly_Coaching!$D:$D),0)+IFERROR(SUMIF(Monthly_Edu!$B:$B,$A337,Monthly_Edu!$D:$D),0)+IFERROR(SUMIF(Monthly_Ops!$B:$B,$A337,Monthly_Ops!$D:$D),0)+IFERROR(SUMIF(Monthly_Mentor!$B:$B,$A337,Monthly_Mentor!$D:$D),0)+IFERROR(SUMIF(Quarterly_Impact!$B:$B,$A337,Quarterly_Impact!$D:$D),0)+IFERROR(SUMIFS(XPLog!$M:$M,XPLog!$B:$B,$A337,XPLog!$J:$J,"Admin"),0)+IFERROR(SUMIFS(XPLog!$M:$M,XPLog!$B:$B,$A337,XPLog!$J:$J,"Seeding"),0)))</f>
        <v/>
      </c>
      <c r="F337" s="27">
        <f>IF($E337="","",LOOKUP($E337, XPBands!B$2:B$10, XPBands!A$2:A$10))</f>
        <v/>
      </c>
      <c r="G337" s="27">
        <f>IF($E337="","", VLOOKUP($F337, XPBands!A$2:G$10, 4, FALSE) + MIN(VLOOKUP($F337, XPBands!A$2:G$10, 5, FALSE) - VLOOKUP($F337, XPBands!A$2:G$10, 4, FALSE), FLOOR(( $E337 - VLOOKUP($F337, XPBands!A$2:G$10, 2, FALSE) ) / VLOOKUP($F337, XPBands!A$2:G$10, 7, FALSE),1)))</f>
        <v/>
      </c>
      <c r="H337" s="27">
        <f>IF($D337="","",VLOOKUP($D337,RoleTitles!$A:$E,3,FALSE))</f>
        <v/>
      </c>
      <c r="I337" s="27">
        <f>IF($D337="","",IF($C337="Greek",VLOOKUP($D337,RoleTitles!$A:$E,4,FALSE),IF($C337="Aesir",VLOOKUP($D337,RoleTitles!$A:$E,5,FALSE),VLOOKUP($D337,RoleTitles!$A:$E,3,FALSE))))</f>
        <v/>
      </c>
      <c r="J337" s="27">
        <f>IF($D337="","",IF($E337&gt;=VLOOKUP($D337,RoleTitles!$A:$B,2,FALSE),"Yes","No"))</f>
        <v/>
      </c>
      <c r="K337" s="27">
        <f>IF($D337="","",IF($D337="T1","T2",IF($D337="T2","T3",IF($D337="T3","T4",IF($D337="T4","T5",IF($D337="T5","T6",IF($D337="T6","T7",IF($D337="T7","T8",IF($D337="T8","T9","")))))))))</f>
        <v/>
      </c>
      <c r="L337" s="28">
        <f>IF($K337="","",MAX(0,VLOOKUP($K337,RoleTitles!$A:$B,2,FALSE)-$E337))</f>
        <v/>
      </c>
    </row>
    <row r="338">
      <c r="A338" s="24">
        <f>IFERROR(INDEX(CoachRoster!$A$2:$A$1000,ROW()-1),"")</f>
        <v/>
      </c>
      <c r="B338" s="27">
        <f>IF($A338="","",VLOOKUP($A338,CoachRoster!$A:$E,2,FALSE))</f>
        <v/>
      </c>
      <c r="C338" s="27">
        <f>IF($A338="","",VLOOKUP($A338,CoachRoster!$A:$E,3,FALSE))</f>
        <v/>
      </c>
      <c r="D338" s="27">
        <f>IF($A338="","",VLOOKUP($A338,CoachRoster!$A:$E,4,FALSE))</f>
        <v/>
      </c>
      <c r="E338" s="27">
        <f>IF($A338="","",MIN(Settings!$B$8,IFERROR(SUMIF(Weekly_Coaching!$B:$B,$A338,Weekly_Coaching!$D:$D),0)+IFERROR(SUMIF(Monthly_Edu!$B:$B,$A338,Monthly_Edu!$D:$D),0)+IFERROR(SUMIF(Monthly_Ops!$B:$B,$A338,Monthly_Ops!$D:$D),0)+IFERROR(SUMIF(Monthly_Mentor!$B:$B,$A338,Monthly_Mentor!$D:$D),0)+IFERROR(SUMIF(Quarterly_Impact!$B:$B,$A338,Quarterly_Impact!$D:$D),0)+IFERROR(SUMIFS(XPLog!$M:$M,XPLog!$B:$B,$A338,XPLog!$J:$J,"Admin"),0)+IFERROR(SUMIFS(XPLog!$M:$M,XPLog!$B:$B,$A338,XPLog!$J:$J,"Seeding"),0)))</f>
        <v/>
      </c>
      <c r="F338" s="27">
        <f>IF($E338="","",LOOKUP($E338, XPBands!B$2:B$10, XPBands!A$2:A$10))</f>
        <v/>
      </c>
      <c r="G338" s="27">
        <f>IF($E338="","", VLOOKUP($F338, XPBands!A$2:G$10, 4, FALSE) + MIN(VLOOKUP($F338, XPBands!A$2:G$10, 5, FALSE) - VLOOKUP($F338, XPBands!A$2:G$10, 4, FALSE), FLOOR(( $E338 - VLOOKUP($F338, XPBands!A$2:G$10, 2, FALSE) ) / VLOOKUP($F338, XPBands!A$2:G$10, 7, FALSE),1)))</f>
        <v/>
      </c>
      <c r="H338" s="27">
        <f>IF($D338="","",VLOOKUP($D338,RoleTitles!$A:$E,3,FALSE))</f>
        <v/>
      </c>
      <c r="I338" s="27">
        <f>IF($D338="","",IF($C338="Greek",VLOOKUP($D338,RoleTitles!$A:$E,4,FALSE),IF($C338="Aesir",VLOOKUP($D338,RoleTitles!$A:$E,5,FALSE),VLOOKUP($D338,RoleTitles!$A:$E,3,FALSE))))</f>
        <v/>
      </c>
      <c r="J338" s="27">
        <f>IF($D338="","",IF($E338&gt;=VLOOKUP($D338,RoleTitles!$A:$B,2,FALSE),"Yes","No"))</f>
        <v/>
      </c>
      <c r="K338" s="27">
        <f>IF($D338="","",IF($D338="T1","T2",IF($D338="T2","T3",IF($D338="T3","T4",IF($D338="T4","T5",IF($D338="T5","T6",IF($D338="T6","T7",IF($D338="T7","T8",IF($D338="T8","T9","")))))))))</f>
        <v/>
      </c>
      <c r="L338" s="28">
        <f>IF($K338="","",MAX(0,VLOOKUP($K338,RoleTitles!$A:$B,2,FALSE)-$E338))</f>
        <v/>
      </c>
    </row>
    <row r="339">
      <c r="A339" s="24">
        <f>IFERROR(INDEX(CoachRoster!$A$2:$A$1000,ROW()-1),"")</f>
        <v/>
      </c>
      <c r="B339" s="27">
        <f>IF($A339="","",VLOOKUP($A339,CoachRoster!$A:$E,2,FALSE))</f>
        <v/>
      </c>
      <c r="C339" s="27">
        <f>IF($A339="","",VLOOKUP($A339,CoachRoster!$A:$E,3,FALSE))</f>
        <v/>
      </c>
      <c r="D339" s="27">
        <f>IF($A339="","",VLOOKUP($A339,CoachRoster!$A:$E,4,FALSE))</f>
        <v/>
      </c>
      <c r="E339" s="27">
        <f>IF($A339="","",MIN(Settings!$B$8,IFERROR(SUMIF(Weekly_Coaching!$B:$B,$A339,Weekly_Coaching!$D:$D),0)+IFERROR(SUMIF(Monthly_Edu!$B:$B,$A339,Monthly_Edu!$D:$D),0)+IFERROR(SUMIF(Monthly_Ops!$B:$B,$A339,Monthly_Ops!$D:$D),0)+IFERROR(SUMIF(Monthly_Mentor!$B:$B,$A339,Monthly_Mentor!$D:$D),0)+IFERROR(SUMIF(Quarterly_Impact!$B:$B,$A339,Quarterly_Impact!$D:$D),0)+IFERROR(SUMIFS(XPLog!$M:$M,XPLog!$B:$B,$A339,XPLog!$J:$J,"Admin"),0)+IFERROR(SUMIFS(XPLog!$M:$M,XPLog!$B:$B,$A339,XPLog!$J:$J,"Seeding"),0)))</f>
        <v/>
      </c>
      <c r="F339" s="27">
        <f>IF($E339="","",LOOKUP($E339, XPBands!B$2:B$10, XPBands!A$2:A$10))</f>
        <v/>
      </c>
      <c r="G339" s="27">
        <f>IF($E339="","", VLOOKUP($F339, XPBands!A$2:G$10, 4, FALSE) + MIN(VLOOKUP($F339, XPBands!A$2:G$10, 5, FALSE) - VLOOKUP($F339, XPBands!A$2:G$10, 4, FALSE), FLOOR(( $E339 - VLOOKUP($F339, XPBands!A$2:G$10, 2, FALSE) ) / VLOOKUP($F339, XPBands!A$2:G$10, 7, FALSE),1)))</f>
        <v/>
      </c>
      <c r="H339" s="27">
        <f>IF($D339="","",VLOOKUP($D339,RoleTitles!$A:$E,3,FALSE))</f>
        <v/>
      </c>
      <c r="I339" s="27">
        <f>IF($D339="","",IF($C339="Greek",VLOOKUP($D339,RoleTitles!$A:$E,4,FALSE),IF($C339="Aesir",VLOOKUP($D339,RoleTitles!$A:$E,5,FALSE),VLOOKUP($D339,RoleTitles!$A:$E,3,FALSE))))</f>
        <v/>
      </c>
      <c r="J339" s="27">
        <f>IF($D339="","",IF($E339&gt;=VLOOKUP($D339,RoleTitles!$A:$B,2,FALSE),"Yes","No"))</f>
        <v/>
      </c>
      <c r="K339" s="27">
        <f>IF($D339="","",IF($D339="T1","T2",IF($D339="T2","T3",IF($D339="T3","T4",IF($D339="T4","T5",IF($D339="T5","T6",IF($D339="T6","T7",IF($D339="T7","T8",IF($D339="T8","T9","")))))))))</f>
        <v/>
      </c>
      <c r="L339" s="28">
        <f>IF($K339="","",MAX(0,VLOOKUP($K339,RoleTitles!$A:$B,2,FALSE)-$E339))</f>
        <v/>
      </c>
    </row>
    <row r="340">
      <c r="A340" s="24">
        <f>IFERROR(INDEX(CoachRoster!$A$2:$A$1000,ROW()-1),"")</f>
        <v/>
      </c>
      <c r="B340" s="27">
        <f>IF($A340="","",VLOOKUP($A340,CoachRoster!$A:$E,2,FALSE))</f>
        <v/>
      </c>
      <c r="C340" s="27">
        <f>IF($A340="","",VLOOKUP($A340,CoachRoster!$A:$E,3,FALSE))</f>
        <v/>
      </c>
      <c r="D340" s="27">
        <f>IF($A340="","",VLOOKUP($A340,CoachRoster!$A:$E,4,FALSE))</f>
        <v/>
      </c>
      <c r="E340" s="27">
        <f>IF($A340="","",MIN(Settings!$B$8,IFERROR(SUMIF(Weekly_Coaching!$B:$B,$A340,Weekly_Coaching!$D:$D),0)+IFERROR(SUMIF(Monthly_Edu!$B:$B,$A340,Monthly_Edu!$D:$D),0)+IFERROR(SUMIF(Monthly_Ops!$B:$B,$A340,Monthly_Ops!$D:$D),0)+IFERROR(SUMIF(Monthly_Mentor!$B:$B,$A340,Monthly_Mentor!$D:$D),0)+IFERROR(SUMIF(Quarterly_Impact!$B:$B,$A340,Quarterly_Impact!$D:$D),0)+IFERROR(SUMIFS(XPLog!$M:$M,XPLog!$B:$B,$A340,XPLog!$J:$J,"Admin"),0)+IFERROR(SUMIFS(XPLog!$M:$M,XPLog!$B:$B,$A340,XPLog!$J:$J,"Seeding"),0)))</f>
        <v/>
      </c>
      <c r="F340" s="27">
        <f>IF($E340="","",LOOKUP($E340, XPBands!B$2:B$10, XPBands!A$2:A$10))</f>
        <v/>
      </c>
      <c r="G340" s="27">
        <f>IF($E340="","", VLOOKUP($F340, XPBands!A$2:G$10, 4, FALSE) + MIN(VLOOKUP($F340, XPBands!A$2:G$10, 5, FALSE) - VLOOKUP($F340, XPBands!A$2:G$10, 4, FALSE), FLOOR(( $E340 - VLOOKUP($F340, XPBands!A$2:G$10, 2, FALSE) ) / VLOOKUP($F340, XPBands!A$2:G$10, 7, FALSE),1)))</f>
        <v/>
      </c>
      <c r="H340" s="27">
        <f>IF($D340="","",VLOOKUP($D340,RoleTitles!$A:$E,3,FALSE))</f>
        <v/>
      </c>
      <c r="I340" s="27">
        <f>IF($D340="","",IF($C340="Greek",VLOOKUP($D340,RoleTitles!$A:$E,4,FALSE),IF($C340="Aesir",VLOOKUP($D340,RoleTitles!$A:$E,5,FALSE),VLOOKUP($D340,RoleTitles!$A:$E,3,FALSE))))</f>
        <v/>
      </c>
      <c r="J340" s="27">
        <f>IF($D340="","",IF($E340&gt;=VLOOKUP($D340,RoleTitles!$A:$B,2,FALSE),"Yes","No"))</f>
        <v/>
      </c>
      <c r="K340" s="27">
        <f>IF($D340="","",IF($D340="T1","T2",IF($D340="T2","T3",IF($D340="T3","T4",IF($D340="T4","T5",IF($D340="T5","T6",IF($D340="T6","T7",IF($D340="T7","T8",IF($D340="T8","T9","")))))))))</f>
        <v/>
      </c>
      <c r="L340" s="28">
        <f>IF($K340="","",MAX(0,VLOOKUP($K340,RoleTitles!$A:$B,2,FALSE)-$E340))</f>
        <v/>
      </c>
    </row>
    <row r="341">
      <c r="A341" s="24">
        <f>IFERROR(INDEX(CoachRoster!$A$2:$A$1000,ROW()-1),"")</f>
        <v/>
      </c>
      <c r="B341" s="27">
        <f>IF($A341="","",VLOOKUP($A341,CoachRoster!$A:$E,2,FALSE))</f>
        <v/>
      </c>
      <c r="C341" s="27">
        <f>IF($A341="","",VLOOKUP($A341,CoachRoster!$A:$E,3,FALSE))</f>
        <v/>
      </c>
      <c r="D341" s="27">
        <f>IF($A341="","",VLOOKUP($A341,CoachRoster!$A:$E,4,FALSE))</f>
        <v/>
      </c>
      <c r="E341" s="27">
        <f>IF($A341="","",MIN(Settings!$B$8,IFERROR(SUMIF(Weekly_Coaching!$B:$B,$A341,Weekly_Coaching!$D:$D),0)+IFERROR(SUMIF(Monthly_Edu!$B:$B,$A341,Monthly_Edu!$D:$D),0)+IFERROR(SUMIF(Monthly_Ops!$B:$B,$A341,Monthly_Ops!$D:$D),0)+IFERROR(SUMIF(Monthly_Mentor!$B:$B,$A341,Monthly_Mentor!$D:$D),0)+IFERROR(SUMIF(Quarterly_Impact!$B:$B,$A341,Quarterly_Impact!$D:$D),0)+IFERROR(SUMIFS(XPLog!$M:$M,XPLog!$B:$B,$A341,XPLog!$J:$J,"Admin"),0)+IFERROR(SUMIFS(XPLog!$M:$M,XPLog!$B:$B,$A341,XPLog!$J:$J,"Seeding"),0)))</f>
        <v/>
      </c>
      <c r="F341" s="27">
        <f>IF($E341="","",LOOKUP($E341, XPBands!B$2:B$10, XPBands!A$2:A$10))</f>
        <v/>
      </c>
      <c r="G341" s="27">
        <f>IF($E341="","", VLOOKUP($F341, XPBands!A$2:G$10, 4, FALSE) + MIN(VLOOKUP($F341, XPBands!A$2:G$10, 5, FALSE) - VLOOKUP($F341, XPBands!A$2:G$10, 4, FALSE), FLOOR(( $E341 - VLOOKUP($F341, XPBands!A$2:G$10, 2, FALSE) ) / VLOOKUP($F341, XPBands!A$2:G$10, 7, FALSE),1)))</f>
        <v/>
      </c>
      <c r="H341" s="27">
        <f>IF($D341="","",VLOOKUP($D341,RoleTitles!$A:$E,3,FALSE))</f>
        <v/>
      </c>
      <c r="I341" s="27">
        <f>IF($D341="","",IF($C341="Greek",VLOOKUP($D341,RoleTitles!$A:$E,4,FALSE),IF($C341="Aesir",VLOOKUP($D341,RoleTitles!$A:$E,5,FALSE),VLOOKUP($D341,RoleTitles!$A:$E,3,FALSE))))</f>
        <v/>
      </c>
      <c r="J341" s="27">
        <f>IF($D341="","",IF($E341&gt;=VLOOKUP($D341,RoleTitles!$A:$B,2,FALSE),"Yes","No"))</f>
        <v/>
      </c>
      <c r="K341" s="27">
        <f>IF($D341="","",IF($D341="T1","T2",IF($D341="T2","T3",IF($D341="T3","T4",IF($D341="T4","T5",IF($D341="T5","T6",IF($D341="T6","T7",IF($D341="T7","T8",IF($D341="T8","T9","")))))))))</f>
        <v/>
      </c>
      <c r="L341" s="28">
        <f>IF($K341="","",MAX(0,VLOOKUP($K341,RoleTitles!$A:$B,2,FALSE)-$E341))</f>
        <v/>
      </c>
    </row>
    <row r="342">
      <c r="A342" s="24">
        <f>IFERROR(INDEX(CoachRoster!$A$2:$A$1000,ROW()-1),"")</f>
        <v/>
      </c>
      <c r="B342" s="27">
        <f>IF($A342="","",VLOOKUP($A342,CoachRoster!$A:$E,2,FALSE))</f>
        <v/>
      </c>
      <c r="C342" s="27">
        <f>IF($A342="","",VLOOKUP($A342,CoachRoster!$A:$E,3,FALSE))</f>
        <v/>
      </c>
      <c r="D342" s="27">
        <f>IF($A342="","",VLOOKUP($A342,CoachRoster!$A:$E,4,FALSE))</f>
        <v/>
      </c>
      <c r="E342" s="27">
        <f>IF($A342="","",MIN(Settings!$B$8,IFERROR(SUMIF(Weekly_Coaching!$B:$B,$A342,Weekly_Coaching!$D:$D),0)+IFERROR(SUMIF(Monthly_Edu!$B:$B,$A342,Monthly_Edu!$D:$D),0)+IFERROR(SUMIF(Monthly_Ops!$B:$B,$A342,Monthly_Ops!$D:$D),0)+IFERROR(SUMIF(Monthly_Mentor!$B:$B,$A342,Monthly_Mentor!$D:$D),0)+IFERROR(SUMIF(Quarterly_Impact!$B:$B,$A342,Quarterly_Impact!$D:$D),0)+IFERROR(SUMIFS(XPLog!$M:$M,XPLog!$B:$B,$A342,XPLog!$J:$J,"Admin"),0)+IFERROR(SUMIFS(XPLog!$M:$M,XPLog!$B:$B,$A342,XPLog!$J:$J,"Seeding"),0)))</f>
        <v/>
      </c>
      <c r="F342" s="27">
        <f>IF($E342="","",LOOKUP($E342, XPBands!B$2:B$10, XPBands!A$2:A$10))</f>
        <v/>
      </c>
      <c r="G342" s="27">
        <f>IF($E342="","", VLOOKUP($F342, XPBands!A$2:G$10, 4, FALSE) + MIN(VLOOKUP($F342, XPBands!A$2:G$10, 5, FALSE) - VLOOKUP($F342, XPBands!A$2:G$10, 4, FALSE), FLOOR(( $E342 - VLOOKUP($F342, XPBands!A$2:G$10, 2, FALSE) ) / VLOOKUP($F342, XPBands!A$2:G$10, 7, FALSE),1)))</f>
        <v/>
      </c>
      <c r="H342" s="27">
        <f>IF($D342="","",VLOOKUP($D342,RoleTitles!$A:$E,3,FALSE))</f>
        <v/>
      </c>
      <c r="I342" s="27">
        <f>IF($D342="","",IF($C342="Greek",VLOOKUP($D342,RoleTitles!$A:$E,4,FALSE),IF($C342="Aesir",VLOOKUP($D342,RoleTitles!$A:$E,5,FALSE),VLOOKUP($D342,RoleTitles!$A:$E,3,FALSE))))</f>
        <v/>
      </c>
      <c r="J342" s="27">
        <f>IF($D342="","",IF($E342&gt;=VLOOKUP($D342,RoleTitles!$A:$B,2,FALSE),"Yes","No"))</f>
        <v/>
      </c>
      <c r="K342" s="27">
        <f>IF($D342="","",IF($D342="T1","T2",IF($D342="T2","T3",IF($D342="T3","T4",IF($D342="T4","T5",IF($D342="T5","T6",IF($D342="T6","T7",IF($D342="T7","T8",IF($D342="T8","T9","")))))))))</f>
        <v/>
      </c>
      <c r="L342" s="28">
        <f>IF($K342="","",MAX(0,VLOOKUP($K342,RoleTitles!$A:$B,2,FALSE)-$E342))</f>
        <v/>
      </c>
    </row>
    <row r="343">
      <c r="A343" s="24">
        <f>IFERROR(INDEX(CoachRoster!$A$2:$A$1000,ROW()-1),"")</f>
        <v/>
      </c>
      <c r="B343" s="27">
        <f>IF($A343="","",VLOOKUP($A343,CoachRoster!$A:$E,2,FALSE))</f>
        <v/>
      </c>
      <c r="C343" s="27">
        <f>IF($A343="","",VLOOKUP($A343,CoachRoster!$A:$E,3,FALSE))</f>
        <v/>
      </c>
      <c r="D343" s="27">
        <f>IF($A343="","",VLOOKUP($A343,CoachRoster!$A:$E,4,FALSE))</f>
        <v/>
      </c>
      <c r="E343" s="27">
        <f>IF($A343="","",MIN(Settings!$B$8,IFERROR(SUMIF(Weekly_Coaching!$B:$B,$A343,Weekly_Coaching!$D:$D),0)+IFERROR(SUMIF(Monthly_Edu!$B:$B,$A343,Monthly_Edu!$D:$D),0)+IFERROR(SUMIF(Monthly_Ops!$B:$B,$A343,Monthly_Ops!$D:$D),0)+IFERROR(SUMIF(Monthly_Mentor!$B:$B,$A343,Monthly_Mentor!$D:$D),0)+IFERROR(SUMIF(Quarterly_Impact!$B:$B,$A343,Quarterly_Impact!$D:$D),0)+IFERROR(SUMIFS(XPLog!$M:$M,XPLog!$B:$B,$A343,XPLog!$J:$J,"Admin"),0)+IFERROR(SUMIFS(XPLog!$M:$M,XPLog!$B:$B,$A343,XPLog!$J:$J,"Seeding"),0)))</f>
        <v/>
      </c>
      <c r="F343" s="27">
        <f>IF($E343="","",LOOKUP($E343, XPBands!B$2:B$10, XPBands!A$2:A$10))</f>
        <v/>
      </c>
      <c r="G343" s="27">
        <f>IF($E343="","", VLOOKUP($F343, XPBands!A$2:G$10, 4, FALSE) + MIN(VLOOKUP($F343, XPBands!A$2:G$10, 5, FALSE) - VLOOKUP($F343, XPBands!A$2:G$10, 4, FALSE), FLOOR(( $E343 - VLOOKUP($F343, XPBands!A$2:G$10, 2, FALSE) ) / VLOOKUP($F343, XPBands!A$2:G$10, 7, FALSE),1)))</f>
        <v/>
      </c>
      <c r="H343" s="27">
        <f>IF($D343="","",VLOOKUP($D343,RoleTitles!$A:$E,3,FALSE))</f>
        <v/>
      </c>
      <c r="I343" s="27">
        <f>IF($D343="","",IF($C343="Greek",VLOOKUP($D343,RoleTitles!$A:$E,4,FALSE),IF($C343="Aesir",VLOOKUP($D343,RoleTitles!$A:$E,5,FALSE),VLOOKUP($D343,RoleTitles!$A:$E,3,FALSE))))</f>
        <v/>
      </c>
      <c r="J343" s="27">
        <f>IF($D343="","",IF($E343&gt;=VLOOKUP($D343,RoleTitles!$A:$B,2,FALSE),"Yes","No"))</f>
        <v/>
      </c>
      <c r="K343" s="27">
        <f>IF($D343="","",IF($D343="T1","T2",IF($D343="T2","T3",IF($D343="T3","T4",IF($D343="T4","T5",IF($D343="T5","T6",IF($D343="T6","T7",IF($D343="T7","T8",IF($D343="T8","T9","")))))))))</f>
        <v/>
      </c>
      <c r="L343" s="28">
        <f>IF($K343="","",MAX(0,VLOOKUP($K343,RoleTitles!$A:$B,2,FALSE)-$E343))</f>
        <v/>
      </c>
    </row>
    <row r="344">
      <c r="A344" s="24">
        <f>IFERROR(INDEX(CoachRoster!$A$2:$A$1000,ROW()-1),"")</f>
        <v/>
      </c>
      <c r="B344" s="27">
        <f>IF($A344="","",VLOOKUP($A344,CoachRoster!$A:$E,2,FALSE))</f>
        <v/>
      </c>
      <c r="C344" s="27">
        <f>IF($A344="","",VLOOKUP($A344,CoachRoster!$A:$E,3,FALSE))</f>
        <v/>
      </c>
      <c r="D344" s="27">
        <f>IF($A344="","",VLOOKUP($A344,CoachRoster!$A:$E,4,FALSE))</f>
        <v/>
      </c>
      <c r="E344" s="27">
        <f>IF($A344="","",MIN(Settings!$B$8,IFERROR(SUMIF(Weekly_Coaching!$B:$B,$A344,Weekly_Coaching!$D:$D),0)+IFERROR(SUMIF(Monthly_Edu!$B:$B,$A344,Monthly_Edu!$D:$D),0)+IFERROR(SUMIF(Monthly_Ops!$B:$B,$A344,Monthly_Ops!$D:$D),0)+IFERROR(SUMIF(Monthly_Mentor!$B:$B,$A344,Monthly_Mentor!$D:$D),0)+IFERROR(SUMIF(Quarterly_Impact!$B:$B,$A344,Quarterly_Impact!$D:$D),0)+IFERROR(SUMIFS(XPLog!$M:$M,XPLog!$B:$B,$A344,XPLog!$J:$J,"Admin"),0)+IFERROR(SUMIFS(XPLog!$M:$M,XPLog!$B:$B,$A344,XPLog!$J:$J,"Seeding"),0)))</f>
        <v/>
      </c>
      <c r="F344" s="27">
        <f>IF($E344="","",LOOKUP($E344, XPBands!B$2:B$10, XPBands!A$2:A$10))</f>
        <v/>
      </c>
      <c r="G344" s="27">
        <f>IF($E344="","", VLOOKUP($F344, XPBands!A$2:G$10, 4, FALSE) + MIN(VLOOKUP($F344, XPBands!A$2:G$10, 5, FALSE) - VLOOKUP($F344, XPBands!A$2:G$10, 4, FALSE), FLOOR(( $E344 - VLOOKUP($F344, XPBands!A$2:G$10, 2, FALSE) ) / VLOOKUP($F344, XPBands!A$2:G$10, 7, FALSE),1)))</f>
        <v/>
      </c>
      <c r="H344" s="27">
        <f>IF($D344="","",VLOOKUP($D344,RoleTitles!$A:$E,3,FALSE))</f>
        <v/>
      </c>
      <c r="I344" s="27">
        <f>IF($D344="","",IF($C344="Greek",VLOOKUP($D344,RoleTitles!$A:$E,4,FALSE),IF($C344="Aesir",VLOOKUP($D344,RoleTitles!$A:$E,5,FALSE),VLOOKUP($D344,RoleTitles!$A:$E,3,FALSE))))</f>
        <v/>
      </c>
      <c r="J344" s="27">
        <f>IF($D344="","",IF($E344&gt;=VLOOKUP($D344,RoleTitles!$A:$B,2,FALSE),"Yes","No"))</f>
        <v/>
      </c>
      <c r="K344" s="27">
        <f>IF($D344="","",IF($D344="T1","T2",IF($D344="T2","T3",IF($D344="T3","T4",IF($D344="T4","T5",IF($D344="T5","T6",IF($D344="T6","T7",IF($D344="T7","T8",IF($D344="T8","T9","")))))))))</f>
        <v/>
      </c>
      <c r="L344" s="28">
        <f>IF($K344="","",MAX(0,VLOOKUP($K344,RoleTitles!$A:$B,2,FALSE)-$E344))</f>
        <v/>
      </c>
    </row>
    <row r="345">
      <c r="A345" s="24">
        <f>IFERROR(INDEX(CoachRoster!$A$2:$A$1000,ROW()-1),"")</f>
        <v/>
      </c>
      <c r="B345" s="27">
        <f>IF($A345="","",VLOOKUP($A345,CoachRoster!$A:$E,2,FALSE))</f>
        <v/>
      </c>
      <c r="C345" s="27">
        <f>IF($A345="","",VLOOKUP($A345,CoachRoster!$A:$E,3,FALSE))</f>
        <v/>
      </c>
      <c r="D345" s="27">
        <f>IF($A345="","",VLOOKUP($A345,CoachRoster!$A:$E,4,FALSE))</f>
        <v/>
      </c>
      <c r="E345" s="27">
        <f>IF($A345="","",MIN(Settings!$B$8,IFERROR(SUMIF(Weekly_Coaching!$B:$B,$A345,Weekly_Coaching!$D:$D),0)+IFERROR(SUMIF(Monthly_Edu!$B:$B,$A345,Monthly_Edu!$D:$D),0)+IFERROR(SUMIF(Monthly_Ops!$B:$B,$A345,Monthly_Ops!$D:$D),0)+IFERROR(SUMIF(Monthly_Mentor!$B:$B,$A345,Monthly_Mentor!$D:$D),0)+IFERROR(SUMIF(Quarterly_Impact!$B:$B,$A345,Quarterly_Impact!$D:$D),0)+IFERROR(SUMIFS(XPLog!$M:$M,XPLog!$B:$B,$A345,XPLog!$J:$J,"Admin"),0)+IFERROR(SUMIFS(XPLog!$M:$M,XPLog!$B:$B,$A345,XPLog!$J:$J,"Seeding"),0)))</f>
        <v/>
      </c>
      <c r="F345" s="27">
        <f>IF($E345="","",LOOKUP($E345, XPBands!B$2:B$10, XPBands!A$2:A$10))</f>
        <v/>
      </c>
      <c r="G345" s="27">
        <f>IF($E345="","", VLOOKUP($F345, XPBands!A$2:G$10, 4, FALSE) + MIN(VLOOKUP($F345, XPBands!A$2:G$10, 5, FALSE) - VLOOKUP($F345, XPBands!A$2:G$10, 4, FALSE), FLOOR(( $E345 - VLOOKUP($F345, XPBands!A$2:G$10, 2, FALSE) ) / VLOOKUP($F345, XPBands!A$2:G$10, 7, FALSE),1)))</f>
        <v/>
      </c>
      <c r="H345" s="27">
        <f>IF($D345="","",VLOOKUP($D345,RoleTitles!$A:$E,3,FALSE))</f>
        <v/>
      </c>
      <c r="I345" s="27">
        <f>IF($D345="","",IF($C345="Greek",VLOOKUP($D345,RoleTitles!$A:$E,4,FALSE),IF($C345="Aesir",VLOOKUP($D345,RoleTitles!$A:$E,5,FALSE),VLOOKUP($D345,RoleTitles!$A:$E,3,FALSE))))</f>
        <v/>
      </c>
      <c r="J345" s="27">
        <f>IF($D345="","",IF($E345&gt;=VLOOKUP($D345,RoleTitles!$A:$B,2,FALSE),"Yes","No"))</f>
        <v/>
      </c>
      <c r="K345" s="27">
        <f>IF($D345="","",IF($D345="T1","T2",IF($D345="T2","T3",IF($D345="T3","T4",IF($D345="T4","T5",IF($D345="T5","T6",IF($D345="T6","T7",IF($D345="T7","T8",IF($D345="T8","T9","")))))))))</f>
        <v/>
      </c>
      <c r="L345" s="28">
        <f>IF($K345="","",MAX(0,VLOOKUP($K345,RoleTitles!$A:$B,2,FALSE)-$E345))</f>
        <v/>
      </c>
    </row>
    <row r="346">
      <c r="A346" s="24">
        <f>IFERROR(INDEX(CoachRoster!$A$2:$A$1000,ROW()-1),"")</f>
        <v/>
      </c>
      <c r="B346" s="27">
        <f>IF($A346="","",VLOOKUP($A346,CoachRoster!$A:$E,2,FALSE))</f>
        <v/>
      </c>
      <c r="C346" s="27">
        <f>IF($A346="","",VLOOKUP($A346,CoachRoster!$A:$E,3,FALSE))</f>
        <v/>
      </c>
      <c r="D346" s="27">
        <f>IF($A346="","",VLOOKUP($A346,CoachRoster!$A:$E,4,FALSE))</f>
        <v/>
      </c>
      <c r="E346" s="27">
        <f>IF($A346="","",MIN(Settings!$B$8,IFERROR(SUMIF(Weekly_Coaching!$B:$B,$A346,Weekly_Coaching!$D:$D),0)+IFERROR(SUMIF(Monthly_Edu!$B:$B,$A346,Monthly_Edu!$D:$D),0)+IFERROR(SUMIF(Monthly_Ops!$B:$B,$A346,Monthly_Ops!$D:$D),0)+IFERROR(SUMIF(Monthly_Mentor!$B:$B,$A346,Monthly_Mentor!$D:$D),0)+IFERROR(SUMIF(Quarterly_Impact!$B:$B,$A346,Quarterly_Impact!$D:$D),0)+IFERROR(SUMIFS(XPLog!$M:$M,XPLog!$B:$B,$A346,XPLog!$J:$J,"Admin"),0)+IFERROR(SUMIFS(XPLog!$M:$M,XPLog!$B:$B,$A346,XPLog!$J:$J,"Seeding"),0)))</f>
        <v/>
      </c>
      <c r="F346" s="27">
        <f>IF($E346="","",LOOKUP($E346, XPBands!B$2:B$10, XPBands!A$2:A$10))</f>
        <v/>
      </c>
      <c r="G346" s="27">
        <f>IF($E346="","", VLOOKUP($F346, XPBands!A$2:G$10, 4, FALSE) + MIN(VLOOKUP($F346, XPBands!A$2:G$10, 5, FALSE) - VLOOKUP($F346, XPBands!A$2:G$10, 4, FALSE), FLOOR(( $E346 - VLOOKUP($F346, XPBands!A$2:G$10, 2, FALSE) ) / VLOOKUP($F346, XPBands!A$2:G$10, 7, FALSE),1)))</f>
        <v/>
      </c>
      <c r="H346" s="27">
        <f>IF($D346="","",VLOOKUP($D346,RoleTitles!$A:$E,3,FALSE))</f>
        <v/>
      </c>
      <c r="I346" s="27">
        <f>IF($D346="","",IF($C346="Greek",VLOOKUP($D346,RoleTitles!$A:$E,4,FALSE),IF($C346="Aesir",VLOOKUP($D346,RoleTitles!$A:$E,5,FALSE),VLOOKUP($D346,RoleTitles!$A:$E,3,FALSE))))</f>
        <v/>
      </c>
      <c r="J346" s="27">
        <f>IF($D346="","",IF($E346&gt;=VLOOKUP($D346,RoleTitles!$A:$B,2,FALSE),"Yes","No"))</f>
        <v/>
      </c>
      <c r="K346" s="27">
        <f>IF($D346="","",IF($D346="T1","T2",IF($D346="T2","T3",IF($D346="T3","T4",IF($D346="T4","T5",IF($D346="T5","T6",IF($D346="T6","T7",IF($D346="T7","T8",IF($D346="T8","T9","")))))))))</f>
        <v/>
      </c>
      <c r="L346" s="28">
        <f>IF($K346="","",MAX(0,VLOOKUP($K346,RoleTitles!$A:$B,2,FALSE)-$E346))</f>
        <v/>
      </c>
    </row>
    <row r="347">
      <c r="A347" s="24">
        <f>IFERROR(INDEX(CoachRoster!$A$2:$A$1000,ROW()-1),"")</f>
        <v/>
      </c>
      <c r="B347" s="27">
        <f>IF($A347="","",VLOOKUP($A347,CoachRoster!$A:$E,2,FALSE))</f>
        <v/>
      </c>
      <c r="C347" s="27">
        <f>IF($A347="","",VLOOKUP($A347,CoachRoster!$A:$E,3,FALSE))</f>
        <v/>
      </c>
      <c r="D347" s="27">
        <f>IF($A347="","",VLOOKUP($A347,CoachRoster!$A:$E,4,FALSE))</f>
        <v/>
      </c>
      <c r="E347" s="27">
        <f>IF($A347="","",MIN(Settings!$B$8,IFERROR(SUMIF(Weekly_Coaching!$B:$B,$A347,Weekly_Coaching!$D:$D),0)+IFERROR(SUMIF(Monthly_Edu!$B:$B,$A347,Monthly_Edu!$D:$D),0)+IFERROR(SUMIF(Monthly_Ops!$B:$B,$A347,Monthly_Ops!$D:$D),0)+IFERROR(SUMIF(Monthly_Mentor!$B:$B,$A347,Monthly_Mentor!$D:$D),0)+IFERROR(SUMIF(Quarterly_Impact!$B:$B,$A347,Quarterly_Impact!$D:$D),0)+IFERROR(SUMIFS(XPLog!$M:$M,XPLog!$B:$B,$A347,XPLog!$J:$J,"Admin"),0)+IFERROR(SUMIFS(XPLog!$M:$M,XPLog!$B:$B,$A347,XPLog!$J:$J,"Seeding"),0)))</f>
        <v/>
      </c>
      <c r="F347" s="27">
        <f>IF($E347="","",LOOKUP($E347, XPBands!B$2:B$10, XPBands!A$2:A$10))</f>
        <v/>
      </c>
      <c r="G347" s="27">
        <f>IF($E347="","", VLOOKUP($F347, XPBands!A$2:G$10, 4, FALSE) + MIN(VLOOKUP($F347, XPBands!A$2:G$10, 5, FALSE) - VLOOKUP($F347, XPBands!A$2:G$10, 4, FALSE), FLOOR(( $E347 - VLOOKUP($F347, XPBands!A$2:G$10, 2, FALSE) ) / VLOOKUP($F347, XPBands!A$2:G$10, 7, FALSE),1)))</f>
        <v/>
      </c>
      <c r="H347" s="27">
        <f>IF($D347="","",VLOOKUP($D347,RoleTitles!$A:$E,3,FALSE))</f>
        <v/>
      </c>
      <c r="I347" s="27">
        <f>IF($D347="","",IF($C347="Greek",VLOOKUP($D347,RoleTitles!$A:$E,4,FALSE),IF($C347="Aesir",VLOOKUP($D347,RoleTitles!$A:$E,5,FALSE),VLOOKUP($D347,RoleTitles!$A:$E,3,FALSE))))</f>
        <v/>
      </c>
      <c r="J347" s="27">
        <f>IF($D347="","",IF($E347&gt;=VLOOKUP($D347,RoleTitles!$A:$B,2,FALSE),"Yes","No"))</f>
        <v/>
      </c>
      <c r="K347" s="27">
        <f>IF($D347="","",IF($D347="T1","T2",IF($D347="T2","T3",IF($D347="T3","T4",IF($D347="T4","T5",IF($D347="T5","T6",IF($D347="T6","T7",IF($D347="T7","T8",IF($D347="T8","T9","")))))))))</f>
        <v/>
      </c>
      <c r="L347" s="28">
        <f>IF($K347="","",MAX(0,VLOOKUP($K347,RoleTitles!$A:$B,2,FALSE)-$E347))</f>
        <v/>
      </c>
    </row>
    <row r="348">
      <c r="A348" s="24">
        <f>IFERROR(INDEX(CoachRoster!$A$2:$A$1000,ROW()-1),"")</f>
        <v/>
      </c>
      <c r="B348" s="27">
        <f>IF($A348="","",VLOOKUP($A348,CoachRoster!$A:$E,2,FALSE))</f>
        <v/>
      </c>
      <c r="C348" s="27">
        <f>IF($A348="","",VLOOKUP($A348,CoachRoster!$A:$E,3,FALSE))</f>
        <v/>
      </c>
      <c r="D348" s="27">
        <f>IF($A348="","",VLOOKUP($A348,CoachRoster!$A:$E,4,FALSE))</f>
        <v/>
      </c>
      <c r="E348" s="27">
        <f>IF($A348="","",MIN(Settings!$B$8,IFERROR(SUMIF(Weekly_Coaching!$B:$B,$A348,Weekly_Coaching!$D:$D),0)+IFERROR(SUMIF(Monthly_Edu!$B:$B,$A348,Monthly_Edu!$D:$D),0)+IFERROR(SUMIF(Monthly_Ops!$B:$B,$A348,Monthly_Ops!$D:$D),0)+IFERROR(SUMIF(Monthly_Mentor!$B:$B,$A348,Monthly_Mentor!$D:$D),0)+IFERROR(SUMIF(Quarterly_Impact!$B:$B,$A348,Quarterly_Impact!$D:$D),0)+IFERROR(SUMIFS(XPLog!$M:$M,XPLog!$B:$B,$A348,XPLog!$J:$J,"Admin"),0)+IFERROR(SUMIFS(XPLog!$M:$M,XPLog!$B:$B,$A348,XPLog!$J:$J,"Seeding"),0)))</f>
        <v/>
      </c>
      <c r="F348" s="27">
        <f>IF($E348="","",LOOKUP($E348, XPBands!B$2:B$10, XPBands!A$2:A$10))</f>
        <v/>
      </c>
      <c r="G348" s="27">
        <f>IF($E348="","", VLOOKUP($F348, XPBands!A$2:G$10, 4, FALSE) + MIN(VLOOKUP($F348, XPBands!A$2:G$10, 5, FALSE) - VLOOKUP($F348, XPBands!A$2:G$10, 4, FALSE), FLOOR(( $E348 - VLOOKUP($F348, XPBands!A$2:G$10, 2, FALSE) ) / VLOOKUP($F348, XPBands!A$2:G$10, 7, FALSE),1)))</f>
        <v/>
      </c>
      <c r="H348" s="27">
        <f>IF($D348="","",VLOOKUP($D348,RoleTitles!$A:$E,3,FALSE))</f>
        <v/>
      </c>
      <c r="I348" s="27">
        <f>IF($D348="","",IF($C348="Greek",VLOOKUP($D348,RoleTitles!$A:$E,4,FALSE),IF($C348="Aesir",VLOOKUP($D348,RoleTitles!$A:$E,5,FALSE),VLOOKUP($D348,RoleTitles!$A:$E,3,FALSE))))</f>
        <v/>
      </c>
      <c r="J348" s="27">
        <f>IF($D348="","",IF($E348&gt;=VLOOKUP($D348,RoleTitles!$A:$B,2,FALSE),"Yes","No"))</f>
        <v/>
      </c>
      <c r="K348" s="27">
        <f>IF($D348="","",IF($D348="T1","T2",IF($D348="T2","T3",IF($D348="T3","T4",IF($D348="T4","T5",IF($D348="T5","T6",IF($D348="T6","T7",IF($D348="T7","T8",IF($D348="T8","T9","")))))))))</f>
        <v/>
      </c>
      <c r="L348" s="28">
        <f>IF($K348="","",MAX(0,VLOOKUP($K348,RoleTitles!$A:$B,2,FALSE)-$E348))</f>
        <v/>
      </c>
    </row>
    <row r="349">
      <c r="A349" s="24">
        <f>IFERROR(INDEX(CoachRoster!$A$2:$A$1000,ROW()-1),"")</f>
        <v/>
      </c>
      <c r="B349" s="27">
        <f>IF($A349="","",VLOOKUP($A349,CoachRoster!$A:$E,2,FALSE))</f>
        <v/>
      </c>
      <c r="C349" s="27">
        <f>IF($A349="","",VLOOKUP($A349,CoachRoster!$A:$E,3,FALSE))</f>
        <v/>
      </c>
      <c r="D349" s="27">
        <f>IF($A349="","",VLOOKUP($A349,CoachRoster!$A:$E,4,FALSE))</f>
        <v/>
      </c>
      <c r="E349" s="27">
        <f>IF($A349="","",MIN(Settings!$B$8,IFERROR(SUMIF(Weekly_Coaching!$B:$B,$A349,Weekly_Coaching!$D:$D),0)+IFERROR(SUMIF(Monthly_Edu!$B:$B,$A349,Monthly_Edu!$D:$D),0)+IFERROR(SUMIF(Monthly_Ops!$B:$B,$A349,Monthly_Ops!$D:$D),0)+IFERROR(SUMIF(Monthly_Mentor!$B:$B,$A349,Monthly_Mentor!$D:$D),0)+IFERROR(SUMIF(Quarterly_Impact!$B:$B,$A349,Quarterly_Impact!$D:$D),0)+IFERROR(SUMIFS(XPLog!$M:$M,XPLog!$B:$B,$A349,XPLog!$J:$J,"Admin"),0)+IFERROR(SUMIFS(XPLog!$M:$M,XPLog!$B:$B,$A349,XPLog!$J:$J,"Seeding"),0)))</f>
        <v/>
      </c>
      <c r="F349" s="27">
        <f>IF($E349="","",LOOKUP($E349, XPBands!B$2:B$10, XPBands!A$2:A$10))</f>
        <v/>
      </c>
      <c r="G349" s="27">
        <f>IF($E349="","", VLOOKUP($F349, XPBands!A$2:G$10, 4, FALSE) + MIN(VLOOKUP($F349, XPBands!A$2:G$10, 5, FALSE) - VLOOKUP($F349, XPBands!A$2:G$10, 4, FALSE), FLOOR(( $E349 - VLOOKUP($F349, XPBands!A$2:G$10, 2, FALSE) ) / VLOOKUP($F349, XPBands!A$2:G$10, 7, FALSE),1)))</f>
        <v/>
      </c>
      <c r="H349" s="27">
        <f>IF($D349="","",VLOOKUP($D349,RoleTitles!$A:$E,3,FALSE))</f>
        <v/>
      </c>
      <c r="I349" s="27">
        <f>IF($D349="","",IF($C349="Greek",VLOOKUP($D349,RoleTitles!$A:$E,4,FALSE),IF($C349="Aesir",VLOOKUP($D349,RoleTitles!$A:$E,5,FALSE),VLOOKUP($D349,RoleTitles!$A:$E,3,FALSE))))</f>
        <v/>
      </c>
      <c r="J349" s="27">
        <f>IF($D349="","",IF($E349&gt;=VLOOKUP($D349,RoleTitles!$A:$B,2,FALSE),"Yes","No"))</f>
        <v/>
      </c>
      <c r="K349" s="27">
        <f>IF($D349="","",IF($D349="T1","T2",IF($D349="T2","T3",IF($D349="T3","T4",IF($D349="T4","T5",IF($D349="T5","T6",IF($D349="T6","T7",IF($D349="T7","T8",IF($D349="T8","T9","")))))))))</f>
        <v/>
      </c>
      <c r="L349" s="28">
        <f>IF($K349="","",MAX(0,VLOOKUP($K349,RoleTitles!$A:$B,2,FALSE)-$E349))</f>
        <v/>
      </c>
    </row>
    <row r="350">
      <c r="A350" s="24">
        <f>IFERROR(INDEX(CoachRoster!$A$2:$A$1000,ROW()-1),"")</f>
        <v/>
      </c>
      <c r="B350" s="27">
        <f>IF($A350="","",VLOOKUP($A350,CoachRoster!$A:$E,2,FALSE))</f>
        <v/>
      </c>
      <c r="C350" s="27">
        <f>IF($A350="","",VLOOKUP($A350,CoachRoster!$A:$E,3,FALSE))</f>
        <v/>
      </c>
      <c r="D350" s="27">
        <f>IF($A350="","",VLOOKUP($A350,CoachRoster!$A:$E,4,FALSE))</f>
        <v/>
      </c>
      <c r="E350" s="27">
        <f>IF($A350="","",MIN(Settings!$B$8,IFERROR(SUMIF(Weekly_Coaching!$B:$B,$A350,Weekly_Coaching!$D:$D),0)+IFERROR(SUMIF(Monthly_Edu!$B:$B,$A350,Monthly_Edu!$D:$D),0)+IFERROR(SUMIF(Monthly_Ops!$B:$B,$A350,Monthly_Ops!$D:$D),0)+IFERROR(SUMIF(Monthly_Mentor!$B:$B,$A350,Monthly_Mentor!$D:$D),0)+IFERROR(SUMIF(Quarterly_Impact!$B:$B,$A350,Quarterly_Impact!$D:$D),0)+IFERROR(SUMIFS(XPLog!$M:$M,XPLog!$B:$B,$A350,XPLog!$J:$J,"Admin"),0)+IFERROR(SUMIFS(XPLog!$M:$M,XPLog!$B:$B,$A350,XPLog!$J:$J,"Seeding"),0)))</f>
        <v/>
      </c>
      <c r="F350" s="27">
        <f>IF($E350="","",LOOKUP($E350, XPBands!B$2:B$10, XPBands!A$2:A$10))</f>
        <v/>
      </c>
      <c r="G350" s="27">
        <f>IF($E350="","", VLOOKUP($F350, XPBands!A$2:G$10, 4, FALSE) + MIN(VLOOKUP($F350, XPBands!A$2:G$10, 5, FALSE) - VLOOKUP($F350, XPBands!A$2:G$10, 4, FALSE), FLOOR(( $E350 - VLOOKUP($F350, XPBands!A$2:G$10, 2, FALSE) ) / VLOOKUP($F350, XPBands!A$2:G$10, 7, FALSE),1)))</f>
        <v/>
      </c>
      <c r="H350" s="27">
        <f>IF($D350="","",VLOOKUP($D350,RoleTitles!$A:$E,3,FALSE))</f>
        <v/>
      </c>
      <c r="I350" s="27">
        <f>IF($D350="","",IF($C350="Greek",VLOOKUP($D350,RoleTitles!$A:$E,4,FALSE),IF($C350="Aesir",VLOOKUP($D350,RoleTitles!$A:$E,5,FALSE),VLOOKUP($D350,RoleTitles!$A:$E,3,FALSE))))</f>
        <v/>
      </c>
      <c r="J350" s="27">
        <f>IF($D350="","",IF($E350&gt;=VLOOKUP($D350,RoleTitles!$A:$B,2,FALSE),"Yes","No"))</f>
        <v/>
      </c>
      <c r="K350" s="27">
        <f>IF($D350="","",IF($D350="T1","T2",IF($D350="T2","T3",IF($D350="T3","T4",IF($D350="T4","T5",IF($D350="T5","T6",IF($D350="T6","T7",IF($D350="T7","T8",IF($D350="T8","T9","")))))))))</f>
        <v/>
      </c>
      <c r="L350" s="28">
        <f>IF($K350="","",MAX(0,VLOOKUP($K350,RoleTitles!$A:$B,2,FALSE)-$E350))</f>
        <v/>
      </c>
    </row>
    <row r="351">
      <c r="A351" s="24">
        <f>IFERROR(INDEX(CoachRoster!$A$2:$A$1000,ROW()-1),"")</f>
        <v/>
      </c>
      <c r="B351" s="27">
        <f>IF($A351="","",VLOOKUP($A351,CoachRoster!$A:$E,2,FALSE))</f>
        <v/>
      </c>
      <c r="C351" s="27">
        <f>IF($A351="","",VLOOKUP($A351,CoachRoster!$A:$E,3,FALSE))</f>
        <v/>
      </c>
      <c r="D351" s="27">
        <f>IF($A351="","",VLOOKUP($A351,CoachRoster!$A:$E,4,FALSE))</f>
        <v/>
      </c>
      <c r="E351" s="27">
        <f>IF($A351="","",MIN(Settings!$B$8,IFERROR(SUMIF(Weekly_Coaching!$B:$B,$A351,Weekly_Coaching!$D:$D),0)+IFERROR(SUMIF(Monthly_Edu!$B:$B,$A351,Monthly_Edu!$D:$D),0)+IFERROR(SUMIF(Monthly_Ops!$B:$B,$A351,Monthly_Ops!$D:$D),0)+IFERROR(SUMIF(Monthly_Mentor!$B:$B,$A351,Monthly_Mentor!$D:$D),0)+IFERROR(SUMIF(Quarterly_Impact!$B:$B,$A351,Quarterly_Impact!$D:$D),0)+IFERROR(SUMIFS(XPLog!$M:$M,XPLog!$B:$B,$A351,XPLog!$J:$J,"Admin"),0)+IFERROR(SUMIFS(XPLog!$M:$M,XPLog!$B:$B,$A351,XPLog!$J:$J,"Seeding"),0)))</f>
        <v/>
      </c>
      <c r="F351" s="27">
        <f>IF($E351="","",LOOKUP($E351, XPBands!B$2:B$10, XPBands!A$2:A$10))</f>
        <v/>
      </c>
      <c r="G351" s="27">
        <f>IF($E351="","", VLOOKUP($F351, XPBands!A$2:G$10, 4, FALSE) + MIN(VLOOKUP($F351, XPBands!A$2:G$10, 5, FALSE) - VLOOKUP($F351, XPBands!A$2:G$10, 4, FALSE), FLOOR(( $E351 - VLOOKUP($F351, XPBands!A$2:G$10, 2, FALSE) ) / VLOOKUP($F351, XPBands!A$2:G$10, 7, FALSE),1)))</f>
        <v/>
      </c>
      <c r="H351" s="27">
        <f>IF($D351="","",VLOOKUP($D351,RoleTitles!$A:$E,3,FALSE))</f>
        <v/>
      </c>
      <c r="I351" s="27">
        <f>IF($D351="","",IF($C351="Greek",VLOOKUP($D351,RoleTitles!$A:$E,4,FALSE),IF($C351="Aesir",VLOOKUP($D351,RoleTitles!$A:$E,5,FALSE),VLOOKUP($D351,RoleTitles!$A:$E,3,FALSE))))</f>
        <v/>
      </c>
      <c r="J351" s="27">
        <f>IF($D351="","",IF($E351&gt;=VLOOKUP($D351,RoleTitles!$A:$B,2,FALSE),"Yes","No"))</f>
        <v/>
      </c>
      <c r="K351" s="27">
        <f>IF($D351="","",IF($D351="T1","T2",IF($D351="T2","T3",IF($D351="T3","T4",IF($D351="T4","T5",IF($D351="T5","T6",IF($D351="T6","T7",IF($D351="T7","T8",IF($D351="T8","T9","")))))))))</f>
        <v/>
      </c>
      <c r="L351" s="28">
        <f>IF($K351="","",MAX(0,VLOOKUP($K351,RoleTitles!$A:$B,2,FALSE)-$E351))</f>
        <v/>
      </c>
    </row>
    <row r="352">
      <c r="A352" s="24">
        <f>IFERROR(INDEX(CoachRoster!$A$2:$A$1000,ROW()-1),"")</f>
        <v/>
      </c>
      <c r="B352" s="27">
        <f>IF($A352="","",VLOOKUP($A352,CoachRoster!$A:$E,2,FALSE))</f>
        <v/>
      </c>
      <c r="C352" s="27">
        <f>IF($A352="","",VLOOKUP($A352,CoachRoster!$A:$E,3,FALSE))</f>
        <v/>
      </c>
      <c r="D352" s="27">
        <f>IF($A352="","",VLOOKUP($A352,CoachRoster!$A:$E,4,FALSE))</f>
        <v/>
      </c>
      <c r="E352" s="27">
        <f>IF($A352="","",MIN(Settings!$B$8,IFERROR(SUMIF(Weekly_Coaching!$B:$B,$A352,Weekly_Coaching!$D:$D),0)+IFERROR(SUMIF(Monthly_Edu!$B:$B,$A352,Monthly_Edu!$D:$D),0)+IFERROR(SUMIF(Monthly_Ops!$B:$B,$A352,Monthly_Ops!$D:$D),0)+IFERROR(SUMIF(Monthly_Mentor!$B:$B,$A352,Monthly_Mentor!$D:$D),0)+IFERROR(SUMIF(Quarterly_Impact!$B:$B,$A352,Quarterly_Impact!$D:$D),0)+IFERROR(SUMIFS(XPLog!$M:$M,XPLog!$B:$B,$A352,XPLog!$J:$J,"Admin"),0)+IFERROR(SUMIFS(XPLog!$M:$M,XPLog!$B:$B,$A352,XPLog!$J:$J,"Seeding"),0)))</f>
        <v/>
      </c>
      <c r="F352" s="27">
        <f>IF($E352="","",LOOKUP($E352, XPBands!B$2:B$10, XPBands!A$2:A$10))</f>
        <v/>
      </c>
      <c r="G352" s="27">
        <f>IF($E352="","", VLOOKUP($F352, XPBands!A$2:G$10, 4, FALSE) + MIN(VLOOKUP($F352, XPBands!A$2:G$10, 5, FALSE) - VLOOKUP($F352, XPBands!A$2:G$10, 4, FALSE), FLOOR(( $E352 - VLOOKUP($F352, XPBands!A$2:G$10, 2, FALSE) ) / VLOOKUP($F352, XPBands!A$2:G$10, 7, FALSE),1)))</f>
        <v/>
      </c>
      <c r="H352" s="27">
        <f>IF($D352="","",VLOOKUP($D352,RoleTitles!$A:$E,3,FALSE))</f>
        <v/>
      </c>
      <c r="I352" s="27">
        <f>IF($D352="","",IF($C352="Greek",VLOOKUP($D352,RoleTitles!$A:$E,4,FALSE),IF($C352="Aesir",VLOOKUP($D352,RoleTitles!$A:$E,5,FALSE),VLOOKUP($D352,RoleTitles!$A:$E,3,FALSE))))</f>
        <v/>
      </c>
      <c r="J352" s="27">
        <f>IF($D352="","",IF($E352&gt;=VLOOKUP($D352,RoleTitles!$A:$B,2,FALSE),"Yes","No"))</f>
        <v/>
      </c>
      <c r="K352" s="27">
        <f>IF($D352="","",IF($D352="T1","T2",IF($D352="T2","T3",IF($D352="T3","T4",IF($D352="T4","T5",IF($D352="T5","T6",IF($D352="T6","T7",IF($D352="T7","T8",IF($D352="T8","T9","")))))))))</f>
        <v/>
      </c>
      <c r="L352" s="28">
        <f>IF($K352="","",MAX(0,VLOOKUP($K352,RoleTitles!$A:$B,2,FALSE)-$E352))</f>
        <v/>
      </c>
    </row>
    <row r="353">
      <c r="A353" s="24">
        <f>IFERROR(INDEX(CoachRoster!$A$2:$A$1000,ROW()-1),"")</f>
        <v/>
      </c>
      <c r="B353" s="27">
        <f>IF($A353="","",VLOOKUP($A353,CoachRoster!$A:$E,2,FALSE))</f>
        <v/>
      </c>
      <c r="C353" s="27">
        <f>IF($A353="","",VLOOKUP($A353,CoachRoster!$A:$E,3,FALSE))</f>
        <v/>
      </c>
      <c r="D353" s="27">
        <f>IF($A353="","",VLOOKUP($A353,CoachRoster!$A:$E,4,FALSE))</f>
        <v/>
      </c>
      <c r="E353" s="27">
        <f>IF($A353="","",MIN(Settings!$B$8,IFERROR(SUMIF(Weekly_Coaching!$B:$B,$A353,Weekly_Coaching!$D:$D),0)+IFERROR(SUMIF(Monthly_Edu!$B:$B,$A353,Monthly_Edu!$D:$D),0)+IFERROR(SUMIF(Monthly_Ops!$B:$B,$A353,Monthly_Ops!$D:$D),0)+IFERROR(SUMIF(Monthly_Mentor!$B:$B,$A353,Monthly_Mentor!$D:$D),0)+IFERROR(SUMIF(Quarterly_Impact!$B:$B,$A353,Quarterly_Impact!$D:$D),0)+IFERROR(SUMIFS(XPLog!$M:$M,XPLog!$B:$B,$A353,XPLog!$J:$J,"Admin"),0)+IFERROR(SUMIFS(XPLog!$M:$M,XPLog!$B:$B,$A353,XPLog!$J:$J,"Seeding"),0)))</f>
        <v/>
      </c>
      <c r="F353" s="27">
        <f>IF($E353="","",LOOKUP($E353, XPBands!B$2:B$10, XPBands!A$2:A$10))</f>
        <v/>
      </c>
      <c r="G353" s="27">
        <f>IF($E353="","", VLOOKUP($F353, XPBands!A$2:G$10, 4, FALSE) + MIN(VLOOKUP($F353, XPBands!A$2:G$10, 5, FALSE) - VLOOKUP($F353, XPBands!A$2:G$10, 4, FALSE), FLOOR(( $E353 - VLOOKUP($F353, XPBands!A$2:G$10, 2, FALSE) ) / VLOOKUP($F353, XPBands!A$2:G$10, 7, FALSE),1)))</f>
        <v/>
      </c>
      <c r="H353" s="27">
        <f>IF($D353="","",VLOOKUP($D353,RoleTitles!$A:$E,3,FALSE))</f>
        <v/>
      </c>
      <c r="I353" s="27">
        <f>IF($D353="","",IF($C353="Greek",VLOOKUP($D353,RoleTitles!$A:$E,4,FALSE),IF($C353="Aesir",VLOOKUP($D353,RoleTitles!$A:$E,5,FALSE),VLOOKUP($D353,RoleTitles!$A:$E,3,FALSE))))</f>
        <v/>
      </c>
      <c r="J353" s="27">
        <f>IF($D353="","",IF($E353&gt;=VLOOKUP($D353,RoleTitles!$A:$B,2,FALSE),"Yes","No"))</f>
        <v/>
      </c>
      <c r="K353" s="27">
        <f>IF($D353="","",IF($D353="T1","T2",IF($D353="T2","T3",IF($D353="T3","T4",IF($D353="T4","T5",IF($D353="T5","T6",IF($D353="T6","T7",IF($D353="T7","T8",IF($D353="T8","T9","")))))))))</f>
        <v/>
      </c>
      <c r="L353" s="28">
        <f>IF($K353="","",MAX(0,VLOOKUP($K353,RoleTitles!$A:$B,2,FALSE)-$E353))</f>
        <v/>
      </c>
    </row>
    <row r="354">
      <c r="A354" s="24">
        <f>IFERROR(INDEX(CoachRoster!$A$2:$A$1000,ROW()-1),"")</f>
        <v/>
      </c>
      <c r="B354" s="27">
        <f>IF($A354="","",VLOOKUP($A354,CoachRoster!$A:$E,2,FALSE))</f>
        <v/>
      </c>
      <c r="C354" s="27">
        <f>IF($A354="","",VLOOKUP($A354,CoachRoster!$A:$E,3,FALSE))</f>
        <v/>
      </c>
      <c r="D354" s="27">
        <f>IF($A354="","",VLOOKUP($A354,CoachRoster!$A:$E,4,FALSE))</f>
        <v/>
      </c>
      <c r="E354" s="27">
        <f>IF($A354="","",MIN(Settings!$B$8,IFERROR(SUMIF(Weekly_Coaching!$B:$B,$A354,Weekly_Coaching!$D:$D),0)+IFERROR(SUMIF(Monthly_Edu!$B:$B,$A354,Monthly_Edu!$D:$D),0)+IFERROR(SUMIF(Monthly_Ops!$B:$B,$A354,Monthly_Ops!$D:$D),0)+IFERROR(SUMIF(Monthly_Mentor!$B:$B,$A354,Monthly_Mentor!$D:$D),0)+IFERROR(SUMIF(Quarterly_Impact!$B:$B,$A354,Quarterly_Impact!$D:$D),0)+IFERROR(SUMIFS(XPLog!$M:$M,XPLog!$B:$B,$A354,XPLog!$J:$J,"Admin"),0)+IFERROR(SUMIFS(XPLog!$M:$M,XPLog!$B:$B,$A354,XPLog!$J:$J,"Seeding"),0)))</f>
        <v/>
      </c>
      <c r="F354" s="27">
        <f>IF($E354="","",LOOKUP($E354, XPBands!B$2:B$10, XPBands!A$2:A$10))</f>
        <v/>
      </c>
      <c r="G354" s="27">
        <f>IF($E354="","", VLOOKUP($F354, XPBands!A$2:G$10, 4, FALSE) + MIN(VLOOKUP($F354, XPBands!A$2:G$10, 5, FALSE) - VLOOKUP($F354, XPBands!A$2:G$10, 4, FALSE), FLOOR(( $E354 - VLOOKUP($F354, XPBands!A$2:G$10, 2, FALSE) ) / VLOOKUP($F354, XPBands!A$2:G$10, 7, FALSE),1)))</f>
        <v/>
      </c>
      <c r="H354" s="27">
        <f>IF($D354="","",VLOOKUP($D354,RoleTitles!$A:$E,3,FALSE))</f>
        <v/>
      </c>
      <c r="I354" s="27">
        <f>IF($D354="","",IF($C354="Greek",VLOOKUP($D354,RoleTitles!$A:$E,4,FALSE),IF($C354="Aesir",VLOOKUP($D354,RoleTitles!$A:$E,5,FALSE),VLOOKUP($D354,RoleTitles!$A:$E,3,FALSE))))</f>
        <v/>
      </c>
      <c r="J354" s="27">
        <f>IF($D354="","",IF($E354&gt;=VLOOKUP($D354,RoleTitles!$A:$B,2,FALSE),"Yes","No"))</f>
        <v/>
      </c>
      <c r="K354" s="27">
        <f>IF($D354="","",IF($D354="T1","T2",IF($D354="T2","T3",IF($D354="T3","T4",IF($D354="T4","T5",IF($D354="T5","T6",IF($D354="T6","T7",IF($D354="T7","T8",IF($D354="T8","T9","")))))))))</f>
        <v/>
      </c>
      <c r="L354" s="28">
        <f>IF($K354="","",MAX(0,VLOOKUP($K354,RoleTitles!$A:$B,2,FALSE)-$E354))</f>
        <v/>
      </c>
    </row>
    <row r="355">
      <c r="A355" s="24">
        <f>IFERROR(INDEX(CoachRoster!$A$2:$A$1000,ROW()-1),"")</f>
        <v/>
      </c>
      <c r="B355" s="27">
        <f>IF($A355="","",VLOOKUP($A355,CoachRoster!$A:$E,2,FALSE))</f>
        <v/>
      </c>
      <c r="C355" s="27">
        <f>IF($A355="","",VLOOKUP($A355,CoachRoster!$A:$E,3,FALSE))</f>
        <v/>
      </c>
      <c r="D355" s="27">
        <f>IF($A355="","",VLOOKUP($A355,CoachRoster!$A:$E,4,FALSE))</f>
        <v/>
      </c>
      <c r="E355" s="27">
        <f>IF($A355="","",MIN(Settings!$B$8,IFERROR(SUMIF(Weekly_Coaching!$B:$B,$A355,Weekly_Coaching!$D:$D),0)+IFERROR(SUMIF(Monthly_Edu!$B:$B,$A355,Monthly_Edu!$D:$D),0)+IFERROR(SUMIF(Monthly_Ops!$B:$B,$A355,Monthly_Ops!$D:$D),0)+IFERROR(SUMIF(Monthly_Mentor!$B:$B,$A355,Monthly_Mentor!$D:$D),0)+IFERROR(SUMIF(Quarterly_Impact!$B:$B,$A355,Quarterly_Impact!$D:$D),0)+IFERROR(SUMIFS(XPLog!$M:$M,XPLog!$B:$B,$A355,XPLog!$J:$J,"Admin"),0)+IFERROR(SUMIFS(XPLog!$M:$M,XPLog!$B:$B,$A355,XPLog!$J:$J,"Seeding"),0)))</f>
        <v/>
      </c>
      <c r="F355" s="27">
        <f>IF($E355="","",LOOKUP($E355, XPBands!B$2:B$10, XPBands!A$2:A$10))</f>
        <v/>
      </c>
      <c r="G355" s="27">
        <f>IF($E355="","", VLOOKUP($F355, XPBands!A$2:G$10, 4, FALSE) + MIN(VLOOKUP($F355, XPBands!A$2:G$10, 5, FALSE) - VLOOKUP($F355, XPBands!A$2:G$10, 4, FALSE), FLOOR(( $E355 - VLOOKUP($F355, XPBands!A$2:G$10, 2, FALSE) ) / VLOOKUP($F355, XPBands!A$2:G$10, 7, FALSE),1)))</f>
        <v/>
      </c>
      <c r="H355" s="27">
        <f>IF($D355="","",VLOOKUP($D355,RoleTitles!$A:$E,3,FALSE))</f>
        <v/>
      </c>
      <c r="I355" s="27">
        <f>IF($D355="","",IF($C355="Greek",VLOOKUP($D355,RoleTitles!$A:$E,4,FALSE),IF($C355="Aesir",VLOOKUP($D355,RoleTitles!$A:$E,5,FALSE),VLOOKUP($D355,RoleTitles!$A:$E,3,FALSE))))</f>
        <v/>
      </c>
      <c r="J355" s="27">
        <f>IF($D355="","",IF($E355&gt;=VLOOKUP($D355,RoleTitles!$A:$B,2,FALSE),"Yes","No"))</f>
        <v/>
      </c>
      <c r="K355" s="27">
        <f>IF($D355="","",IF($D355="T1","T2",IF($D355="T2","T3",IF($D355="T3","T4",IF($D355="T4","T5",IF($D355="T5","T6",IF($D355="T6","T7",IF($D355="T7","T8",IF($D355="T8","T9","")))))))))</f>
        <v/>
      </c>
      <c r="L355" s="28">
        <f>IF($K355="","",MAX(0,VLOOKUP($K355,RoleTitles!$A:$B,2,FALSE)-$E355))</f>
        <v/>
      </c>
    </row>
    <row r="356">
      <c r="A356" s="24">
        <f>IFERROR(INDEX(CoachRoster!$A$2:$A$1000,ROW()-1),"")</f>
        <v/>
      </c>
      <c r="B356" s="27">
        <f>IF($A356="","",VLOOKUP($A356,CoachRoster!$A:$E,2,FALSE))</f>
        <v/>
      </c>
      <c r="C356" s="27">
        <f>IF($A356="","",VLOOKUP($A356,CoachRoster!$A:$E,3,FALSE))</f>
        <v/>
      </c>
      <c r="D356" s="27">
        <f>IF($A356="","",VLOOKUP($A356,CoachRoster!$A:$E,4,FALSE))</f>
        <v/>
      </c>
      <c r="E356" s="27">
        <f>IF($A356="","",MIN(Settings!$B$8,IFERROR(SUMIF(Weekly_Coaching!$B:$B,$A356,Weekly_Coaching!$D:$D),0)+IFERROR(SUMIF(Monthly_Edu!$B:$B,$A356,Monthly_Edu!$D:$D),0)+IFERROR(SUMIF(Monthly_Ops!$B:$B,$A356,Monthly_Ops!$D:$D),0)+IFERROR(SUMIF(Monthly_Mentor!$B:$B,$A356,Monthly_Mentor!$D:$D),0)+IFERROR(SUMIF(Quarterly_Impact!$B:$B,$A356,Quarterly_Impact!$D:$D),0)+IFERROR(SUMIFS(XPLog!$M:$M,XPLog!$B:$B,$A356,XPLog!$J:$J,"Admin"),0)+IFERROR(SUMIFS(XPLog!$M:$M,XPLog!$B:$B,$A356,XPLog!$J:$J,"Seeding"),0)))</f>
        <v/>
      </c>
      <c r="F356" s="27">
        <f>IF($E356="","",LOOKUP($E356, XPBands!B$2:B$10, XPBands!A$2:A$10))</f>
        <v/>
      </c>
      <c r="G356" s="27">
        <f>IF($E356="","", VLOOKUP($F356, XPBands!A$2:G$10, 4, FALSE) + MIN(VLOOKUP($F356, XPBands!A$2:G$10, 5, FALSE) - VLOOKUP($F356, XPBands!A$2:G$10, 4, FALSE), FLOOR(( $E356 - VLOOKUP($F356, XPBands!A$2:G$10, 2, FALSE) ) / VLOOKUP($F356, XPBands!A$2:G$10, 7, FALSE),1)))</f>
        <v/>
      </c>
      <c r="H356" s="27">
        <f>IF($D356="","",VLOOKUP($D356,RoleTitles!$A:$E,3,FALSE))</f>
        <v/>
      </c>
      <c r="I356" s="27">
        <f>IF($D356="","",IF($C356="Greek",VLOOKUP($D356,RoleTitles!$A:$E,4,FALSE),IF($C356="Aesir",VLOOKUP($D356,RoleTitles!$A:$E,5,FALSE),VLOOKUP($D356,RoleTitles!$A:$E,3,FALSE))))</f>
        <v/>
      </c>
      <c r="J356" s="27">
        <f>IF($D356="","",IF($E356&gt;=VLOOKUP($D356,RoleTitles!$A:$B,2,FALSE),"Yes","No"))</f>
        <v/>
      </c>
      <c r="K356" s="27">
        <f>IF($D356="","",IF($D356="T1","T2",IF($D356="T2","T3",IF($D356="T3","T4",IF($D356="T4","T5",IF($D356="T5","T6",IF($D356="T6","T7",IF($D356="T7","T8",IF($D356="T8","T9","")))))))))</f>
        <v/>
      </c>
      <c r="L356" s="28">
        <f>IF($K356="","",MAX(0,VLOOKUP($K356,RoleTitles!$A:$B,2,FALSE)-$E356))</f>
        <v/>
      </c>
    </row>
    <row r="357">
      <c r="A357" s="24">
        <f>IFERROR(INDEX(CoachRoster!$A$2:$A$1000,ROW()-1),"")</f>
        <v/>
      </c>
      <c r="B357" s="27">
        <f>IF($A357="","",VLOOKUP($A357,CoachRoster!$A:$E,2,FALSE))</f>
        <v/>
      </c>
      <c r="C357" s="27">
        <f>IF($A357="","",VLOOKUP($A357,CoachRoster!$A:$E,3,FALSE))</f>
        <v/>
      </c>
      <c r="D357" s="27">
        <f>IF($A357="","",VLOOKUP($A357,CoachRoster!$A:$E,4,FALSE))</f>
        <v/>
      </c>
      <c r="E357" s="27">
        <f>IF($A357="","",MIN(Settings!$B$8,IFERROR(SUMIF(Weekly_Coaching!$B:$B,$A357,Weekly_Coaching!$D:$D),0)+IFERROR(SUMIF(Monthly_Edu!$B:$B,$A357,Monthly_Edu!$D:$D),0)+IFERROR(SUMIF(Monthly_Ops!$B:$B,$A357,Monthly_Ops!$D:$D),0)+IFERROR(SUMIF(Monthly_Mentor!$B:$B,$A357,Monthly_Mentor!$D:$D),0)+IFERROR(SUMIF(Quarterly_Impact!$B:$B,$A357,Quarterly_Impact!$D:$D),0)+IFERROR(SUMIFS(XPLog!$M:$M,XPLog!$B:$B,$A357,XPLog!$J:$J,"Admin"),0)+IFERROR(SUMIFS(XPLog!$M:$M,XPLog!$B:$B,$A357,XPLog!$J:$J,"Seeding"),0)))</f>
        <v/>
      </c>
      <c r="F357" s="27">
        <f>IF($E357="","",LOOKUP($E357, XPBands!B$2:B$10, XPBands!A$2:A$10))</f>
        <v/>
      </c>
      <c r="G357" s="27">
        <f>IF($E357="","", VLOOKUP($F357, XPBands!A$2:G$10, 4, FALSE) + MIN(VLOOKUP($F357, XPBands!A$2:G$10, 5, FALSE) - VLOOKUP($F357, XPBands!A$2:G$10, 4, FALSE), FLOOR(( $E357 - VLOOKUP($F357, XPBands!A$2:G$10, 2, FALSE) ) / VLOOKUP($F357, XPBands!A$2:G$10, 7, FALSE),1)))</f>
        <v/>
      </c>
      <c r="H357" s="27">
        <f>IF($D357="","",VLOOKUP($D357,RoleTitles!$A:$E,3,FALSE))</f>
        <v/>
      </c>
      <c r="I357" s="27">
        <f>IF($D357="","",IF($C357="Greek",VLOOKUP($D357,RoleTitles!$A:$E,4,FALSE),IF($C357="Aesir",VLOOKUP($D357,RoleTitles!$A:$E,5,FALSE),VLOOKUP($D357,RoleTitles!$A:$E,3,FALSE))))</f>
        <v/>
      </c>
      <c r="J357" s="27">
        <f>IF($D357="","",IF($E357&gt;=VLOOKUP($D357,RoleTitles!$A:$B,2,FALSE),"Yes","No"))</f>
        <v/>
      </c>
      <c r="K357" s="27">
        <f>IF($D357="","",IF($D357="T1","T2",IF($D357="T2","T3",IF($D357="T3","T4",IF($D357="T4","T5",IF($D357="T5","T6",IF($D357="T6","T7",IF($D357="T7","T8",IF($D357="T8","T9","")))))))))</f>
        <v/>
      </c>
      <c r="L357" s="28">
        <f>IF($K357="","",MAX(0,VLOOKUP($K357,RoleTitles!$A:$B,2,FALSE)-$E357))</f>
        <v/>
      </c>
    </row>
    <row r="358">
      <c r="A358" s="24">
        <f>IFERROR(INDEX(CoachRoster!$A$2:$A$1000,ROW()-1),"")</f>
        <v/>
      </c>
      <c r="B358" s="27">
        <f>IF($A358="","",VLOOKUP($A358,CoachRoster!$A:$E,2,FALSE))</f>
        <v/>
      </c>
      <c r="C358" s="27">
        <f>IF($A358="","",VLOOKUP($A358,CoachRoster!$A:$E,3,FALSE))</f>
        <v/>
      </c>
      <c r="D358" s="27">
        <f>IF($A358="","",VLOOKUP($A358,CoachRoster!$A:$E,4,FALSE))</f>
        <v/>
      </c>
      <c r="E358" s="27">
        <f>IF($A358="","",MIN(Settings!$B$8,IFERROR(SUMIF(Weekly_Coaching!$B:$B,$A358,Weekly_Coaching!$D:$D),0)+IFERROR(SUMIF(Monthly_Edu!$B:$B,$A358,Monthly_Edu!$D:$D),0)+IFERROR(SUMIF(Monthly_Ops!$B:$B,$A358,Monthly_Ops!$D:$D),0)+IFERROR(SUMIF(Monthly_Mentor!$B:$B,$A358,Monthly_Mentor!$D:$D),0)+IFERROR(SUMIF(Quarterly_Impact!$B:$B,$A358,Quarterly_Impact!$D:$D),0)+IFERROR(SUMIFS(XPLog!$M:$M,XPLog!$B:$B,$A358,XPLog!$J:$J,"Admin"),0)+IFERROR(SUMIFS(XPLog!$M:$M,XPLog!$B:$B,$A358,XPLog!$J:$J,"Seeding"),0)))</f>
        <v/>
      </c>
      <c r="F358" s="27">
        <f>IF($E358="","",LOOKUP($E358, XPBands!B$2:B$10, XPBands!A$2:A$10))</f>
        <v/>
      </c>
      <c r="G358" s="27">
        <f>IF($E358="","", VLOOKUP($F358, XPBands!A$2:G$10, 4, FALSE) + MIN(VLOOKUP($F358, XPBands!A$2:G$10, 5, FALSE) - VLOOKUP($F358, XPBands!A$2:G$10, 4, FALSE), FLOOR(( $E358 - VLOOKUP($F358, XPBands!A$2:G$10, 2, FALSE) ) / VLOOKUP($F358, XPBands!A$2:G$10, 7, FALSE),1)))</f>
        <v/>
      </c>
      <c r="H358" s="27">
        <f>IF($D358="","",VLOOKUP($D358,RoleTitles!$A:$E,3,FALSE))</f>
        <v/>
      </c>
      <c r="I358" s="27">
        <f>IF($D358="","",IF($C358="Greek",VLOOKUP($D358,RoleTitles!$A:$E,4,FALSE),IF($C358="Aesir",VLOOKUP($D358,RoleTitles!$A:$E,5,FALSE),VLOOKUP($D358,RoleTitles!$A:$E,3,FALSE))))</f>
        <v/>
      </c>
      <c r="J358" s="27">
        <f>IF($D358="","",IF($E358&gt;=VLOOKUP($D358,RoleTitles!$A:$B,2,FALSE),"Yes","No"))</f>
        <v/>
      </c>
      <c r="K358" s="27">
        <f>IF($D358="","",IF($D358="T1","T2",IF($D358="T2","T3",IF($D358="T3","T4",IF($D358="T4","T5",IF($D358="T5","T6",IF($D358="T6","T7",IF($D358="T7","T8",IF($D358="T8","T9","")))))))))</f>
        <v/>
      </c>
      <c r="L358" s="28">
        <f>IF($K358="","",MAX(0,VLOOKUP($K358,RoleTitles!$A:$B,2,FALSE)-$E358))</f>
        <v/>
      </c>
    </row>
    <row r="359">
      <c r="A359" s="24">
        <f>IFERROR(INDEX(CoachRoster!$A$2:$A$1000,ROW()-1),"")</f>
        <v/>
      </c>
      <c r="B359" s="27">
        <f>IF($A359="","",VLOOKUP($A359,CoachRoster!$A:$E,2,FALSE))</f>
        <v/>
      </c>
      <c r="C359" s="27">
        <f>IF($A359="","",VLOOKUP($A359,CoachRoster!$A:$E,3,FALSE))</f>
        <v/>
      </c>
      <c r="D359" s="27">
        <f>IF($A359="","",VLOOKUP($A359,CoachRoster!$A:$E,4,FALSE))</f>
        <v/>
      </c>
      <c r="E359" s="27">
        <f>IF($A359="","",MIN(Settings!$B$8,IFERROR(SUMIF(Weekly_Coaching!$B:$B,$A359,Weekly_Coaching!$D:$D),0)+IFERROR(SUMIF(Monthly_Edu!$B:$B,$A359,Monthly_Edu!$D:$D),0)+IFERROR(SUMIF(Monthly_Ops!$B:$B,$A359,Monthly_Ops!$D:$D),0)+IFERROR(SUMIF(Monthly_Mentor!$B:$B,$A359,Monthly_Mentor!$D:$D),0)+IFERROR(SUMIF(Quarterly_Impact!$B:$B,$A359,Quarterly_Impact!$D:$D),0)+IFERROR(SUMIFS(XPLog!$M:$M,XPLog!$B:$B,$A359,XPLog!$J:$J,"Admin"),0)+IFERROR(SUMIFS(XPLog!$M:$M,XPLog!$B:$B,$A359,XPLog!$J:$J,"Seeding"),0)))</f>
        <v/>
      </c>
      <c r="F359" s="27">
        <f>IF($E359="","",LOOKUP($E359, XPBands!B$2:B$10, XPBands!A$2:A$10))</f>
        <v/>
      </c>
      <c r="G359" s="27">
        <f>IF($E359="","", VLOOKUP($F359, XPBands!A$2:G$10, 4, FALSE) + MIN(VLOOKUP($F359, XPBands!A$2:G$10, 5, FALSE) - VLOOKUP($F359, XPBands!A$2:G$10, 4, FALSE), FLOOR(( $E359 - VLOOKUP($F359, XPBands!A$2:G$10, 2, FALSE) ) / VLOOKUP($F359, XPBands!A$2:G$10, 7, FALSE),1)))</f>
        <v/>
      </c>
      <c r="H359" s="27">
        <f>IF($D359="","",VLOOKUP($D359,RoleTitles!$A:$E,3,FALSE))</f>
        <v/>
      </c>
      <c r="I359" s="27">
        <f>IF($D359="","",IF($C359="Greek",VLOOKUP($D359,RoleTitles!$A:$E,4,FALSE),IF($C359="Aesir",VLOOKUP($D359,RoleTitles!$A:$E,5,FALSE),VLOOKUP($D359,RoleTitles!$A:$E,3,FALSE))))</f>
        <v/>
      </c>
      <c r="J359" s="27">
        <f>IF($D359="","",IF($E359&gt;=VLOOKUP($D359,RoleTitles!$A:$B,2,FALSE),"Yes","No"))</f>
        <v/>
      </c>
      <c r="K359" s="27">
        <f>IF($D359="","",IF($D359="T1","T2",IF($D359="T2","T3",IF($D359="T3","T4",IF($D359="T4","T5",IF($D359="T5","T6",IF($D359="T6","T7",IF($D359="T7","T8",IF($D359="T8","T9","")))))))))</f>
        <v/>
      </c>
      <c r="L359" s="28">
        <f>IF($K359="","",MAX(0,VLOOKUP($K359,RoleTitles!$A:$B,2,FALSE)-$E359))</f>
        <v/>
      </c>
    </row>
    <row r="360">
      <c r="A360" s="24">
        <f>IFERROR(INDEX(CoachRoster!$A$2:$A$1000,ROW()-1),"")</f>
        <v/>
      </c>
      <c r="B360" s="27">
        <f>IF($A360="","",VLOOKUP($A360,CoachRoster!$A:$E,2,FALSE))</f>
        <v/>
      </c>
      <c r="C360" s="27">
        <f>IF($A360="","",VLOOKUP($A360,CoachRoster!$A:$E,3,FALSE))</f>
        <v/>
      </c>
      <c r="D360" s="27">
        <f>IF($A360="","",VLOOKUP($A360,CoachRoster!$A:$E,4,FALSE))</f>
        <v/>
      </c>
      <c r="E360" s="27">
        <f>IF($A360="","",MIN(Settings!$B$8,IFERROR(SUMIF(Weekly_Coaching!$B:$B,$A360,Weekly_Coaching!$D:$D),0)+IFERROR(SUMIF(Monthly_Edu!$B:$B,$A360,Monthly_Edu!$D:$D),0)+IFERROR(SUMIF(Monthly_Ops!$B:$B,$A360,Monthly_Ops!$D:$D),0)+IFERROR(SUMIF(Monthly_Mentor!$B:$B,$A360,Monthly_Mentor!$D:$D),0)+IFERROR(SUMIF(Quarterly_Impact!$B:$B,$A360,Quarterly_Impact!$D:$D),0)+IFERROR(SUMIFS(XPLog!$M:$M,XPLog!$B:$B,$A360,XPLog!$J:$J,"Admin"),0)+IFERROR(SUMIFS(XPLog!$M:$M,XPLog!$B:$B,$A360,XPLog!$J:$J,"Seeding"),0)))</f>
        <v/>
      </c>
      <c r="F360" s="27">
        <f>IF($E360="","",LOOKUP($E360, XPBands!B$2:B$10, XPBands!A$2:A$10))</f>
        <v/>
      </c>
      <c r="G360" s="27">
        <f>IF($E360="","", VLOOKUP($F360, XPBands!A$2:G$10, 4, FALSE) + MIN(VLOOKUP($F360, XPBands!A$2:G$10, 5, FALSE) - VLOOKUP($F360, XPBands!A$2:G$10, 4, FALSE), FLOOR(( $E360 - VLOOKUP($F360, XPBands!A$2:G$10, 2, FALSE) ) / VLOOKUP($F360, XPBands!A$2:G$10, 7, FALSE),1)))</f>
        <v/>
      </c>
      <c r="H360" s="27">
        <f>IF($D360="","",VLOOKUP($D360,RoleTitles!$A:$E,3,FALSE))</f>
        <v/>
      </c>
      <c r="I360" s="27">
        <f>IF($D360="","",IF($C360="Greek",VLOOKUP($D360,RoleTitles!$A:$E,4,FALSE),IF($C360="Aesir",VLOOKUP($D360,RoleTitles!$A:$E,5,FALSE),VLOOKUP($D360,RoleTitles!$A:$E,3,FALSE))))</f>
        <v/>
      </c>
      <c r="J360" s="27">
        <f>IF($D360="","",IF($E360&gt;=VLOOKUP($D360,RoleTitles!$A:$B,2,FALSE),"Yes","No"))</f>
        <v/>
      </c>
      <c r="K360" s="27">
        <f>IF($D360="","",IF($D360="T1","T2",IF($D360="T2","T3",IF($D360="T3","T4",IF($D360="T4","T5",IF($D360="T5","T6",IF($D360="T6","T7",IF($D360="T7","T8",IF($D360="T8","T9","")))))))))</f>
        <v/>
      </c>
      <c r="L360" s="28">
        <f>IF($K360="","",MAX(0,VLOOKUP($K360,RoleTitles!$A:$B,2,FALSE)-$E360))</f>
        <v/>
      </c>
    </row>
    <row r="361">
      <c r="A361" s="24">
        <f>IFERROR(INDEX(CoachRoster!$A$2:$A$1000,ROW()-1),"")</f>
        <v/>
      </c>
      <c r="B361" s="27">
        <f>IF($A361="","",VLOOKUP($A361,CoachRoster!$A:$E,2,FALSE))</f>
        <v/>
      </c>
      <c r="C361" s="27">
        <f>IF($A361="","",VLOOKUP($A361,CoachRoster!$A:$E,3,FALSE))</f>
        <v/>
      </c>
      <c r="D361" s="27">
        <f>IF($A361="","",VLOOKUP($A361,CoachRoster!$A:$E,4,FALSE))</f>
        <v/>
      </c>
      <c r="E361" s="27">
        <f>IF($A361="","",MIN(Settings!$B$8,IFERROR(SUMIF(Weekly_Coaching!$B:$B,$A361,Weekly_Coaching!$D:$D),0)+IFERROR(SUMIF(Monthly_Edu!$B:$B,$A361,Monthly_Edu!$D:$D),0)+IFERROR(SUMIF(Monthly_Ops!$B:$B,$A361,Monthly_Ops!$D:$D),0)+IFERROR(SUMIF(Monthly_Mentor!$B:$B,$A361,Monthly_Mentor!$D:$D),0)+IFERROR(SUMIF(Quarterly_Impact!$B:$B,$A361,Quarterly_Impact!$D:$D),0)+IFERROR(SUMIFS(XPLog!$M:$M,XPLog!$B:$B,$A361,XPLog!$J:$J,"Admin"),0)+IFERROR(SUMIFS(XPLog!$M:$M,XPLog!$B:$B,$A361,XPLog!$J:$J,"Seeding"),0)))</f>
        <v/>
      </c>
      <c r="F361" s="27">
        <f>IF($E361="","",LOOKUP($E361, XPBands!B$2:B$10, XPBands!A$2:A$10))</f>
        <v/>
      </c>
      <c r="G361" s="27">
        <f>IF($E361="","", VLOOKUP($F361, XPBands!A$2:G$10, 4, FALSE) + MIN(VLOOKUP($F361, XPBands!A$2:G$10, 5, FALSE) - VLOOKUP($F361, XPBands!A$2:G$10, 4, FALSE), FLOOR(( $E361 - VLOOKUP($F361, XPBands!A$2:G$10, 2, FALSE) ) / VLOOKUP($F361, XPBands!A$2:G$10, 7, FALSE),1)))</f>
        <v/>
      </c>
      <c r="H361" s="27">
        <f>IF($D361="","",VLOOKUP($D361,RoleTitles!$A:$E,3,FALSE))</f>
        <v/>
      </c>
      <c r="I361" s="27">
        <f>IF($D361="","",IF($C361="Greek",VLOOKUP($D361,RoleTitles!$A:$E,4,FALSE),IF($C361="Aesir",VLOOKUP($D361,RoleTitles!$A:$E,5,FALSE),VLOOKUP($D361,RoleTitles!$A:$E,3,FALSE))))</f>
        <v/>
      </c>
      <c r="J361" s="27">
        <f>IF($D361="","",IF($E361&gt;=VLOOKUP($D361,RoleTitles!$A:$B,2,FALSE),"Yes","No"))</f>
        <v/>
      </c>
      <c r="K361" s="27">
        <f>IF($D361="","",IF($D361="T1","T2",IF($D361="T2","T3",IF($D361="T3","T4",IF($D361="T4","T5",IF($D361="T5","T6",IF($D361="T6","T7",IF($D361="T7","T8",IF($D361="T8","T9","")))))))))</f>
        <v/>
      </c>
      <c r="L361" s="28">
        <f>IF($K361="","",MAX(0,VLOOKUP($K361,RoleTitles!$A:$B,2,FALSE)-$E361))</f>
        <v/>
      </c>
    </row>
    <row r="362">
      <c r="A362" s="24">
        <f>IFERROR(INDEX(CoachRoster!$A$2:$A$1000,ROW()-1),"")</f>
        <v/>
      </c>
      <c r="B362" s="27">
        <f>IF($A362="","",VLOOKUP($A362,CoachRoster!$A:$E,2,FALSE))</f>
        <v/>
      </c>
      <c r="C362" s="27">
        <f>IF($A362="","",VLOOKUP($A362,CoachRoster!$A:$E,3,FALSE))</f>
        <v/>
      </c>
      <c r="D362" s="27">
        <f>IF($A362="","",VLOOKUP($A362,CoachRoster!$A:$E,4,FALSE))</f>
        <v/>
      </c>
      <c r="E362" s="27">
        <f>IF($A362="","",MIN(Settings!$B$8,IFERROR(SUMIF(Weekly_Coaching!$B:$B,$A362,Weekly_Coaching!$D:$D),0)+IFERROR(SUMIF(Monthly_Edu!$B:$B,$A362,Monthly_Edu!$D:$D),0)+IFERROR(SUMIF(Monthly_Ops!$B:$B,$A362,Monthly_Ops!$D:$D),0)+IFERROR(SUMIF(Monthly_Mentor!$B:$B,$A362,Monthly_Mentor!$D:$D),0)+IFERROR(SUMIF(Quarterly_Impact!$B:$B,$A362,Quarterly_Impact!$D:$D),0)+IFERROR(SUMIFS(XPLog!$M:$M,XPLog!$B:$B,$A362,XPLog!$J:$J,"Admin"),0)+IFERROR(SUMIFS(XPLog!$M:$M,XPLog!$B:$B,$A362,XPLog!$J:$J,"Seeding"),0)))</f>
        <v/>
      </c>
      <c r="F362" s="27">
        <f>IF($E362="","",LOOKUP($E362, XPBands!B$2:B$10, XPBands!A$2:A$10))</f>
        <v/>
      </c>
      <c r="G362" s="27">
        <f>IF($E362="","", VLOOKUP($F362, XPBands!A$2:G$10, 4, FALSE) + MIN(VLOOKUP($F362, XPBands!A$2:G$10, 5, FALSE) - VLOOKUP($F362, XPBands!A$2:G$10, 4, FALSE), FLOOR(( $E362 - VLOOKUP($F362, XPBands!A$2:G$10, 2, FALSE) ) / VLOOKUP($F362, XPBands!A$2:G$10, 7, FALSE),1)))</f>
        <v/>
      </c>
      <c r="H362" s="27">
        <f>IF($D362="","",VLOOKUP($D362,RoleTitles!$A:$E,3,FALSE))</f>
        <v/>
      </c>
      <c r="I362" s="27">
        <f>IF($D362="","",IF($C362="Greek",VLOOKUP($D362,RoleTitles!$A:$E,4,FALSE),IF($C362="Aesir",VLOOKUP($D362,RoleTitles!$A:$E,5,FALSE),VLOOKUP($D362,RoleTitles!$A:$E,3,FALSE))))</f>
        <v/>
      </c>
      <c r="J362" s="27">
        <f>IF($D362="","",IF($E362&gt;=VLOOKUP($D362,RoleTitles!$A:$B,2,FALSE),"Yes","No"))</f>
        <v/>
      </c>
      <c r="K362" s="27">
        <f>IF($D362="","",IF($D362="T1","T2",IF($D362="T2","T3",IF($D362="T3","T4",IF($D362="T4","T5",IF($D362="T5","T6",IF($D362="T6","T7",IF($D362="T7","T8",IF($D362="T8","T9","")))))))))</f>
        <v/>
      </c>
      <c r="L362" s="28">
        <f>IF($K362="","",MAX(0,VLOOKUP($K362,RoleTitles!$A:$B,2,FALSE)-$E362))</f>
        <v/>
      </c>
    </row>
    <row r="363">
      <c r="A363" s="24">
        <f>IFERROR(INDEX(CoachRoster!$A$2:$A$1000,ROW()-1),"")</f>
        <v/>
      </c>
      <c r="B363" s="27">
        <f>IF($A363="","",VLOOKUP($A363,CoachRoster!$A:$E,2,FALSE))</f>
        <v/>
      </c>
      <c r="C363" s="27">
        <f>IF($A363="","",VLOOKUP($A363,CoachRoster!$A:$E,3,FALSE))</f>
        <v/>
      </c>
      <c r="D363" s="27">
        <f>IF($A363="","",VLOOKUP($A363,CoachRoster!$A:$E,4,FALSE))</f>
        <v/>
      </c>
      <c r="E363" s="27">
        <f>IF($A363="","",MIN(Settings!$B$8,IFERROR(SUMIF(Weekly_Coaching!$B:$B,$A363,Weekly_Coaching!$D:$D),0)+IFERROR(SUMIF(Monthly_Edu!$B:$B,$A363,Monthly_Edu!$D:$D),0)+IFERROR(SUMIF(Monthly_Ops!$B:$B,$A363,Monthly_Ops!$D:$D),0)+IFERROR(SUMIF(Monthly_Mentor!$B:$B,$A363,Monthly_Mentor!$D:$D),0)+IFERROR(SUMIF(Quarterly_Impact!$B:$B,$A363,Quarterly_Impact!$D:$D),0)+IFERROR(SUMIFS(XPLog!$M:$M,XPLog!$B:$B,$A363,XPLog!$J:$J,"Admin"),0)+IFERROR(SUMIFS(XPLog!$M:$M,XPLog!$B:$B,$A363,XPLog!$J:$J,"Seeding"),0)))</f>
        <v/>
      </c>
      <c r="F363" s="27">
        <f>IF($E363="","",LOOKUP($E363, XPBands!B$2:B$10, XPBands!A$2:A$10))</f>
        <v/>
      </c>
      <c r="G363" s="27">
        <f>IF($E363="","", VLOOKUP($F363, XPBands!A$2:G$10, 4, FALSE) + MIN(VLOOKUP($F363, XPBands!A$2:G$10, 5, FALSE) - VLOOKUP($F363, XPBands!A$2:G$10, 4, FALSE), FLOOR(( $E363 - VLOOKUP($F363, XPBands!A$2:G$10, 2, FALSE) ) / VLOOKUP($F363, XPBands!A$2:G$10, 7, FALSE),1)))</f>
        <v/>
      </c>
      <c r="H363" s="27">
        <f>IF($D363="","",VLOOKUP($D363,RoleTitles!$A:$E,3,FALSE))</f>
        <v/>
      </c>
      <c r="I363" s="27">
        <f>IF($D363="","",IF($C363="Greek",VLOOKUP($D363,RoleTitles!$A:$E,4,FALSE),IF($C363="Aesir",VLOOKUP($D363,RoleTitles!$A:$E,5,FALSE),VLOOKUP($D363,RoleTitles!$A:$E,3,FALSE))))</f>
        <v/>
      </c>
      <c r="J363" s="27">
        <f>IF($D363="","",IF($E363&gt;=VLOOKUP($D363,RoleTitles!$A:$B,2,FALSE),"Yes","No"))</f>
        <v/>
      </c>
      <c r="K363" s="27">
        <f>IF($D363="","",IF($D363="T1","T2",IF($D363="T2","T3",IF($D363="T3","T4",IF($D363="T4","T5",IF($D363="T5","T6",IF($D363="T6","T7",IF($D363="T7","T8",IF($D363="T8","T9","")))))))))</f>
        <v/>
      </c>
      <c r="L363" s="28">
        <f>IF($K363="","",MAX(0,VLOOKUP($K363,RoleTitles!$A:$B,2,FALSE)-$E363))</f>
        <v/>
      </c>
    </row>
    <row r="364">
      <c r="A364" s="24">
        <f>IFERROR(INDEX(CoachRoster!$A$2:$A$1000,ROW()-1),"")</f>
        <v/>
      </c>
      <c r="B364" s="27">
        <f>IF($A364="","",VLOOKUP($A364,CoachRoster!$A:$E,2,FALSE))</f>
        <v/>
      </c>
      <c r="C364" s="27">
        <f>IF($A364="","",VLOOKUP($A364,CoachRoster!$A:$E,3,FALSE))</f>
        <v/>
      </c>
      <c r="D364" s="27">
        <f>IF($A364="","",VLOOKUP($A364,CoachRoster!$A:$E,4,FALSE))</f>
        <v/>
      </c>
      <c r="E364" s="27">
        <f>IF($A364="","",MIN(Settings!$B$8,IFERROR(SUMIF(Weekly_Coaching!$B:$B,$A364,Weekly_Coaching!$D:$D),0)+IFERROR(SUMIF(Monthly_Edu!$B:$B,$A364,Monthly_Edu!$D:$D),0)+IFERROR(SUMIF(Monthly_Ops!$B:$B,$A364,Monthly_Ops!$D:$D),0)+IFERROR(SUMIF(Monthly_Mentor!$B:$B,$A364,Monthly_Mentor!$D:$D),0)+IFERROR(SUMIF(Quarterly_Impact!$B:$B,$A364,Quarterly_Impact!$D:$D),0)+IFERROR(SUMIFS(XPLog!$M:$M,XPLog!$B:$B,$A364,XPLog!$J:$J,"Admin"),0)+IFERROR(SUMIFS(XPLog!$M:$M,XPLog!$B:$B,$A364,XPLog!$J:$J,"Seeding"),0)))</f>
        <v/>
      </c>
      <c r="F364" s="27">
        <f>IF($E364="","",LOOKUP($E364, XPBands!B$2:B$10, XPBands!A$2:A$10))</f>
        <v/>
      </c>
      <c r="G364" s="27">
        <f>IF($E364="","", VLOOKUP($F364, XPBands!A$2:G$10, 4, FALSE) + MIN(VLOOKUP($F364, XPBands!A$2:G$10, 5, FALSE) - VLOOKUP($F364, XPBands!A$2:G$10, 4, FALSE), FLOOR(( $E364 - VLOOKUP($F364, XPBands!A$2:G$10, 2, FALSE) ) / VLOOKUP($F364, XPBands!A$2:G$10, 7, FALSE),1)))</f>
        <v/>
      </c>
      <c r="H364" s="27">
        <f>IF($D364="","",VLOOKUP($D364,RoleTitles!$A:$E,3,FALSE))</f>
        <v/>
      </c>
      <c r="I364" s="27">
        <f>IF($D364="","",IF($C364="Greek",VLOOKUP($D364,RoleTitles!$A:$E,4,FALSE),IF($C364="Aesir",VLOOKUP($D364,RoleTitles!$A:$E,5,FALSE),VLOOKUP($D364,RoleTitles!$A:$E,3,FALSE))))</f>
        <v/>
      </c>
      <c r="J364" s="27">
        <f>IF($D364="","",IF($E364&gt;=VLOOKUP($D364,RoleTitles!$A:$B,2,FALSE),"Yes","No"))</f>
        <v/>
      </c>
      <c r="K364" s="27">
        <f>IF($D364="","",IF($D364="T1","T2",IF($D364="T2","T3",IF($D364="T3","T4",IF($D364="T4","T5",IF($D364="T5","T6",IF($D364="T6","T7",IF($D364="T7","T8",IF($D364="T8","T9","")))))))))</f>
        <v/>
      </c>
      <c r="L364" s="28">
        <f>IF($K364="","",MAX(0,VLOOKUP($K364,RoleTitles!$A:$B,2,FALSE)-$E364))</f>
        <v/>
      </c>
    </row>
    <row r="365">
      <c r="A365" s="24">
        <f>IFERROR(INDEX(CoachRoster!$A$2:$A$1000,ROW()-1),"")</f>
        <v/>
      </c>
      <c r="B365" s="27">
        <f>IF($A365="","",VLOOKUP($A365,CoachRoster!$A:$E,2,FALSE))</f>
        <v/>
      </c>
      <c r="C365" s="27">
        <f>IF($A365="","",VLOOKUP($A365,CoachRoster!$A:$E,3,FALSE))</f>
        <v/>
      </c>
      <c r="D365" s="27">
        <f>IF($A365="","",VLOOKUP($A365,CoachRoster!$A:$E,4,FALSE))</f>
        <v/>
      </c>
      <c r="E365" s="27">
        <f>IF($A365="","",MIN(Settings!$B$8,IFERROR(SUMIF(Weekly_Coaching!$B:$B,$A365,Weekly_Coaching!$D:$D),0)+IFERROR(SUMIF(Monthly_Edu!$B:$B,$A365,Monthly_Edu!$D:$D),0)+IFERROR(SUMIF(Monthly_Ops!$B:$B,$A365,Monthly_Ops!$D:$D),0)+IFERROR(SUMIF(Monthly_Mentor!$B:$B,$A365,Monthly_Mentor!$D:$D),0)+IFERROR(SUMIF(Quarterly_Impact!$B:$B,$A365,Quarterly_Impact!$D:$D),0)+IFERROR(SUMIFS(XPLog!$M:$M,XPLog!$B:$B,$A365,XPLog!$J:$J,"Admin"),0)+IFERROR(SUMIFS(XPLog!$M:$M,XPLog!$B:$B,$A365,XPLog!$J:$J,"Seeding"),0)))</f>
        <v/>
      </c>
      <c r="F365" s="27">
        <f>IF($E365="","",LOOKUP($E365, XPBands!B$2:B$10, XPBands!A$2:A$10))</f>
        <v/>
      </c>
      <c r="G365" s="27">
        <f>IF($E365="","", VLOOKUP($F365, XPBands!A$2:G$10, 4, FALSE) + MIN(VLOOKUP($F365, XPBands!A$2:G$10, 5, FALSE) - VLOOKUP($F365, XPBands!A$2:G$10, 4, FALSE), FLOOR(( $E365 - VLOOKUP($F365, XPBands!A$2:G$10, 2, FALSE) ) / VLOOKUP($F365, XPBands!A$2:G$10, 7, FALSE),1)))</f>
        <v/>
      </c>
      <c r="H365" s="27">
        <f>IF($D365="","",VLOOKUP($D365,RoleTitles!$A:$E,3,FALSE))</f>
        <v/>
      </c>
      <c r="I365" s="27">
        <f>IF($D365="","",IF($C365="Greek",VLOOKUP($D365,RoleTitles!$A:$E,4,FALSE),IF($C365="Aesir",VLOOKUP($D365,RoleTitles!$A:$E,5,FALSE),VLOOKUP($D365,RoleTitles!$A:$E,3,FALSE))))</f>
        <v/>
      </c>
      <c r="J365" s="27">
        <f>IF($D365="","",IF($E365&gt;=VLOOKUP($D365,RoleTitles!$A:$B,2,FALSE),"Yes","No"))</f>
        <v/>
      </c>
      <c r="K365" s="27">
        <f>IF($D365="","",IF($D365="T1","T2",IF($D365="T2","T3",IF($D365="T3","T4",IF($D365="T4","T5",IF($D365="T5","T6",IF($D365="T6","T7",IF($D365="T7","T8",IF($D365="T8","T9","")))))))))</f>
        <v/>
      </c>
      <c r="L365" s="28">
        <f>IF($K365="","",MAX(0,VLOOKUP($K365,RoleTitles!$A:$B,2,FALSE)-$E365))</f>
        <v/>
      </c>
    </row>
    <row r="366">
      <c r="A366" s="24">
        <f>IFERROR(INDEX(CoachRoster!$A$2:$A$1000,ROW()-1),"")</f>
        <v/>
      </c>
      <c r="B366" s="27">
        <f>IF($A366="","",VLOOKUP($A366,CoachRoster!$A:$E,2,FALSE))</f>
        <v/>
      </c>
      <c r="C366" s="27">
        <f>IF($A366="","",VLOOKUP($A366,CoachRoster!$A:$E,3,FALSE))</f>
        <v/>
      </c>
      <c r="D366" s="27">
        <f>IF($A366="","",VLOOKUP($A366,CoachRoster!$A:$E,4,FALSE))</f>
        <v/>
      </c>
      <c r="E366" s="27">
        <f>IF($A366="","",MIN(Settings!$B$8,IFERROR(SUMIF(Weekly_Coaching!$B:$B,$A366,Weekly_Coaching!$D:$D),0)+IFERROR(SUMIF(Monthly_Edu!$B:$B,$A366,Monthly_Edu!$D:$D),0)+IFERROR(SUMIF(Monthly_Ops!$B:$B,$A366,Monthly_Ops!$D:$D),0)+IFERROR(SUMIF(Monthly_Mentor!$B:$B,$A366,Monthly_Mentor!$D:$D),0)+IFERROR(SUMIF(Quarterly_Impact!$B:$B,$A366,Quarterly_Impact!$D:$D),0)+IFERROR(SUMIFS(XPLog!$M:$M,XPLog!$B:$B,$A366,XPLog!$J:$J,"Admin"),0)+IFERROR(SUMIFS(XPLog!$M:$M,XPLog!$B:$B,$A366,XPLog!$J:$J,"Seeding"),0)))</f>
        <v/>
      </c>
      <c r="F366" s="27">
        <f>IF($E366="","",LOOKUP($E366, XPBands!B$2:B$10, XPBands!A$2:A$10))</f>
        <v/>
      </c>
      <c r="G366" s="27">
        <f>IF($E366="","", VLOOKUP($F366, XPBands!A$2:G$10, 4, FALSE) + MIN(VLOOKUP($F366, XPBands!A$2:G$10, 5, FALSE) - VLOOKUP($F366, XPBands!A$2:G$10, 4, FALSE), FLOOR(( $E366 - VLOOKUP($F366, XPBands!A$2:G$10, 2, FALSE) ) / VLOOKUP($F366, XPBands!A$2:G$10, 7, FALSE),1)))</f>
        <v/>
      </c>
      <c r="H366" s="27">
        <f>IF($D366="","",VLOOKUP($D366,RoleTitles!$A:$E,3,FALSE))</f>
        <v/>
      </c>
      <c r="I366" s="27">
        <f>IF($D366="","",IF($C366="Greek",VLOOKUP($D366,RoleTitles!$A:$E,4,FALSE),IF($C366="Aesir",VLOOKUP($D366,RoleTitles!$A:$E,5,FALSE),VLOOKUP($D366,RoleTitles!$A:$E,3,FALSE))))</f>
        <v/>
      </c>
      <c r="J366" s="27">
        <f>IF($D366="","",IF($E366&gt;=VLOOKUP($D366,RoleTitles!$A:$B,2,FALSE),"Yes","No"))</f>
        <v/>
      </c>
      <c r="K366" s="27">
        <f>IF($D366="","",IF($D366="T1","T2",IF($D366="T2","T3",IF($D366="T3","T4",IF($D366="T4","T5",IF($D366="T5","T6",IF($D366="T6","T7",IF($D366="T7","T8",IF($D366="T8","T9","")))))))))</f>
        <v/>
      </c>
      <c r="L366" s="28">
        <f>IF($K366="","",MAX(0,VLOOKUP($K366,RoleTitles!$A:$B,2,FALSE)-$E366))</f>
        <v/>
      </c>
    </row>
    <row r="367">
      <c r="A367" s="24">
        <f>IFERROR(INDEX(CoachRoster!$A$2:$A$1000,ROW()-1),"")</f>
        <v/>
      </c>
      <c r="B367" s="27">
        <f>IF($A367="","",VLOOKUP($A367,CoachRoster!$A:$E,2,FALSE))</f>
        <v/>
      </c>
      <c r="C367" s="27">
        <f>IF($A367="","",VLOOKUP($A367,CoachRoster!$A:$E,3,FALSE))</f>
        <v/>
      </c>
      <c r="D367" s="27">
        <f>IF($A367="","",VLOOKUP($A367,CoachRoster!$A:$E,4,FALSE))</f>
        <v/>
      </c>
      <c r="E367" s="27">
        <f>IF($A367="","",MIN(Settings!$B$8,IFERROR(SUMIF(Weekly_Coaching!$B:$B,$A367,Weekly_Coaching!$D:$D),0)+IFERROR(SUMIF(Monthly_Edu!$B:$B,$A367,Monthly_Edu!$D:$D),0)+IFERROR(SUMIF(Monthly_Ops!$B:$B,$A367,Monthly_Ops!$D:$D),0)+IFERROR(SUMIF(Monthly_Mentor!$B:$B,$A367,Monthly_Mentor!$D:$D),0)+IFERROR(SUMIF(Quarterly_Impact!$B:$B,$A367,Quarterly_Impact!$D:$D),0)+IFERROR(SUMIFS(XPLog!$M:$M,XPLog!$B:$B,$A367,XPLog!$J:$J,"Admin"),0)+IFERROR(SUMIFS(XPLog!$M:$M,XPLog!$B:$B,$A367,XPLog!$J:$J,"Seeding"),0)))</f>
        <v/>
      </c>
      <c r="F367" s="27">
        <f>IF($E367="","",LOOKUP($E367, XPBands!B$2:B$10, XPBands!A$2:A$10))</f>
        <v/>
      </c>
      <c r="G367" s="27">
        <f>IF($E367="","", VLOOKUP($F367, XPBands!A$2:G$10, 4, FALSE) + MIN(VLOOKUP($F367, XPBands!A$2:G$10, 5, FALSE) - VLOOKUP($F367, XPBands!A$2:G$10, 4, FALSE), FLOOR(( $E367 - VLOOKUP($F367, XPBands!A$2:G$10, 2, FALSE) ) / VLOOKUP($F367, XPBands!A$2:G$10, 7, FALSE),1)))</f>
        <v/>
      </c>
      <c r="H367" s="27">
        <f>IF($D367="","",VLOOKUP($D367,RoleTitles!$A:$E,3,FALSE))</f>
        <v/>
      </c>
      <c r="I367" s="27">
        <f>IF($D367="","",IF($C367="Greek",VLOOKUP($D367,RoleTitles!$A:$E,4,FALSE),IF($C367="Aesir",VLOOKUP($D367,RoleTitles!$A:$E,5,FALSE),VLOOKUP($D367,RoleTitles!$A:$E,3,FALSE))))</f>
        <v/>
      </c>
      <c r="J367" s="27">
        <f>IF($D367="","",IF($E367&gt;=VLOOKUP($D367,RoleTitles!$A:$B,2,FALSE),"Yes","No"))</f>
        <v/>
      </c>
      <c r="K367" s="27">
        <f>IF($D367="","",IF($D367="T1","T2",IF($D367="T2","T3",IF($D367="T3","T4",IF($D367="T4","T5",IF($D367="T5","T6",IF($D367="T6","T7",IF($D367="T7","T8",IF($D367="T8","T9","")))))))))</f>
        <v/>
      </c>
      <c r="L367" s="28">
        <f>IF($K367="","",MAX(0,VLOOKUP($K367,RoleTitles!$A:$B,2,FALSE)-$E367))</f>
        <v/>
      </c>
    </row>
    <row r="368">
      <c r="A368" s="24">
        <f>IFERROR(INDEX(CoachRoster!$A$2:$A$1000,ROW()-1),"")</f>
        <v/>
      </c>
      <c r="B368" s="27">
        <f>IF($A368="","",VLOOKUP($A368,CoachRoster!$A:$E,2,FALSE))</f>
        <v/>
      </c>
      <c r="C368" s="27">
        <f>IF($A368="","",VLOOKUP($A368,CoachRoster!$A:$E,3,FALSE))</f>
        <v/>
      </c>
      <c r="D368" s="27">
        <f>IF($A368="","",VLOOKUP($A368,CoachRoster!$A:$E,4,FALSE))</f>
        <v/>
      </c>
      <c r="E368" s="27">
        <f>IF($A368="","",MIN(Settings!$B$8,IFERROR(SUMIF(Weekly_Coaching!$B:$B,$A368,Weekly_Coaching!$D:$D),0)+IFERROR(SUMIF(Monthly_Edu!$B:$B,$A368,Monthly_Edu!$D:$D),0)+IFERROR(SUMIF(Monthly_Ops!$B:$B,$A368,Monthly_Ops!$D:$D),0)+IFERROR(SUMIF(Monthly_Mentor!$B:$B,$A368,Monthly_Mentor!$D:$D),0)+IFERROR(SUMIF(Quarterly_Impact!$B:$B,$A368,Quarterly_Impact!$D:$D),0)+IFERROR(SUMIFS(XPLog!$M:$M,XPLog!$B:$B,$A368,XPLog!$J:$J,"Admin"),0)+IFERROR(SUMIFS(XPLog!$M:$M,XPLog!$B:$B,$A368,XPLog!$J:$J,"Seeding"),0)))</f>
        <v/>
      </c>
      <c r="F368" s="27">
        <f>IF($E368="","",LOOKUP($E368, XPBands!B$2:B$10, XPBands!A$2:A$10))</f>
        <v/>
      </c>
      <c r="G368" s="27">
        <f>IF($E368="","", VLOOKUP($F368, XPBands!A$2:G$10, 4, FALSE) + MIN(VLOOKUP($F368, XPBands!A$2:G$10, 5, FALSE) - VLOOKUP($F368, XPBands!A$2:G$10, 4, FALSE), FLOOR(( $E368 - VLOOKUP($F368, XPBands!A$2:G$10, 2, FALSE) ) / VLOOKUP($F368, XPBands!A$2:G$10, 7, FALSE),1)))</f>
        <v/>
      </c>
      <c r="H368" s="27">
        <f>IF($D368="","",VLOOKUP($D368,RoleTitles!$A:$E,3,FALSE))</f>
        <v/>
      </c>
      <c r="I368" s="27">
        <f>IF($D368="","",IF($C368="Greek",VLOOKUP($D368,RoleTitles!$A:$E,4,FALSE),IF($C368="Aesir",VLOOKUP($D368,RoleTitles!$A:$E,5,FALSE),VLOOKUP($D368,RoleTitles!$A:$E,3,FALSE))))</f>
        <v/>
      </c>
      <c r="J368" s="27">
        <f>IF($D368="","",IF($E368&gt;=VLOOKUP($D368,RoleTitles!$A:$B,2,FALSE),"Yes","No"))</f>
        <v/>
      </c>
      <c r="K368" s="27">
        <f>IF($D368="","",IF($D368="T1","T2",IF($D368="T2","T3",IF($D368="T3","T4",IF($D368="T4","T5",IF($D368="T5","T6",IF($D368="T6","T7",IF($D368="T7","T8",IF($D368="T8","T9","")))))))))</f>
        <v/>
      </c>
      <c r="L368" s="28">
        <f>IF($K368="","",MAX(0,VLOOKUP($K368,RoleTitles!$A:$B,2,FALSE)-$E368))</f>
        <v/>
      </c>
    </row>
    <row r="369">
      <c r="A369" s="24">
        <f>IFERROR(INDEX(CoachRoster!$A$2:$A$1000,ROW()-1),"")</f>
        <v/>
      </c>
      <c r="B369" s="27">
        <f>IF($A369="","",VLOOKUP($A369,CoachRoster!$A:$E,2,FALSE))</f>
        <v/>
      </c>
      <c r="C369" s="27">
        <f>IF($A369="","",VLOOKUP($A369,CoachRoster!$A:$E,3,FALSE))</f>
        <v/>
      </c>
      <c r="D369" s="27">
        <f>IF($A369="","",VLOOKUP($A369,CoachRoster!$A:$E,4,FALSE))</f>
        <v/>
      </c>
      <c r="E369" s="27">
        <f>IF($A369="","",MIN(Settings!$B$8,IFERROR(SUMIF(Weekly_Coaching!$B:$B,$A369,Weekly_Coaching!$D:$D),0)+IFERROR(SUMIF(Monthly_Edu!$B:$B,$A369,Monthly_Edu!$D:$D),0)+IFERROR(SUMIF(Monthly_Ops!$B:$B,$A369,Monthly_Ops!$D:$D),0)+IFERROR(SUMIF(Monthly_Mentor!$B:$B,$A369,Monthly_Mentor!$D:$D),0)+IFERROR(SUMIF(Quarterly_Impact!$B:$B,$A369,Quarterly_Impact!$D:$D),0)+IFERROR(SUMIFS(XPLog!$M:$M,XPLog!$B:$B,$A369,XPLog!$J:$J,"Admin"),0)+IFERROR(SUMIFS(XPLog!$M:$M,XPLog!$B:$B,$A369,XPLog!$J:$J,"Seeding"),0)))</f>
        <v/>
      </c>
      <c r="F369" s="27">
        <f>IF($E369="","",LOOKUP($E369, XPBands!B$2:B$10, XPBands!A$2:A$10))</f>
        <v/>
      </c>
      <c r="G369" s="27">
        <f>IF($E369="","", VLOOKUP($F369, XPBands!A$2:G$10, 4, FALSE) + MIN(VLOOKUP($F369, XPBands!A$2:G$10, 5, FALSE) - VLOOKUP($F369, XPBands!A$2:G$10, 4, FALSE), FLOOR(( $E369 - VLOOKUP($F369, XPBands!A$2:G$10, 2, FALSE) ) / VLOOKUP($F369, XPBands!A$2:G$10, 7, FALSE),1)))</f>
        <v/>
      </c>
      <c r="H369" s="27">
        <f>IF($D369="","",VLOOKUP($D369,RoleTitles!$A:$E,3,FALSE))</f>
        <v/>
      </c>
      <c r="I369" s="27">
        <f>IF($D369="","",IF($C369="Greek",VLOOKUP($D369,RoleTitles!$A:$E,4,FALSE),IF($C369="Aesir",VLOOKUP($D369,RoleTitles!$A:$E,5,FALSE),VLOOKUP($D369,RoleTitles!$A:$E,3,FALSE))))</f>
        <v/>
      </c>
      <c r="J369" s="27">
        <f>IF($D369="","",IF($E369&gt;=VLOOKUP($D369,RoleTitles!$A:$B,2,FALSE),"Yes","No"))</f>
        <v/>
      </c>
      <c r="K369" s="27">
        <f>IF($D369="","",IF($D369="T1","T2",IF($D369="T2","T3",IF($D369="T3","T4",IF($D369="T4","T5",IF($D369="T5","T6",IF($D369="T6","T7",IF($D369="T7","T8",IF($D369="T8","T9","")))))))))</f>
        <v/>
      </c>
      <c r="L369" s="28">
        <f>IF($K369="","",MAX(0,VLOOKUP($K369,RoleTitles!$A:$B,2,FALSE)-$E369))</f>
        <v/>
      </c>
    </row>
    <row r="370">
      <c r="A370" s="24">
        <f>IFERROR(INDEX(CoachRoster!$A$2:$A$1000,ROW()-1),"")</f>
        <v/>
      </c>
      <c r="B370" s="27">
        <f>IF($A370="","",VLOOKUP($A370,CoachRoster!$A:$E,2,FALSE))</f>
        <v/>
      </c>
      <c r="C370" s="27">
        <f>IF($A370="","",VLOOKUP($A370,CoachRoster!$A:$E,3,FALSE))</f>
        <v/>
      </c>
      <c r="D370" s="27">
        <f>IF($A370="","",VLOOKUP($A370,CoachRoster!$A:$E,4,FALSE))</f>
        <v/>
      </c>
      <c r="E370" s="27">
        <f>IF($A370="","",MIN(Settings!$B$8,IFERROR(SUMIF(Weekly_Coaching!$B:$B,$A370,Weekly_Coaching!$D:$D),0)+IFERROR(SUMIF(Monthly_Edu!$B:$B,$A370,Monthly_Edu!$D:$D),0)+IFERROR(SUMIF(Monthly_Ops!$B:$B,$A370,Monthly_Ops!$D:$D),0)+IFERROR(SUMIF(Monthly_Mentor!$B:$B,$A370,Monthly_Mentor!$D:$D),0)+IFERROR(SUMIF(Quarterly_Impact!$B:$B,$A370,Quarterly_Impact!$D:$D),0)+IFERROR(SUMIFS(XPLog!$M:$M,XPLog!$B:$B,$A370,XPLog!$J:$J,"Admin"),0)+IFERROR(SUMIFS(XPLog!$M:$M,XPLog!$B:$B,$A370,XPLog!$J:$J,"Seeding"),0)))</f>
        <v/>
      </c>
      <c r="F370" s="27">
        <f>IF($E370="","",LOOKUP($E370, XPBands!B$2:B$10, XPBands!A$2:A$10))</f>
        <v/>
      </c>
      <c r="G370" s="27">
        <f>IF($E370="","", VLOOKUP($F370, XPBands!A$2:G$10, 4, FALSE) + MIN(VLOOKUP($F370, XPBands!A$2:G$10, 5, FALSE) - VLOOKUP($F370, XPBands!A$2:G$10, 4, FALSE), FLOOR(( $E370 - VLOOKUP($F370, XPBands!A$2:G$10, 2, FALSE) ) / VLOOKUP($F370, XPBands!A$2:G$10, 7, FALSE),1)))</f>
        <v/>
      </c>
      <c r="H370" s="27">
        <f>IF($D370="","",VLOOKUP($D370,RoleTitles!$A:$E,3,FALSE))</f>
        <v/>
      </c>
      <c r="I370" s="27">
        <f>IF($D370="","",IF($C370="Greek",VLOOKUP($D370,RoleTitles!$A:$E,4,FALSE),IF($C370="Aesir",VLOOKUP($D370,RoleTitles!$A:$E,5,FALSE),VLOOKUP($D370,RoleTitles!$A:$E,3,FALSE))))</f>
        <v/>
      </c>
      <c r="J370" s="27">
        <f>IF($D370="","",IF($E370&gt;=VLOOKUP($D370,RoleTitles!$A:$B,2,FALSE),"Yes","No"))</f>
        <v/>
      </c>
      <c r="K370" s="27">
        <f>IF($D370="","",IF($D370="T1","T2",IF($D370="T2","T3",IF($D370="T3","T4",IF($D370="T4","T5",IF($D370="T5","T6",IF($D370="T6","T7",IF($D370="T7","T8",IF($D370="T8","T9","")))))))))</f>
        <v/>
      </c>
      <c r="L370" s="28">
        <f>IF($K370="","",MAX(0,VLOOKUP($K370,RoleTitles!$A:$B,2,FALSE)-$E370))</f>
        <v/>
      </c>
    </row>
    <row r="371">
      <c r="A371" s="24">
        <f>IFERROR(INDEX(CoachRoster!$A$2:$A$1000,ROW()-1),"")</f>
        <v/>
      </c>
      <c r="B371" s="27">
        <f>IF($A371="","",VLOOKUP($A371,CoachRoster!$A:$E,2,FALSE))</f>
        <v/>
      </c>
      <c r="C371" s="27">
        <f>IF($A371="","",VLOOKUP($A371,CoachRoster!$A:$E,3,FALSE))</f>
        <v/>
      </c>
      <c r="D371" s="27">
        <f>IF($A371="","",VLOOKUP($A371,CoachRoster!$A:$E,4,FALSE))</f>
        <v/>
      </c>
      <c r="E371" s="27">
        <f>IF($A371="","",MIN(Settings!$B$8,IFERROR(SUMIF(Weekly_Coaching!$B:$B,$A371,Weekly_Coaching!$D:$D),0)+IFERROR(SUMIF(Monthly_Edu!$B:$B,$A371,Monthly_Edu!$D:$D),0)+IFERROR(SUMIF(Monthly_Ops!$B:$B,$A371,Monthly_Ops!$D:$D),0)+IFERROR(SUMIF(Monthly_Mentor!$B:$B,$A371,Monthly_Mentor!$D:$D),0)+IFERROR(SUMIF(Quarterly_Impact!$B:$B,$A371,Quarterly_Impact!$D:$D),0)+IFERROR(SUMIFS(XPLog!$M:$M,XPLog!$B:$B,$A371,XPLog!$J:$J,"Admin"),0)+IFERROR(SUMIFS(XPLog!$M:$M,XPLog!$B:$B,$A371,XPLog!$J:$J,"Seeding"),0)))</f>
        <v/>
      </c>
      <c r="F371" s="27">
        <f>IF($E371="","",LOOKUP($E371, XPBands!B$2:B$10, XPBands!A$2:A$10))</f>
        <v/>
      </c>
      <c r="G371" s="27">
        <f>IF($E371="","", VLOOKUP($F371, XPBands!A$2:G$10, 4, FALSE) + MIN(VLOOKUP($F371, XPBands!A$2:G$10, 5, FALSE) - VLOOKUP($F371, XPBands!A$2:G$10, 4, FALSE), FLOOR(( $E371 - VLOOKUP($F371, XPBands!A$2:G$10, 2, FALSE) ) / VLOOKUP($F371, XPBands!A$2:G$10, 7, FALSE),1)))</f>
        <v/>
      </c>
      <c r="H371" s="27">
        <f>IF($D371="","",VLOOKUP($D371,RoleTitles!$A:$E,3,FALSE))</f>
        <v/>
      </c>
      <c r="I371" s="27">
        <f>IF($D371="","",IF($C371="Greek",VLOOKUP($D371,RoleTitles!$A:$E,4,FALSE),IF($C371="Aesir",VLOOKUP($D371,RoleTitles!$A:$E,5,FALSE),VLOOKUP($D371,RoleTitles!$A:$E,3,FALSE))))</f>
        <v/>
      </c>
      <c r="J371" s="27">
        <f>IF($D371="","",IF($E371&gt;=VLOOKUP($D371,RoleTitles!$A:$B,2,FALSE),"Yes","No"))</f>
        <v/>
      </c>
      <c r="K371" s="27">
        <f>IF($D371="","",IF($D371="T1","T2",IF($D371="T2","T3",IF($D371="T3","T4",IF($D371="T4","T5",IF($D371="T5","T6",IF($D371="T6","T7",IF($D371="T7","T8",IF($D371="T8","T9","")))))))))</f>
        <v/>
      </c>
      <c r="L371" s="28">
        <f>IF($K371="","",MAX(0,VLOOKUP($K371,RoleTitles!$A:$B,2,FALSE)-$E371))</f>
        <v/>
      </c>
    </row>
    <row r="372">
      <c r="A372" s="24">
        <f>IFERROR(INDEX(CoachRoster!$A$2:$A$1000,ROW()-1),"")</f>
        <v/>
      </c>
      <c r="B372" s="27">
        <f>IF($A372="","",VLOOKUP($A372,CoachRoster!$A:$E,2,FALSE))</f>
        <v/>
      </c>
      <c r="C372" s="27">
        <f>IF($A372="","",VLOOKUP($A372,CoachRoster!$A:$E,3,FALSE))</f>
        <v/>
      </c>
      <c r="D372" s="27">
        <f>IF($A372="","",VLOOKUP($A372,CoachRoster!$A:$E,4,FALSE))</f>
        <v/>
      </c>
      <c r="E372" s="27">
        <f>IF($A372="","",MIN(Settings!$B$8,IFERROR(SUMIF(Weekly_Coaching!$B:$B,$A372,Weekly_Coaching!$D:$D),0)+IFERROR(SUMIF(Monthly_Edu!$B:$B,$A372,Monthly_Edu!$D:$D),0)+IFERROR(SUMIF(Monthly_Ops!$B:$B,$A372,Monthly_Ops!$D:$D),0)+IFERROR(SUMIF(Monthly_Mentor!$B:$B,$A372,Monthly_Mentor!$D:$D),0)+IFERROR(SUMIF(Quarterly_Impact!$B:$B,$A372,Quarterly_Impact!$D:$D),0)+IFERROR(SUMIFS(XPLog!$M:$M,XPLog!$B:$B,$A372,XPLog!$J:$J,"Admin"),0)+IFERROR(SUMIFS(XPLog!$M:$M,XPLog!$B:$B,$A372,XPLog!$J:$J,"Seeding"),0)))</f>
        <v/>
      </c>
      <c r="F372" s="27">
        <f>IF($E372="","",LOOKUP($E372, XPBands!B$2:B$10, XPBands!A$2:A$10))</f>
        <v/>
      </c>
      <c r="G372" s="27">
        <f>IF($E372="","", VLOOKUP($F372, XPBands!A$2:G$10, 4, FALSE) + MIN(VLOOKUP($F372, XPBands!A$2:G$10, 5, FALSE) - VLOOKUP($F372, XPBands!A$2:G$10, 4, FALSE), FLOOR(( $E372 - VLOOKUP($F372, XPBands!A$2:G$10, 2, FALSE) ) / VLOOKUP($F372, XPBands!A$2:G$10, 7, FALSE),1)))</f>
        <v/>
      </c>
      <c r="H372" s="27">
        <f>IF($D372="","",VLOOKUP($D372,RoleTitles!$A:$E,3,FALSE))</f>
        <v/>
      </c>
      <c r="I372" s="27">
        <f>IF($D372="","",IF($C372="Greek",VLOOKUP($D372,RoleTitles!$A:$E,4,FALSE),IF($C372="Aesir",VLOOKUP($D372,RoleTitles!$A:$E,5,FALSE),VLOOKUP($D372,RoleTitles!$A:$E,3,FALSE))))</f>
        <v/>
      </c>
      <c r="J372" s="27">
        <f>IF($D372="","",IF($E372&gt;=VLOOKUP($D372,RoleTitles!$A:$B,2,FALSE),"Yes","No"))</f>
        <v/>
      </c>
      <c r="K372" s="27">
        <f>IF($D372="","",IF($D372="T1","T2",IF($D372="T2","T3",IF($D372="T3","T4",IF($D372="T4","T5",IF($D372="T5","T6",IF($D372="T6","T7",IF($D372="T7","T8",IF($D372="T8","T9","")))))))))</f>
        <v/>
      </c>
      <c r="L372" s="28">
        <f>IF($K372="","",MAX(0,VLOOKUP($K372,RoleTitles!$A:$B,2,FALSE)-$E372))</f>
        <v/>
      </c>
    </row>
    <row r="373">
      <c r="A373" s="24">
        <f>IFERROR(INDEX(CoachRoster!$A$2:$A$1000,ROW()-1),"")</f>
        <v/>
      </c>
      <c r="B373" s="27">
        <f>IF($A373="","",VLOOKUP($A373,CoachRoster!$A:$E,2,FALSE))</f>
        <v/>
      </c>
      <c r="C373" s="27">
        <f>IF($A373="","",VLOOKUP($A373,CoachRoster!$A:$E,3,FALSE))</f>
        <v/>
      </c>
      <c r="D373" s="27">
        <f>IF($A373="","",VLOOKUP($A373,CoachRoster!$A:$E,4,FALSE))</f>
        <v/>
      </c>
      <c r="E373" s="27">
        <f>IF($A373="","",MIN(Settings!$B$8,IFERROR(SUMIF(Weekly_Coaching!$B:$B,$A373,Weekly_Coaching!$D:$D),0)+IFERROR(SUMIF(Monthly_Edu!$B:$B,$A373,Monthly_Edu!$D:$D),0)+IFERROR(SUMIF(Monthly_Ops!$B:$B,$A373,Monthly_Ops!$D:$D),0)+IFERROR(SUMIF(Monthly_Mentor!$B:$B,$A373,Monthly_Mentor!$D:$D),0)+IFERROR(SUMIF(Quarterly_Impact!$B:$B,$A373,Quarterly_Impact!$D:$D),0)+IFERROR(SUMIFS(XPLog!$M:$M,XPLog!$B:$B,$A373,XPLog!$J:$J,"Admin"),0)+IFERROR(SUMIFS(XPLog!$M:$M,XPLog!$B:$B,$A373,XPLog!$J:$J,"Seeding"),0)))</f>
        <v/>
      </c>
      <c r="F373" s="27">
        <f>IF($E373="","",LOOKUP($E373, XPBands!B$2:B$10, XPBands!A$2:A$10))</f>
        <v/>
      </c>
      <c r="G373" s="27">
        <f>IF($E373="","", VLOOKUP($F373, XPBands!A$2:G$10, 4, FALSE) + MIN(VLOOKUP($F373, XPBands!A$2:G$10, 5, FALSE) - VLOOKUP($F373, XPBands!A$2:G$10, 4, FALSE), FLOOR(( $E373 - VLOOKUP($F373, XPBands!A$2:G$10, 2, FALSE) ) / VLOOKUP($F373, XPBands!A$2:G$10, 7, FALSE),1)))</f>
        <v/>
      </c>
      <c r="H373" s="27">
        <f>IF($D373="","",VLOOKUP($D373,RoleTitles!$A:$E,3,FALSE))</f>
        <v/>
      </c>
      <c r="I373" s="27">
        <f>IF($D373="","",IF($C373="Greek",VLOOKUP($D373,RoleTitles!$A:$E,4,FALSE),IF($C373="Aesir",VLOOKUP($D373,RoleTitles!$A:$E,5,FALSE),VLOOKUP($D373,RoleTitles!$A:$E,3,FALSE))))</f>
        <v/>
      </c>
      <c r="J373" s="27">
        <f>IF($D373="","",IF($E373&gt;=VLOOKUP($D373,RoleTitles!$A:$B,2,FALSE),"Yes","No"))</f>
        <v/>
      </c>
      <c r="K373" s="27">
        <f>IF($D373="","",IF($D373="T1","T2",IF($D373="T2","T3",IF($D373="T3","T4",IF($D373="T4","T5",IF($D373="T5","T6",IF($D373="T6","T7",IF($D373="T7","T8",IF($D373="T8","T9","")))))))))</f>
        <v/>
      </c>
      <c r="L373" s="28">
        <f>IF($K373="","",MAX(0,VLOOKUP($K373,RoleTitles!$A:$B,2,FALSE)-$E373))</f>
        <v/>
      </c>
    </row>
    <row r="374">
      <c r="A374" s="24">
        <f>IFERROR(INDEX(CoachRoster!$A$2:$A$1000,ROW()-1),"")</f>
        <v/>
      </c>
      <c r="B374" s="27">
        <f>IF($A374="","",VLOOKUP($A374,CoachRoster!$A:$E,2,FALSE))</f>
        <v/>
      </c>
      <c r="C374" s="27">
        <f>IF($A374="","",VLOOKUP($A374,CoachRoster!$A:$E,3,FALSE))</f>
        <v/>
      </c>
      <c r="D374" s="27">
        <f>IF($A374="","",VLOOKUP($A374,CoachRoster!$A:$E,4,FALSE))</f>
        <v/>
      </c>
      <c r="E374" s="27">
        <f>IF($A374="","",MIN(Settings!$B$8,IFERROR(SUMIF(Weekly_Coaching!$B:$B,$A374,Weekly_Coaching!$D:$D),0)+IFERROR(SUMIF(Monthly_Edu!$B:$B,$A374,Monthly_Edu!$D:$D),0)+IFERROR(SUMIF(Monthly_Ops!$B:$B,$A374,Monthly_Ops!$D:$D),0)+IFERROR(SUMIF(Monthly_Mentor!$B:$B,$A374,Monthly_Mentor!$D:$D),0)+IFERROR(SUMIF(Quarterly_Impact!$B:$B,$A374,Quarterly_Impact!$D:$D),0)+IFERROR(SUMIFS(XPLog!$M:$M,XPLog!$B:$B,$A374,XPLog!$J:$J,"Admin"),0)+IFERROR(SUMIFS(XPLog!$M:$M,XPLog!$B:$B,$A374,XPLog!$J:$J,"Seeding"),0)))</f>
        <v/>
      </c>
      <c r="F374" s="27">
        <f>IF($E374="","",LOOKUP($E374, XPBands!B$2:B$10, XPBands!A$2:A$10))</f>
        <v/>
      </c>
      <c r="G374" s="27">
        <f>IF($E374="","", VLOOKUP($F374, XPBands!A$2:G$10, 4, FALSE) + MIN(VLOOKUP($F374, XPBands!A$2:G$10, 5, FALSE) - VLOOKUP($F374, XPBands!A$2:G$10, 4, FALSE), FLOOR(( $E374 - VLOOKUP($F374, XPBands!A$2:G$10, 2, FALSE) ) / VLOOKUP($F374, XPBands!A$2:G$10, 7, FALSE),1)))</f>
        <v/>
      </c>
      <c r="H374" s="27">
        <f>IF($D374="","",VLOOKUP($D374,RoleTitles!$A:$E,3,FALSE))</f>
        <v/>
      </c>
      <c r="I374" s="27">
        <f>IF($D374="","",IF($C374="Greek",VLOOKUP($D374,RoleTitles!$A:$E,4,FALSE),IF($C374="Aesir",VLOOKUP($D374,RoleTitles!$A:$E,5,FALSE),VLOOKUP($D374,RoleTitles!$A:$E,3,FALSE))))</f>
        <v/>
      </c>
      <c r="J374" s="27">
        <f>IF($D374="","",IF($E374&gt;=VLOOKUP($D374,RoleTitles!$A:$B,2,FALSE),"Yes","No"))</f>
        <v/>
      </c>
      <c r="K374" s="27">
        <f>IF($D374="","",IF($D374="T1","T2",IF($D374="T2","T3",IF($D374="T3","T4",IF($D374="T4","T5",IF($D374="T5","T6",IF($D374="T6","T7",IF($D374="T7","T8",IF($D374="T8","T9","")))))))))</f>
        <v/>
      </c>
      <c r="L374" s="28">
        <f>IF($K374="","",MAX(0,VLOOKUP($K374,RoleTitles!$A:$B,2,FALSE)-$E374))</f>
        <v/>
      </c>
    </row>
    <row r="375">
      <c r="A375" s="24">
        <f>IFERROR(INDEX(CoachRoster!$A$2:$A$1000,ROW()-1),"")</f>
        <v/>
      </c>
      <c r="B375" s="27">
        <f>IF($A375="","",VLOOKUP($A375,CoachRoster!$A:$E,2,FALSE))</f>
        <v/>
      </c>
      <c r="C375" s="27">
        <f>IF($A375="","",VLOOKUP($A375,CoachRoster!$A:$E,3,FALSE))</f>
        <v/>
      </c>
      <c r="D375" s="27">
        <f>IF($A375="","",VLOOKUP($A375,CoachRoster!$A:$E,4,FALSE))</f>
        <v/>
      </c>
      <c r="E375" s="27">
        <f>IF($A375="","",MIN(Settings!$B$8,IFERROR(SUMIF(Weekly_Coaching!$B:$B,$A375,Weekly_Coaching!$D:$D),0)+IFERROR(SUMIF(Monthly_Edu!$B:$B,$A375,Monthly_Edu!$D:$D),0)+IFERROR(SUMIF(Monthly_Ops!$B:$B,$A375,Monthly_Ops!$D:$D),0)+IFERROR(SUMIF(Monthly_Mentor!$B:$B,$A375,Monthly_Mentor!$D:$D),0)+IFERROR(SUMIF(Quarterly_Impact!$B:$B,$A375,Quarterly_Impact!$D:$D),0)+IFERROR(SUMIFS(XPLog!$M:$M,XPLog!$B:$B,$A375,XPLog!$J:$J,"Admin"),0)+IFERROR(SUMIFS(XPLog!$M:$M,XPLog!$B:$B,$A375,XPLog!$J:$J,"Seeding"),0)))</f>
        <v/>
      </c>
      <c r="F375" s="27">
        <f>IF($E375="","",LOOKUP($E375, XPBands!B$2:B$10, XPBands!A$2:A$10))</f>
        <v/>
      </c>
      <c r="G375" s="27">
        <f>IF($E375="","", VLOOKUP($F375, XPBands!A$2:G$10, 4, FALSE) + MIN(VLOOKUP($F375, XPBands!A$2:G$10, 5, FALSE) - VLOOKUP($F375, XPBands!A$2:G$10, 4, FALSE), FLOOR(( $E375 - VLOOKUP($F375, XPBands!A$2:G$10, 2, FALSE) ) / VLOOKUP($F375, XPBands!A$2:G$10, 7, FALSE),1)))</f>
        <v/>
      </c>
      <c r="H375" s="27">
        <f>IF($D375="","",VLOOKUP($D375,RoleTitles!$A:$E,3,FALSE))</f>
        <v/>
      </c>
      <c r="I375" s="27">
        <f>IF($D375="","",IF($C375="Greek",VLOOKUP($D375,RoleTitles!$A:$E,4,FALSE),IF($C375="Aesir",VLOOKUP($D375,RoleTitles!$A:$E,5,FALSE),VLOOKUP($D375,RoleTitles!$A:$E,3,FALSE))))</f>
        <v/>
      </c>
      <c r="J375" s="27">
        <f>IF($D375="","",IF($E375&gt;=VLOOKUP($D375,RoleTitles!$A:$B,2,FALSE),"Yes","No"))</f>
        <v/>
      </c>
      <c r="K375" s="27">
        <f>IF($D375="","",IF($D375="T1","T2",IF($D375="T2","T3",IF($D375="T3","T4",IF($D375="T4","T5",IF($D375="T5","T6",IF($D375="T6","T7",IF($D375="T7","T8",IF($D375="T8","T9","")))))))))</f>
        <v/>
      </c>
      <c r="L375" s="28">
        <f>IF($K375="","",MAX(0,VLOOKUP($K375,RoleTitles!$A:$B,2,FALSE)-$E375))</f>
        <v/>
      </c>
    </row>
    <row r="376">
      <c r="A376" s="24">
        <f>IFERROR(INDEX(CoachRoster!$A$2:$A$1000,ROW()-1),"")</f>
        <v/>
      </c>
      <c r="B376" s="27">
        <f>IF($A376="","",VLOOKUP($A376,CoachRoster!$A:$E,2,FALSE))</f>
        <v/>
      </c>
      <c r="C376" s="27">
        <f>IF($A376="","",VLOOKUP($A376,CoachRoster!$A:$E,3,FALSE))</f>
        <v/>
      </c>
      <c r="D376" s="27">
        <f>IF($A376="","",VLOOKUP($A376,CoachRoster!$A:$E,4,FALSE))</f>
        <v/>
      </c>
      <c r="E376" s="27">
        <f>IF($A376="","",MIN(Settings!$B$8,IFERROR(SUMIF(Weekly_Coaching!$B:$B,$A376,Weekly_Coaching!$D:$D),0)+IFERROR(SUMIF(Monthly_Edu!$B:$B,$A376,Monthly_Edu!$D:$D),0)+IFERROR(SUMIF(Monthly_Ops!$B:$B,$A376,Monthly_Ops!$D:$D),0)+IFERROR(SUMIF(Monthly_Mentor!$B:$B,$A376,Monthly_Mentor!$D:$D),0)+IFERROR(SUMIF(Quarterly_Impact!$B:$B,$A376,Quarterly_Impact!$D:$D),0)+IFERROR(SUMIFS(XPLog!$M:$M,XPLog!$B:$B,$A376,XPLog!$J:$J,"Admin"),0)+IFERROR(SUMIFS(XPLog!$M:$M,XPLog!$B:$B,$A376,XPLog!$J:$J,"Seeding"),0)))</f>
        <v/>
      </c>
      <c r="F376" s="27">
        <f>IF($E376="","",LOOKUP($E376, XPBands!B$2:B$10, XPBands!A$2:A$10))</f>
        <v/>
      </c>
      <c r="G376" s="27">
        <f>IF($E376="","", VLOOKUP($F376, XPBands!A$2:G$10, 4, FALSE) + MIN(VLOOKUP($F376, XPBands!A$2:G$10, 5, FALSE) - VLOOKUP($F376, XPBands!A$2:G$10, 4, FALSE), FLOOR(( $E376 - VLOOKUP($F376, XPBands!A$2:G$10, 2, FALSE) ) / VLOOKUP($F376, XPBands!A$2:G$10, 7, FALSE),1)))</f>
        <v/>
      </c>
      <c r="H376" s="27">
        <f>IF($D376="","",VLOOKUP($D376,RoleTitles!$A:$E,3,FALSE))</f>
        <v/>
      </c>
      <c r="I376" s="27">
        <f>IF($D376="","",IF($C376="Greek",VLOOKUP($D376,RoleTitles!$A:$E,4,FALSE),IF($C376="Aesir",VLOOKUP($D376,RoleTitles!$A:$E,5,FALSE),VLOOKUP($D376,RoleTitles!$A:$E,3,FALSE))))</f>
        <v/>
      </c>
      <c r="J376" s="27">
        <f>IF($D376="","",IF($E376&gt;=VLOOKUP($D376,RoleTitles!$A:$B,2,FALSE),"Yes","No"))</f>
        <v/>
      </c>
      <c r="K376" s="27">
        <f>IF($D376="","",IF($D376="T1","T2",IF($D376="T2","T3",IF($D376="T3","T4",IF($D376="T4","T5",IF($D376="T5","T6",IF($D376="T6","T7",IF($D376="T7","T8",IF($D376="T8","T9","")))))))))</f>
        <v/>
      </c>
      <c r="L376" s="28">
        <f>IF($K376="","",MAX(0,VLOOKUP($K376,RoleTitles!$A:$B,2,FALSE)-$E376))</f>
        <v/>
      </c>
    </row>
    <row r="377">
      <c r="A377" s="24">
        <f>IFERROR(INDEX(CoachRoster!$A$2:$A$1000,ROW()-1),"")</f>
        <v/>
      </c>
      <c r="B377" s="27">
        <f>IF($A377="","",VLOOKUP($A377,CoachRoster!$A:$E,2,FALSE))</f>
        <v/>
      </c>
      <c r="C377" s="27">
        <f>IF($A377="","",VLOOKUP($A377,CoachRoster!$A:$E,3,FALSE))</f>
        <v/>
      </c>
      <c r="D377" s="27">
        <f>IF($A377="","",VLOOKUP($A377,CoachRoster!$A:$E,4,FALSE))</f>
        <v/>
      </c>
      <c r="E377" s="27">
        <f>IF($A377="","",MIN(Settings!$B$8,IFERROR(SUMIF(Weekly_Coaching!$B:$B,$A377,Weekly_Coaching!$D:$D),0)+IFERROR(SUMIF(Monthly_Edu!$B:$B,$A377,Monthly_Edu!$D:$D),0)+IFERROR(SUMIF(Monthly_Ops!$B:$B,$A377,Monthly_Ops!$D:$D),0)+IFERROR(SUMIF(Monthly_Mentor!$B:$B,$A377,Monthly_Mentor!$D:$D),0)+IFERROR(SUMIF(Quarterly_Impact!$B:$B,$A377,Quarterly_Impact!$D:$D),0)+IFERROR(SUMIFS(XPLog!$M:$M,XPLog!$B:$B,$A377,XPLog!$J:$J,"Admin"),0)+IFERROR(SUMIFS(XPLog!$M:$M,XPLog!$B:$B,$A377,XPLog!$J:$J,"Seeding"),0)))</f>
        <v/>
      </c>
      <c r="F377" s="27">
        <f>IF($E377="","",LOOKUP($E377, XPBands!B$2:B$10, XPBands!A$2:A$10))</f>
        <v/>
      </c>
      <c r="G377" s="27">
        <f>IF($E377="","", VLOOKUP($F377, XPBands!A$2:G$10, 4, FALSE) + MIN(VLOOKUP($F377, XPBands!A$2:G$10, 5, FALSE) - VLOOKUP($F377, XPBands!A$2:G$10, 4, FALSE), FLOOR(( $E377 - VLOOKUP($F377, XPBands!A$2:G$10, 2, FALSE) ) / VLOOKUP($F377, XPBands!A$2:G$10, 7, FALSE),1)))</f>
        <v/>
      </c>
      <c r="H377" s="27">
        <f>IF($D377="","",VLOOKUP($D377,RoleTitles!$A:$E,3,FALSE))</f>
        <v/>
      </c>
      <c r="I377" s="27">
        <f>IF($D377="","",IF($C377="Greek",VLOOKUP($D377,RoleTitles!$A:$E,4,FALSE),IF($C377="Aesir",VLOOKUP($D377,RoleTitles!$A:$E,5,FALSE),VLOOKUP($D377,RoleTitles!$A:$E,3,FALSE))))</f>
        <v/>
      </c>
      <c r="J377" s="27">
        <f>IF($D377="","",IF($E377&gt;=VLOOKUP($D377,RoleTitles!$A:$B,2,FALSE),"Yes","No"))</f>
        <v/>
      </c>
      <c r="K377" s="27">
        <f>IF($D377="","",IF($D377="T1","T2",IF($D377="T2","T3",IF($D377="T3","T4",IF($D377="T4","T5",IF($D377="T5","T6",IF($D377="T6","T7",IF($D377="T7","T8",IF($D377="T8","T9","")))))))))</f>
        <v/>
      </c>
      <c r="L377" s="28">
        <f>IF($K377="","",MAX(0,VLOOKUP($K377,RoleTitles!$A:$B,2,FALSE)-$E377))</f>
        <v/>
      </c>
    </row>
    <row r="378">
      <c r="A378" s="24">
        <f>IFERROR(INDEX(CoachRoster!$A$2:$A$1000,ROW()-1),"")</f>
        <v/>
      </c>
      <c r="B378" s="27">
        <f>IF($A378="","",VLOOKUP($A378,CoachRoster!$A:$E,2,FALSE))</f>
        <v/>
      </c>
      <c r="C378" s="27">
        <f>IF($A378="","",VLOOKUP($A378,CoachRoster!$A:$E,3,FALSE))</f>
        <v/>
      </c>
      <c r="D378" s="27">
        <f>IF($A378="","",VLOOKUP($A378,CoachRoster!$A:$E,4,FALSE))</f>
        <v/>
      </c>
      <c r="E378" s="27">
        <f>IF($A378="","",MIN(Settings!$B$8,IFERROR(SUMIF(Weekly_Coaching!$B:$B,$A378,Weekly_Coaching!$D:$D),0)+IFERROR(SUMIF(Monthly_Edu!$B:$B,$A378,Monthly_Edu!$D:$D),0)+IFERROR(SUMIF(Monthly_Ops!$B:$B,$A378,Monthly_Ops!$D:$D),0)+IFERROR(SUMIF(Monthly_Mentor!$B:$B,$A378,Monthly_Mentor!$D:$D),0)+IFERROR(SUMIF(Quarterly_Impact!$B:$B,$A378,Quarterly_Impact!$D:$D),0)+IFERROR(SUMIFS(XPLog!$M:$M,XPLog!$B:$B,$A378,XPLog!$J:$J,"Admin"),0)+IFERROR(SUMIFS(XPLog!$M:$M,XPLog!$B:$B,$A378,XPLog!$J:$J,"Seeding"),0)))</f>
        <v/>
      </c>
      <c r="F378" s="27">
        <f>IF($E378="","",LOOKUP($E378, XPBands!B$2:B$10, XPBands!A$2:A$10))</f>
        <v/>
      </c>
      <c r="G378" s="27">
        <f>IF($E378="","", VLOOKUP($F378, XPBands!A$2:G$10, 4, FALSE) + MIN(VLOOKUP($F378, XPBands!A$2:G$10, 5, FALSE) - VLOOKUP($F378, XPBands!A$2:G$10, 4, FALSE), FLOOR(( $E378 - VLOOKUP($F378, XPBands!A$2:G$10, 2, FALSE) ) / VLOOKUP($F378, XPBands!A$2:G$10, 7, FALSE),1)))</f>
        <v/>
      </c>
      <c r="H378" s="27">
        <f>IF($D378="","",VLOOKUP($D378,RoleTitles!$A:$E,3,FALSE))</f>
        <v/>
      </c>
      <c r="I378" s="27">
        <f>IF($D378="","",IF($C378="Greek",VLOOKUP($D378,RoleTitles!$A:$E,4,FALSE),IF($C378="Aesir",VLOOKUP($D378,RoleTitles!$A:$E,5,FALSE),VLOOKUP($D378,RoleTitles!$A:$E,3,FALSE))))</f>
        <v/>
      </c>
      <c r="J378" s="27">
        <f>IF($D378="","",IF($E378&gt;=VLOOKUP($D378,RoleTitles!$A:$B,2,FALSE),"Yes","No"))</f>
        <v/>
      </c>
      <c r="K378" s="27">
        <f>IF($D378="","",IF($D378="T1","T2",IF($D378="T2","T3",IF($D378="T3","T4",IF($D378="T4","T5",IF($D378="T5","T6",IF($D378="T6","T7",IF($D378="T7","T8",IF($D378="T8","T9","")))))))))</f>
        <v/>
      </c>
      <c r="L378" s="28">
        <f>IF($K378="","",MAX(0,VLOOKUP($K378,RoleTitles!$A:$B,2,FALSE)-$E378))</f>
        <v/>
      </c>
    </row>
    <row r="379">
      <c r="A379" s="24">
        <f>IFERROR(INDEX(CoachRoster!$A$2:$A$1000,ROW()-1),"")</f>
        <v/>
      </c>
      <c r="B379" s="27">
        <f>IF($A379="","",VLOOKUP($A379,CoachRoster!$A:$E,2,FALSE))</f>
        <v/>
      </c>
      <c r="C379" s="27">
        <f>IF($A379="","",VLOOKUP($A379,CoachRoster!$A:$E,3,FALSE))</f>
        <v/>
      </c>
      <c r="D379" s="27">
        <f>IF($A379="","",VLOOKUP($A379,CoachRoster!$A:$E,4,FALSE))</f>
        <v/>
      </c>
      <c r="E379" s="27">
        <f>IF($A379="","",MIN(Settings!$B$8,IFERROR(SUMIF(Weekly_Coaching!$B:$B,$A379,Weekly_Coaching!$D:$D),0)+IFERROR(SUMIF(Monthly_Edu!$B:$B,$A379,Monthly_Edu!$D:$D),0)+IFERROR(SUMIF(Monthly_Ops!$B:$B,$A379,Monthly_Ops!$D:$D),0)+IFERROR(SUMIF(Monthly_Mentor!$B:$B,$A379,Monthly_Mentor!$D:$D),0)+IFERROR(SUMIF(Quarterly_Impact!$B:$B,$A379,Quarterly_Impact!$D:$D),0)+IFERROR(SUMIFS(XPLog!$M:$M,XPLog!$B:$B,$A379,XPLog!$J:$J,"Admin"),0)+IFERROR(SUMIFS(XPLog!$M:$M,XPLog!$B:$B,$A379,XPLog!$J:$J,"Seeding"),0)))</f>
        <v/>
      </c>
      <c r="F379" s="27">
        <f>IF($E379="","",LOOKUP($E379, XPBands!B$2:B$10, XPBands!A$2:A$10))</f>
        <v/>
      </c>
      <c r="G379" s="27">
        <f>IF($E379="","", VLOOKUP($F379, XPBands!A$2:G$10, 4, FALSE) + MIN(VLOOKUP($F379, XPBands!A$2:G$10, 5, FALSE) - VLOOKUP($F379, XPBands!A$2:G$10, 4, FALSE), FLOOR(( $E379 - VLOOKUP($F379, XPBands!A$2:G$10, 2, FALSE) ) / VLOOKUP($F379, XPBands!A$2:G$10, 7, FALSE),1)))</f>
        <v/>
      </c>
      <c r="H379" s="27">
        <f>IF($D379="","",VLOOKUP($D379,RoleTitles!$A:$E,3,FALSE))</f>
        <v/>
      </c>
      <c r="I379" s="27">
        <f>IF($D379="","",IF($C379="Greek",VLOOKUP($D379,RoleTitles!$A:$E,4,FALSE),IF($C379="Aesir",VLOOKUP($D379,RoleTitles!$A:$E,5,FALSE),VLOOKUP($D379,RoleTitles!$A:$E,3,FALSE))))</f>
        <v/>
      </c>
      <c r="J379" s="27">
        <f>IF($D379="","",IF($E379&gt;=VLOOKUP($D379,RoleTitles!$A:$B,2,FALSE),"Yes","No"))</f>
        <v/>
      </c>
      <c r="K379" s="27">
        <f>IF($D379="","",IF($D379="T1","T2",IF($D379="T2","T3",IF($D379="T3","T4",IF($D379="T4","T5",IF($D379="T5","T6",IF($D379="T6","T7",IF($D379="T7","T8",IF($D379="T8","T9","")))))))))</f>
        <v/>
      </c>
      <c r="L379" s="28">
        <f>IF($K379="","",MAX(0,VLOOKUP($K379,RoleTitles!$A:$B,2,FALSE)-$E379))</f>
        <v/>
      </c>
    </row>
    <row r="380">
      <c r="A380" s="24">
        <f>IFERROR(INDEX(CoachRoster!$A$2:$A$1000,ROW()-1),"")</f>
        <v/>
      </c>
      <c r="B380" s="27">
        <f>IF($A380="","",VLOOKUP($A380,CoachRoster!$A:$E,2,FALSE))</f>
        <v/>
      </c>
      <c r="C380" s="27">
        <f>IF($A380="","",VLOOKUP($A380,CoachRoster!$A:$E,3,FALSE))</f>
        <v/>
      </c>
      <c r="D380" s="27">
        <f>IF($A380="","",VLOOKUP($A380,CoachRoster!$A:$E,4,FALSE))</f>
        <v/>
      </c>
      <c r="E380" s="27">
        <f>IF($A380="","",MIN(Settings!$B$8,IFERROR(SUMIF(Weekly_Coaching!$B:$B,$A380,Weekly_Coaching!$D:$D),0)+IFERROR(SUMIF(Monthly_Edu!$B:$B,$A380,Monthly_Edu!$D:$D),0)+IFERROR(SUMIF(Monthly_Ops!$B:$B,$A380,Monthly_Ops!$D:$D),0)+IFERROR(SUMIF(Monthly_Mentor!$B:$B,$A380,Monthly_Mentor!$D:$D),0)+IFERROR(SUMIF(Quarterly_Impact!$B:$B,$A380,Quarterly_Impact!$D:$D),0)+IFERROR(SUMIFS(XPLog!$M:$M,XPLog!$B:$B,$A380,XPLog!$J:$J,"Admin"),0)+IFERROR(SUMIFS(XPLog!$M:$M,XPLog!$B:$B,$A380,XPLog!$J:$J,"Seeding"),0)))</f>
        <v/>
      </c>
      <c r="F380" s="27">
        <f>IF($E380="","",LOOKUP($E380, XPBands!B$2:B$10, XPBands!A$2:A$10))</f>
        <v/>
      </c>
      <c r="G380" s="27">
        <f>IF($E380="","", VLOOKUP($F380, XPBands!A$2:G$10, 4, FALSE) + MIN(VLOOKUP($F380, XPBands!A$2:G$10, 5, FALSE) - VLOOKUP($F380, XPBands!A$2:G$10, 4, FALSE), FLOOR(( $E380 - VLOOKUP($F380, XPBands!A$2:G$10, 2, FALSE) ) / VLOOKUP($F380, XPBands!A$2:G$10, 7, FALSE),1)))</f>
        <v/>
      </c>
      <c r="H380" s="27">
        <f>IF($D380="","",VLOOKUP($D380,RoleTitles!$A:$E,3,FALSE))</f>
        <v/>
      </c>
      <c r="I380" s="27">
        <f>IF($D380="","",IF($C380="Greek",VLOOKUP($D380,RoleTitles!$A:$E,4,FALSE),IF($C380="Aesir",VLOOKUP($D380,RoleTitles!$A:$E,5,FALSE),VLOOKUP($D380,RoleTitles!$A:$E,3,FALSE))))</f>
        <v/>
      </c>
      <c r="J380" s="27">
        <f>IF($D380="","",IF($E380&gt;=VLOOKUP($D380,RoleTitles!$A:$B,2,FALSE),"Yes","No"))</f>
        <v/>
      </c>
      <c r="K380" s="27">
        <f>IF($D380="","",IF($D380="T1","T2",IF($D380="T2","T3",IF($D380="T3","T4",IF($D380="T4","T5",IF($D380="T5","T6",IF($D380="T6","T7",IF($D380="T7","T8",IF($D380="T8","T9","")))))))))</f>
        <v/>
      </c>
      <c r="L380" s="28">
        <f>IF($K380="","",MAX(0,VLOOKUP($K380,RoleTitles!$A:$B,2,FALSE)-$E380))</f>
        <v/>
      </c>
    </row>
    <row r="381">
      <c r="A381" s="24">
        <f>IFERROR(INDEX(CoachRoster!$A$2:$A$1000,ROW()-1),"")</f>
        <v/>
      </c>
      <c r="B381" s="27">
        <f>IF($A381="","",VLOOKUP($A381,CoachRoster!$A:$E,2,FALSE))</f>
        <v/>
      </c>
      <c r="C381" s="27">
        <f>IF($A381="","",VLOOKUP($A381,CoachRoster!$A:$E,3,FALSE))</f>
        <v/>
      </c>
      <c r="D381" s="27">
        <f>IF($A381="","",VLOOKUP($A381,CoachRoster!$A:$E,4,FALSE))</f>
        <v/>
      </c>
      <c r="E381" s="27">
        <f>IF($A381="","",MIN(Settings!$B$8,IFERROR(SUMIF(Weekly_Coaching!$B:$B,$A381,Weekly_Coaching!$D:$D),0)+IFERROR(SUMIF(Monthly_Edu!$B:$B,$A381,Monthly_Edu!$D:$D),0)+IFERROR(SUMIF(Monthly_Ops!$B:$B,$A381,Monthly_Ops!$D:$D),0)+IFERROR(SUMIF(Monthly_Mentor!$B:$B,$A381,Monthly_Mentor!$D:$D),0)+IFERROR(SUMIF(Quarterly_Impact!$B:$B,$A381,Quarterly_Impact!$D:$D),0)+IFERROR(SUMIFS(XPLog!$M:$M,XPLog!$B:$B,$A381,XPLog!$J:$J,"Admin"),0)+IFERROR(SUMIFS(XPLog!$M:$M,XPLog!$B:$B,$A381,XPLog!$J:$J,"Seeding"),0)))</f>
        <v/>
      </c>
      <c r="F381" s="27">
        <f>IF($E381="","",LOOKUP($E381, XPBands!B$2:B$10, XPBands!A$2:A$10))</f>
        <v/>
      </c>
      <c r="G381" s="27">
        <f>IF($E381="","", VLOOKUP($F381, XPBands!A$2:G$10, 4, FALSE) + MIN(VLOOKUP($F381, XPBands!A$2:G$10, 5, FALSE) - VLOOKUP($F381, XPBands!A$2:G$10, 4, FALSE), FLOOR(( $E381 - VLOOKUP($F381, XPBands!A$2:G$10, 2, FALSE) ) / VLOOKUP($F381, XPBands!A$2:G$10, 7, FALSE),1)))</f>
        <v/>
      </c>
      <c r="H381" s="27">
        <f>IF($D381="","",VLOOKUP($D381,RoleTitles!$A:$E,3,FALSE))</f>
        <v/>
      </c>
      <c r="I381" s="27">
        <f>IF($D381="","",IF($C381="Greek",VLOOKUP($D381,RoleTitles!$A:$E,4,FALSE),IF($C381="Aesir",VLOOKUP($D381,RoleTitles!$A:$E,5,FALSE),VLOOKUP($D381,RoleTitles!$A:$E,3,FALSE))))</f>
        <v/>
      </c>
      <c r="J381" s="27">
        <f>IF($D381="","",IF($E381&gt;=VLOOKUP($D381,RoleTitles!$A:$B,2,FALSE),"Yes","No"))</f>
        <v/>
      </c>
      <c r="K381" s="27">
        <f>IF($D381="","",IF($D381="T1","T2",IF($D381="T2","T3",IF($D381="T3","T4",IF($D381="T4","T5",IF($D381="T5","T6",IF($D381="T6","T7",IF($D381="T7","T8",IF($D381="T8","T9","")))))))))</f>
        <v/>
      </c>
      <c r="L381" s="28">
        <f>IF($K381="","",MAX(0,VLOOKUP($K381,RoleTitles!$A:$B,2,FALSE)-$E381))</f>
        <v/>
      </c>
    </row>
    <row r="382">
      <c r="A382" s="24">
        <f>IFERROR(INDEX(CoachRoster!$A$2:$A$1000,ROW()-1),"")</f>
        <v/>
      </c>
      <c r="B382" s="27">
        <f>IF($A382="","",VLOOKUP($A382,CoachRoster!$A:$E,2,FALSE))</f>
        <v/>
      </c>
      <c r="C382" s="27">
        <f>IF($A382="","",VLOOKUP($A382,CoachRoster!$A:$E,3,FALSE))</f>
        <v/>
      </c>
      <c r="D382" s="27">
        <f>IF($A382="","",VLOOKUP($A382,CoachRoster!$A:$E,4,FALSE))</f>
        <v/>
      </c>
      <c r="E382" s="27">
        <f>IF($A382="","",MIN(Settings!$B$8,IFERROR(SUMIF(Weekly_Coaching!$B:$B,$A382,Weekly_Coaching!$D:$D),0)+IFERROR(SUMIF(Monthly_Edu!$B:$B,$A382,Monthly_Edu!$D:$D),0)+IFERROR(SUMIF(Monthly_Ops!$B:$B,$A382,Monthly_Ops!$D:$D),0)+IFERROR(SUMIF(Monthly_Mentor!$B:$B,$A382,Monthly_Mentor!$D:$D),0)+IFERROR(SUMIF(Quarterly_Impact!$B:$B,$A382,Quarterly_Impact!$D:$D),0)+IFERROR(SUMIFS(XPLog!$M:$M,XPLog!$B:$B,$A382,XPLog!$J:$J,"Admin"),0)+IFERROR(SUMIFS(XPLog!$M:$M,XPLog!$B:$B,$A382,XPLog!$J:$J,"Seeding"),0)))</f>
        <v/>
      </c>
      <c r="F382" s="27">
        <f>IF($E382="","",LOOKUP($E382, XPBands!B$2:B$10, XPBands!A$2:A$10))</f>
        <v/>
      </c>
      <c r="G382" s="27">
        <f>IF($E382="","", VLOOKUP($F382, XPBands!A$2:G$10, 4, FALSE) + MIN(VLOOKUP($F382, XPBands!A$2:G$10, 5, FALSE) - VLOOKUP($F382, XPBands!A$2:G$10, 4, FALSE), FLOOR(( $E382 - VLOOKUP($F382, XPBands!A$2:G$10, 2, FALSE) ) / VLOOKUP($F382, XPBands!A$2:G$10, 7, FALSE),1)))</f>
        <v/>
      </c>
      <c r="H382" s="27">
        <f>IF($D382="","",VLOOKUP($D382,RoleTitles!$A:$E,3,FALSE))</f>
        <v/>
      </c>
      <c r="I382" s="27">
        <f>IF($D382="","",IF($C382="Greek",VLOOKUP($D382,RoleTitles!$A:$E,4,FALSE),IF($C382="Aesir",VLOOKUP($D382,RoleTitles!$A:$E,5,FALSE),VLOOKUP($D382,RoleTitles!$A:$E,3,FALSE))))</f>
        <v/>
      </c>
      <c r="J382" s="27">
        <f>IF($D382="","",IF($E382&gt;=VLOOKUP($D382,RoleTitles!$A:$B,2,FALSE),"Yes","No"))</f>
        <v/>
      </c>
      <c r="K382" s="27">
        <f>IF($D382="","",IF($D382="T1","T2",IF($D382="T2","T3",IF($D382="T3","T4",IF($D382="T4","T5",IF($D382="T5","T6",IF($D382="T6","T7",IF($D382="T7","T8",IF($D382="T8","T9","")))))))))</f>
        <v/>
      </c>
      <c r="L382" s="28">
        <f>IF($K382="","",MAX(0,VLOOKUP($K382,RoleTitles!$A:$B,2,FALSE)-$E382))</f>
        <v/>
      </c>
    </row>
    <row r="383">
      <c r="A383" s="24">
        <f>IFERROR(INDEX(CoachRoster!$A$2:$A$1000,ROW()-1),"")</f>
        <v/>
      </c>
      <c r="B383" s="27">
        <f>IF($A383="","",VLOOKUP($A383,CoachRoster!$A:$E,2,FALSE))</f>
        <v/>
      </c>
      <c r="C383" s="27">
        <f>IF($A383="","",VLOOKUP($A383,CoachRoster!$A:$E,3,FALSE))</f>
        <v/>
      </c>
      <c r="D383" s="27">
        <f>IF($A383="","",VLOOKUP($A383,CoachRoster!$A:$E,4,FALSE))</f>
        <v/>
      </c>
      <c r="E383" s="27">
        <f>IF($A383="","",MIN(Settings!$B$8,IFERROR(SUMIF(Weekly_Coaching!$B:$B,$A383,Weekly_Coaching!$D:$D),0)+IFERROR(SUMIF(Monthly_Edu!$B:$B,$A383,Monthly_Edu!$D:$D),0)+IFERROR(SUMIF(Monthly_Ops!$B:$B,$A383,Monthly_Ops!$D:$D),0)+IFERROR(SUMIF(Monthly_Mentor!$B:$B,$A383,Monthly_Mentor!$D:$D),0)+IFERROR(SUMIF(Quarterly_Impact!$B:$B,$A383,Quarterly_Impact!$D:$D),0)+IFERROR(SUMIFS(XPLog!$M:$M,XPLog!$B:$B,$A383,XPLog!$J:$J,"Admin"),0)+IFERROR(SUMIFS(XPLog!$M:$M,XPLog!$B:$B,$A383,XPLog!$J:$J,"Seeding"),0)))</f>
        <v/>
      </c>
      <c r="F383" s="27">
        <f>IF($E383="","",LOOKUP($E383, XPBands!B$2:B$10, XPBands!A$2:A$10))</f>
        <v/>
      </c>
      <c r="G383" s="27">
        <f>IF($E383="","", VLOOKUP($F383, XPBands!A$2:G$10, 4, FALSE) + MIN(VLOOKUP($F383, XPBands!A$2:G$10, 5, FALSE) - VLOOKUP($F383, XPBands!A$2:G$10, 4, FALSE), FLOOR(( $E383 - VLOOKUP($F383, XPBands!A$2:G$10, 2, FALSE) ) / VLOOKUP($F383, XPBands!A$2:G$10, 7, FALSE),1)))</f>
        <v/>
      </c>
      <c r="H383" s="27">
        <f>IF($D383="","",VLOOKUP($D383,RoleTitles!$A:$E,3,FALSE))</f>
        <v/>
      </c>
      <c r="I383" s="27">
        <f>IF($D383="","",IF($C383="Greek",VLOOKUP($D383,RoleTitles!$A:$E,4,FALSE),IF($C383="Aesir",VLOOKUP($D383,RoleTitles!$A:$E,5,FALSE),VLOOKUP($D383,RoleTitles!$A:$E,3,FALSE))))</f>
        <v/>
      </c>
      <c r="J383" s="27">
        <f>IF($D383="","",IF($E383&gt;=VLOOKUP($D383,RoleTitles!$A:$B,2,FALSE),"Yes","No"))</f>
        <v/>
      </c>
      <c r="K383" s="27">
        <f>IF($D383="","",IF($D383="T1","T2",IF($D383="T2","T3",IF($D383="T3","T4",IF($D383="T4","T5",IF($D383="T5","T6",IF($D383="T6","T7",IF($D383="T7","T8",IF($D383="T8","T9","")))))))))</f>
        <v/>
      </c>
      <c r="L383" s="28">
        <f>IF($K383="","",MAX(0,VLOOKUP($K383,RoleTitles!$A:$B,2,FALSE)-$E383))</f>
        <v/>
      </c>
    </row>
    <row r="384">
      <c r="A384" s="24">
        <f>IFERROR(INDEX(CoachRoster!$A$2:$A$1000,ROW()-1),"")</f>
        <v/>
      </c>
      <c r="B384" s="27">
        <f>IF($A384="","",VLOOKUP($A384,CoachRoster!$A:$E,2,FALSE))</f>
        <v/>
      </c>
      <c r="C384" s="27">
        <f>IF($A384="","",VLOOKUP($A384,CoachRoster!$A:$E,3,FALSE))</f>
        <v/>
      </c>
      <c r="D384" s="27">
        <f>IF($A384="","",VLOOKUP($A384,CoachRoster!$A:$E,4,FALSE))</f>
        <v/>
      </c>
      <c r="E384" s="27">
        <f>IF($A384="","",MIN(Settings!$B$8,IFERROR(SUMIF(Weekly_Coaching!$B:$B,$A384,Weekly_Coaching!$D:$D),0)+IFERROR(SUMIF(Monthly_Edu!$B:$B,$A384,Monthly_Edu!$D:$D),0)+IFERROR(SUMIF(Monthly_Ops!$B:$B,$A384,Monthly_Ops!$D:$D),0)+IFERROR(SUMIF(Monthly_Mentor!$B:$B,$A384,Monthly_Mentor!$D:$D),0)+IFERROR(SUMIF(Quarterly_Impact!$B:$B,$A384,Quarterly_Impact!$D:$D),0)+IFERROR(SUMIFS(XPLog!$M:$M,XPLog!$B:$B,$A384,XPLog!$J:$J,"Admin"),0)+IFERROR(SUMIFS(XPLog!$M:$M,XPLog!$B:$B,$A384,XPLog!$J:$J,"Seeding"),0)))</f>
        <v/>
      </c>
      <c r="F384" s="27">
        <f>IF($E384="","",LOOKUP($E384, XPBands!B$2:B$10, XPBands!A$2:A$10))</f>
        <v/>
      </c>
      <c r="G384" s="27">
        <f>IF($E384="","", VLOOKUP($F384, XPBands!A$2:G$10, 4, FALSE) + MIN(VLOOKUP($F384, XPBands!A$2:G$10, 5, FALSE) - VLOOKUP($F384, XPBands!A$2:G$10, 4, FALSE), FLOOR(( $E384 - VLOOKUP($F384, XPBands!A$2:G$10, 2, FALSE) ) / VLOOKUP($F384, XPBands!A$2:G$10, 7, FALSE),1)))</f>
        <v/>
      </c>
      <c r="H384" s="27">
        <f>IF($D384="","",VLOOKUP($D384,RoleTitles!$A:$E,3,FALSE))</f>
        <v/>
      </c>
      <c r="I384" s="27">
        <f>IF($D384="","",IF($C384="Greek",VLOOKUP($D384,RoleTitles!$A:$E,4,FALSE),IF($C384="Aesir",VLOOKUP($D384,RoleTitles!$A:$E,5,FALSE),VLOOKUP($D384,RoleTitles!$A:$E,3,FALSE))))</f>
        <v/>
      </c>
      <c r="J384" s="27">
        <f>IF($D384="","",IF($E384&gt;=VLOOKUP($D384,RoleTitles!$A:$B,2,FALSE),"Yes","No"))</f>
        <v/>
      </c>
      <c r="K384" s="27">
        <f>IF($D384="","",IF($D384="T1","T2",IF($D384="T2","T3",IF($D384="T3","T4",IF($D384="T4","T5",IF($D384="T5","T6",IF($D384="T6","T7",IF($D384="T7","T8",IF($D384="T8","T9","")))))))))</f>
        <v/>
      </c>
      <c r="L384" s="28">
        <f>IF($K384="","",MAX(0,VLOOKUP($K384,RoleTitles!$A:$B,2,FALSE)-$E384))</f>
        <v/>
      </c>
    </row>
    <row r="385">
      <c r="A385" s="24">
        <f>IFERROR(INDEX(CoachRoster!$A$2:$A$1000,ROW()-1),"")</f>
        <v/>
      </c>
      <c r="B385" s="27">
        <f>IF($A385="","",VLOOKUP($A385,CoachRoster!$A:$E,2,FALSE))</f>
        <v/>
      </c>
      <c r="C385" s="27">
        <f>IF($A385="","",VLOOKUP($A385,CoachRoster!$A:$E,3,FALSE))</f>
        <v/>
      </c>
      <c r="D385" s="27">
        <f>IF($A385="","",VLOOKUP($A385,CoachRoster!$A:$E,4,FALSE))</f>
        <v/>
      </c>
      <c r="E385" s="27">
        <f>IF($A385="","",MIN(Settings!$B$8,IFERROR(SUMIF(Weekly_Coaching!$B:$B,$A385,Weekly_Coaching!$D:$D),0)+IFERROR(SUMIF(Monthly_Edu!$B:$B,$A385,Monthly_Edu!$D:$D),0)+IFERROR(SUMIF(Monthly_Ops!$B:$B,$A385,Monthly_Ops!$D:$D),0)+IFERROR(SUMIF(Monthly_Mentor!$B:$B,$A385,Monthly_Mentor!$D:$D),0)+IFERROR(SUMIF(Quarterly_Impact!$B:$B,$A385,Quarterly_Impact!$D:$D),0)+IFERROR(SUMIFS(XPLog!$M:$M,XPLog!$B:$B,$A385,XPLog!$J:$J,"Admin"),0)+IFERROR(SUMIFS(XPLog!$M:$M,XPLog!$B:$B,$A385,XPLog!$J:$J,"Seeding"),0)))</f>
        <v/>
      </c>
      <c r="F385" s="27">
        <f>IF($E385="","",LOOKUP($E385, XPBands!B$2:B$10, XPBands!A$2:A$10))</f>
        <v/>
      </c>
      <c r="G385" s="27">
        <f>IF($E385="","", VLOOKUP($F385, XPBands!A$2:G$10, 4, FALSE) + MIN(VLOOKUP($F385, XPBands!A$2:G$10, 5, FALSE) - VLOOKUP($F385, XPBands!A$2:G$10, 4, FALSE), FLOOR(( $E385 - VLOOKUP($F385, XPBands!A$2:G$10, 2, FALSE) ) / VLOOKUP($F385, XPBands!A$2:G$10, 7, FALSE),1)))</f>
        <v/>
      </c>
      <c r="H385" s="27">
        <f>IF($D385="","",VLOOKUP($D385,RoleTitles!$A:$E,3,FALSE))</f>
        <v/>
      </c>
      <c r="I385" s="27">
        <f>IF($D385="","",IF($C385="Greek",VLOOKUP($D385,RoleTitles!$A:$E,4,FALSE),IF($C385="Aesir",VLOOKUP($D385,RoleTitles!$A:$E,5,FALSE),VLOOKUP($D385,RoleTitles!$A:$E,3,FALSE))))</f>
        <v/>
      </c>
      <c r="J385" s="27">
        <f>IF($D385="","",IF($E385&gt;=VLOOKUP($D385,RoleTitles!$A:$B,2,FALSE),"Yes","No"))</f>
        <v/>
      </c>
      <c r="K385" s="27">
        <f>IF($D385="","",IF($D385="T1","T2",IF($D385="T2","T3",IF($D385="T3","T4",IF($D385="T4","T5",IF($D385="T5","T6",IF($D385="T6","T7",IF($D385="T7","T8",IF($D385="T8","T9","")))))))))</f>
        <v/>
      </c>
      <c r="L385" s="28">
        <f>IF($K385="","",MAX(0,VLOOKUP($K385,RoleTitles!$A:$B,2,FALSE)-$E385))</f>
        <v/>
      </c>
    </row>
    <row r="386">
      <c r="A386" s="24">
        <f>IFERROR(INDEX(CoachRoster!$A$2:$A$1000,ROW()-1),"")</f>
        <v/>
      </c>
      <c r="B386" s="27">
        <f>IF($A386="","",VLOOKUP($A386,CoachRoster!$A:$E,2,FALSE))</f>
        <v/>
      </c>
      <c r="C386" s="27">
        <f>IF($A386="","",VLOOKUP($A386,CoachRoster!$A:$E,3,FALSE))</f>
        <v/>
      </c>
      <c r="D386" s="27">
        <f>IF($A386="","",VLOOKUP($A386,CoachRoster!$A:$E,4,FALSE))</f>
        <v/>
      </c>
      <c r="E386" s="27">
        <f>IF($A386="","",MIN(Settings!$B$8,IFERROR(SUMIF(Weekly_Coaching!$B:$B,$A386,Weekly_Coaching!$D:$D),0)+IFERROR(SUMIF(Monthly_Edu!$B:$B,$A386,Monthly_Edu!$D:$D),0)+IFERROR(SUMIF(Monthly_Ops!$B:$B,$A386,Monthly_Ops!$D:$D),0)+IFERROR(SUMIF(Monthly_Mentor!$B:$B,$A386,Monthly_Mentor!$D:$D),0)+IFERROR(SUMIF(Quarterly_Impact!$B:$B,$A386,Quarterly_Impact!$D:$D),0)+IFERROR(SUMIFS(XPLog!$M:$M,XPLog!$B:$B,$A386,XPLog!$J:$J,"Admin"),0)+IFERROR(SUMIFS(XPLog!$M:$M,XPLog!$B:$B,$A386,XPLog!$J:$J,"Seeding"),0)))</f>
        <v/>
      </c>
      <c r="F386" s="27">
        <f>IF($E386="","",LOOKUP($E386, XPBands!B$2:B$10, XPBands!A$2:A$10))</f>
        <v/>
      </c>
      <c r="G386" s="27">
        <f>IF($E386="","", VLOOKUP($F386, XPBands!A$2:G$10, 4, FALSE) + MIN(VLOOKUP($F386, XPBands!A$2:G$10, 5, FALSE) - VLOOKUP($F386, XPBands!A$2:G$10, 4, FALSE), FLOOR(( $E386 - VLOOKUP($F386, XPBands!A$2:G$10, 2, FALSE) ) / VLOOKUP($F386, XPBands!A$2:G$10, 7, FALSE),1)))</f>
        <v/>
      </c>
      <c r="H386" s="27">
        <f>IF($D386="","",VLOOKUP($D386,RoleTitles!$A:$E,3,FALSE))</f>
        <v/>
      </c>
      <c r="I386" s="27">
        <f>IF($D386="","",IF($C386="Greek",VLOOKUP($D386,RoleTitles!$A:$E,4,FALSE),IF($C386="Aesir",VLOOKUP($D386,RoleTitles!$A:$E,5,FALSE),VLOOKUP($D386,RoleTitles!$A:$E,3,FALSE))))</f>
        <v/>
      </c>
      <c r="J386" s="27">
        <f>IF($D386="","",IF($E386&gt;=VLOOKUP($D386,RoleTitles!$A:$B,2,FALSE),"Yes","No"))</f>
        <v/>
      </c>
      <c r="K386" s="27">
        <f>IF($D386="","",IF($D386="T1","T2",IF($D386="T2","T3",IF($D386="T3","T4",IF($D386="T4","T5",IF($D386="T5","T6",IF($D386="T6","T7",IF($D386="T7","T8",IF($D386="T8","T9","")))))))))</f>
        <v/>
      </c>
      <c r="L386" s="28">
        <f>IF($K386="","",MAX(0,VLOOKUP($K386,RoleTitles!$A:$B,2,FALSE)-$E386))</f>
        <v/>
      </c>
    </row>
    <row r="387">
      <c r="A387" s="24">
        <f>IFERROR(INDEX(CoachRoster!$A$2:$A$1000,ROW()-1),"")</f>
        <v/>
      </c>
      <c r="B387" s="27">
        <f>IF($A387="","",VLOOKUP($A387,CoachRoster!$A:$E,2,FALSE))</f>
        <v/>
      </c>
      <c r="C387" s="27">
        <f>IF($A387="","",VLOOKUP($A387,CoachRoster!$A:$E,3,FALSE))</f>
        <v/>
      </c>
      <c r="D387" s="27">
        <f>IF($A387="","",VLOOKUP($A387,CoachRoster!$A:$E,4,FALSE))</f>
        <v/>
      </c>
      <c r="E387" s="27">
        <f>IF($A387="","",MIN(Settings!$B$8,IFERROR(SUMIF(Weekly_Coaching!$B:$B,$A387,Weekly_Coaching!$D:$D),0)+IFERROR(SUMIF(Monthly_Edu!$B:$B,$A387,Monthly_Edu!$D:$D),0)+IFERROR(SUMIF(Monthly_Ops!$B:$B,$A387,Monthly_Ops!$D:$D),0)+IFERROR(SUMIF(Monthly_Mentor!$B:$B,$A387,Monthly_Mentor!$D:$D),0)+IFERROR(SUMIF(Quarterly_Impact!$B:$B,$A387,Quarterly_Impact!$D:$D),0)+IFERROR(SUMIFS(XPLog!$M:$M,XPLog!$B:$B,$A387,XPLog!$J:$J,"Admin"),0)+IFERROR(SUMIFS(XPLog!$M:$M,XPLog!$B:$B,$A387,XPLog!$J:$J,"Seeding"),0)))</f>
        <v/>
      </c>
      <c r="F387" s="27">
        <f>IF($E387="","",LOOKUP($E387, XPBands!B$2:B$10, XPBands!A$2:A$10))</f>
        <v/>
      </c>
      <c r="G387" s="27">
        <f>IF($E387="","", VLOOKUP($F387, XPBands!A$2:G$10, 4, FALSE) + MIN(VLOOKUP($F387, XPBands!A$2:G$10, 5, FALSE) - VLOOKUP($F387, XPBands!A$2:G$10, 4, FALSE), FLOOR(( $E387 - VLOOKUP($F387, XPBands!A$2:G$10, 2, FALSE) ) / VLOOKUP($F387, XPBands!A$2:G$10, 7, FALSE),1)))</f>
        <v/>
      </c>
      <c r="H387" s="27">
        <f>IF($D387="","",VLOOKUP($D387,RoleTitles!$A:$E,3,FALSE))</f>
        <v/>
      </c>
      <c r="I387" s="27">
        <f>IF($D387="","",IF($C387="Greek",VLOOKUP($D387,RoleTitles!$A:$E,4,FALSE),IF($C387="Aesir",VLOOKUP($D387,RoleTitles!$A:$E,5,FALSE),VLOOKUP($D387,RoleTitles!$A:$E,3,FALSE))))</f>
        <v/>
      </c>
      <c r="J387" s="27">
        <f>IF($D387="","",IF($E387&gt;=VLOOKUP($D387,RoleTitles!$A:$B,2,FALSE),"Yes","No"))</f>
        <v/>
      </c>
      <c r="K387" s="27">
        <f>IF($D387="","",IF($D387="T1","T2",IF($D387="T2","T3",IF($D387="T3","T4",IF($D387="T4","T5",IF($D387="T5","T6",IF($D387="T6","T7",IF($D387="T7","T8",IF($D387="T8","T9","")))))))))</f>
        <v/>
      </c>
      <c r="L387" s="28">
        <f>IF($K387="","",MAX(0,VLOOKUP($K387,RoleTitles!$A:$B,2,FALSE)-$E387))</f>
        <v/>
      </c>
    </row>
    <row r="388">
      <c r="A388" s="24">
        <f>IFERROR(INDEX(CoachRoster!$A$2:$A$1000,ROW()-1),"")</f>
        <v/>
      </c>
      <c r="B388" s="27">
        <f>IF($A388="","",VLOOKUP($A388,CoachRoster!$A:$E,2,FALSE))</f>
        <v/>
      </c>
      <c r="C388" s="27">
        <f>IF($A388="","",VLOOKUP($A388,CoachRoster!$A:$E,3,FALSE))</f>
        <v/>
      </c>
      <c r="D388" s="27">
        <f>IF($A388="","",VLOOKUP($A388,CoachRoster!$A:$E,4,FALSE))</f>
        <v/>
      </c>
      <c r="E388" s="27">
        <f>IF($A388="","",MIN(Settings!$B$8,IFERROR(SUMIF(Weekly_Coaching!$B:$B,$A388,Weekly_Coaching!$D:$D),0)+IFERROR(SUMIF(Monthly_Edu!$B:$B,$A388,Monthly_Edu!$D:$D),0)+IFERROR(SUMIF(Monthly_Ops!$B:$B,$A388,Monthly_Ops!$D:$D),0)+IFERROR(SUMIF(Monthly_Mentor!$B:$B,$A388,Monthly_Mentor!$D:$D),0)+IFERROR(SUMIF(Quarterly_Impact!$B:$B,$A388,Quarterly_Impact!$D:$D),0)+IFERROR(SUMIFS(XPLog!$M:$M,XPLog!$B:$B,$A388,XPLog!$J:$J,"Admin"),0)+IFERROR(SUMIFS(XPLog!$M:$M,XPLog!$B:$B,$A388,XPLog!$J:$J,"Seeding"),0)))</f>
        <v/>
      </c>
      <c r="F388" s="27">
        <f>IF($E388="","",LOOKUP($E388, XPBands!B$2:B$10, XPBands!A$2:A$10))</f>
        <v/>
      </c>
      <c r="G388" s="27">
        <f>IF($E388="","", VLOOKUP($F388, XPBands!A$2:G$10, 4, FALSE) + MIN(VLOOKUP($F388, XPBands!A$2:G$10, 5, FALSE) - VLOOKUP($F388, XPBands!A$2:G$10, 4, FALSE), FLOOR(( $E388 - VLOOKUP($F388, XPBands!A$2:G$10, 2, FALSE) ) / VLOOKUP($F388, XPBands!A$2:G$10, 7, FALSE),1)))</f>
        <v/>
      </c>
      <c r="H388" s="27">
        <f>IF($D388="","",VLOOKUP($D388,RoleTitles!$A:$E,3,FALSE))</f>
        <v/>
      </c>
      <c r="I388" s="27">
        <f>IF($D388="","",IF($C388="Greek",VLOOKUP($D388,RoleTitles!$A:$E,4,FALSE),IF($C388="Aesir",VLOOKUP($D388,RoleTitles!$A:$E,5,FALSE),VLOOKUP($D388,RoleTitles!$A:$E,3,FALSE))))</f>
        <v/>
      </c>
      <c r="J388" s="27">
        <f>IF($D388="","",IF($E388&gt;=VLOOKUP($D388,RoleTitles!$A:$B,2,FALSE),"Yes","No"))</f>
        <v/>
      </c>
      <c r="K388" s="27">
        <f>IF($D388="","",IF($D388="T1","T2",IF($D388="T2","T3",IF($D388="T3","T4",IF($D388="T4","T5",IF($D388="T5","T6",IF($D388="T6","T7",IF($D388="T7","T8",IF($D388="T8","T9","")))))))))</f>
        <v/>
      </c>
      <c r="L388" s="28">
        <f>IF($K388="","",MAX(0,VLOOKUP($K388,RoleTitles!$A:$B,2,FALSE)-$E388))</f>
        <v/>
      </c>
    </row>
    <row r="389">
      <c r="A389" s="24">
        <f>IFERROR(INDEX(CoachRoster!$A$2:$A$1000,ROW()-1),"")</f>
        <v/>
      </c>
      <c r="B389" s="27">
        <f>IF($A389="","",VLOOKUP($A389,CoachRoster!$A:$E,2,FALSE))</f>
        <v/>
      </c>
      <c r="C389" s="27">
        <f>IF($A389="","",VLOOKUP($A389,CoachRoster!$A:$E,3,FALSE))</f>
        <v/>
      </c>
      <c r="D389" s="27">
        <f>IF($A389="","",VLOOKUP($A389,CoachRoster!$A:$E,4,FALSE))</f>
        <v/>
      </c>
      <c r="E389" s="27">
        <f>IF($A389="","",MIN(Settings!$B$8,IFERROR(SUMIF(Weekly_Coaching!$B:$B,$A389,Weekly_Coaching!$D:$D),0)+IFERROR(SUMIF(Monthly_Edu!$B:$B,$A389,Monthly_Edu!$D:$D),0)+IFERROR(SUMIF(Monthly_Ops!$B:$B,$A389,Monthly_Ops!$D:$D),0)+IFERROR(SUMIF(Monthly_Mentor!$B:$B,$A389,Monthly_Mentor!$D:$D),0)+IFERROR(SUMIF(Quarterly_Impact!$B:$B,$A389,Quarterly_Impact!$D:$D),0)+IFERROR(SUMIFS(XPLog!$M:$M,XPLog!$B:$B,$A389,XPLog!$J:$J,"Admin"),0)+IFERROR(SUMIFS(XPLog!$M:$M,XPLog!$B:$B,$A389,XPLog!$J:$J,"Seeding"),0)))</f>
        <v/>
      </c>
      <c r="F389" s="27">
        <f>IF($E389="","",LOOKUP($E389, XPBands!B$2:B$10, XPBands!A$2:A$10))</f>
        <v/>
      </c>
      <c r="G389" s="27">
        <f>IF($E389="","", VLOOKUP($F389, XPBands!A$2:G$10, 4, FALSE) + MIN(VLOOKUP($F389, XPBands!A$2:G$10, 5, FALSE) - VLOOKUP($F389, XPBands!A$2:G$10, 4, FALSE), FLOOR(( $E389 - VLOOKUP($F389, XPBands!A$2:G$10, 2, FALSE) ) / VLOOKUP($F389, XPBands!A$2:G$10, 7, FALSE),1)))</f>
        <v/>
      </c>
      <c r="H389" s="27">
        <f>IF($D389="","",VLOOKUP($D389,RoleTitles!$A:$E,3,FALSE))</f>
        <v/>
      </c>
      <c r="I389" s="27">
        <f>IF($D389="","",IF($C389="Greek",VLOOKUP($D389,RoleTitles!$A:$E,4,FALSE),IF($C389="Aesir",VLOOKUP($D389,RoleTitles!$A:$E,5,FALSE),VLOOKUP($D389,RoleTitles!$A:$E,3,FALSE))))</f>
        <v/>
      </c>
      <c r="J389" s="27">
        <f>IF($D389="","",IF($E389&gt;=VLOOKUP($D389,RoleTitles!$A:$B,2,FALSE),"Yes","No"))</f>
        <v/>
      </c>
      <c r="K389" s="27">
        <f>IF($D389="","",IF($D389="T1","T2",IF($D389="T2","T3",IF($D389="T3","T4",IF($D389="T4","T5",IF($D389="T5","T6",IF($D389="T6","T7",IF($D389="T7","T8",IF($D389="T8","T9","")))))))))</f>
        <v/>
      </c>
      <c r="L389" s="28">
        <f>IF($K389="","",MAX(0,VLOOKUP($K389,RoleTitles!$A:$B,2,FALSE)-$E389))</f>
        <v/>
      </c>
    </row>
    <row r="390">
      <c r="A390" s="24">
        <f>IFERROR(INDEX(CoachRoster!$A$2:$A$1000,ROW()-1),"")</f>
        <v/>
      </c>
      <c r="B390" s="27">
        <f>IF($A390="","",VLOOKUP($A390,CoachRoster!$A:$E,2,FALSE))</f>
        <v/>
      </c>
      <c r="C390" s="27">
        <f>IF($A390="","",VLOOKUP($A390,CoachRoster!$A:$E,3,FALSE))</f>
        <v/>
      </c>
      <c r="D390" s="27">
        <f>IF($A390="","",VLOOKUP($A390,CoachRoster!$A:$E,4,FALSE))</f>
        <v/>
      </c>
      <c r="E390" s="27">
        <f>IF($A390="","",MIN(Settings!$B$8,IFERROR(SUMIF(Weekly_Coaching!$B:$B,$A390,Weekly_Coaching!$D:$D),0)+IFERROR(SUMIF(Monthly_Edu!$B:$B,$A390,Monthly_Edu!$D:$D),0)+IFERROR(SUMIF(Monthly_Ops!$B:$B,$A390,Monthly_Ops!$D:$D),0)+IFERROR(SUMIF(Monthly_Mentor!$B:$B,$A390,Monthly_Mentor!$D:$D),0)+IFERROR(SUMIF(Quarterly_Impact!$B:$B,$A390,Quarterly_Impact!$D:$D),0)+IFERROR(SUMIFS(XPLog!$M:$M,XPLog!$B:$B,$A390,XPLog!$J:$J,"Admin"),0)+IFERROR(SUMIFS(XPLog!$M:$M,XPLog!$B:$B,$A390,XPLog!$J:$J,"Seeding"),0)))</f>
        <v/>
      </c>
      <c r="F390" s="27">
        <f>IF($E390="","",LOOKUP($E390, XPBands!B$2:B$10, XPBands!A$2:A$10))</f>
        <v/>
      </c>
      <c r="G390" s="27">
        <f>IF($E390="","", VLOOKUP($F390, XPBands!A$2:G$10, 4, FALSE) + MIN(VLOOKUP($F390, XPBands!A$2:G$10, 5, FALSE) - VLOOKUP($F390, XPBands!A$2:G$10, 4, FALSE), FLOOR(( $E390 - VLOOKUP($F390, XPBands!A$2:G$10, 2, FALSE) ) / VLOOKUP($F390, XPBands!A$2:G$10, 7, FALSE),1)))</f>
        <v/>
      </c>
      <c r="H390" s="27">
        <f>IF($D390="","",VLOOKUP($D390,RoleTitles!$A:$E,3,FALSE))</f>
        <v/>
      </c>
      <c r="I390" s="27">
        <f>IF($D390="","",IF($C390="Greek",VLOOKUP($D390,RoleTitles!$A:$E,4,FALSE),IF($C390="Aesir",VLOOKUP($D390,RoleTitles!$A:$E,5,FALSE),VLOOKUP($D390,RoleTitles!$A:$E,3,FALSE))))</f>
        <v/>
      </c>
      <c r="J390" s="27">
        <f>IF($D390="","",IF($E390&gt;=VLOOKUP($D390,RoleTitles!$A:$B,2,FALSE),"Yes","No"))</f>
        <v/>
      </c>
      <c r="K390" s="27">
        <f>IF($D390="","",IF($D390="T1","T2",IF($D390="T2","T3",IF($D390="T3","T4",IF($D390="T4","T5",IF($D390="T5","T6",IF($D390="T6","T7",IF($D390="T7","T8",IF($D390="T8","T9","")))))))))</f>
        <v/>
      </c>
      <c r="L390" s="28">
        <f>IF($K390="","",MAX(0,VLOOKUP($K390,RoleTitles!$A:$B,2,FALSE)-$E390))</f>
        <v/>
      </c>
    </row>
    <row r="391">
      <c r="A391" s="24">
        <f>IFERROR(INDEX(CoachRoster!$A$2:$A$1000,ROW()-1),"")</f>
        <v/>
      </c>
      <c r="B391" s="27">
        <f>IF($A391="","",VLOOKUP($A391,CoachRoster!$A:$E,2,FALSE))</f>
        <v/>
      </c>
      <c r="C391" s="27">
        <f>IF($A391="","",VLOOKUP($A391,CoachRoster!$A:$E,3,FALSE))</f>
        <v/>
      </c>
      <c r="D391" s="27">
        <f>IF($A391="","",VLOOKUP($A391,CoachRoster!$A:$E,4,FALSE))</f>
        <v/>
      </c>
      <c r="E391" s="27">
        <f>IF($A391="","",MIN(Settings!$B$8,IFERROR(SUMIF(Weekly_Coaching!$B:$B,$A391,Weekly_Coaching!$D:$D),0)+IFERROR(SUMIF(Monthly_Edu!$B:$B,$A391,Monthly_Edu!$D:$D),0)+IFERROR(SUMIF(Monthly_Ops!$B:$B,$A391,Monthly_Ops!$D:$D),0)+IFERROR(SUMIF(Monthly_Mentor!$B:$B,$A391,Monthly_Mentor!$D:$D),0)+IFERROR(SUMIF(Quarterly_Impact!$B:$B,$A391,Quarterly_Impact!$D:$D),0)+IFERROR(SUMIFS(XPLog!$M:$M,XPLog!$B:$B,$A391,XPLog!$J:$J,"Admin"),0)+IFERROR(SUMIFS(XPLog!$M:$M,XPLog!$B:$B,$A391,XPLog!$J:$J,"Seeding"),0)))</f>
        <v/>
      </c>
      <c r="F391" s="27">
        <f>IF($E391="","",LOOKUP($E391, XPBands!B$2:B$10, XPBands!A$2:A$10))</f>
        <v/>
      </c>
      <c r="G391" s="27">
        <f>IF($E391="","", VLOOKUP($F391, XPBands!A$2:G$10, 4, FALSE) + MIN(VLOOKUP($F391, XPBands!A$2:G$10, 5, FALSE) - VLOOKUP($F391, XPBands!A$2:G$10, 4, FALSE), FLOOR(( $E391 - VLOOKUP($F391, XPBands!A$2:G$10, 2, FALSE) ) / VLOOKUP($F391, XPBands!A$2:G$10, 7, FALSE),1)))</f>
        <v/>
      </c>
      <c r="H391" s="27">
        <f>IF($D391="","",VLOOKUP($D391,RoleTitles!$A:$E,3,FALSE))</f>
        <v/>
      </c>
      <c r="I391" s="27">
        <f>IF($D391="","",IF($C391="Greek",VLOOKUP($D391,RoleTitles!$A:$E,4,FALSE),IF($C391="Aesir",VLOOKUP($D391,RoleTitles!$A:$E,5,FALSE),VLOOKUP($D391,RoleTitles!$A:$E,3,FALSE))))</f>
        <v/>
      </c>
      <c r="J391" s="27">
        <f>IF($D391="","",IF($E391&gt;=VLOOKUP($D391,RoleTitles!$A:$B,2,FALSE),"Yes","No"))</f>
        <v/>
      </c>
      <c r="K391" s="27">
        <f>IF($D391="","",IF($D391="T1","T2",IF($D391="T2","T3",IF($D391="T3","T4",IF($D391="T4","T5",IF($D391="T5","T6",IF($D391="T6","T7",IF($D391="T7","T8",IF($D391="T8","T9","")))))))))</f>
        <v/>
      </c>
      <c r="L391" s="28">
        <f>IF($K391="","",MAX(0,VLOOKUP($K391,RoleTitles!$A:$B,2,FALSE)-$E391))</f>
        <v/>
      </c>
    </row>
    <row r="392">
      <c r="A392" s="24">
        <f>IFERROR(INDEX(CoachRoster!$A$2:$A$1000,ROW()-1),"")</f>
        <v/>
      </c>
      <c r="B392" s="27">
        <f>IF($A392="","",VLOOKUP($A392,CoachRoster!$A:$E,2,FALSE))</f>
        <v/>
      </c>
      <c r="C392" s="27">
        <f>IF($A392="","",VLOOKUP($A392,CoachRoster!$A:$E,3,FALSE))</f>
        <v/>
      </c>
      <c r="D392" s="27">
        <f>IF($A392="","",VLOOKUP($A392,CoachRoster!$A:$E,4,FALSE))</f>
        <v/>
      </c>
      <c r="E392" s="27">
        <f>IF($A392="","",MIN(Settings!$B$8,IFERROR(SUMIF(Weekly_Coaching!$B:$B,$A392,Weekly_Coaching!$D:$D),0)+IFERROR(SUMIF(Monthly_Edu!$B:$B,$A392,Monthly_Edu!$D:$D),0)+IFERROR(SUMIF(Monthly_Ops!$B:$B,$A392,Monthly_Ops!$D:$D),0)+IFERROR(SUMIF(Monthly_Mentor!$B:$B,$A392,Monthly_Mentor!$D:$D),0)+IFERROR(SUMIF(Quarterly_Impact!$B:$B,$A392,Quarterly_Impact!$D:$D),0)+IFERROR(SUMIFS(XPLog!$M:$M,XPLog!$B:$B,$A392,XPLog!$J:$J,"Admin"),0)+IFERROR(SUMIFS(XPLog!$M:$M,XPLog!$B:$B,$A392,XPLog!$J:$J,"Seeding"),0)))</f>
        <v/>
      </c>
      <c r="F392" s="27">
        <f>IF($E392="","",LOOKUP($E392, XPBands!B$2:B$10, XPBands!A$2:A$10))</f>
        <v/>
      </c>
      <c r="G392" s="27">
        <f>IF($E392="","", VLOOKUP($F392, XPBands!A$2:G$10, 4, FALSE) + MIN(VLOOKUP($F392, XPBands!A$2:G$10, 5, FALSE) - VLOOKUP($F392, XPBands!A$2:G$10, 4, FALSE), FLOOR(( $E392 - VLOOKUP($F392, XPBands!A$2:G$10, 2, FALSE) ) / VLOOKUP($F392, XPBands!A$2:G$10, 7, FALSE),1)))</f>
        <v/>
      </c>
      <c r="H392" s="27">
        <f>IF($D392="","",VLOOKUP($D392,RoleTitles!$A:$E,3,FALSE))</f>
        <v/>
      </c>
      <c r="I392" s="27">
        <f>IF($D392="","",IF($C392="Greek",VLOOKUP($D392,RoleTitles!$A:$E,4,FALSE),IF($C392="Aesir",VLOOKUP($D392,RoleTitles!$A:$E,5,FALSE),VLOOKUP($D392,RoleTitles!$A:$E,3,FALSE))))</f>
        <v/>
      </c>
      <c r="J392" s="27">
        <f>IF($D392="","",IF($E392&gt;=VLOOKUP($D392,RoleTitles!$A:$B,2,FALSE),"Yes","No"))</f>
        <v/>
      </c>
      <c r="K392" s="27">
        <f>IF($D392="","",IF($D392="T1","T2",IF($D392="T2","T3",IF($D392="T3","T4",IF($D392="T4","T5",IF($D392="T5","T6",IF($D392="T6","T7",IF($D392="T7","T8",IF($D392="T8","T9","")))))))))</f>
        <v/>
      </c>
      <c r="L392" s="28">
        <f>IF($K392="","",MAX(0,VLOOKUP($K392,RoleTitles!$A:$B,2,FALSE)-$E392))</f>
        <v/>
      </c>
    </row>
    <row r="393">
      <c r="A393" s="24">
        <f>IFERROR(INDEX(CoachRoster!$A$2:$A$1000,ROW()-1),"")</f>
        <v/>
      </c>
      <c r="B393" s="27">
        <f>IF($A393="","",VLOOKUP($A393,CoachRoster!$A:$E,2,FALSE))</f>
        <v/>
      </c>
      <c r="C393" s="27">
        <f>IF($A393="","",VLOOKUP($A393,CoachRoster!$A:$E,3,FALSE))</f>
        <v/>
      </c>
      <c r="D393" s="27">
        <f>IF($A393="","",VLOOKUP($A393,CoachRoster!$A:$E,4,FALSE))</f>
        <v/>
      </c>
      <c r="E393" s="27">
        <f>IF($A393="","",MIN(Settings!$B$8,IFERROR(SUMIF(Weekly_Coaching!$B:$B,$A393,Weekly_Coaching!$D:$D),0)+IFERROR(SUMIF(Monthly_Edu!$B:$B,$A393,Monthly_Edu!$D:$D),0)+IFERROR(SUMIF(Monthly_Ops!$B:$B,$A393,Monthly_Ops!$D:$D),0)+IFERROR(SUMIF(Monthly_Mentor!$B:$B,$A393,Monthly_Mentor!$D:$D),0)+IFERROR(SUMIF(Quarterly_Impact!$B:$B,$A393,Quarterly_Impact!$D:$D),0)+IFERROR(SUMIFS(XPLog!$M:$M,XPLog!$B:$B,$A393,XPLog!$J:$J,"Admin"),0)+IFERROR(SUMIFS(XPLog!$M:$M,XPLog!$B:$B,$A393,XPLog!$J:$J,"Seeding"),0)))</f>
        <v/>
      </c>
      <c r="F393" s="27">
        <f>IF($E393="","",LOOKUP($E393, XPBands!B$2:B$10, XPBands!A$2:A$10))</f>
        <v/>
      </c>
      <c r="G393" s="27">
        <f>IF($E393="","", VLOOKUP($F393, XPBands!A$2:G$10, 4, FALSE) + MIN(VLOOKUP($F393, XPBands!A$2:G$10, 5, FALSE) - VLOOKUP($F393, XPBands!A$2:G$10, 4, FALSE), FLOOR(( $E393 - VLOOKUP($F393, XPBands!A$2:G$10, 2, FALSE) ) / VLOOKUP($F393, XPBands!A$2:G$10, 7, FALSE),1)))</f>
        <v/>
      </c>
      <c r="H393" s="27">
        <f>IF($D393="","",VLOOKUP($D393,RoleTitles!$A:$E,3,FALSE))</f>
        <v/>
      </c>
      <c r="I393" s="27">
        <f>IF($D393="","",IF($C393="Greek",VLOOKUP($D393,RoleTitles!$A:$E,4,FALSE),IF($C393="Aesir",VLOOKUP($D393,RoleTitles!$A:$E,5,FALSE),VLOOKUP($D393,RoleTitles!$A:$E,3,FALSE))))</f>
        <v/>
      </c>
      <c r="J393" s="27">
        <f>IF($D393="","",IF($E393&gt;=VLOOKUP($D393,RoleTitles!$A:$B,2,FALSE),"Yes","No"))</f>
        <v/>
      </c>
      <c r="K393" s="27">
        <f>IF($D393="","",IF($D393="T1","T2",IF($D393="T2","T3",IF($D393="T3","T4",IF($D393="T4","T5",IF($D393="T5","T6",IF($D393="T6","T7",IF($D393="T7","T8",IF($D393="T8","T9","")))))))))</f>
        <v/>
      </c>
      <c r="L393" s="28">
        <f>IF($K393="","",MAX(0,VLOOKUP($K393,RoleTitles!$A:$B,2,FALSE)-$E393))</f>
        <v/>
      </c>
    </row>
    <row r="394">
      <c r="A394" s="24">
        <f>IFERROR(INDEX(CoachRoster!$A$2:$A$1000,ROW()-1),"")</f>
        <v/>
      </c>
      <c r="B394" s="27">
        <f>IF($A394="","",VLOOKUP($A394,CoachRoster!$A:$E,2,FALSE))</f>
        <v/>
      </c>
      <c r="C394" s="27">
        <f>IF($A394="","",VLOOKUP($A394,CoachRoster!$A:$E,3,FALSE))</f>
        <v/>
      </c>
      <c r="D394" s="27">
        <f>IF($A394="","",VLOOKUP($A394,CoachRoster!$A:$E,4,FALSE))</f>
        <v/>
      </c>
      <c r="E394" s="27">
        <f>IF($A394="","",MIN(Settings!$B$8,IFERROR(SUMIF(Weekly_Coaching!$B:$B,$A394,Weekly_Coaching!$D:$D),0)+IFERROR(SUMIF(Monthly_Edu!$B:$B,$A394,Monthly_Edu!$D:$D),0)+IFERROR(SUMIF(Monthly_Ops!$B:$B,$A394,Monthly_Ops!$D:$D),0)+IFERROR(SUMIF(Monthly_Mentor!$B:$B,$A394,Monthly_Mentor!$D:$D),0)+IFERROR(SUMIF(Quarterly_Impact!$B:$B,$A394,Quarterly_Impact!$D:$D),0)+IFERROR(SUMIFS(XPLog!$M:$M,XPLog!$B:$B,$A394,XPLog!$J:$J,"Admin"),0)+IFERROR(SUMIFS(XPLog!$M:$M,XPLog!$B:$B,$A394,XPLog!$J:$J,"Seeding"),0)))</f>
        <v/>
      </c>
      <c r="F394" s="27">
        <f>IF($E394="","",LOOKUP($E394, XPBands!B$2:B$10, XPBands!A$2:A$10))</f>
        <v/>
      </c>
      <c r="G394" s="27">
        <f>IF($E394="","", VLOOKUP($F394, XPBands!A$2:G$10, 4, FALSE) + MIN(VLOOKUP($F394, XPBands!A$2:G$10, 5, FALSE) - VLOOKUP($F394, XPBands!A$2:G$10, 4, FALSE), FLOOR(( $E394 - VLOOKUP($F394, XPBands!A$2:G$10, 2, FALSE) ) / VLOOKUP($F394, XPBands!A$2:G$10, 7, FALSE),1)))</f>
        <v/>
      </c>
      <c r="H394" s="27">
        <f>IF($D394="","",VLOOKUP($D394,RoleTitles!$A:$E,3,FALSE))</f>
        <v/>
      </c>
      <c r="I394" s="27">
        <f>IF($D394="","",IF($C394="Greek",VLOOKUP($D394,RoleTitles!$A:$E,4,FALSE),IF($C394="Aesir",VLOOKUP($D394,RoleTitles!$A:$E,5,FALSE),VLOOKUP($D394,RoleTitles!$A:$E,3,FALSE))))</f>
        <v/>
      </c>
      <c r="J394" s="27">
        <f>IF($D394="","",IF($E394&gt;=VLOOKUP($D394,RoleTitles!$A:$B,2,FALSE),"Yes","No"))</f>
        <v/>
      </c>
      <c r="K394" s="27">
        <f>IF($D394="","",IF($D394="T1","T2",IF($D394="T2","T3",IF($D394="T3","T4",IF($D394="T4","T5",IF($D394="T5","T6",IF($D394="T6","T7",IF($D394="T7","T8",IF($D394="T8","T9","")))))))))</f>
        <v/>
      </c>
      <c r="L394" s="28">
        <f>IF($K394="","",MAX(0,VLOOKUP($K394,RoleTitles!$A:$B,2,FALSE)-$E394))</f>
        <v/>
      </c>
    </row>
    <row r="395">
      <c r="A395" s="24">
        <f>IFERROR(INDEX(CoachRoster!$A$2:$A$1000,ROW()-1),"")</f>
        <v/>
      </c>
      <c r="B395" s="27">
        <f>IF($A395="","",VLOOKUP($A395,CoachRoster!$A:$E,2,FALSE))</f>
        <v/>
      </c>
      <c r="C395" s="27">
        <f>IF($A395="","",VLOOKUP($A395,CoachRoster!$A:$E,3,FALSE))</f>
        <v/>
      </c>
      <c r="D395" s="27">
        <f>IF($A395="","",VLOOKUP($A395,CoachRoster!$A:$E,4,FALSE))</f>
        <v/>
      </c>
      <c r="E395" s="27">
        <f>IF($A395="","",MIN(Settings!$B$8,IFERROR(SUMIF(Weekly_Coaching!$B:$B,$A395,Weekly_Coaching!$D:$D),0)+IFERROR(SUMIF(Monthly_Edu!$B:$B,$A395,Monthly_Edu!$D:$D),0)+IFERROR(SUMIF(Monthly_Ops!$B:$B,$A395,Monthly_Ops!$D:$D),0)+IFERROR(SUMIF(Monthly_Mentor!$B:$B,$A395,Monthly_Mentor!$D:$D),0)+IFERROR(SUMIF(Quarterly_Impact!$B:$B,$A395,Quarterly_Impact!$D:$D),0)+IFERROR(SUMIFS(XPLog!$M:$M,XPLog!$B:$B,$A395,XPLog!$J:$J,"Admin"),0)+IFERROR(SUMIFS(XPLog!$M:$M,XPLog!$B:$B,$A395,XPLog!$J:$J,"Seeding"),0)))</f>
        <v/>
      </c>
      <c r="F395" s="27">
        <f>IF($E395="","",LOOKUP($E395, XPBands!B$2:B$10, XPBands!A$2:A$10))</f>
        <v/>
      </c>
      <c r="G395" s="27">
        <f>IF($E395="","", VLOOKUP($F395, XPBands!A$2:G$10, 4, FALSE) + MIN(VLOOKUP($F395, XPBands!A$2:G$10, 5, FALSE) - VLOOKUP($F395, XPBands!A$2:G$10, 4, FALSE), FLOOR(( $E395 - VLOOKUP($F395, XPBands!A$2:G$10, 2, FALSE) ) / VLOOKUP($F395, XPBands!A$2:G$10, 7, FALSE),1)))</f>
        <v/>
      </c>
      <c r="H395" s="27">
        <f>IF($D395="","",VLOOKUP($D395,RoleTitles!$A:$E,3,FALSE))</f>
        <v/>
      </c>
      <c r="I395" s="27">
        <f>IF($D395="","",IF($C395="Greek",VLOOKUP($D395,RoleTitles!$A:$E,4,FALSE),IF($C395="Aesir",VLOOKUP($D395,RoleTitles!$A:$E,5,FALSE),VLOOKUP($D395,RoleTitles!$A:$E,3,FALSE))))</f>
        <v/>
      </c>
      <c r="J395" s="27">
        <f>IF($D395="","",IF($E395&gt;=VLOOKUP($D395,RoleTitles!$A:$B,2,FALSE),"Yes","No"))</f>
        <v/>
      </c>
      <c r="K395" s="27">
        <f>IF($D395="","",IF($D395="T1","T2",IF($D395="T2","T3",IF($D395="T3","T4",IF($D395="T4","T5",IF($D395="T5","T6",IF($D395="T6","T7",IF($D395="T7","T8",IF($D395="T8","T9","")))))))))</f>
        <v/>
      </c>
      <c r="L395" s="28">
        <f>IF($K395="","",MAX(0,VLOOKUP($K395,RoleTitles!$A:$B,2,FALSE)-$E395))</f>
        <v/>
      </c>
    </row>
    <row r="396">
      <c r="A396" s="24">
        <f>IFERROR(INDEX(CoachRoster!$A$2:$A$1000,ROW()-1),"")</f>
        <v/>
      </c>
      <c r="B396" s="27">
        <f>IF($A396="","",VLOOKUP($A396,CoachRoster!$A:$E,2,FALSE))</f>
        <v/>
      </c>
      <c r="C396" s="27">
        <f>IF($A396="","",VLOOKUP($A396,CoachRoster!$A:$E,3,FALSE))</f>
        <v/>
      </c>
      <c r="D396" s="27">
        <f>IF($A396="","",VLOOKUP($A396,CoachRoster!$A:$E,4,FALSE))</f>
        <v/>
      </c>
      <c r="E396" s="27">
        <f>IF($A396="","",MIN(Settings!$B$8,IFERROR(SUMIF(Weekly_Coaching!$B:$B,$A396,Weekly_Coaching!$D:$D),0)+IFERROR(SUMIF(Monthly_Edu!$B:$B,$A396,Monthly_Edu!$D:$D),0)+IFERROR(SUMIF(Monthly_Ops!$B:$B,$A396,Monthly_Ops!$D:$D),0)+IFERROR(SUMIF(Monthly_Mentor!$B:$B,$A396,Monthly_Mentor!$D:$D),0)+IFERROR(SUMIF(Quarterly_Impact!$B:$B,$A396,Quarterly_Impact!$D:$D),0)+IFERROR(SUMIFS(XPLog!$M:$M,XPLog!$B:$B,$A396,XPLog!$J:$J,"Admin"),0)+IFERROR(SUMIFS(XPLog!$M:$M,XPLog!$B:$B,$A396,XPLog!$J:$J,"Seeding"),0)))</f>
        <v/>
      </c>
      <c r="F396" s="27">
        <f>IF($E396="","",LOOKUP($E396, XPBands!B$2:B$10, XPBands!A$2:A$10))</f>
        <v/>
      </c>
      <c r="G396" s="27">
        <f>IF($E396="","", VLOOKUP($F396, XPBands!A$2:G$10, 4, FALSE) + MIN(VLOOKUP($F396, XPBands!A$2:G$10, 5, FALSE) - VLOOKUP($F396, XPBands!A$2:G$10, 4, FALSE), FLOOR(( $E396 - VLOOKUP($F396, XPBands!A$2:G$10, 2, FALSE) ) / VLOOKUP($F396, XPBands!A$2:G$10, 7, FALSE),1)))</f>
        <v/>
      </c>
      <c r="H396" s="27">
        <f>IF($D396="","",VLOOKUP($D396,RoleTitles!$A:$E,3,FALSE))</f>
        <v/>
      </c>
      <c r="I396" s="27">
        <f>IF($D396="","",IF($C396="Greek",VLOOKUP($D396,RoleTitles!$A:$E,4,FALSE),IF($C396="Aesir",VLOOKUP($D396,RoleTitles!$A:$E,5,FALSE),VLOOKUP($D396,RoleTitles!$A:$E,3,FALSE))))</f>
        <v/>
      </c>
      <c r="J396" s="27">
        <f>IF($D396="","",IF($E396&gt;=VLOOKUP($D396,RoleTitles!$A:$B,2,FALSE),"Yes","No"))</f>
        <v/>
      </c>
      <c r="K396" s="27">
        <f>IF($D396="","",IF($D396="T1","T2",IF($D396="T2","T3",IF($D396="T3","T4",IF($D396="T4","T5",IF($D396="T5","T6",IF($D396="T6","T7",IF($D396="T7","T8",IF($D396="T8","T9","")))))))))</f>
        <v/>
      </c>
      <c r="L396" s="28">
        <f>IF($K396="","",MAX(0,VLOOKUP($K396,RoleTitles!$A:$B,2,FALSE)-$E396))</f>
        <v/>
      </c>
    </row>
    <row r="397">
      <c r="A397" s="24">
        <f>IFERROR(INDEX(CoachRoster!$A$2:$A$1000,ROW()-1),"")</f>
        <v/>
      </c>
      <c r="B397" s="27">
        <f>IF($A397="","",VLOOKUP($A397,CoachRoster!$A:$E,2,FALSE))</f>
        <v/>
      </c>
      <c r="C397" s="27">
        <f>IF($A397="","",VLOOKUP($A397,CoachRoster!$A:$E,3,FALSE))</f>
        <v/>
      </c>
      <c r="D397" s="27">
        <f>IF($A397="","",VLOOKUP($A397,CoachRoster!$A:$E,4,FALSE))</f>
        <v/>
      </c>
      <c r="E397" s="27">
        <f>IF($A397="","",MIN(Settings!$B$8,IFERROR(SUMIF(Weekly_Coaching!$B:$B,$A397,Weekly_Coaching!$D:$D),0)+IFERROR(SUMIF(Monthly_Edu!$B:$B,$A397,Monthly_Edu!$D:$D),0)+IFERROR(SUMIF(Monthly_Ops!$B:$B,$A397,Monthly_Ops!$D:$D),0)+IFERROR(SUMIF(Monthly_Mentor!$B:$B,$A397,Monthly_Mentor!$D:$D),0)+IFERROR(SUMIF(Quarterly_Impact!$B:$B,$A397,Quarterly_Impact!$D:$D),0)+IFERROR(SUMIFS(XPLog!$M:$M,XPLog!$B:$B,$A397,XPLog!$J:$J,"Admin"),0)+IFERROR(SUMIFS(XPLog!$M:$M,XPLog!$B:$B,$A397,XPLog!$J:$J,"Seeding"),0)))</f>
        <v/>
      </c>
      <c r="F397" s="27">
        <f>IF($E397="","",LOOKUP($E397, XPBands!B$2:B$10, XPBands!A$2:A$10))</f>
        <v/>
      </c>
      <c r="G397" s="27">
        <f>IF($E397="","", VLOOKUP($F397, XPBands!A$2:G$10, 4, FALSE) + MIN(VLOOKUP($F397, XPBands!A$2:G$10, 5, FALSE) - VLOOKUP($F397, XPBands!A$2:G$10, 4, FALSE), FLOOR(( $E397 - VLOOKUP($F397, XPBands!A$2:G$10, 2, FALSE) ) / VLOOKUP($F397, XPBands!A$2:G$10, 7, FALSE),1)))</f>
        <v/>
      </c>
      <c r="H397" s="27">
        <f>IF($D397="","",VLOOKUP($D397,RoleTitles!$A:$E,3,FALSE))</f>
        <v/>
      </c>
      <c r="I397" s="27">
        <f>IF($D397="","",IF($C397="Greek",VLOOKUP($D397,RoleTitles!$A:$E,4,FALSE),IF($C397="Aesir",VLOOKUP($D397,RoleTitles!$A:$E,5,FALSE),VLOOKUP($D397,RoleTitles!$A:$E,3,FALSE))))</f>
        <v/>
      </c>
      <c r="J397" s="27">
        <f>IF($D397="","",IF($E397&gt;=VLOOKUP($D397,RoleTitles!$A:$B,2,FALSE),"Yes","No"))</f>
        <v/>
      </c>
      <c r="K397" s="27">
        <f>IF($D397="","",IF($D397="T1","T2",IF($D397="T2","T3",IF($D397="T3","T4",IF($D397="T4","T5",IF($D397="T5","T6",IF($D397="T6","T7",IF($D397="T7","T8",IF($D397="T8","T9","")))))))))</f>
        <v/>
      </c>
      <c r="L397" s="28">
        <f>IF($K397="","",MAX(0,VLOOKUP($K397,RoleTitles!$A:$B,2,FALSE)-$E397))</f>
        <v/>
      </c>
    </row>
    <row r="398">
      <c r="A398" s="24">
        <f>IFERROR(INDEX(CoachRoster!$A$2:$A$1000,ROW()-1),"")</f>
        <v/>
      </c>
      <c r="B398" s="27">
        <f>IF($A398="","",VLOOKUP($A398,CoachRoster!$A:$E,2,FALSE))</f>
        <v/>
      </c>
      <c r="C398" s="27">
        <f>IF($A398="","",VLOOKUP($A398,CoachRoster!$A:$E,3,FALSE))</f>
        <v/>
      </c>
      <c r="D398" s="27">
        <f>IF($A398="","",VLOOKUP($A398,CoachRoster!$A:$E,4,FALSE))</f>
        <v/>
      </c>
      <c r="E398" s="27">
        <f>IF($A398="","",MIN(Settings!$B$8,IFERROR(SUMIF(Weekly_Coaching!$B:$B,$A398,Weekly_Coaching!$D:$D),0)+IFERROR(SUMIF(Monthly_Edu!$B:$B,$A398,Monthly_Edu!$D:$D),0)+IFERROR(SUMIF(Monthly_Ops!$B:$B,$A398,Monthly_Ops!$D:$D),0)+IFERROR(SUMIF(Monthly_Mentor!$B:$B,$A398,Monthly_Mentor!$D:$D),0)+IFERROR(SUMIF(Quarterly_Impact!$B:$B,$A398,Quarterly_Impact!$D:$D),0)+IFERROR(SUMIFS(XPLog!$M:$M,XPLog!$B:$B,$A398,XPLog!$J:$J,"Admin"),0)+IFERROR(SUMIFS(XPLog!$M:$M,XPLog!$B:$B,$A398,XPLog!$J:$J,"Seeding"),0)))</f>
        <v/>
      </c>
      <c r="F398" s="27">
        <f>IF($E398="","",LOOKUP($E398, XPBands!B$2:B$10, XPBands!A$2:A$10))</f>
        <v/>
      </c>
      <c r="G398" s="27">
        <f>IF($E398="","", VLOOKUP($F398, XPBands!A$2:G$10, 4, FALSE) + MIN(VLOOKUP($F398, XPBands!A$2:G$10, 5, FALSE) - VLOOKUP($F398, XPBands!A$2:G$10, 4, FALSE), FLOOR(( $E398 - VLOOKUP($F398, XPBands!A$2:G$10, 2, FALSE) ) / VLOOKUP($F398, XPBands!A$2:G$10, 7, FALSE),1)))</f>
        <v/>
      </c>
      <c r="H398" s="27">
        <f>IF($D398="","",VLOOKUP($D398,RoleTitles!$A:$E,3,FALSE))</f>
        <v/>
      </c>
      <c r="I398" s="27">
        <f>IF($D398="","",IF($C398="Greek",VLOOKUP($D398,RoleTitles!$A:$E,4,FALSE),IF($C398="Aesir",VLOOKUP($D398,RoleTitles!$A:$E,5,FALSE),VLOOKUP($D398,RoleTitles!$A:$E,3,FALSE))))</f>
        <v/>
      </c>
      <c r="J398" s="27">
        <f>IF($D398="","",IF($E398&gt;=VLOOKUP($D398,RoleTitles!$A:$B,2,FALSE),"Yes","No"))</f>
        <v/>
      </c>
      <c r="K398" s="27">
        <f>IF($D398="","",IF($D398="T1","T2",IF($D398="T2","T3",IF($D398="T3","T4",IF($D398="T4","T5",IF($D398="T5","T6",IF($D398="T6","T7",IF($D398="T7","T8",IF($D398="T8","T9","")))))))))</f>
        <v/>
      </c>
      <c r="L398" s="28">
        <f>IF($K398="","",MAX(0,VLOOKUP($K398,RoleTitles!$A:$B,2,FALSE)-$E398))</f>
        <v/>
      </c>
    </row>
    <row r="399">
      <c r="A399" s="24">
        <f>IFERROR(INDEX(CoachRoster!$A$2:$A$1000,ROW()-1),"")</f>
        <v/>
      </c>
      <c r="B399" s="27">
        <f>IF($A399="","",VLOOKUP($A399,CoachRoster!$A:$E,2,FALSE))</f>
        <v/>
      </c>
      <c r="C399" s="27">
        <f>IF($A399="","",VLOOKUP($A399,CoachRoster!$A:$E,3,FALSE))</f>
        <v/>
      </c>
      <c r="D399" s="27">
        <f>IF($A399="","",VLOOKUP($A399,CoachRoster!$A:$E,4,FALSE))</f>
        <v/>
      </c>
      <c r="E399" s="27">
        <f>IF($A399="","",MIN(Settings!$B$8,IFERROR(SUMIF(Weekly_Coaching!$B:$B,$A399,Weekly_Coaching!$D:$D),0)+IFERROR(SUMIF(Monthly_Edu!$B:$B,$A399,Monthly_Edu!$D:$D),0)+IFERROR(SUMIF(Monthly_Ops!$B:$B,$A399,Monthly_Ops!$D:$D),0)+IFERROR(SUMIF(Monthly_Mentor!$B:$B,$A399,Monthly_Mentor!$D:$D),0)+IFERROR(SUMIF(Quarterly_Impact!$B:$B,$A399,Quarterly_Impact!$D:$D),0)+IFERROR(SUMIFS(XPLog!$M:$M,XPLog!$B:$B,$A399,XPLog!$J:$J,"Admin"),0)+IFERROR(SUMIFS(XPLog!$M:$M,XPLog!$B:$B,$A399,XPLog!$J:$J,"Seeding"),0)))</f>
        <v/>
      </c>
      <c r="F399" s="27">
        <f>IF($E399="","",LOOKUP($E399, XPBands!B$2:B$10, XPBands!A$2:A$10))</f>
        <v/>
      </c>
      <c r="G399" s="27">
        <f>IF($E399="","", VLOOKUP($F399, XPBands!A$2:G$10, 4, FALSE) + MIN(VLOOKUP($F399, XPBands!A$2:G$10, 5, FALSE) - VLOOKUP($F399, XPBands!A$2:G$10, 4, FALSE), FLOOR(( $E399 - VLOOKUP($F399, XPBands!A$2:G$10, 2, FALSE) ) / VLOOKUP($F399, XPBands!A$2:G$10, 7, FALSE),1)))</f>
        <v/>
      </c>
      <c r="H399" s="27">
        <f>IF($D399="","",VLOOKUP($D399,RoleTitles!$A:$E,3,FALSE))</f>
        <v/>
      </c>
      <c r="I399" s="27">
        <f>IF($D399="","",IF($C399="Greek",VLOOKUP($D399,RoleTitles!$A:$E,4,FALSE),IF($C399="Aesir",VLOOKUP($D399,RoleTitles!$A:$E,5,FALSE),VLOOKUP($D399,RoleTitles!$A:$E,3,FALSE))))</f>
        <v/>
      </c>
      <c r="J399" s="27">
        <f>IF($D399="","",IF($E399&gt;=VLOOKUP($D399,RoleTitles!$A:$B,2,FALSE),"Yes","No"))</f>
        <v/>
      </c>
      <c r="K399" s="27">
        <f>IF($D399="","",IF($D399="T1","T2",IF($D399="T2","T3",IF($D399="T3","T4",IF($D399="T4","T5",IF($D399="T5","T6",IF($D399="T6","T7",IF($D399="T7","T8",IF($D399="T8","T9","")))))))))</f>
        <v/>
      </c>
      <c r="L399" s="28">
        <f>IF($K399="","",MAX(0,VLOOKUP($K399,RoleTitles!$A:$B,2,FALSE)-$E399))</f>
        <v/>
      </c>
    </row>
    <row r="400">
      <c r="A400" s="24">
        <f>IFERROR(INDEX(CoachRoster!$A$2:$A$1000,ROW()-1),"")</f>
        <v/>
      </c>
      <c r="B400" s="27">
        <f>IF($A400="","",VLOOKUP($A400,CoachRoster!$A:$E,2,FALSE))</f>
        <v/>
      </c>
      <c r="C400" s="27">
        <f>IF($A400="","",VLOOKUP($A400,CoachRoster!$A:$E,3,FALSE))</f>
        <v/>
      </c>
      <c r="D400" s="27">
        <f>IF($A400="","",VLOOKUP($A400,CoachRoster!$A:$E,4,FALSE))</f>
        <v/>
      </c>
      <c r="E400" s="27">
        <f>IF($A400="","",MIN(Settings!$B$8,IFERROR(SUMIF(Weekly_Coaching!$B:$B,$A400,Weekly_Coaching!$D:$D),0)+IFERROR(SUMIF(Monthly_Edu!$B:$B,$A400,Monthly_Edu!$D:$D),0)+IFERROR(SUMIF(Monthly_Ops!$B:$B,$A400,Monthly_Ops!$D:$D),0)+IFERROR(SUMIF(Monthly_Mentor!$B:$B,$A400,Monthly_Mentor!$D:$D),0)+IFERROR(SUMIF(Quarterly_Impact!$B:$B,$A400,Quarterly_Impact!$D:$D),0)+IFERROR(SUMIFS(XPLog!$M:$M,XPLog!$B:$B,$A400,XPLog!$J:$J,"Admin"),0)+IFERROR(SUMIFS(XPLog!$M:$M,XPLog!$B:$B,$A400,XPLog!$J:$J,"Seeding"),0)))</f>
        <v/>
      </c>
      <c r="F400" s="27">
        <f>IF($E400="","",LOOKUP($E400, XPBands!B$2:B$10, XPBands!A$2:A$10))</f>
        <v/>
      </c>
      <c r="G400" s="27">
        <f>IF($E400="","", VLOOKUP($F400, XPBands!A$2:G$10, 4, FALSE) + MIN(VLOOKUP($F400, XPBands!A$2:G$10, 5, FALSE) - VLOOKUP($F400, XPBands!A$2:G$10, 4, FALSE), FLOOR(( $E400 - VLOOKUP($F400, XPBands!A$2:G$10, 2, FALSE) ) / VLOOKUP($F400, XPBands!A$2:G$10, 7, FALSE),1)))</f>
        <v/>
      </c>
      <c r="H400" s="27">
        <f>IF($D400="","",VLOOKUP($D400,RoleTitles!$A:$E,3,FALSE))</f>
        <v/>
      </c>
      <c r="I400" s="27">
        <f>IF($D400="","",IF($C400="Greek",VLOOKUP($D400,RoleTitles!$A:$E,4,FALSE),IF($C400="Aesir",VLOOKUP($D400,RoleTitles!$A:$E,5,FALSE),VLOOKUP($D400,RoleTitles!$A:$E,3,FALSE))))</f>
        <v/>
      </c>
      <c r="J400" s="27">
        <f>IF($D400="","",IF($E400&gt;=VLOOKUP($D400,RoleTitles!$A:$B,2,FALSE),"Yes","No"))</f>
        <v/>
      </c>
      <c r="K400" s="27">
        <f>IF($D400="","",IF($D400="T1","T2",IF($D400="T2","T3",IF($D400="T3","T4",IF($D400="T4","T5",IF($D400="T5","T6",IF($D400="T6","T7",IF($D400="T7","T8",IF($D400="T8","T9","")))))))))</f>
        <v/>
      </c>
      <c r="L400" s="28">
        <f>IF($K400="","",MAX(0,VLOOKUP($K400,RoleTitles!$A:$B,2,FALSE)-$E400))</f>
        <v/>
      </c>
    </row>
    <row r="401">
      <c r="A401" s="24">
        <f>IFERROR(INDEX(CoachRoster!$A$2:$A$1000,ROW()-1),"")</f>
        <v/>
      </c>
      <c r="B401" s="27">
        <f>IF($A401="","",VLOOKUP($A401,CoachRoster!$A:$E,2,FALSE))</f>
        <v/>
      </c>
      <c r="C401" s="27">
        <f>IF($A401="","",VLOOKUP($A401,CoachRoster!$A:$E,3,FALSE))</f>
        <v/>
      </c>
      <c r="D401" s="27">
        <f>IF($A401="","",VLOOKUP($A401,CoachRoster!$A:$E,4,FALSE))</f>
        <v/>
      </c>
      <c r="E401" s="27">
        <f>IF($A401="","",MIN(Settings!$B$8,IFERROR(SUMIF(Weekly_Coaching!$B:$B,$A401,Weekly_Coaching!$D:$D),0)+IFERROR(SUMIF(Monthly_Edu!$B:$B,$A401,Monthly_Edu!$D:$D),0)+IFERROR(SUMIF(Monthly_Ops!$B:$B,$A401,Monthly_Ops!$D:$D),0)+IFERROR(SUMIF(Monthly_Mentor!$B:$B,$A401,Monthly_Mentor!$D:$D),0)+IFERROR(SUMIF(Quarterly_Impact!$B:$B,$A401,Quarterly_Impact!$D:$D),0)+IFERROR(SUMIFS(XPLog!$M:$M,XPLog!$B:$B,$A401,XPLog!$J:$J,"Admin"),0)+IFERROR(SUMIFS(XPLog!$M:$M,XPLog!$B:$B,$A401,XPLog!$J:$J,"Seeding"),0)))</f>
        <v/>
      </c>
      <c r="F401" s="27">
        <f>IF($E401="","",LOOKUP($E401, XPBands!B$2:B$10, XPBands!A$2:A$10))</f>
        <v/>
      </c>
      <c r="G401" s="27">
        <f>IF($E401="","", VLOOKUP($F401, XPBands!A$2:G$10, 4, FALSE) + MIN(VLOOKUP($F401, XPBands!A$2:G$10, 5, FALSE) - VLOOKUP($F401, XPBands!A$2:G$10, 4, FALSE), FLOOR(( $E401 - VLOOKUP($F401, XPBands!A$2:G$10, 2, FALSE) ) / VLOOKUP($F401, XPBands!A$2:G$10, 7, FALSE),1)))</f>
        <v/>
      </c>
      <c r="H401" s="27">
        <f>IF($D401="","",VLOOKUP($D401,RoleTitles!$A:$E,3,FALSE))</f>
        <v/>
      </c>
      <c r="I401" s="27">
        <f>IF($D401="","",IF($C401="Greek",VLOOKUP($D401,RoleTitles!$A:$E,4,FALSE),IF($C401="Aesir",VLOOKUP($D401,RoleTitles!$A:$E,5,FALSE),VLOOKUP($D401,RoleTitles!$A:$E,3,FALSE))))</f>
        <v/>
      </c>
      <c r="J401" s="27">
        <f>IF($D401="","",IF($E401&gt;=VLOOKUP($D401,RoleTitles!$A:$B,2,FALSE),"Yes","No"))</f>
        <v/>
      </c>
      <c r="K401" s="27">
        <f>IF($D401="","",IF($D401="T1","T2",IF($D401="T2","T3",IF($D401="T3","T4",IF($D401="T4","T5",IF($D401="T5","T6",IF($D401="T6","T7",IF($D401="T7","T8",IF($D401="T8","T9","")))))))))</f>
        <v/>
      </c>
      <c r="L401" s="28">
        <f>IF($K401="","",MAX(0,VLOOKUP($K401,RoleTitles!$A:$B,2,FALSE)-$E401))</f>
        <v/>
      </c>
    </row>
    <row r="402">
      <c r="A402" s="24">
        <f>IFERROR(INDEX(CoachRoster!$A$2:$A$1000,ROW()-1),"")</f>
        <v/>
      </c>
      <c r="B402" s="27">
        <f>IF($A402="","",VLOOKUP($A402,CoachRoster!$A:$E,2,FALSE))</f>
        <v/>
      </c>
      <c r="C402" s="27">
        <f>IF($A402="","",VLOOKUP($A402,CoachRoster!$A:$E,3,FALSE))</f>
        <v/>
      </c>
      <c r="D402" s="27">
        <f>IF($A402="","",VLOOKUP($A402,CoachRoster!$A:$E,4,FALSE))</f>
        <v/>
      </c>
      <c r="E402" s="27">
        <f>IF($A402="","",MIN(Settings!$B$8,IFERROR(SUMIF(Weekly_Coaching!$B:$B,$A402,Weekly_Coaching!$D:$D),0)+IFERROR(SUMIF(Monthly_Edu!$B:$B,$A402,Monthly_Edu!$D:$D),0)+IFERROR(SUMIF(Monthly_Ops!$B:$B,$A402,Monthly_Ops!$D:$D),0)+IFERROR(SUMIF(Monthly_Mentor!$B:$B,$A402,Monthly_Mentor!$D:$D),0)+IFERROR(SUMIF(Quarterly_Impact!$B:$B,$A402,Quarterly_Impact!$D:$D),0)+IFERROR(SUMIFS(XPLog!$M:$M,XPLog!$B:$B,$A402,XPLog!$J:$J,"Admin"),0)+IFERROR(SUMIFS(XPLog!$M:$M,XPLog!$B:$B,$A402,XPLog!$J:$J,"Seeding"),0)))</f>
        <v/>
      </c>
      <c r="F402" s="27">
        <f>IF($E402="","",LOOKUP($E402, XPBands!B$2:B$10, XPBands!A$2:A$10))</f>
        <v/>
      </c>
      <c r="G402" s="27">
        <f>IF($E402="","", VLOOKUP($F402, XPBands!A$2:G$10, 4, FALSE) + MIN(VLOOKUP($F402, XPBands!A$2:G$10, 5, FALSE) - VLOOKUP($F402, XPBands!A$2:G$10, 4, FALSE), FLOOR(( $E402 - VLOOKUP($F402, XPBands!A$2:G$10, 2, FALSE) ) / VLOOKUP($F402, XPBands!A$2:G$10, 7, FALSE),1)))</f>
        <v/>
      </c>
      <c r="H402" s="27">
        <f>IF($D402="","",VLOOKUP($D402,RoleTitles!$A:$E,3,FALSE))</f>
        <v/>
      </c>
      <c r="I402" s="27">
        <f>IF($D402="","",IF($C402="Greek",VLOOKUP($D402,RoleTitles!$A:$E,4,FALSE),IF($C402="Aesir",VLOOKUP($D402,RoleTitles!$A:$E,5,FALSE),VLOOKUP($D402,RoleTitles!$A:$E,3,FALSE))))</f>
        <v/>
      </c>
      <c r="J402" s="27">
        <f>IF($D402="","",IF($E402&gt;=VLOOKUP($D402,RoleTitles!$A:$B,2,FALSE),"Yes","No"))</f>
        <v/>
      </c>
      <c r="K402" s="27">
        <f>IF($D402="","",IF($D402="T1","T2",IF($D402="T2","T3",IF($D402="T3","T4",IF($D402="T4","T5",IF($D402="T5","T6",IF($D402="T6","T7",IF($D402="T7","T8",IF($D402="T8","T9","")))))))))</f>
        <v/>
      </c>
      <c r="L402" s="28">
        <f>IF($K402="","",MAX(0,VLOOKUP($K402,RoleTitles!$A:$B,2,FALSE)-$E402))</f>
        <v/>
      </c>
    </row>
    <row r="403">
      <c r="A403" s="24">
        <f>IFERROR(INDEX(CoachRoster!$A$2:$A$1000,ROW()-1),"")</f>
        <v/>
      </c>
      <c r="B403" s="27">
        <f>IF($A403="","",VLOOKUP($A403,CoachRoster!$A:$E,2,FALSE))</f>
        <v/>
      </c>
      <c r="C403" s="27">
        <f>IF($A403="","",VLOOKUP($A403,CoachRoster!$A:$E,3,FALSE))</f>
        <v/>
      </c>
      <c r="D403" s="27">
        <f>IF($A403="","",VLOOKUP($A403,CoachRoster!$A:$E,4,FALSE))</f>
        <v/>
      </c>
      <c r="E403" s="27">
        <f>IF($A403="","",MIN(Settings!$B$8,IFERROR(SUMIF(Weekly_Coaching!$B:$B,$A403,Weekly_Coaching!$D:$D),0)+IFERROR(SUMIF(Monthly_Edu!$B:$B,$A403,Monthly_Edu!$D:$D),0)+IFERROR(SUMIF(Monthly_Ops!$B:$B,$A403,Monthly_Ops!$D:$D),0)+IFERROR(SUMIF(Monthly_Mentor!$B:$B,$A403,Monthly_Mentor!$D:$D),0)+IFERROR(SUMIF(Quarterly_Impact!$B:$B,$A403,Quarterly_Impact!$D:$D),0)+IFERROR(SUMIFS(XPLog!$M:$M,XPLog!$B:$B,$A403,XPLog!$J:$J,"Admin"),0)+IFERROR(SUMIFS(XPLog!$M:$M,XPLog!$B:$B,$A403,XPLog!$J:$J,"Seeding"),0)))</f>
        <v/>
      </c>
      <c r="F403" s="27">
        <f>IF($E403="","",LOOKUP($E403, XPBands!B$2:B$10, XPBands!A$2:A$10))</f>
        <v/>
      </c>
      <c r="G403" s="27">
        <f>IF($E403="","", VLOOKUP($F403, XPBands!A$2:G$10, 4, FALSE) + MIN(VLOOKUP($F403, XPBands!A$2:G$10, 5, FALSE) - VLOOKUP($F403, XPBands!A$2:G$10, 4, FALSE), FLOOR(( $E403 - VLOOKUP($F403, XPBands!A$2:G$10, 2, FALSE) ) / VLOOKUP($F403, XPBands!A$2:G$10, 7, FALSE),1)))</f>
        <v/>
      </c>
      <c r="H403" s="27">
        <f>IF($D403="","",VLOOKUP($D403,RoleTitles!$A:$E,3,FALSE))</f>
        <v/>
      </c>
      <c r="I403" s="27">
        <f>IF($D403="","",IF($C403="Greek",VLOOKUP($D403,RoleTitles!$A:$E,4,FALSE),IF($C403="Aesir",VLOOKUP($D403,RoleTitles!$A:$E,5,FALSE),VLOOKUP($D403,RoleTitles!$A:$E,3,FALSE))))</f>
        <v/>
      </c>
      <c r="J403" s="27">
        <f>IF($D403="","",IF($E403&gt;=VLOOKUP($D403,RoleTitles!$A:$B,2,FALSE),"Yes","No"))</f>
        <v/>
      </c>
      <c r="K403" s="27">
        <f>IF($D403="","",IF($D403="T1","T2",IF($D403="T2","T3",IF($D403="T3","T4",IF($D403="T4","T5",IF($D403="T5","T6",IF($D403="T6","T7",IF($D403="T7","T8",IF($D403="T8","T9","")))))))))</f>
        <v/>
      </c>
      <c r="L403" s="28">
        <f>IF($K403="","",MAX(0,VLOOKUP($K403,RoleTitles!$A:$B,2,FALSE)-$E403))</f>
        <v/>
      </c>
    </row>
    <row r="404">
      <c r="A404" s="24">
        <f>IFERROR(INDEX(CoachRoster!$A$2:$A$1000,ROW()-1),"")</f>
        <v/>
      </c>
      <c r="B404" s="27">
        <f>IF($A404="","",VLOOKUP($A404,CoachRoster!$A:$E,2,FALSE))</f>
        <v/>
      </c>
      <c r="C404" s="27">
        <f>IF($A404="","",VLOOKUP($A404,CoachRoster!$A:$E,3,FALSE))</f>
        <v/>
      </c>
      <c r="D404" s="27">
        <f>IF($A404="","",VLOOKUP($A404,CoachRoster!$A:$E,4,FALSE))</f>
        <v/>
      </c>
      <c r="E404" s="27">
        <f>IF($A404="","",MIN(Settings!$B$8,IFERROR(SUMIF(Weekly_Coaching!$B:$B,$A404,Weekly_Coaching!$D:$D),0)+IFERROR(SUMIF(Monthly_Edu!$B:$B,$A404,Monthly_Edu!$D:$D),0)+IFERROR(SUMIF(Monthly_Ops!$B:$B,$A404,Monthly_Ops!$D:$D),0)+IFERROR(SUMIF(Monthly_Mentor!$B:$B,$A404,Monthly_Mentor!$D:$D),0)+IFERROR(SUMIF(Quarterly_Impact!$B:$B,$A404,Quarterly_Impact!$D:$D),0)+IFERROR(SUMIFS(XPLog!$M:$M,XPLog!$B:$B,$A404,XPLog!$J:$J,"Admin"),0)+IFERROR(SUMIFS(XPLog!$M:$M,XPLog!$B:$B,$A404,XPLog!$J:$J,"Seeding"),0)))</f>
        <v/>
      </c>
      <c r="F404" s="27">
        <f>IF($E404="","",LOOKUP($E404, XPBands!B$2:B$10, XPBands!A$2:A$10))</f>
        <v/>
      </c>
      <c r="G404" s="27">
        <f>IF($E404="","", VLOOKUP($F404, XPBands!A$2:G$10, 4, FALSE) + MIN(VLOOKUP($F404, XPBands!A$2:G$10, 5, FALSE) - VLOOKUP($F404, XPBands!A$2:G$10, 4, FALSE), FLOOR(( $E404 - VLOOKUP($F404, XPBands!A$2:G$10, 2, FALSE) ) / VLOOKUP($F404, XPBands!A$2:G$10, 7, FALSE),1)))</f>
        <v/>
      </c>
      <c r="H404" s="27">
        <f>IF($D404="","",VLOOKUP($D404,RoleTitles!$A:$E,3,FALSE))</f>
        <v/>
      </c>
      <c r="I404" s="27">
        <f>IF($D404="","",IF($C404="Greek",VLOOKUP($D404,RoleTitles!$A:$E,4,FALSE),IF($C404="Aesir",VLOOKUP($D404,RoleTitles!$A:$E,5,FALSE),VLOOKUP($D404,RoleTitles!$A:$E,3,FALSE))))</f>
        <v/>
      </c>
      <c r="J404" s="27">
        <f>IF($D404="","",IF($E404&gt;=VLOOKUP($D404,RoleTitles!$A:$B,2,FALSE),"Yes","No"))</f>
        <v/>
      </c>
      <c r="K404" s="27">
        <f>IF($D404="","",IF($D404="T1","T2",IF($D404="T2","T3",IF($D404="T3","T4",IF($D404="T4","T5",IF($D404="T5","T6",IF($D404="T6","T7",IF($D404="T7","T8",IF($D404="T8","T9","")))))))))</f>
        <v/>
      </c>
      <c r="L404" s="28">
        <f>IF($K404="","",MAX(0,VLOOKUP($K404,RoleTitles!$A:$B,2,FALSE)-$E404))</f>
        <v/>
      </c>
    </row>
    <row r="405">
      <c r="A405" s="24">
        <f>IFERROR(INDEX(CoachRoster!$A$2:$A$1000,ROW()-1),"")</f>
        <v/>
      </c>
      <c r="B405" s="27">
        <f>IF($A405="","",VLOOKUP($A405,CoachRoster!$A:$E,2,FALSE))</f>
        <v/>
      </c>
      <c r="C405" s="27">
        <f>IF($A405="","",VLOOKUP($A405,CoachRoster!$A:$E,3,FALSE))</f>
        <v/>
      </c>
      <c r="D405" s="27">
        <f>IF($A405="","",VLOOKUP($A405,CoachRoster!$A:$E,4,FALSE))</f>
        <v/>
      </c>
      <c r="E405" s="27">
        <f>IF($A405="","",MIN(Settings!$B$8,IFERROR(SUMIF(Weekly_Coaching!$B:$B,$A405,Weekly_Coaching!$D:$D),0)+IFERROR(SUMIF(Monthly_Edu!$B:$B,$A405,Monthly_Edu!$D:$D),0)+IFERROR(SUMIF(Monthly_Ops!$B:$B,$A405,Monthly_Ops!$D:$D),0)+IFERROR(SUMIF(Monthly_Mentor!$B:$B,$A405,Monthly_Mentor!$D:$D),0)+IFERROR(SUMIF(Quarterly_Impact!$B:$B,$A405,Quarterly_Impact!$D:$D),0)+IFERROR(SUMIFS(XPLog!$M:$M,XPLog!$B:$B,$A405,XPLog!$J:$J,"Admin"),0)+IFERROR(SUMIFS(XPLog!$M:$M,XPLog!$B:$B,$A405,XPLog!$J:$J,"Seeding"),0)))</f>
        <v/>
      </c>
      <c r="F405" s="27">
        <f>IF($E405="","",LOOKUP($E405, XPBands!B$2:B$10, XPBands!A$2:A$10))</f>
        <v/>
      </c>
      <c r="G405" s="27">
        <f>IF($E405="","", VLOOKUP($F405, XPBands!A$2:G$10, 4, FALSE) + MIN(VLOOKUP($F405, XPBands!A$2:G$10, 5, FALSE) - VLOOKUP($F405, XPBands!A$2:G$10, 4, FALSE), FLOOR(( $E405 - VLOOKUP($F405, XPBands!A$2:G$10, 2, FALSE) ) / VLOOKUP($F405, XPBands!A$2:G$10, 7, FALSE),1)))</f>
        <v/>
      </c>
      <c r="H405" s="27">
        <f>IF($D405="","",VLOOKUP($D405,RoleTitles!$A:$E,3,FALSE))</f>
        <v/>
      </c>
      <c r="I405" s="27">
        <f>IF($D405="","",IF($C405="Greek",VLOOKUP($D405,RoleTitles!$A:$E,4,FALSE),IF($C405="Aesir",VLOOKUP($D405,RoleTitles!$A:$E,5,FALSE),VLOOKUP($D405,RoleTitles!$A:$E,3,FALSE))))</f>
        <v/>
      </c>
      <c r="J405" s="27">
        <f>IF($D405="","",IF($E405&gt;=VLOOKUP($D405,RoleTitles!$A:$B,2,FALSE),"Yes","No"))</f>
        <v/>
      </c>
      <c r="K405" s="27">
        <f>IF($D405="","",IF($D405="T1","T2",IF($D405="T2","T3",IF($D405="T3","T4",IF($D405="T4","T5",IF($D405="T5","T6",IF($D405="T6","T7",IF($D405="T7","T8",IF($D405="T8","T9","")))))))))</f>
        <v/>
      </c>
      <c r="L405" s="28">
        <f>IF($K405="","",MAX(0,VLOOKUP($K405,RoleTitles!$A:$B,2,FALSE)-$E405))</f>
        <v/>
      </c>
    </row>
    <row r="406">
      <c r="A406" s="24">
        <f>IFERROR(INDEX(CoachRoster!$A$2:$A$1000,ROW()-1),"")</f>
        <v/>
      </c>
      <c r="B406" s="27">
        <f>IF($A406="","",VLOOKUP($A406,CoachRoster!$A:$E,2,FALSE))</f>
        <v/>
      </c>
      <c r="C406" s="27">
        <f>IF($A406="","",VLOOKUP($A406,CoachRoster!$A:$E,3,FALSE))</f>
        <v/>
      </c>
      <c r="D406" s="27">
        <f>IF($A406="","",VLOOKUP($A406,CoachRoster!$A:$E,4,FALSE))</f>
        <v/>
      </c>
      <c r="E406" s="27">
        <f>IF($A406="","",MIN(Settings!$B$8,IFERROR(SUMIF(Weekly_Coaching!$B:$B,$A406,Weekly_Coaching!$D:$D),0)+IFERROR(SUMIF(Monthly_Edu!$B:$B,$A406,Monthly_Edu!$D:$D),0)+IFERROR(SUMIF(Monthly_Ops!$B:$B,$A406,Monthly_Ops!$D:$D),0)+IFERROR(SUMIF(Monthly_Mentor!$B:$B,$A406,Monthly_Mentor!$D:$D),0)+IFERROR(SUMIF(Quarterly_Impact!$B:$B,$A406,Quarterly_Impact!$D:$D),0)+IFERROR(SUMIFS(XPLog!$M:$M,XPLog!$B:$B,$A406,XPLog!$J:$J,"Admin"),0)+IFERROR(SUMIFS(XPLog!$M:$M,XPLog!$B:$B,$A406,XPLog!$J:$J,"Seeding"),0)))</f>
        <v/>
      </c>
      <c r="F406" s="27">
        <f>IF($E406="","",LOOKUP($E406, XPBands!B$2:B$10, XPBands!A$2:A$10))</f>
        <v/>
      </c>
      <c r="G406" s="27">
        <f>IF($E406="","", VLOOKUP($F406, XPBands!A$2:G$10, 4, FALSE) + MIN(VLOOKUP($F406, XPBands!A$2:G$10, 5, FALSE) - VLOOKUP($F406, XPBands!A$2:G$10, 4, FALSE), FLOOR(( $E406 - VLOOKUP($F406, XPBands!A$2:G$10, 2, FALSE) ) / VLOOKUP($F406, XPBands!A$2:G$10, 7, FALSE),1)))</f>
        <v/>
      </c>
      <c r="H406" s="27">
        <f>IF($D406="","",VLOOKUP($D406,RoleTitles!$A:$E,3,FALSE))</f>
        <v/>
      </c>
      <c r="I406" s="27">
        <f>IF($D406="","",IF($C406="Greek",VLOOKUP($D406,RoleTitles!$A:$E,4,FALSE),IF($C406="Aesir",VLOOKUP($D406,RoleTitles!$A:$E,5,FALSE),VLOOKUP($D406,RoleTitles!$A:$E,3,FALSE))))</f>
        <v/>
      </c>
      <c r="J406" s="27">
        <f>IF($D406="","",IF($E406&gt;=VLOOKUP($D406,RoleTitles!$A:$B,2,FALSE),"Yes","No"))</f>
        <v/>
      </c>
      <c r="K406" s="27">
        <f>IF($D406="","",IF($D406="T1","T2",IF($D406="T2","T3",IF($D406="T3","T4",IF($D406="T4","T5",IF($D406="T5","T6",IF($D406="T6","T7",IF($D406="T7","T8",IF($D406="T8","T9","")))))))))</f>
        <v/>
      </c>
      <c r="L406" s="28">
        <f>IF($K406="","",MAX(0,VLOOKUP($K406,RoleTitles!$A:$B,2,FALSE)-$E406))</f>
        <v/>
      </c>
    </row>
    <row r="407">
      <c r="A407" s="24">
        <f>IFERROR(INDEX(CoachRoster!$A$2:$A$1000,ROW()-1),"")</f>
        <v/>
      </c>
      <c r="B407" s="27">
        <f>IF($A407="","",VLOOKUP($A407,CoachRoster!$A:$E,2,FALSE))</f>
        <v/>
      </c>
      <c r="C407" s="27">
        <f>IF($A407="","",VLOOKUP($A407,CoachRoster!$A:$E,3,FALSE))</f>
        <v/>
      </c>
      <c r="D407" s="27">
        <f>IF($A407="","",VLOOKUP($A407,CoachRoster!$A:$E,4,FALSE))</f>
        <v/>
      </c>
      <c r="E407" s="27">
        <f>IF($A407="","",MIN(Settings!$B$8,IFERROR(SUMIF(Weekly_Coaching!$B:$B,$A407,Weekly_Coaching!$D:$D),0)+IFERROR(SUMIF(Monthly_Edu!$B:$B,$A407,Monthly_Edu!$D:$D),0)+IFERROR(SUMIF(Monthly_Ops!$B:$B,$A407,Monthly_Ops!$D:$D),0)+IFERROR(SUMIF(Monthly_Mentor!$B:$B,$A407,Monthly_Mentor!$D:$D),0)+IFERROR(SUMIF(Quarterly_Impact!$B:$B,$A407,Quarterly_Impact!$D:$D),0)+IFERROR(SUMIFS(XPLog!$M:$M,XPLog!$B:$B,$A407,XPLog!$J:$J,"Admin"),0)+IFERROR(SUMIFS(XPLog!$M:$M,XPLog!$B:$B,$A407,XPLog!$J:$J,"Seeding"),0)))</f>
        <v/>
      </c>
      <c r="F407" s="27">
        <f>IF($E407="","",LOOKUP($E407, XPBands!B$2:B$10, XPBands!A$2:A$10))</f>
        <v/>
      </c>
      <c r="G407" s="27">
        <f>IF($E407="","", VLOOKUP($F407, XPBands!A$2:G$10, 4, FALSE) + MIN(VLOOKUP($F407, XPBands!A$2:G$10, 5, FALSE) - VLOOKUP($F407, XPBands!A$2:G$10, 4, FALSE), FLOOR(( $E407 - VLOOKUP($F407, XPBands!A$2:G$10, 2, FALSE) ) / VLOOKUP($F407, XPBands!A$2:G$10, 7, FALSE),1)))</f>
        <v/>
      </c>
      <c r="H407" s="27">
        <f>IF($D407="","",VLOOKUP($D407,RoleTitles!$A:$E,3,FALSE))</f>
        <v/>
      </c>
      <c r="I407" s="27">
        <f>IF($D407="","",IF($C407="Greek",VLOOKUP($D407,RoleTitles!$A:$E,4,FALSE),IF($C407="Aesir",VLOOKUP($D407,RoleTitles!$A:$E,5,FALSE),VLOOKUP($D407,RoleTitles!$A:$E,3,FALSE))))</f>
        <v/>
      </c>
      <c r="J407" s="27">
        <f>IF($D407="","",IF($E407&gt;=VLOOKUP($D407,RoleTitles!$A:$B,2,FALSE),"Yes","No"))</f>
        <v/>
      </c>
      <c r="K407" s="27">
        <f>IF($D407="","",IF($D407="T1","T2",IF($D407="T2","T3",IF($D407="T3","T4",IF($D407="T4","T5",IF($D407="T5","T6",IF($D407="T6","T7",IF($D407="T7","T8",IF($D407="T8","T9","")))))))))</f>
        <v/>
      </c>
      <c r="L407" s="28">
        <f>IF($K407="","",MAX(0,VLOOKUP($K407,RoleTitles!$A:$B,2,FALSE)-$E407))</f>
        <v/>
      </c>
    </row>
    <row r="408">
      <c r="A408" s="24">
        <f>IFERROR(INDEX(CoachRoster!$A$2:$A$1000,ROW()-1),"")</f>
        <v/>
      </c>
      <c r="B408" s="27">
        <f>IF($A408="","",VLOOKUP($A408,CoachRoster!$A:$E,2,FALSE))</f>
        <v/>
      </c>
      <c r="C408" s="27">
        <f>IF($A408="","",VLOOKUP($A408,CoachRoster!$A:$E,3,FALSE))</f>
        <v/>
      </c>
      <c r="D408" s="27">
        <f>IF($A408="","",VLOOKUP($A408,CoachRoster!$A:$E,4,FALSE))</f>
        <v/>
      </c>
      <c r="E408" s="27">
        <f>IF($A408="","",MIN(Settings!$B$8,IFERROR(SUMIF(Weekly_Coaching!$B:$B,$A408,Weekly_Coaching!$D:$D),0)+IFERROR(SUMIF(Monthly_Edu!$B:$B,$A408,Monthly_Edu!$D:$D),0)+IFERROR(SUMIF(Monthly_Ops!$B:$B,$A408,Monthly_Ops!$D:$D),0)+IFERROR(SUMIF(Monthly_Mentor!$B:$B,$A408,Monthly_Mentor!$D:$D),0)+IFERROR(SUMIF(Quarterly_Impact!$B:$B,$A408,Quarterly_Impact!$D:$D),0)+IFERROR(SUMIFS(XPLog!$M:$M,XPLog!$B:$B,$A408,XPLog!$J:$J,"Admin"),0)+IFERROR(SUMIFS(XPLog!$M:$M,XPLog!$B:$B,$A408,XPLog!$J:$J,"Seeding"),0)))</f>
        <v/>
      </c>
      <c r="F408" s="27">
        <f>IF($E408="","",LOOKUP($E408, XPBands!B$2:B$10, XPBands!A$2:A$10))</f>
        <v/>
      </c>
      <c r="G408" s="27">
        <f>IF($E408="","", VLOOKUP($F408, XPBands!A$2:G$10, 4, FALSE) + MIN(VLOOKUP($F408, XPBands!A$2:G$10, 5, FALSE) - VLOOKUP($F408, XPBands!A$2:G$10, 4, FALSE), FLOOR(( $E408 - VLOOKUP($F408, XPBands!A$2:G$10, 2, FALSE) ) / VLOOKUP($F408, XPBands!A$2:G$10, 7, FALSE),1)))</f>
        <v/>
      </c>
      <c r="H408" s="27">
        <f>IF($D408="","",VLOOKUP($D408,RoleTitles!$A:$E,3,FALSE))</f>
        <v/>
      </c>
      <c r="I408" s="27">
        <f>IF($D408="","",IF($C408="Greek",VLOOKUP($D408,RoleTitles!$A:$E,4,FALSE),IF($C408="Aesir",VLOOKUP($D408,RoleTitles!$A:$E,5,FALSE),VLOOKUP($D408,RoleTitles!$A:$E,3,FALSE))))</f>
        <v/>
      </c>
      <c r="J408" s="27">
        <f>IF($D408="","",IF($E408&gt;=VLOOKUP($D408,RoleTitles!$A:$B,2,FALSE),"Yes","No"))</f>
        <v/>
      </c>
      <c r="K408" s="27">
        <f>IF($D408="","",IF($D408="T1","T2",IF($D408="T2","T3",IF($D408="T3","T4",IF($D408="T4","T5",IF($D408="T5","T6",IF($D408="T6","T7",IF($D408="T7","T8",IF($D408="T8","T9","")))))))))</f>
        <v/>
      </c>
      <c r="L408" s="28">
        <f>IF($K408="","",MAX(0,VLOOKUP($K408,RoleTitles!$A:$B,2,FALSE)-$E408))</f>
        <v/>
      </c>
    </row>
    <row r="409">
      <c r="A409" s="24">
        <f>IFERROR(INDEX(CoachRoster!$A$2:$A$1000,ROW()-1),"")</f>
        <v/>
      </c>
      <c r="B409" s="27">
        <f>IF($A409="","",VLOOKUP($A409,CoachRoster!$A:$E,2,FALSE))</f>
        <v/>
      </c>
      <c r="C409" s="27">
        <f>IF($A409="","",VLOOKUP($A409,CoachRoster!$A:$E,3,FALSE))</f>
        <v/>
      </c>
      <c r="D409" s="27">
        <f>IF($A409="","",VLOOKUP($A409,CoachRoster!$A:$E,4,FALSE))</f>
        <v/>
      </c>
      <c r="E409" s="27">
        <f>IF($A409="","",MIN(Settings!$B$8,IFERROR(SUMIF(Weekly_Coaching!$B:$B,$A409,Weekly_Coaching!$D:$D),0)+IFERROR(SUMIF(Monthly_Edu!$B:$B,$A409,Monthly_Edu!$D:$D),0)+IFERROR(SUMIF(Monthly_Ops!$B:$B,$A409,Monthly_Ops!$D:$D),0)+IFERROR(SUMIF(Monthly_Mentor!$B:$B,$A409,Monthly_Mentor!$D:$D),0)+IFERROR(SUMIF(Quarterly_Impact!$B:$B,$A409,Quarterly_Impact!$D:$D),0)+IFERROR(SUMIFS(XPLog!$M:$M,XPLog!$B:$B,$A409,XPLog!$J:$J,"Admin"),0)+IFERROR(SUMIFS(XPLog!$M:$M,XPLog!$B:$B,$A409,XPLog!$J:$J,"Seeding"),0)))</f>
        <v/>
      </c>
      <c r="F409" s="27">
        <f>IF($E409="","",LOOKUP($E409, XPBands!B$2:B$10, XPBands!A$2:A$10))</f>
        <v/>
      </c>
      <c r="G409" s="27">
        <f>IF($E409="","", VLOOKUP($F409, XPBands!A$2:G$10, 4, FALSE) + MIN(VLOOKUP($F409, XPBands!A$2:G$10, 5, FALSE) - VLOOKUP($F409, XPBands!A$2:G$10, 4, FALSE), FLOOR(( $E409 - VLOOKUP($F409, XPBands!A$2:G$10, 2, FALSE) ) / VLOOKUP($F409, XPBands!A$2:G$10, 7, FALSE),1)))</f>
        <v/>
      </c>
      <c r="H409" s="27">
        <f>IF($D409="","",VLOOKUP($D409,RoleTitles!$A:$E,3,FALSE))</f>
        <v/>
      </c>
      <c r="I409" s="27">
        <f>IF($D409="","",IF($C409="Greek",VLOOKUP($D409,RoleTitles!$A:$E,4,FALSE),IF($C409="Aesir",VLOOKUP($D409,RoleTitles!$A:$E,5,FALSE),VLOOKUP($D409,RoleTitles!$A:$E,3,FALSE))))</f>
        <v/>
      </c>
      <c r="J409" s="27">
        <f>IF($D409="","",IF($E409&gt;=VLOOKUP($D409,RoleTitles!$A:$B,2,FALSE),"Yes","No"))</f>
        <v/>
      </c>
      <c r="K409" s="27">
        <f>IF($D409="","",IF($D409="T1","T2",IF($D409="T2","T3",IF($D409="T3","T4",IF($D409="T4","T5",IF($D409="T5","T6",IF($D409="T6","T7",IF($D409="T7","T8",IF($D409="T8","T9","")))))))))</f>
        <v/>
      </c>
      <c r="L409" s="28">
        <f>IF($K409="","",MAX(0,VLOOKUP($K409,RoleTitles!$A:$B,2,FALSE)-$E409))</f>
        <v/>
      </c>
    </row>
    <row r="410">
      <c r="A410" s="24">
        <f>IFERROR(INDEX(CoachRoster!$A$2:$A$1000,ROW()-1),"")</f>
        <v/>
      </c>
      <c r="B410" s="27">
        <f>IF($A410="","",VLOOKUP($A410,CoachRoster!$A:$E,2,FALSE))</f>
        <v/>
      </c>
      <c r="C410" s="27">
        <f>IF($A410="","",VLOOKUP($A410,CoachRoster!$A:$E,3,FALSE))</f>
        <v/>
      </c>
      <c r="D410" s="27">
        <f>IF($A410="","",VLOOKUP($A410,CoachRoster!$A:$E,4,FALSE))</f>
        <v/>
      </c>
      <c r="E410" s="27">
        <f>IF($A410="","",MIN(Settings!$B$8,IFERROR(SUMIF(Weekly_Coaching!$B:$B,$A410,Weekly_Coaching!$D:$D),0)+IFERROR(SUMIF(Monthly_Edu!$B:$B,$A410,Monthly_Edu!$D:$D),0)+IFERROR(SUMIF(Monthly_Ops!$B:$B,$A410,Monthly_Ops!$D:$D),0)+IFERROR(SUMIF(Monthly_Mentor!$B:$B,$A410,Monthly_Mentor!$D:$D),0)+IFERROR(SUMIF(Quarterly_Impact!$B:$B,$A410,Quarterly_Impact!$D:$D),0)+IFERROR(SUMIFS(XPLog!$M:$M,XPLog!$B:$B,$A410,XPLog!$J:$J,"Admin"),0)+IFERROR(SUMIFS(XPLog!$M:$M,XPLog!$B:$B,$A410,XPLog!$J:$J,"Seeding"),0)))</f>
        <v/>
      </c>
      <c r="F410" s="27">
        <f>IF($E410="","",LOOKUP($E410, XPBands!B$2:B$10, XPBands!A$2:A$10))</f>
        <v/>
      </c>
      <c r="G410" s="27">
        <f>IF($E410="","", VLOOKUP($F410, XPBands!A$2:G$10, 4, FALSE) + MIN(VLOOKUP($F410, XPBands!A$2:G$10, 5, FALSE) - VLOOKUP($F410, XPBands!A$2:G$10, 4, FALSE), FLOOR(( $E410 - VLOOKUP($F410, XPBands!A$2:G$10, 2, FALSE) ) / VLOOKUP($F410, XPBands!A$2:G$10, 7, FALSE),1)))</f>
        <v/>
      </c>
      <c r="H410" s="27">
        <f>IF($D410="","",VLOOKUP($D410,RoleTitles!$A:$E,3,FALSE))</f>
        <v/>
      </c>
      <c r="I410" s="27">
        <f>IF($D410="","",IF($C410="Greek",VLOOKUP($D410,RoleTitles!$A:$E,4,FALSE),IF($C410="Aesir",VLOOKUP($D410,RoleTitles!$A:$E,5,FALSE),VLOOKUP($D410,RoleTitles!$A:$E,3,FALSE))))</f>
        <v/>
      </c>
      <c r="J410" s="27">
        <f>IF($D410="","",IF($E410&gt;=VLOOKUP($D410,RoleTitles!$A:$B,2,FALSE),"Yes","No"))</f>
        <v/>
      </c>
      <c r="K410" s="27">
        <f>IF($D410="","",IF($D410="T1","T2",IF($D410="T2","T3",IF($D410="T3","T4",IF($D410="T4","T5",IF($D410="T5","T6",IF($D410="T6","T7",IF($D410="T7","T8",IF($D410="T8","T9","")))))))))</f>
        <v/>
      </c>
      <c r="L410" s="28">
        <f>IF($K410="","",MAX(0,VLOOKUP($K410,RoleTitles!$A:$B,2,FALSE)-$E410))</f>
        <v/>
      </c>
    </row>
    <row r="411">
      <c r="A411" s="24">
        <f>IFERROR(INDEX(CoachRoster!$A$2:$A$1000,ROW()-1),"")</f>
        <v/>
      </c>
      <c r="B411" s="27">
        <f>IF($A411="","",VLOOKUP($A411,CoachRoster!$A:$E,2,FALSE))</f>
        <v/>
      </c>
      <c r="C411" s="27">
        <f>IF($A411="","",VLOOKUP($A411,CoachRoster!$A:$E,3,FALSE))</f>
        <v/>
      </c>
      <c r="D411" s="27">
        <f>IF($A411="","",VLOOKUP($A411,CoachRoster!$A:$E,4,FALSE))</f>
        <v/>
      </c>
      <c r="E411" s="27">
        <f>IF($A411="","",MIN(Settings!$B$8,IFERROR(SUMIF(Weekly_Coaching!$B:$B,$A411,Weekly_Coaching!$D:$D),0)+IFERROR(SUMIF(Monthly_Edu!$B:$B,$A411,Monthly_Edu!$D:$D),0)+IFERROR(SUMIF(Monthly_Ops!$B:$B,$A411,Monthly_Ops!$D:$D),0)+IFERROR(SUMIF(Monthly_Mentor!$B:$B,$A411,Monthly_Mentor!$D:$D),0)+IFERROR(SUMIF(Quarterly_Impact!$B:$B,$A411,Quarterly_Impact!$D:$D),0)+IFERROR(SUMIFS(XPLog!$M:$M,XPLog!$B:$B,$A411,XPLog!$J:$J,"Admin"),0)+IFERROR(SUMIFS(XPLog!$M:$M,XPLog!$B:$B,$A411,XPLog!$J:$J,"Seeding"),0)))</f>
        <v/>
      </c>
      <c r="F411" s="27">
        <f>IF($E411="","",LOOKUP($E411, XPBands!B$2:B$10, XPBands!A$2:A$10))</f>
        <v/>
      </c>
      <c r="G411" s="27">
        <f>IF($E411="","", VLOOKUP($F411, XPBands!A$2:G$10, 4, FALSE) + MIN(VLOOKUP($F411, XPBands!A$2:G$10, 5, FALSE) - VLOOKUP($F411, XPBands!A$2:G$10, 4, FALSE), FLOOR(( $E411 - VLOOKUP($F411, XPBands!A$2:G$10, 2, FALSE) ) / VLOOKUP($F411, XPBands!A$2:G$10, 7, FALSE),1)))</f>
        <v/>
      </c>
      <c r="H411" s="27">
        <f>IF($D411="","",VLOOKUP($D411,RoleTitles!$A:$E,3,FALSE))</f>
        <v/>
      </c>
      <c r="I411" s="27">
        <f>IF($D411="","",IF($C411="Greek",VLOOKUP($D411,RoleTitles!$A:$E,4,FALSE),IF($C411="Aesir",VLOOKUP($D411,RoleTitles!$A:$E,5,FALSE),VLOOKUP($D411,RoleTitles!$A:$E,3,FALSE))))</f>
        <v/>
      </c>
      <c r="J411" s="27">
        <f>IF($D411="","",IF($E411&gt;=VLOOKUP($D411,RoleTitles!$A:$B,2,FALSE),"Yes","No"))</f>
        <v/>
      </c>
      <c r="K411" s="27">
        <f>IF($D411="","",IF($D411="T1","T2",IF($D411="T2","T3",IF($D411="T3","T4",IF($D411="T4","T5",IF($D411="T5","T6",IF($D411="T6","T7",IF($D411="T7","T8",IF($D411="T8","T9","")))))))))</f>
        <v/>
      </c>
      <c r="L411" s="28">
        <f>IF($K411="","",MAX(0,VLOOKUP($K411,RoleTitles!$A:$B,2,FALSE)-$E411))</f>
        <v/>
      </c>
    </row>
    <row r="412">
      <c r="A412" s="24">
        <f>IFERROR(INDEX(CoachRoster!$A$2:$A$1000,ROW()-1),"")</f>
        <v/>
      </c>
      <c r="B412" s="27">
        <f>IF($A412="","",VLOOKUP($A412,CoachRoster!$A:$E,2,FALSE))</f>
        <v/>
      </c>
      <c r="C412" s="27">
        <f>IF($A412="","",VLOOKUP($A412,CoachRoster!$A:$E,3,FALSE))</f>
        <v/>
      </c>
      <c r="D412" s="27">
        <f>IF($A412="","",VLOOKUP($A412,CoachRoster!$A:$E,4,FALSE))</f>
        <v/>
      </c>
      <c r="E412" s="27">
        <f>IF($A412="","",MIN(Settings!$B$8,IFERROR(SUMIF(Weekly_Coaching!$B:$B,$A412,Weekly_Coaching!$D:$D),0)+IFERROR(SUMIF(Monthly_Edu!$B:$B,$A412,Monthly_Edu!$D:$D),0)+IFERROR(SUMIF(Monthly_Ops!$B:$B,$A412,Monthly_Ops!$D:$D),0)+IFERROR(SUMIF(Monthly_Mentor!$B:$B,$A412,Monthly_Mentor!$D:$D),0)+IFERROR(SUMIF(Quarterly_Impact!$B:$B,$A412,Quarterly_Impact!$D:$D),0)+IFERROR(SUMIFS(XPLog!$M:$M,XPLog!$B:$B,$A412,XPLog!$J:$J,"Admin"),0)+IFERROR(SUMIFS(XPLog!$M:$M,XPLog!$B:$B,$A412,XPLog!$J:$J,"Seeding"),0)))</f>
        <v/>
      </c>
      <c r="F412" s="27">
        <f>IF($E412="","",LOOKUP($E412, XPBands!B$2:B$10, XPBands!A$2:A$10))</f>
        <v/>
      </c>
      <c r="G412" s="27">
        <f>IF($E412="","", VLOOKUP($F412, XPBands!A$2:G$10, 4, FALSE) + MIN(VLOOKUP($F412, XPBands!A$2:G$10, 5, FALSE) - VLOOKUP($F412, XPBands!A$2:G$10, 4, FALSE), FLOOR(( $E412 - VLOOKUP($F412, XPBands!A$2:G$10, 2, FALSE) ) / VLOOKUP($F412, XPBands!A$2:G$10, 7, FALSE),1)))</f>
        <v/>
      </c>
      <c r="H412" s="27">
        <f>IF($D412="","",VLOOKUP($D412,RoleTitles!$A:$E,3,FALSE))</f>
        <v/>
      </c>
      <c r="I412" s="27">
        <f>IF($D412="","",IF($C412="Greek",VLOOKUP($D412,RoleTitles!$A:$E,4,FALSE),IF($C412="Aesir",VLOOKUP($D412,RoleTitles!$A:$E,5,FALSE),VLOOKUP($D412,RoleTitles!$A:$E,3,FALSE))))</f>
        <v/>
      </c>
      <c r="J412" s="27">
        <f>IF($D412="","",IF($E412&gt;=VLOOKUP($D412,RoleTitles!$A:$B,2,FALSE),"Yes","No"))</f>
        <v/>
      </c>
      <c r="K412" s="27">
        <f>IF($D412="","",IF($D412="T1","T2",IF($D412="T2","T3",IF($D412="T3","T4",IF($D412="T4","T5",IF($D412="T5","T6",IF($D412="T6","T7",IF($D412="T7","T8",IF($D412="T8","T9","")))))))))</f>
        <v/>
      </c>
      <c r="L412" s="28">
        <f>IF($K412="","",MAX(0,VLOOKUP($K412,RoleTitles!$A:$B,2,FALSE)-$E412))</f>
        <v/>
      </c>
    </row>
    <row r="413">
      <c r="A413" s="24">
        <f>IFERROR(INDEX(CoachRoster!$A$2:$A$1000,ROW()-1),"")</f>
        <v/>
      </c>
      <c r="B413" s="27">
        <f>IF($A413="","",VLOOKUP($A413,CoachRoster!$A:$E,2,FALSE))</f>
        <v/>
      </c>
      <c r="C413" s="27">
        <f>IF($A413="","",VLOOKUP($A413,CoachRoster!$A:$E,3,FALSE))</f>
        <v/>
      </c>
      <c r="D413" s="27">
        <f>IF($A413="","",VLOOKUP($A413,CoachRoster!$A:$E,4,FALSE))</f>
        <v/>
      </c>
      <c r="E413" s="27">
        <f>IF($A413="","",MIN(Settings!$B$8,IFERROR(SUMIF(Weekly_Coaching!$B:$B,$A413,Weekly_Coaching!$D:$D),0)+IFERROR(SUMIF(Monthly_Edu!$B:$B,$A413,Monthly_Edu!$D:$D),0)+IFERROR(SUMIF(Monthly_Ops!$B:$B,$A413,Monthly_Ops!$D:$D),0)+IFERROR(SUMIF(Monthly_Mentor!$B:$B,$A413,Monthly_Mentor!$D:$D),0)+IFERROR(SUMIF(Quarterly_Impact!$B:$B,$A413,Quarterly_Impact!$D:$D),0)+IFERROR(SUMIFS(XPLog!$M:$M,XPLog!$B:$B,$A413,XPLog!$J:$J,"Admin"),0)+IFERROR(SUMIFS(XPLog!$M:$M,XPLog!$B:$B,$A413,XPLog!$J:$J,"Seeding"),0)))</f>
        <v/>
      </c>
      <c r="F413" s="27">
        <f>IF($E413="","",LOOKUP($E413, XPBands!B$2:B$10, XPBands!A$2:A$10))</f>
        <v/>
      </c>
      <c r="G413" s="27">
        <f>IF($E413="","", VLOOKUP($F413, XPBands!A$2:G$10, 4, FALSE) + MIN(VLOOKUP($F413, XPBands!A$2:G$10, 5, FALSE) - VLOOKUP($F413, XPBands!A$2:G$10, 4, FALSE), FLOOR(( $E413 - VLOOKUP($F413, XPBands!A$2:G$10, 2, FALSE) ) / VLOOKUP($F413, XPBands!A$2:G$10, 7, FALSE),1)))</f>
        <v/>
      </c>
      <c r="H413" s="27">
        <f>IF($D413="","",VLOOKUP($D413,RoleTitles!$A:$E,3,FALSE))</f>
        <v/>
      </c>
      <c r="I413" s="27">
        <f>IF($D413="","",IF($C413="Greek",VLOOKUP($D413,RoleTitles!$A:$E,4,FALSE),IF($C413="Aesir",VLOOKUP($D413,RoleTitles!$A:$E,5,FALSE),VLOOKUP($D413,RoleTitles!$A:$E,3,FALSE))))</f>
        <v/>
      </c>
      <c r="J413" s="27">
        <f>IF($D413="","",IF($E413&gt;=VLOOKUP($D413,RoleTitles!$A:$B,2,FALSE),"Yes","No"))</f>
        <v/>
      </c>
      <c r="K413" s="27">
        <f>IF($D413="","",IF($D413="T1","T2",IF($D413="T2","T3",IF($D413="T3","T4",IF($D413="T4","T5",IF($D413="T5","T6",IF($D413="T6","T7",IF($D413="T7","T8",IF($D413="T8","T9","")))))))))</f>
        <v/>
      </c>
      <c r="L413" s="28">
        <f>IF($K413="","",MAX(0,VLOOKUP($K413,RoleTitles!$A:$B,2,FALSE)-$E413))</f>
        <v/>
      </c>
    </row>
    <row r="414">
      <c r="A414" s="24">
        <f>IFERROR(INDEX(CoachRoster!$A$2:$A$1000,ROW()-1),"")</f>
        <v/>
      </c>
      <c r="B414" s="27">
        <f>IF($A414="","",VLOOKUP($A414,CoachRoster!$A:$E,2,FALSE))</f>
        <v/>
      </c>
      <c r="C414" s="27">
        <f>IF($A414="","",VLOOKUP($A414,CoachRoster!$A:$E,3,FALSE))</f>
        <v/>
      </c>
      <c r="D414" s="27">
        <f>IF($A414="","",VLOOKUP($A414,CoachRoster!$A:$E,4,FALSE))</f>
        <v/>
      </c>
      <c r="E414" s="27">
        <f>IF($A414="","",MIN(Settings!$B$8,IFERROR(SUMIF(Weekly_Coaching!$B:$B,$A414,Weekly_Coaching!$D:$D),0)+IFERROR(SUMIF(Monthly_Edu!$B:$B,$A414,Monthly_Edu!$D:$D),0)+IFERROR(SUMIF(Monthly_Ops!$B:$B,$A414,Monthly_Ops!$D:$D),0)+IFERROR(SUMIF(Monthly_Mentor!$B:$B,$A414,Monthly_Mentor!$D:$D),0)+IFERROR(SUMIF(Quarterly_Impact!$B:$B,$A414,Quarterly_Impact!$D:$D),0)+IFERROR(SUMIFS(XPLog!$M:$M,XPLog!$B:$B,$A414,XPLog!$J:$J,"Admin"),0)+IFERROR(SUMIFS(XPLog!$M:$M,XPLog!$B:$B,$A414,XPLog!$J:$J,"Seeding"),0)))</f>
        <v/>
      </c>
      <c r="F414" s="27">
        <f>IF($E414="","",LOOKUP($E414, XPBands!B$2:B$10, XPBands!A$2:A$10))</f>
        <v/>
      </c>
      <c r="G414" s="27">
        <f>IF($E414="","", VLOOKUP($F414, XPBands!A$2:G$10, 4, FALSE) + MIN(VLOOKUP($F414, XPBands!A$2:G$10, 5, FALSE) - VLOOKUP($F414, XPBands!A$2:G$10, 4, FALSE), FLOOR(( $E414 - VLOOKUP($F414, XPBands!A$2:G$10, 2, FALSE) ) / VLOOKUP($F414, XPBands!A$2:G$10, 7, FALSE),1)))</f>
        <v/>
      </c>
      <c r="H414" s="27">
        <f>IF($D414="","",VLOOKUP($D414,RoleTitles!$A:$E,3,FALSE))</f>
        <v/>
      </c>
      <c r="I414" s="27">
        <f>IF($D414="","",IF($C414="Greek",VLOOKUP($D414,RoleTitles!$A:$E,4,FALSE),IF($C414="Aesir",VLOOKUP($D414,RoleTitles!$A:$E,5,FALSE),VLOOKUP($D414,RoleTitles!$A:$E,3,FALSE))))</f>
        <v/>
      </c>
      <c r="J414" s="27">
        <f>IF($D414="","",IF($E414&gt;=VLOOKUP($D414,RoleTitles!$A:$B,2,FALSE),"Yes","No"))</f>
        <v/>
      </c>
      <c r="K414" s="27">
        <f>IF($D414="","",IF($D414="T1","T2",IF($D414="T2","T3",IF($D414="T3","T4",IF($D414="T4","T5",IF($D414="T5","T6",IF($D414="T6","T7",IF($D414="T7","T8",IF($D414="T8","T9","")))))))))</f>
        <v/>
      </c>
      <c r="L414" s="28">
        <f>IF($K414="","",MAX(0,VLOOKUP($K414,RoleTitles!$A:$B,2,FALSE)-$E414))</f>
        <v/>
      </c>
    </row>
    <row r="415">
      <c r="A415" s="24">
        <f>IFERROR(INDEX(CoachRoster!$A$2:$A$1000,ROW()-1),"")</f>
        <v/>
      </c>
      <c r="B415" s="27">
        <f>IF($A415="","",VLOOKUP($A415,CoachRoster!$A:$E,2,FALSE))</f>
        <v/>
      </c>
      <c r="C415" s="27">
        <f>IF($A415="","",VLOOKUP($A415,CoachRoster!$A:$E,3,FALSE))</f>
        <v/>
      </c>
      <c r="D415" s="27">
        <f>IF($A415="","",VLOOKUP($A415,CoachRoster!$A:$E,4,FALSE))</f>
        <v/>
      </c>
      <c r="E415" s="27">
        <f>IF($A415="","",MIN(Settings!$B$8,IFERROR(SUMIF(Weekly_Coaching!$B:$B,$A415,Weekly_Coaching!$D:$D),0)+IFERROR(SUMIF(Monthly_Edu!$B:$B,$A415,Monthly_Edu!$D:$D),0)+IFERROR(SUMIF(Monthly_Ops!$B:$B,$A415,Monthly_Ops!$D:$D),0)+IFERROR(SUMIF(Monthly_Mentor!$B:$B,$A415,Monthly_Mentor!$D:$D),0)+IFERROR(SUMIF(Quarterly_Impact!$B:$B,$A415,Quarterly_Impact!$D:$D),0)+IFERROR(SUMIFS(XPLog!$M:$M,XPLog!$B:$B,$A415,XPLog!$J:$J,"Admin"),0)+IFERROR(SUMIFS(XPLog!$M:$M,XPLog!$B:$B,$A415,XPLog!$J:$J,"Seeding"),0)))</f>
        <v/>
      </c>
      <c r="F415" s="27">
        <f>IF($E415="","",LOOKUP($E415, XPBands!B$2:B$10, XPBands!A$2:A$10))</f>
        <v/>
      </c>
      <c r="G415" s="27">
        <f>IF($E415="","", VLOOKUP($F415, XPBands!A$2:G$10, 4, FALSE) + MIN(VLOOKUP($F415, XPBands!A$2:G$10, 5, FALSE) - VLOOKUP($F415, XPBands!A$2:G$10, 4, FALSE), FLOOR(( $E415 - VLOOKUP($F415, XPBands!A$2:G$10, 2, FALSE) ) / VLOOKUP($F415, XPBands!A$2:G$10, 7, FALSE),1)))</f>
        <v/>
      </c>
      <c r="H415" s="27">
        <f>IF($D415="","",VLOOKUP($D415,RoleTitles!$A:$E,3,FALSE))</f>
        <v/>
      </c>
      <c r="I415" s="27">
        <f>IF($D415="","",IF($C415="Greek",VLOOKUP($D415,RoleTitles!$A:$E,4,FALSE),IF($C415="Aesir",VLOOKUP($D415,RoleTitles!$A:$E,5,FALSE),VLOOKUP($D415,RoleTitles!$A:$E,3,FALSE))))</f>
        <v/>
      </c>
      <c r="J415" s="27">
        <f>IF($D415="","",IF($E415&gt;=VLOOKUP($D415,RoleTitles!$A:$B,2,FALSE),"Yes","No"))</f>
        <v/>
      </c>
      <c r="K415" s="27">
        <f>IF($D415="","",IF($D415="T1","T2",IF($D415="T2","T3",IF($D415="T3","T4",IF($D415="T4","T5",IF($D415="T5","T6",IF($D415="T6","T7",IF($D415="T7","T8",IF($D415="T8","T9","")))))))))</f>
        <v/>
      </c>
      <c r="L415" s="28">
        <f>IF($K415="","",MAX(0,VLOOKUP($K415,RoleTitles!$A:$B,2,FALSE)-$E415))</f>
        <v/>
      </c>
    </row>
    <row r="416">
      <c r="A416" s="24">
        <f>IFERROR(INDEX(CoachRoster!$A$2:$A$1000,ROW()-1),"")</f>
        <v/>
      </c>
      <c r="B416" s="27">
        <f>IF($A416="","",VLOOKUP($A416,CoachRoster!$A:$E,2,FALSE))</f>
        <v/>
      </c>
      <c r="C416" s="27">
        <f>IF($A416="","",VLOOKUP($A416,CoachRoster!$A:$E,3,FALSE))</f>
        <v/>
      </c>
      <c r="D416" s="27">
        <f>IF($A416="","",VLOOKUP($A416,CoachRoster!$A:$E,4,FALSE))</f>
        <v/>
      </c>
      <c r="E416" s="27">
        <f>IF($A416="","",MIN(Settings!$B$8,IFERROR(SUMIF(Weekly_Coaching!$B:$B,$A416,Weekly_Coaching!$D:$D),0)+IFERROR(SUMIF(Monthly_Edu!$B:$B,$A416,Monthly_Edu!$D:$D),0)+IFERROR(SUMIF(Monthly_Ops!$B:$B,$A416,Monthly_Ops!$D:$D),0)+IFERROR(SUMIF(Monthly_Mentor!$B:$B,$A416,Monthly_Mentor!$D:$D),0)+IFERROR(SUMIF(Quarterly_Impact!$B:$B,$A416,Quarterly_Impact!$D:$D),0)+IFERROR(SUMIFS(XPLog!$M:$M,XPLog!$B:$B,$A416,XPLog!$J:$J,"Admin"),0)+IFERROR(SUMIFS(XPLog!$M:$M,XPLog!$B:$B,$A416,XPLog!$J:$J,"Seeding"),0)))</f>
        <v/>
      </c>
      <c r="F416" s="27">
        <f>IF($E416="","",LOOKUP($E416, XPBands!B$2:B$10, XPBands!A$2:A$10))</f>
        <v/>
      </c>
      <c r="G416" s="27">
        <f>IF($E416="","", VLOOKUP($F416, XPBands!A$2:G$10, 4, FALSE) + MIN(VLOOKUP($F416, XPBands!A$2:G$10, 5, FALSE) - VLOOKUP($F416, XPBands!A$2:G$10, 4, FALSE), FLOOR(( $E416 - VLOOKUP($F416, XPBands!A$2:G$10, 2, FALSE) ) / VLOOKUP($F416, XPBands!A$2:G$10, 7, FALSE),1)))</f>
        <v/>
      </c>
      <c r="H416" s="27">
        <f>IF($D416="","",VLOOKUP($D416,RoleTitles!$A:$E,3,FALSE))</f>
        <v/>
      </c>
      <c r="I416" s="27">
        <f>IF($D416="","",IF($C416="Greek",VLOOKUP($D416,RoleTitles!$A:$E,4,FALSE),IF($C416="Aesir",VLOOKUP($D416,RoleTitles!$A:$E,5,FALSE),VLOOKUP($D416,RoleTitles!$A:$E,3,FALSE))))</f>
        <v/>
      </c>
      <c r="J416" s="27">
        <f>IF($D416="","",IF($E416&gt;=VLOOKUP($D416,RoleTitles!$A:$B,2,FALSE),"Yes","No"))</f>
        <v/>
      </c>
      <c r="K416" s="27">
        <f>IF($D416="","",IF($D416="T1","T2",IF($D416="T2","T3",IF($D416="T3","T4",IF($D416="T4","T5",IF($D416="T5","T6",IF($D416="T6","T7",IF($D416="T7","T8",IF($D416="T8","T9","")))))))))</f>
        <v/>
      </c>
      <c r="L416" s="28">
        <f>IF($K416="","",MAX(0,VLOOKUP($K416,RoleTitles!$A:$B,2,FALSE)-$E416))</f>
        <v/>
      </c>
    </row>
    <row r="417">
      <c r="A417" s="24">
        <f>IFERROR(INDEX(CoachRoster!$A$2:$A$1000,ROW()-1),"")</f>
        <v/>
      </c>
      <c r="B417" s="27">
        <f>IF($A417="","",VLOOKUP($A417,CoachRoster!$A:$E,2,FALSE))</f>
        <v/>
      </c>
      <c r="C417" s="27">
        <f>IF($A417="","",VLOOKUP($A417,CoachRoster!$A:$E,3,FALSE))</f>
        <v/>
      </c>
      <c r="D417" s="27">
        <f>IF($A417="","",VLOOKUP($A417,CoachRoster!$A:$E,4,FALSE))</f>
        <v/>
      </c>
      <c r="E417" s="27">
        <f>IF($A417="","",MIN(Settings!$B$8,IFERROR(SUMIF(Weekly_Coaching!$B:$B,$A417,Weekly_Coaching!$D:$D),0)+IFERROR(SUMIF(Monthly_Edu!$B:$B,$A417,Monthly_Edu!$D:$D),0)+IFERROR(SUMIF(Monthly_Ops!$B:$B,$A417,Monthly_Ops!$D:$D),0)+IFERROR(SUMIF(Monthly_Mentor!$B:$B,$A417,Monthly_Mentor!$D:$D),0)+IFERROR(SUMIF(Quarterly_Impact!$B:$B,$A417,Quarterly_Impact!$D:$D),0)+IFERROR(SUMIFS(XPLog!$M:$M,XPLog!$B:$B,$A417,XPLog!$J:$J,"Admin"),0)+IFERROR(SUMIFS(XPLog!$M:$M,XPLog!$B:$B,$A417,XPLog!$J:$J,"Seeding"),0)))</f>
        <v/>
      </c>
      <c r="F417" s="27">
        <f>IF($E417="","",LOOKUP($E417, XPBands!B$2:B$10, XPBands!A$2:A$10))</f>
        <v/>
      </c>
      <c r="G417" s="27">
        <f>IF($E417="","", VLOOKUP($F417, XPBands!A$2:G$10, 4, FALSE) + MIN(VLOOKUP($F417, XPBands!A$2:G$10, 5, FALSE) - VLOOKUP($F417, XPBands!A$2:G$10, 4, FALSE), FLOOR(( $E417 - VLOOKUP($F417, XPBands!A$2:G$10, 2, FALSE) ) / VLOOKUP($F417, XPBands!A$2:G$10, 7, FALSE),1)))</f>
        <v/>
      </c>
      <c r="H417" s="27">
        <f>IF($D417="","",VLOOKUP($D417,RoleTitles!$A:$E,3,FALSE))</f>
        <v/>
      </c>
      <c r="I417" s="27">
        <f>IF($D417="","",IF($C417="Greek",VLOOKUP($D417,RoleTitles!$A:$E,4,FALSE),IF($C417="Aesir",VLOOKUP($D417,RoleTitles!$A:$E,5,FALSE),VLOOKUP($D417,RoleTitles!$A:$E,3,FALSE))))</f>
        <v/>
      </c>
      <c r="J417" s="27">
        <f>IF($D417="","",IF($E417&gt;=VLOOKUP($D417,RoleTitles!$A:$B,2,FALSE),"Yes","No"))</f>
        <v/>
      </c>
      <c r="K417" s="27">
        <f>IF($D417="","",IF($D417="T1","T2",IF($D417="T2","T3",IF($D417="T3","T4",IF($D417="T4","T5",IF($D417="T5","T6",IF($D417="T6","T7",IF($D417="T7","T8",IF($D417="T8","T9","")))))))))</f>
        <v/>
      </c>
      <c r="L417" s="28">
        <f>IF($K417="","",MAX(0,VLOOKUP($K417,RoleTitles!$A:$B,2,FALSE)-$E417))</f>
        <v/>
      </c>
    </row>
    <row r="418">
      <c r="A418" s="24">
        <f>IFERROR(INDEX(CoachRoster!$A$2:$A$1000,ROW()-1),"")</f>
        <v/>
      </c>
      <c r="B418" s="27">
        <f>IF($A418="","",VLOOKUP($A418,CoachRoster!$A:$E,2,FALSE))</f>
        <v/>
      </c>
      <c r="C418" s="27">
        <f>IF($A418="","",VLOOKUP($A418,CoachRoster!$A:$E,3,FALSE))</f>
        <v/>
      </c>
      <c r="D418" s="27">
        <f>IF($A418="","",VLOOKUP($A418,CoachRoster!$A:$E,4,FALSE))</f>
        <v/>
      </c>
      <c r="E418" s="27">
        <f>IF($A418="","",MIN(Settings!$B$8,IFERROR(SUMIF(Weekly_Coaching!$B:$B,$A418,Weekly_Coaching!$D:$D),0)+IFERROR(SUMIF(Monthly_Edu!$B:$B,$A418,Monthly_Edu!$D:$D),0)+IFERROR(SUMIF(Monthly_Ops!$B:$B,$A418,Monthly_Ops!$D:$D),0)+IFERROR(SUMIF(Monthly_Mentor!$B:$B,$A418,Monthly_Mentor!$D:$D),0)+IFERROR(SUMIF(Quarterly_Impact!$B:$B,$A418,Quarterly_Impact!$D:$D),0)+IFERROR(SUMIFS(XPLog!$M:$M,XPLog!$B:$B,$A418,XPLog!$J:$J,"Admin"),0)+IFERROR(SUMIFS(XPLog!$M:$M,XPLog!$B:$B,$A418,XPLog!$J:$J,"Seeding"),0)))</f>
        <v/>
      </c>
      <c r="F418" s="27">
        <f>IF($E418="","",LOOKUP($E418, XPBands!B$2:B$10, XPBands!A$2:A$10))</f>
        <v/>
      </c>
      <c r="G418" s="27">
        <f>IF($E418="","", VLOOKUP($F418, XPBands!A$2:G$10, 4, FALSE) + MIN(VLOOKUP($F418, XPBands!A$2:G$10, 5, FALSE) - VLOOKUP($F418, XPBands!A$2:G$10, 4, FALSE), FLOOR(( $E418 - VLOOKUP($F418, XPBands!A$2:G$10, 2, FALSE) ) / VLOOKUP($F418, XPBands!A$2:G$10, 7, FALSE),1)))</f>
        <v/>
      </c>
      <c r="H418" s="27">
        <f>IF($D418="","",VLOOKUP($D418,RoleTitles!$A:$E,3,FALSE))</f>
        <v/>
      </c>
      <c r="I418" s="27">
        <f>IF($D418="","",IF($C418="Greek",VLOOKUP($D418,RoleTitles!$A:$E,4,FALSE),IF($C418="Aesir",VLOOKUP($D418,RoleTitles!$A:$E,5,FALSE),VLOOKUP($D418,RoleTitles!$A:$E,3,FALSE))))</f>
        <v/>
      </c>
      <c r="J418" s="27">
        <f>IF($D418="","",IF($E418&gt;=VLOOKUP($D418,RoleTitles!$A:$B,2,FALSE),"Yes","No"))</f>
        <v/>
      </c>
      <c r="K418" s="27">
        <f>IF($D418="","",IF($D418="T1","T2",IF($D418="T2","T3",IF($D418="T3","T4",IF($D418="T4","T5",IF($D418="T5","T6",IF($D418="T6","T7",IF($D418="T7","T8",IF($D418="T8","T9","")))))))))</f>
        <v/>
      </c>
      <c r="L418" s="28">
        <f>IF($K418="","",MAX(0,VLOOKUP($K418,RoleTitles!$A:$B,2,FALSE)-$E418))</f>
        <v/>
      </c>
    </row>
    <row r="419">
      <c r="A419" s="24">
        <f>IFERROR(INDEX(CoachRoster!$A$2:$A$1000,ROW()-1),"")</f>
        <v/>
      </c>
      <c r="B419" s="27">
        <f>IF($A419="","",VLOOKUP($A419,CoachRoster!$A:$E,2,FALSE))</f>
        <v/>
      </c>
      <c r="C419" s="27">
        <f>IF($A419="","",VLOOKUP($A419,CoachRoster!$A:$E,3,FALSE))</f>
        <v/>
      </c>
      <c r="D419" s="27">
        <f>IF($A419="","",VLOOKUP($A419,CoachRoster!$A:$E,4,FALSE))</f>
        <v/>
      </c>
      <c r="E419" s="27">
        <f>IF($A419="","",MIN(Settings!$B$8,IFERROR(SUMIF(Weekly_Coaching!$B:$B,$A419,Weekly_Coaching!$D:$D),0)+IFERROR(SUMIF(Monthly_Edu!$B:$B,$A419,Monthly_Edu!$D:$D),0)+IFERROR(SUMIF(Monthly_Ops!$B:$B,$A419,Monthly_Ops!$D:$D),0)+IFERROR(SUMIF(Monthly_Mentor!$B:$B,$A419,Monthly_Mentor!$D:$D),0)+IFERROR(SUMIF(Quarterly_Impact!$B:$B,$A419,Quarterly_Impact!$D:$D),0)+IFERROR(SUMIFS(XPLog!$M:$M,XPLog!$B:$B,$A419,XPLog!$J:$J,"Admin"),0)+IFERROR(SUMIFS(XPLog!$M:$M,XPLog!$B:$B,$A419,XPLog!$J:$J,"Seeding"),0)))</f>
        <v/>
      </c>
      <c r="F419" s="27">
        <f>IF($E419="","",LOOKUP($E419, XPBands!B$2:B$10, XPBands!A$2:A$10))</f>
        <v/>
      </c>
      <c r="G419" s="27">
        <f>IF($E419="","", VLOOKUP($F419, XPBands!A$2:G$10, 4, FALSE) + MIN(VLOOKUP($F419, XPBands!A$2:G$10, 5, FALSE) - VLOOKUP($F419, XPBands!A$2:G$10, 4, FALSE), FLOOR(( $E419 - VLOOKUP($F419, XPBands!A$2:G$10, 2, FALSE) ) / VLOOKUP($F419, XPBands!A$2:G$10, 7, FALSE),1)))</f>
        <v/>
      </c>
      <c r="H419" s="27">
        <f>IF($D419="","",VLOOKUP($D419,RoleTitles!$A:$E,3,FALSE))</f>
        <v/>
      </c>
      <c r="I419" s="27">
        <f>IF($D419="","",IF($C419="Greek",VLOOKUP($D419,RoleTitles!$A:$E,4,FALSE),IF($C419="Aesir",VLOOKUP($D419,RoleTitles!$A:$E,5,FALSE),VLOOKUP($D419,RoleTitles!$A:$E,3,FALSE))))</f>
        <v/>
      </c>
      <c r="J419" s="27">
        <f>IF($D419="","",IF($E419&gt;=VLOOKUP($D419,RoleTitles!$A:$B,2,FALSE),"Yes","No"))</f>
        <v/>
      </c>
      <c r="K419" s="27">
        <f>IF($D419="","",IF($D419="T1","T2",IF($D419="T2","T3",IF($D419="T3","T4",IF($D419="T4","T5",IF($D419="T5","T6",IF($D419="T6","T7",IF($D419="T7","T8",IF($D419="T8","T9","")))))))))</f>
        <v/>
      </c>
      <c r="L419" s="28">
        <f>IF($K419="","",MAX(0,VLOOKUP($K419,RoleTitles!$A:$B,2,FALSE)-$E419))</f>
        <v/>
      </c>
    </row>
    <row r="420">
      <c r="A420" s="24">
        <f>IFERROR(INDEX(CoachRoster!$A$2:$A$1000,ROW()-1),"")</f>
        <v/>
      </c>
      <c r="B420" s="27">
        <f>IF($A420="","",VLOOKUP($A420,CoachRoster!$A:$E,2,FALSE))</f>
        <v/>
      </c>
      <c r="C420" s="27">
        <f>IF($A420="","",VLOOKUP($A420,CoachRoster!$A:$E,3,FALSE))</f>
        <v/>
      </c>
      <c r="D420" s="27">
        <f>IF($A420="","",VLOOKUP($A420,CoachRoster!$A:$E,4,FALSE))</f>
        <v/>
      </c>
      <c r="E420" s="27">
        <f>IF($A420="","",MIN(Settings!$B$8,IFERROR(SUMIF(Weekly_Coaching!$B:$B,$A420,Weekly_Coaching!$D:$D),0)+IFERROR(SUMIF(Monthly_Edu!$B:$B,$A420,Monthly_Edu!$D:$D),0)+IFERROR(SUMIF(Monthly_Ops!$B:$B,$A420,Monthly_Ops!$D:$D),0)+IFERROR(SUMIF(Monthly_Mentor!$B:$B,$A420,Monthly_Mentor!$D:$D),0)+IFERROR(SUMIF(Quarterly_Impact!$B:$B,$A420,Quarterly_Impact!$D:$D),0)+IFERROR(SUMIFS(XPLog!$M:$M,XPLog!$B:$B,$A420,XPLog!$J:$J,"Admin"),0)+IFERROR(SUMIFS(XPLog!$M:$M,XPLog!$B:$B,$A420,XPLog!$J:$J,"Seeding"),0)))</f>
        <v/>
      </c>
      <c r="F420" s="27">
        <f>IF($E420="","",LOOKUP($E420, XPBands!B$2:B$10, XPBands!A$2:A$10))</f>
        <v/>
      </c>
      <c r="G420" s="27">
        <f>IF($E420="","", VLOOKUP($F420, XPBands!A$2:G$10, 4, FALSE) + MIN(VLOOKUP($F420, XPBands!A$2:G$10, 5, FALSE) - VLOOKUP($F420, XPBands!A$2:G$10, 4, FALSE), FLOOR(( $E420 - VLOOKUP($F420, XPBands!A$2:G$10, 2, FALSE) ) / VLOOKUP($F420, XPBands!A$2:G$10, 7, FALSE),1)))</f>
        <v/>
      </c>
      <c r="H420" s="27">
        <f>IF($D420="","",VLOOKUP($D420,RoleTitles!$A:$E,3,FALSE))</f>
        <v/>
      </c>
      <c r="I420" s="27">
        <f>IF($D420="","",IF($C420="Greek",VLOOKUP($D420,RoleTitles!$A:$E,4,FALSE),IF($C420="Aesir",VLOOKUP($D420,RoleTitles!$A:$E,5,FALSE),VLOOKUP($D420,RoleTitles!$A:$E,3,FALSE))))</f>
        <v/>
      </c>
      <c r="J420" s="27">
        <f>IF($D420="","",IF($E420&gt;=VLOOKUP($D420,RoleTitles!$A:$B,2,FALSE),"Yes","No"))</f>
        <v/>
      </c>
      <c r="K420" s="27">
        <f>IF($D420="","",IF($D420="T1","T2",IF($D420="T2","T3",IF($D420="T3","T4",IF($D420="T4","T5",IF($D420="T5","T6",IF($D420="T6","T7",IF($D420="T7","T8",IF($D420="T8","T9","")))))))))</f>
        <v/>
      </c>
      <c r="L420" s="28">
        <f>IF($K420="","",MAX(0,VLOOKUP($K420,RoleTitles!$A:$B,2,FALSE)-$E420))</f>
        <v/>
      </c>
    </row>
    <row r="421">
      <c r="A421" s="24">
        <f>IFERROR(INDEX(CoachRoster!$A$2:$A$1000,ROW()-1),"")</f>
        <v/>
      </c>
      <c r="B421" s="27">
        <f>IF($A421="","",VLOOKUP($A421,CoachRoster!$A:$E,2,FALSE))</f>
        <v/>
      </c>
      <c r="C421" s="27">
        <f>IF($A421="","",VLOOKUP($A421,CoachRoster!$A:$E,3,FALSE))</f>
        <v/>
      </c>
      <c r="D421" s="27">
        <f>IF($A421="","",VLOOKUP($A421,CoachRoster!$A:$E,4,FALSE))</f>
        <v/>
      </c>
      <c r="E421" s="27">
        <f>IF($A421="","",MIN(Settings!$B$8,IFERROR(SUMIF(Weekly_Coaching!$B:$B,$A421,Weekly_Coaching!$D:$D),0)+IFERROR(SUMIF(Monthly_Edu!$B:$B,$A421,Monthly_Edu!$D:$D),0)+IFERROR(SUMIF(Monthly_Ops!$B:$B,$A421,Monthly_Ops!$D:$D),0)+IFERROR(SUMIF(Monthly_Mentor!$B:$B,$A421,Monthly_Mentor!$D:$D),0)+IFERROR(SUMIF(Quarterly_Impact!$B:$B,$A421,Quarterly_Impact!$D:$D),0)+IFERROR(SUMIFS(XPLog!$M:$M,XPLog!$B:$B,$A421,XPLog!$J:$J,"Admin"),0)+IFERROR(SUMIFS(XPLog!$M:$M,XPLog!$B:$B,$A421,XPLog!$J:$J,"Seeding"),0)))</f>
        <v/>
      </c>
      <c r="F421" s="27">
        <f>IF($E421="","",LOOKUP($E421, XPBands!B$2:B$10, XPBands!A$2:A$10))</f>
        <v/>
      </c>
      <c r="G421" s="27">
        <f>IF($E421="","", VLOOKUP($F421, XPBands!A$2:G$10, 4, FALSE) + MIN(VLOOKUP($F421, XPBands!A$2:G$10, 5, FALSE) - VLOOKUP($F421, XPBands!A$2:G$10, 4, FALSE), FLOOR(( $E421 - VLOOKUP($F421, XPBands!A$2:G$10, 2, FALSE) ) / VLOOKUP($F421, XPBands!A$2:G$10, 7, FALSE),1)))</f>
        <v/>
      </c>
      <c r="H421" s="27">
        <f>IF($D421="","",VLOOKUP($D421,RoleTitles!$A:$E,3,FALSE))</f>
        <v/>
      </c>
      <c r="I421" s="27">
        <f>IF($D421="","",IF($C421="Greek",VLOOKUP($D421,RoleTitles!$A:$E,4,FALSE),IF($C421="Aesir",VLOOKUP($D421,RoleTitles!$A:$E,5,FALSE),VLOOKUP($D421,RoleTitles!$A:$E,3,FALSE))))</f>
        <v/>
      </c>
      <c r="J421" s="27">
        <f>IF($D421="","",IF($E421&gt;=VLOOKUP($D421,RoleTitles!$A:$B,2,FALSE),"Yes","No"))</f>
        <v/>
      </c>
      <c r="K421" s="27">
        <f>IF($D421="","",IF($D421="T1","T2",IF($D421="T2","T3",IF($D421="T3","T4",IF($D421="T4","T5",IF($D421="T5","T6",IF($D421="T6","T7",IF($D421="T7","T8",IF($D421="T8","T9","")))))))))</f>
        <v/>
      </c>
      <c r="L421" s="28">
        <f>IF($K421="","",MAX(0,VLOOKUP($K421,RoleTitles!$A:$B,2,FALSE)-$E421))</f>
        <v/>
      </c>
    </row>
    <row r="422">
      <c r="A422" s="24">
        <f>IFERROR(INDEX(CoachRoster!$A$2:$A$1000,ROW()-1),"")</f>
        <v/>
      </c>
      <c r="B422" s="27">
        <f>IF($A422="","",VLOOKUP($A422,CoachRoster!$A:$E,2,FALSE))</f>
        <v/>
      </c>
      <c r="C422" s="27">
        <f>IF($A422="","",VLOOKUP($A422,CoachRoster!$A:$E,3,FALSE))</f>
        <v/>
      </c>
      <c r="D422" s="27">
        <f>IF($A422="","",VLOOKUP($A422,CoachRoster!$A:$E,4,FALSE))</f>
        <v/>
      </c>
      <c r="E422" s="27">
        <f>IF($A422="","",MIN(Settings!$B$8,IFERROR(SUMIF(Weekly_Coaching!$B:$B,$A422,Weekly_Coaching!$D:$D),0)+IFERROR(SUMIF(Monthly_Edu!$B:$B,$A422,Monthly_Edu!$D:$D),0)+IFERROR(SUMIF(Monthly_Ops!$B:$B,$A422,Monthly_Ops!$D:$D),0)+IFERROR(SUMIF(Monthly_Mentor!$B:$B,$A422,Monthly_Mentor!$D:$D),0)+IFERROR(SUMIF(Quarterly_Impact!$B:$B,$A422,Quarterly_Impact!$D:$D),0)+IFERROR(SUMIFS(XPLog!$M:$M,XPLog!$B:$B,$A422,XPLog!$J:$J,"Admin"),0)+IFERROR(SUMIFS(XPLog!$M:$M,XPLog!$B:$B,$A422,XPLog!$J:$J,"Seeding"),0)))</f>
        <v/>
      </c>
      <c r="F422" s="27">
        <f>IF($E422="","",LOOKUP($E422, XPBands!B$2:B$10, XPBands!A$2:A$10))</f>
        <v/>
      </c>
      <c r="G422" s="27">
        <f>IF($E422="","", VLOOKUP($F422, XPBands!A$2:G$10, 4, FALSE) + MIN(VLOOKUP($F422, XPBands!A$2:G$10, 5, FALSE) - VLOOKUP($F422, XPBands!A$2:G$10, 4, FALSE), FLOOR(( $E422 - VLOOKUP($F422, XPBands!A$2:G$10, 2, FALSE) ) / VLOOKUP($F422, XPBands!A$2:G$10, 7, FALSE),1)))</f>
        <v/>
      </c>
      <c r="H422" s="27">
        <f>IF($D422="","",VLOOKUP($D422,RoleTitles!$A:$E,3,FALSE))</f>
        <v/>
      </c>
      <c r="I422" s="27">
        <f>IF($D422="","",IF($C422="Greek",VLOOKUP($D422,RoleTitles!$A:$E,4,FALSE),IF($C422="Aesir",VLOOKUP($D422,RoleTitles!$A:$E,5,FALSE),VLOOKUP($D422,RoleTitles!$A:$E,3,FALSE))))</f>
        <v/>
      </c>
      <c r="J422" s="27">
        <f>IF($D422="","",IF($E422&gt;=VLOOKUP($D422,RoleTitles!$A:$B,2,FALSE),"Yes","No"))</f>
        <v/>
      </c>
      <c r="K422" s="27">
        <f>IF($D422="","",IF($D422="T1","T2",IF($D422="T2","T3",IF($D422="T3","T4",IF($D422="T4","T5",IF($D422="T5","T6",IF($D422="T6","T7",IF($D422="T7","T8",IF($D422="T8","T9","")))))))))</f>
        <v/>
      </c>
      <c r="L422" s="28">
        <f>IF($K422="","",MAX(0,VLOOKUP($K422,RoleTitles!$A:$B,2,FALSE)-$E422))</f>
        <v/>
      </c>
    </row>
    <row r="423">
      <c r="A423" s="24">
        <f>IFERROR(INDEX(CoachRoster!$A$2:$A$1000,ROW()-1),"")</f>
        <v/>
      </c>
      <c r="B423" s="27">
        <f>IF($A423="","",VLOOKUP($A423,CoachRoster!$A:$E,2,FALSE))</f>
        <v/>
      </c>
      <c r="C423" s="27">
        <f>IF($A423="","",VLOOKUP($A423,CoachRoster!$A:$E,3,FALSE))</f>
        <v/>
      </c>
      <c r="D423" s="27">
        <f>IF($A423="","",VLOOKUP($A423,CoachRoster!$A:$E,4,FALSE))</f>
        <v/>
      </c>
      <c r="E423" s="27">
        <f>IF($A423="","",MIN(Settings!$B$8,IFERROR(SUMIF(Weekly_Coaching!$B:$B,$A423,Weekly_Coaching!$D:$D),0)+IFERROR(SUMIF(Monthly_Edu!$B:$B,$A423,Monthly_Edu!$D:$D),0)+IFERROR(SUMIF(Monthly_Ops!$B:$B,$A423,Monthly_Ops!$D:$D),0)+IFERROR(SUMIF(Monthly_Mentor!$B:$B,$A423,Monthly_Mentor!$D:$D),0)+IFERROR(SUMIF(Quarterly_Impact!$B:$B,$A423,Quarterly_Impact!$D:$D),0)+IFERROR(SUMIFS(XPLog!$M:$M,XPLog!$B:$B,$A423,XPLog!$J:$J,"Admin"),0)+IFERROR(SUMIFS(XPLog!$M:$M,XPLog!$B:$B,$A423,XPLog!$J:$J,"Seeding"),0)))</f>
        <v/>
      </c>
      <c r="F423" s="27">
        <f>IF($E423="","",LOOKUP($E423, XPBands!B$2:B$10, XPBands!A$2:A$10))</f>
        <v/>
      </c>
      <c r="G423" s="27">
        <f>IF($E423="","", VLOOKUP($F423, XPBands!A$2:G$10, 4, FALSE) + MIN(VLOOKUP($F423, XPBands!A$2:G$10, 5, FALSE) - VLOOKUP($F423, XPBands!A$2:G$10, 4, FALSE), FLOOR(( $E423 - VLOOKUP($F423, XPBands!A$2:G$10, 2, FALSE) ) / VLOOKUP($F423, XPBands!A$2:G$10, 7, FALSE),1)))</f>
        <v/>
      </c>
      <c r="H423" s="27">
        <f>IF($D423="","",VLOOKUP($D423,RoleTitles!$A:$E,3,FALSE))</f>
        <v/>
      </c>
      <c r="I423" s="27">
        <f>IF($D423="","",IF($C423="Greek",VLOOKUP($D423,RoleTitles!$A:$E,4,FALSE),IF($C423="Aesir",VLOOKUP($D423,RoleTitles!$A:$E,5,FALSE),VLOOKUP($D423,RoleTitles!$A:$E,3,FALSE))))</f>
        <v/>
      </c>
      <c r="J423" s="27">
        <f>IF($D423="","",IF($E423&gt;=VLOOKUP($D423,RoleTitles!$A:$B,2,FALSE),"Yes","No"))</f>
        <v/>
      </c>
      <c r="K423" s="27">
        <f>IF($D423="","",IF($D423="T1","T2",IF($D423="T2","T3",IF($D423="T3","T4",IF($D423="T4","T5",IF($D423="T5","T6",IF($D423="T6","T7",IF($D423="T7","T8",IF($D423="T8","T9","")))))))))</f>
        <v/>
      </c>
      <c r="L423" s="28">
        <f>IF($K423="","",MAX(0,VLOOKUP($K423,RoleTitles!$A:$B,2,FALSE)-$E423))</f>
        <v/>
      </c>
    </row>
    <row r="424">
      <c r="A424" s="24">
        <f>IFERROR(INDEX(CoachRoster!$A$2:$A$1000,ROW()-1),"")</f>
        <v/>
      </c>
      <c r="B424" s="27">
        <f>IF($A424="","",VLOOKUP($A424,CoachRoster!$A:$E,2,FALSE))</f>
        <v/>
      </c>
      <c r="C424" s="27">
        <f>IF($A424="","",VLOOKUP($A424,CoachRoster!$A:$E,3,FALSE))</f>
        <v/>
      </c>
      <c r="D424" s="27">
        <f>IF($A424="","",VLOOKUP($A424,CoachRoster!$A:$E,4,FALSE))</f>
        <v/>
      </c>
      <c r="E424" s="27">
        <f>IF($A424="","",MIN(Settings!$B$8,IFERROR(SUMIF(Weekly_Coaching!$B:$B,$A424,Weekly_Coaching!$D:$D),0)+IFERROR(SUMIF(Monthly_Edu!$B:$B,$A424,Monthly_Edu!$D:$D),0)+IFERROR(SUMIF(Monthly_Ops!$B:$B,$A424,Monthly_Ops!$D:$D),0)+IFERROR(SUMIF(Monthly_Mentor!$B:$B,$A424,Monthly_Mentor!$D:$D),0)+IFERROR(SUMIF(Quarterly_Impact!$B:$B,$A424,Quarterly_Impact!$D:$D),0)+IFERROR(SUMIFS(XPLog!$M:$M,XPLog!$B:$B,$A424,XPLog!$J:$J,"Admin"),0)+IFERROR(SUMIFS(XPLog!$M:$M,XPLog!$B:$B,$A424,XPLog!$J:$J,"Seeding"),0)))</f>
        <v/>
      </c>
      <c r="F424" s="27">
        <f>IF($E424="","",LOOKUP($E424, XPBands!B$2:B$10, XPBands!A$2:A$10))</f>
        <v/>
      </c>
      <c r="G424" s="27">
        <f>IF($E424="","", VLOOKUP($F424, XPBands!A$2:G$10, 4, FALSE) + MIN(VLOOKUP($F424, XPBands!A$2:G$10, 5, FALSE) - VLOOKUP($F424, XPBands!A$2:G$10, 4, FALSE), FLOOR(( $E424 - VLOOKUP($F424, XPBands!A$2:G$10, 2, FALSE) ) / VLOOKUP($F424, XPBands!A$2:G$10, 7, FALSE),1)))</f>
        <v/>
      </c>
      <c r="H424" s="27">
        <f>IF($D424="","",VLOOKUP($D424,RoleTitles!$A:$E,3,FALSE))</f>
        <v/>
      </c>
      <c r="I424" s="27">
        <f>IF($D424="","",IF($C424="Greek",VLOOKUP($D424,RoleTitles!$A:$E,4,FALSE),IF($C424="Aesir",VLOOKUP($D424,RoleTitles!$A:$E,5,FALSE),VLOOKUP($D424,RoleTitles!$A:$E,3,FALSE))))</f>
        <v/>
      </c>
      <c r="J424" s="27">
        <f>IF($D424="","",IF($E424&gt;=VLOOKUP($D424,RoleTitles!$A:$B,2,FALSE),"Yes","No"))</f>
        <v/>
      </c>
      <c r="K424" s="27">
        <f>IF($D424="","",IF($D424="T1","T2",IF($D424="T2","T3",IF($D424="T3","T4",IF($D424="T4","T5",IF($D424="T5","T6",IF($D424="T6","T7",IF($D424="T7","T8",IF($D424="T8","T9","")))))))))</f>
        <v/>
      </c>
      <c r="L424" s="28">
        <f>IF($K424="","",MAX(0,VLOOKUP($K424,RoleTitles!$A:$B,2,FALSE)-$E424))</f>
        <v/>
      </c>
    </row>
    <row r="425">
      <c r="A425" s="24">
        <f>IFERROR(INDEX(CoachRoster!$A$2:$A$1000,ROW()-1),"")</f>
        <v/>
      </c>
      <c r="B425" s="27">
        <f>IF($A425="","",VLOOKUP($A425,CoachRoster!$A:$E,2,FALSE))</f>
        <v/>
      </c>
      <c r="C425" s="27">
        <f>IF($A425="","",VLOOKUP($A425,CoachRoster!$A:$E,3,FALSE))</f>
        <v/>
      </c>
      <c r="D425" s="27">
        <f>IF($A425="","",VLOOKUP($A425,CoachRoster!$A:$E,4,FALSE))</f>
        <v/>
      </c>
      <c r="E425" s="27">
        <f>IF($A425="","",MIN(Settings!$B$8,IFERROR(SUMIF(Weekly_Coaching!$B:$B,$A425,Weekly_Coaching!$D:$D),0)+IFERROR(SUMIF(Monthly_Edu!$B:$B,$A425,Monthly_Edu!$D:$D),0)+IFERROR(SUMIF(Monthly_Ops!$B:$B,$A425,Monthly_Ops!$D:$D),0)+IFERROR(SUMIF(Monthly_Mentor!$B:$B,$A425,Monthly_Mentor!$D:$D),0)+IFERROR(SUMIF(Quarterly_Impact!$B:$B,$A425,Quarterly_Impact!$D:$D),0)+IFERROR(SUMIFS(XPLog!$M:$M,XPLog!$B:$B,$A425,XPLog!$J:$J,"Admin"),0)+IFERROR(SUMIFS(XPLog!$M:$M,XPLog!$B:$B,$A425,XPLog!$J:$J,"Seeding"),0)))</f>
        <v/>
      </c>
      <c r="F425" s="27">
        <f>IF($E425="","",LOOKUP($E425, XPBands!B$2:B$10, XPBands!A$2:A$10))</f>
        <v/>
      </c>
      <c r="G425" s="27">
        <f>IF($E425="","", VLOOKUP($F425, XPBands!A$2:G$10, 4, FALSE) + MIN(VLOOKUP($F425, XPBands!A$2:G$10, 5, FALSE) - VLOOKUP($F425, XPBands!A$2:G$10, 4, FALSE), FLOOR(( $E425 - VLOOKUP($F425, XPBands!A$2:G$10, 2, FALSE) ) / VLOOKUP($F425, XPBands!A$2:G$10, 7, FALSE),1)))</f>
        <v/>
      </c>
      <c r="H425" s="27">
        <f>IF($D425="","",VLOOKUP($D425,RoleTitles!$A:$E,3,FALSE))</f>
        <v/>
      </c>
      <c r="I425" s="27">
        <f>IF($D425="","",IF($C425="Greek",VLOOKUP($D425,RoleTitles!$A:$E,4,FALSE),IF($C425="Aesir",VLOOKUP($D425,RoleTitles!$A:$E,5,FALSE),VLOOKUP($D425,RoleTitles!$A:$E,3,FALSE))))</f>
        <v/>
      </c>
      <c r="J425" s="27">
        <f>IF($D425="","",IF($E425&gt;=VLOOKUP($D425,RoleTitles!$A:$B,2,FALSE),"Yes","No"))</f>
        <v/>
      </c>
      <c r="K425" s="27">
        <f>IF($D425="","",IF($D425="T1","T2",IF($D425="T2","T3",IF($D425="T3","T4",IF($D425="T4","T5",IF($D425="T5","T6",IF($D425="T6","T7",IF($D425="T7","T8",IF($D425="T8","T9","")))))))))</f>
        <v/>
      </c>
      <c r="L425" s="28">
        <f>IF($K425="","",MAX(0,VLOOKUP($K425,RoleTitles!$A:$B,2,FALSE)-$E425))</f>
        <v/>
      </c>
    </row>
    <row r="426">
      <c r="A426" s="24">
        <f>IFERROR(INDEX(CoachRoster!$A$2:$A$1000,ROW()-1),"")</f>
        <v/>
      </c>
      <c r="B426" s="27">
        <f>IF($A426="","",VLOOKUP($A426,CoachRoster!$A:$E,2,FALSE))</f>
        <v/>
      </c>
      <c r="C426" s="27">
        <f>IF($A426="","",VLOOKUP($A426,CoachRoster!$A:$E,3,FALSE))</f>
        <v/>
      </c>
      <c r="D426" s="27">
        <f>IF($A426="","",VLOOKUP($A426,CoachRoster!$A:$E,4,FALSE))</f>
        <v/>
      </c>
      <c r="E426" s="27">
        <f>IF($A426="","",MIN(Settings!$B$8,IFERROR(SUMIF(Weekly_Coaching!$B:$B,$A426,Weekly_Coaching!$D:$D),0)+IFERROR(SUMIF(Monthly_Edu!$B:$B,$A426,Monthly_Edu!$D:$D),0)+IFERROR(SUMIF(Monthly_Ops!$B:$B,$A426,Monthly_Ops!$D:$D),0)+IFERROR(SUMIF(Monthly_Mentor!$B:$B,$A426,Monthly_Mentor!$D:$D),0)+IFERROR(SUMIF(Quarterly_Impact!$B:$B,$A426,Quarterly_Impact!$D:$D),0)+IFERROR(SUMIFS(XPLog!$M:$M,XPLog!$B:$B,$A426,XPLog!$J:$J,"Admin"),0)+IFERROR(SUMIFS(XPLog!$M:$M,XPLog!$B:$B,$A426,XPLog!$J:$J,"Seeding"),0)))</f>
        <v/>
      </c>
      <c r="F426" s="27">
        <f>IF($E426="","",LOOKUP($E426, XPBands!B$2:B$10, XPBands!A$2:A$10))</f>
        <v/>
      </c>
      <c r="G426" s="27">
        <f>IF($E426="","", VLOOKUP($F426, XPBands!A$2:G$10, 4, FALSE) + MIN(VLOOKUP($F426, XPBands!A$2:G$10, 5, FALSE) - VLOOKUP($F426, XPBands!A$2:G$10, 4, FALSE), FLOOR(( $E426 - VLOOKUP($F426, XPBands!A$2:G$10, 2, FALSE) ) / VLOOKUP($F426, XPBands!A$2:G$10, 7, FALSE),1)))</f>
        <v/>
      </c>
      <c r="H426" s="27">
        <f>IF($D426="","",VLOOKUP($D426,RoleTitles!$A:$E,3,FALSE))</f>
        <v/>
      </c>
      <c r="I426" s="27">
        <f>IF($D426="","",IF($C426="Greek",VLOOKUP($D426,RoleTitles!$A:$E,4,FALSE),IF($C426="Aesir",VLOOKUP($D426,RoleTitles!$A:$E,5,FALSE),VLOOKUP($D426,RoleTitles!$A:$E,3,FALSE))))</f>
        <v/>
      </c>
      <c r="J426" s="27">
        <f>IF($D426="","",IF($E426&gt;=VLOOKUP($D426,RoleTitles!$A:$B,2,FALSE),"Yes","No"))</f>
        <v/>
      </c>
      <c r="K426" s="27">
        <f>IF($D426="","",IF($D426="T1","T2",IF($D426="T2","T3",IF($D426="T3","T4",IF($D426="T4","T5",IF($D426="T5","T6",IF($D426="T6","T7",IF($D426="T7","T8",IF($D426="T8","T9","")))))))))</f>
        <v/>
      </c>
      <c r="L426" s="28">
        <f>IF($K426="","",MAX(0,VLOOKUP($K426,RoleTitles!$A:$B,2,FALSE)-$E426))</f>
        <v/>
      </c>
    </row>
    <row r="427">
      <c r="A427" s="24">
        <f>IFERROR(INDEX(CoachRoster!$A$2:$A$1000,ROW()-1),"")</f>
        <v/>
      </c>
      <c r="B427" s="27">
        <f>IF($A427="","",VLOOKUP($A427,CoachRoster!$A:$E,2,FALSE))</f>
        <v/>
      </c>
      <c r="C427" s="27">
        <f>IF($A427="","",VLOOKUP($A427,CoachRoster!$A:$E,3,FALSE))</f>
        <v/>
      </c>
      <c r="D427" s="27">
        <f>IF($A427="","",VLOOKUP($A427,CoachRoster!$A:$E,4,FALSE))</f>
        <v/>
      </c>
      <c r="E427" s="27">
        <f>IF($A427="","",MIN(Settings!$B$8,IFERROR(SUMIF(Weekly_Coaching!$B:$B,$A427,Weekly_Coaching!$D:$D),0)+IFERROR(SUMIF(Monthly_Edu!$B:$B,$A427,Monthly_Edu!$D:$D),0)+IFERROR(SUMIF(Monthly_Ops!$B:$B,$A427,Monthly_Ops!$D:$D),0)+IFERROR(SUMIF(Monthly_Mentor!$B:$B,$A427,Monthly_Mentor!$D:$D),0)+IFERROR(SUMIF(Quarterly_Impact!$B:$B,$A427,Quarterly_Impact!$D:$D),0)+IFERROR(SUMIFS(XPLog!$M:$M,XPLog!$B:$B,$A427,XPLog!$J:$J,"Admin"),0)+IFERROR(SUMIFS(XPLog!$M:$M,XPLog!$B:$B,$A427,XPLog!$J:$J,"Seeding"),0)))</f>
        <v/>
      </c>
      <c r="F427" s="27">
        <f>IF($E427="","",LOOKUP($E427, XPBands!B$2:B$10, XPBands!A$2:A$10))</f>
        <v/>
      </c>
      <c r="G427" s="27">
        <f>IF($E427="","", VLOOKUP($F427, XPBands!A$2:G$10, 4, FALSE) + MIN(VLOOKUP($F427, XPBands!A$2:G$10, 5, FALSE) - VLOOKUP($F427, XPBands!A$2:G$10, 4, FALSE), FLOOR(( $E427 - VLOOKUP($F427, XPBands!A$2:G$10, 2, FALSE) ) / VLOOKUP($F427, XPBands!A$2:G$10, 7, FALSE),1)))</f>
        <v/>
      </c>
      <c r="H427" s="27">
        <f>IF($D427="","",VLOOKUP($D427,RoleTitles!$A:$E,3,FALSE))</f>
        <v/>
      </c>
      <c r="I427" s="27">
        <f>IF($D427="","",IF($C427="Greek",VLOOKUP($D427,RoleTitles!$A:$E,4,FALSE),IF($C427="Aesir",VLOOKUP($D427,RoleTitles!$A:$E,5,FALSE),VLOOKUP($D427,RoleTitles!$A:$E,3,FALSE))))</f>
        <v/>
      </c>
      <c r="J427" s="27">
        <f>IF($D427="","",IF($E427&gt;=VLOOKUP($D427,RoleTitles!$A:$B,2,FALSE),"Yes","No"))</f>
        <v/>
      </c>
      <c r="K427" s="27">
        <f>IF($D427="","",IF($D427="T1","T2",IF($D427="T2","T3",IF($D427="T3","T4",IF($D427="T4","T5",IF($D427="T5","T6",IF($D427="T6","T7",IF($D427="T7","T8",IF($D427="T8","T9","")))))))))</f>
        <v/>
      </c>
      <c r="L427" s="28">
        <f>IF($K427="","",MAX(0,VLOOKUP($K427,RoleTitles!$A:$B,2,FALSE)-$E427))</f>
        <v/>
      </c>
    </row>
    <row r="428">
      <c r="A428" s="24">
        <f>IFERROR(INDEX(CoachRoster!$A$2:$A$1000,ROW()-1),"")</f>
        <v/>
      </c>
      <c r="B428" s="27">
        <f>IF($A428="","",VLOOKUP($A428,CoachRoster!$A:$E,2,FALSE))</f>
        <v/>
      </c>
      <c r="C428" s="27">
        <f>IF($A428="","",VLOOKUP($A428,CoachRoster!$A:$E,3,FALSE))</f>
        <v/>
      </c>
      <c r="D428" s="27">
        <f>IF($A428="","",VLOOKUP($A428,CoachRoster!$A:$E,4,FALSE))</f>
        <v/>
      </c>
      <c r="E428" s="27">
        <f>IF($A428="","",MIN(Settings!$B$8,IFERROR(SUMIF(Weekly_Coaching!$B:$B,$A428,Weekly_Coaching!$D:$D),0)+IFERROR(SUMIF(Monthly_Edu!$B:$B,$A428,Monthly_Edu!$D:$D),0)+IFERROR(SUMIF(Monthly_Ops!$B:$B,$A428,Monthly_Ops!$D:$D),0)+IFERROR(SUMIF(Monthly_Mentor!$B:$B,$A428,Monthly_Mentor!$D:$D),0)+IFERROR(SUMIF(Quarterly_Impact!$B:$B,$A428,Quarterly_Impact!$D:$D),0)+IFERROR(SUMIFS(XPLog!$M:$M,XPLog!$B:$B,$A428,XPLog!$J:$J,"Admin"),0)+IFERROR(SUMIFS(XPLog!$M:$M,XPLog!$B:$B,$A428,XPLog!$J:$J,"Seeding"),0)))</f>
        <v/>
      </c>
      <c r="F428" s="27">
        <f>IF($E428="","",LOOKUP($E428, XPBands!B$2:B$10, XPBands!A$2:A$10))</f>
        <v/>
      </c>
      <c r="G428" s="27">
        <f>IF($E428="","", VLOOKUP($F428, XPBands!A$2:G$10, 4, FALSE) + MIN(VLOOKUP($F428, XPBands!A$2:G$10, 5, FALSE) - VLOOKUP($F428, XPBands!A$2:G$10, 4, FALSE), FLOOR(( $E428 - VLOOKUP($F428, XPBands!A$2:G$10, 2, FALSE) ) / VLOOKUP($F428, XPBands!A$2:G$10, 7, FALSE),1)))</f>
        <v/>
      </c>
      <c r="H428" s="27">
        <f>IF($D428="","",VLOOKUP($D428,RoleTitles!$A:$E,3,FALSE))</f>
        <v/>
      </c>
      <c r="I428" s="27">
        <f>IF($D428="","",IF($C428="Greek",VLOOKUP($D428,RoleTitles!$A:$E,4,FALSE),IF($C428="Aesir",VLOOKUP($D428,RoleTitles!$A:$E,5,FALSE),VLOOKUP($D428,RoleTitles!$A:$E,3,FALSE))))</f>
        <v/>
      </c>
      <c r="J428" s="27">
        <f>IF($D428="","",IF($E428&gt;=VLOOKUP($D428,RoleTitles!$A:$B,2,FALSE),"Yes","No"))</f>
        <v/>
      </c>
      <c r="K428" s="27">
        <f>IF($D428="","",IF($D428="T1","T2",IF($D428="T2","T3",IF($D428="T3","T4",IF($D428="T4","T5",IF($D428="T5","T6",IF($D428="T6","T7",IF($D428="T7","T8",IF($D428="T8","T9","")))))))))</f>
        <v/>
      </c>
      <c r="L428" s="28">
        <f>IF($K428="","",MAX(0,VLOOKUP($K428,RoleTitles!$A:$B,2,FALSE)-$E428))</f>
        <v/>
      </c>
    </row>
    <row r="429">
      <c r="A429" s="24">
        <f>IFERROR(INDEX(CoachRoster!$A$2:$A$1000,ROW()-1),"")</f>
        <v/>
      </c>
      <c r="B429" s="27">
        <f>IF($A429="","",VLOOKUP($A429,CoachRoster!$A:$E,2,FALSE))</f>
        <v/>
      </c>
      <c r="C429" s="27">
        <f>IF($A429="","",VLOOKUP($A429,CoachRoster!$A:$E,3,FALSE))</f>
        <v/>
      </c>
      <c r="D429" s="27">
        <f>IF($A429="","",VLOOKUP($A429,CoachRoster!$A:$E,4,FALSE))</f>
        <v/>
      </c>
      <c r="E429" s="27">
        <f>IF($A429="","",MIN(Settings!$B$8,IFERROR(SUMIF(Weekly_Coaching!$B:$B,$A429,Weekly_Coaching!$D:$D),0)+IFERROR(SUMIF(Monthly_Edu!$B:$B,$A429,Monthly_Edu!$D:$D),0)+IFERROR(SUMIF(Monthly_Ops!$B:$B,$A429,Monthly_Ops!$D:$D),0)+IFERROR(SUMIF(Monthly_Mentor!$B:$B,$A429,Monthly_Mentor!$D:$D),0)+IFERROR(SUMIF(Quarterly_Impact!$B:$B,$A429,Quarterly_Impact!$D:$D),0)+IFERROR(SUMIFS(XPLog!$M:$M,XPLog!$B:$B,$A429,XPLog!$J:$J,"Admin"),0)+IFERROR(SUMIFS(XPLog!$M:$M,XPLog!$B:$B,$A429,XPLog!$J:$J,"Seeding"),0)))</f>
        <v/>
      </c>
      <c r="F429" s="27">
        <f>IF($E429="","",LOOKUP($E429, XPBands!B$2:B$10, XPBands!A$2:A$10))</f>
        <v/>
      </c>
      <c r="G429" s="27">
        <f>IF($E429="","", VLOOKUP($F429, XPBands!A$2:G$10, 4, FALSE) + MIN(VLOOKUP($F429, XPBands!A$2:G$10, 5, FALSE) - VLOOKUP($F429, XPBands!A$2:G$10, 4, FALSE), FLOOR(( $E429 - VLOOKUP($F429, XPBands!A$2:G$10, 2, FALSE) ) / VLOOKUP($F429, XPBands!A$2:G$10, 7, FALSE),1)))</f>
        <v/>
      </c>
      <c r="H429" s="27">
        <f>IF($D429="","",VLOOKUP($D429,RoleTitles!$A:$E,3,FALSE))</f>
        <v/>
      </c>
      <c r="I429" s="27">
        <f>IF($D429="","",IF($C429="Greek",VLOOKUP($D429,RoleTitles!$A:$E,4,FALSE),IF($C429="Aesir",VLOOKUP($D429,RoleTitles!$A:$E,5,FALSE),VLOOKUP($D429,RoleTitles!$A:$E,3,FALSE))))</f>
        <v/>
      </c>
      <c r="J429" s="27">
        <f>IF($D429="","",IF($E429&gt;=VLOOKUP($D429,RoleTitles!$A:$B,2,FALSE),"Yes","No"))</f>
        <v/>
      </c>
      <c r="K429" s="27">
        <f>IF($D429="","",IF($D429="T1","T2",IF($D429="T2","T3",IF($D429="T3","T4",IF($D429="T4","T5",IF($D429="T5","T6",IF($D429="T6","T7",IF($D429="T7","T8",IF($D429="T8","T9","")))))))))</f>
        <v/>
      </c>
      <c r="L429" s="28">
        <f>IF($K429="","",MAX(0,VLOOKUP($K429,RoleTitles!$A:$B,2,FALSE)-$E429))</f>
        <v/>
      </c>
    </row>
    <row r="430">
      <c r="A430" s="24">
        <f>IFERROR(INDEX(CoachRoster!$A$2:$A$1000,ROW()-1),"")</f>
        <v/>
      </c>
      <c r="B430" s="27">
        <f>IF($A430="","",VLOOKUP($A430,CoachRoster!$A:$E,2,FALSE))</f>
        <v/>
      </c>
      <c r="C430" s="27">
        <f>IF($A430="","",VLOOKUP($A430,CoachRoster!$A:$E,3,FALSE))</f>
        <v/>
      </c>
      <c r="D430" s="27">
        <f>IF($A430="","",VLOOKUP($A430,CoachRoster!$A:$E,4,FALSE))</f>
        <v/>
      </c>
      <c r="E430" s="27">
        <f>IF($A430="","",MIN(Settings!$B$8,IFERROR(SUMIF(Weekly_Coaching!$B:$B,$A430,Weekly_Coaching!$D:$D),0)+IFERROR(SUMIF(Monthly_Edu!$B:$B,$A430,Monthly_Edu!$D:$D),0)+IFERROR(SUMIF(Monthly_Ops!$B:$B,$A430,Monthly_Ops!$D:$D),0)+IFERROR(SUMIF(Monthly_Mentor!$B:$B,$A430,Monthly_Mentor!$D:$D),0)+IFERROR(SUMIF(Quarterly_Impact!$B:$B,$A430,Quarterly_Impact!$D:$D),0)+IFERROR(SUMIFS(XPLog!$M:$M,XPLog!$B:$B,$A430,XPLog!$J:$J,"Admin"),0)+IFERROR(SUMIFS(XPLog!$M:$M,XPLog!$B:$B,$A430,XPLog!$J:$J,"Seeding"),0)))</f>
        <v/>
      </c>
      <c r="F430" s="27">
        <f>IF($E430="","",LOOKUP($E430, XPBands!B$2:B$10, XPBands!A$2:A$10))</f>
        <v/>
      </c>
      <c r="G430" s="27">
        <f>IF($E430="","", VLOOKUP($F430, XPBands!A$2:G$10, 4, FALSE) + MIN(VLOOKUP($F430, XPBands!A$2:G$10, 5, FALSE) - VLOOKUP($F430, XPBands!A$2:G$10, 4, FALSE), FLOOR(( $E430 - VLOOKUP($F430, XPBands!A$2:G$10, 2, FALSE) ) / VLOOKUP($F430, XPBands!A$2:G$10, 7, FALSE),1)))</f>
        <v/>
      </c>
      <c r="H430" s="27">
        <f>IF($D430="","",VLOOKUP($D430,RoleTitles!$A:$E,3,FALSE))</f>
        <v/>
      </c>
      <c r="I430" s="27">
        <f>IF($D430="","",IF($C430="Greek",VLOOKUP($D430,RoleTitles!$A:$E,4,FALSE),IF($C430="Aesir",VLOOKUP($D430,RoleTitles!$A:$E,5,FALSE),VLOOKUP($D430,RoleTitles!$A:$E,3,FALSE))))</f>
        <v/>
      </c>
      <c r="J430" s="27">
        <f>IF($D430="","",IF($E430&gt;=VLOOKUP($D430,RoleTitles!$A:$B,2,FALSE),"Yes","No"))</f>
        <v/>
      </c>
      <c r="K430" s="27">
        <f>IF($D430="","",IF($D430="T1","T2",IF($D430="T2","T3",IF($D430="T3","T4",IF($D430="T4","T5",IF($D430="T5","T6",IF($D430="T6","T7",IF($D430="T7","T8",IF($D430="T8","T9","")))))))))</f>
        <v/>
      </c>
      <c r="L430" s="28">
        <f>IF($K430="","",MAX(0,VLOOKUP($K430,RoleTitles!$A:$B,2,FALSE)-$E430))</f>
        <v/>
      </c>
    </row>
    <row r="431">
      <c r="A431" s="24">
        <f>IFERROR(INDEX(CoachRoster!$A$2:$A$1000,ROW()-1),"")</f>
        <v/>
      </c>
      <c r="B431" s="27">
        <f>IF($A431="","",VLOOKUP($A431,CoachRoster!$A:$E,2,FALSE))</f>
        <v/>
      </c>
      <c r="C431" s="27">
        <f>IF($A431="","",VLOOKUP($A431,CoachRoster!$A:$E,3,FALSE))</f>
        <v/>
      </c>
      <c r="D431" s="27">
        <f>IF($A431="","",VLOOKUP($A431,CoachRoster!$A:$E,4,FALSE))</f>
        <v/>
      </c>
      <c r="E431" s="27">
        <f>IF($A431="","",MIN(Settings!$B$8,IFERROR(SUMIF(Weekly_Coaching!$B:$B,$A431,Weekly_Coaching!$D:$D),0)+IFERROR(SUMIF(Monthly_Edu!$B:$B,$A431,Monthly_Edu!$D:$D),0)+IFERROR(SUMIF(Monthly_Ops!$B:$B,$A431,Monthly_Ops!$D:$D),0)+IFERROR(SUMIF(Monthly_Mentor!$B:$B,$A431,Monthly_Mentor!$D:$D),0)+IFERROR(SUMIF(Quarterly_Impact!$B:$B,$A431,Quarterly_Impact!$D:$D),0)+IFERROR(SUMIFS(XPLog!$M:$M,XPLog!$B:$B,$A431,XPLog!$J:$J,"Admin"),0)+IFERROR(SUMIFS(XPLog!$M:$M,XPLog!$B:$B,$A431,XPLog!$J:$J,"Seeding"),0)))</f>
        <v/>
      </c>
      <c r="F431" s="27">
        <f>IF($E431="","",LOOKUP($E431, XPBands!B$2:B$10, XPBands!A$2:A$10))</f>
        <v/>
      </c>
      <c r="G431" s="27">
        <f>IF($E431="","", VLOOKUP($F431, XPBands!A$2:G$10, 4, FALSE) + MIN(VLOOKUP($F431, XPBands!A$2:G$10, 5, FALSE) - VLOOKUP($F431, XPBands!A$2:G$10, 4, FALSE), FLOOR(( $E431 - VLOOKUP($F431, XPBands!A$2:G$10, 2, FALSE) ) / VLOOKUP($F431, XPBands!A$2:G$10, 7, FALSE),1)))</f>
        <v/>
      </c>
      <c r="H431" s="27">
        <f>IF($D431="","",VLOOKUP($D431,RoleTitles!$A:$E,3,FALSE))</f>
        <v/>
      </c>
      <c r="I431" s="27">
        <f>IF($D431="","",IF($C431="Greek",VLOOKUP($D431,RoleTitles!$A:$E,4,FALSE),IF($C431="Aesir",VLOOKUP($D431,RoleTitles!$A:$E,5,FALSE),VLOOKUP($D431,RoleTitles!$A:$E,3,FALSE))))</f>
        <v/>
      </c>
      <c r="J431" s="27">
        <f>IF($D431="","",IF($E431&gt;=VLOOKUP($D431,RoleTitles!$A:$B,2,FALSE),"Yes","No"))</f>
        <v/>
      </c>
      <c r="K431" s="27">
        <f>IF($D431="","",IF($D431="T1","T2",IF($D431="T2","T3",IF($D431="T3","T4",IF($D431="T4","T5",IF($D431="T5","T6",IF($D431="T6","T7",IF($D431="T7","T8",IF($D431="T8","T9","")))))))))</f>
        <v/>
      </c>
      <c r="L431" s="28">
        <f>IF($K431="","",MAX(0,VLOOKUP($K431,RoleTitles!$A:$B,2,FALSE)-$E431))</f>
        <v/>
      </c>
    </row>
    <row r="432">
      <c r="A432" s="24">
        <f>IFERROR(INDEX(CoachRoster!$A$2:$A$1000,ROW()-1),"")</f>
        <v/>
      </c>
      <c r="B432" s="27">
        <f>IF($A432="","",VLOOKUP($A432,CoachRoster!$A:$E,2,FALSE))</f>
        <v/>
      </c>
      <c r="C432" s="27">
        <f>IF($A432="","",VLOOKUP($A432,CoachRoster!$A:$E,3,FALSE))</f>
        <v/>
      </c>
      <c r="D432" s="27">
        <f>IF($A432="","",VLOOKUP($A432,CoachRoster!$A:$E,4,FALSE))</f>
        <v/>
      </c>
      <c r="E432" s="27">
        <f>IF($A432="","",MIN(Settings!$B$8,IFERROR(SUMIF(Weekly_Coaching!$B:$B,$A432,Weekly_Coaching!$D:$D),0)+IFERROR(SUMIF(Monthly_Edu!$B:$B,$A432,Monthly_Edu!$D:$D),0)+IFERROR(SUMIF(Monthly_Ops!$B:$B,$A432,Monthly_Ops!$D:$D),0)+IFERROR(SUMIF(Monthly_Mentor!$B:$B,$A432,Monthly_Mentor!$D:$D),0)+IFERROR(SUMIF(Quarterly_Impact!$B:$B,$A432,Quarterly_Impact!$D:$D),0)+IFERROR(SUMIFS(XPLog!$M:$M,XPLog!$B:$B,$A432,XPLog!$J:$J,"Admin"),0)+IFERROR(SUMIFS(XPLog!$M:$M,XPLog!$B:$B,$A432,XPLog!$J:$J,"Seeding"),0)))</f>
        <v/>
      </c>
      <c r="F432" s="27">
        <f>IF($E432="","",LOOKUP($E432, XPBands!B$2:B$10, XPBands!A$2:A$10))</f>
        <v/>
      </c>
      <c r="G432" s="27">
        <f>IF($E432="","", VLOOKUP($F432, XPBands!A$2:G$10, 4, FALSE) + MIN(VLOOKUP($F432, XPBands!A$2:G$10, 5, FALSE) - VLOOKUP($F432, XPBands!A$2:G$10, 4, FALSE), FLOOR(( $E432 - VLOOKUP($F432, XPBands!A$2:G$10, 2, FALSE) ) / VLOOKUP($F432, XPBands!A$2:G$10, 7, FALSE),1)))</f>
        <v/>
      </c>
      <c r="H432" s="27">
        <f>IF($D432="","",VLOOKUP($D432,RoleTitles!$A:$E,3,FALSE))</f>
        <v/>
      </c>
      <c r="I432" s="27">
        <f>IF($D432="","",IF($C432="Greek",VLOOKUP($D432,RoleTitles!$A:$E,4,FALSE),IF($C432="Aesir",VLOOKUP($D432,RoleTitles!$A:$E,5,FALSE),VLOOKUP($D432,RoleTitles!$A:$E,3,FALSE))))</f>
        <v/>
      </c>
      <c r="J432" s="27">
        <f>IF($D432="","",IF($E432&gt;=VLOOKUP($D432,RoleTitles!$A:$B,2,FALSE),"Yes","No"))</f>
        <v/>
      </c>
      <c r="K432" s="27">
        <f>IF($D432="","",IF($D432="T1","T2",IF($D432="T2","T3",IF($D432="T3","T4",IF($D432="T4","T5",IF($D432="T5","T6",IF($D432="T6","T7",IF($D432="T7","T8",IF($D432="T8","T9","")))))))))</f>
        <v/>
      </c>
      <c r="L432" s="28">
        <f>IF($K432="","",MAX(0,VLOOKUP($K432,RoleTitles!$A:$B,2,FALSE)-$E432))</f>
        <v/>
      </c>
    </row>
    <row r="433">
      <c r="A433" s="24">
        <f>IFERROR(INDEX(CoachRoster!$A$2:$A$1000,ROW()-1),"")</f>
        <v/>
      </c>
      <c r="B433" s="27">
        <f>IF($A433="","",VLOOKUP($A433,CoachRoster!$A:$E,2,FALSE))</f>
        <v/>
      </c>
      <c r="C433" s="27">
        <f>IF($A433="","",VLOOKUP($A433,CoachRoster!$A:$E,3,FALSE))</f>
        <v/>
      </c>
      <c r="D433" s="27">
        <f>IF($A433="","",VLOOKUP($A433,CoachRoster!$A:$E,4,FALSE))</f>
        <v/>
      </c>
      <c r="E433" s="27">
        <f>IF($A433="","",MIN(Settings!$B$8,IFERROR(SUMIF(Weekly_Coaching!$B:$B,$A433,Weekly_Coaching!$D:$D),0)+IFERROR(SUMIF(Monthly_Edu!$B:$B,$A433,Monthly_Edu!$D:$D),0)+IFERROR(SUMIF(Monthly_Ops!$B:$B,$A433,Monthly_Ops!$D:$D),0)+IFERROR(SUMIF(Monthly_Mentor!$B:$B,$A433,Monthly_Mentor!$D:$D),0)+IFERROR(SUMIF(Quarterly_Impact!$B:$B,$A433,Quarterly_Impact!$D:$D),0)+IFERROR(SUMIFS(XPLog!$M:$M,XPLog!$B:$B,$A433,XPLog!$J:$J,"Admin"),0)+IFERROR(SUMIFS(XPLog!$M:$M,XPLog!$B:$B,$A433,XPLog!$J:$J,"Seeding"),0)))</f>
        <v/>
      </c>
      <c r="F433" s="27">
        <f>IF($E433="","",LOOKUP($E433, XPBands!B$2:B$10, XPBands!A$2:A$10))</f>
        <v/>
      </c>
      <c r="G433" s="27">
        <f>IF($E433="","", VLOOKUP($F433, XPBands!A$2:G$10, 4, FALSE) + MIN(VLOOKUP($F433, XPBands!A$2:G$10, 5, FALSE) - VLOOKUP($F433, XPBands!A$2:G$10, 4, FALSE), FLOOR(( $E433 - VLOOKUP($F433, XPBands!A$2:G$10, 2, FALSE) ) / VLOOKUP($F433, XPBands!A$2:G$10, 7, FALSE),1)))</f>
        <v/>
      </c>
      <c r="H433" s="27">
        <f>IF($D433="","",VLOOKUP($D433,RoleTitles!$A:$E,3,FALSE))</f>
        <v/>
      </c>
      <c r="I433" s="27">
        <f>IF($D433="","",IF($C433="Greek",VLOOKUP($D433,RoleTitles!$A:$E,4,FALSE),IF($C433="Aesir",VLOOKUP($D433,RoleTitles!$A:$E,5,FALSE),VLOOKUP($D433,RoleTitles!$A:$E,3,FALSE))))</f>
        <v/>
      </c>
      <c r="J433" s="27">
        <f>IF($D433="","",IF($E433&gt;=VLOOKUP($D433,RoleTitles!$A:$B,2,FALSE),"Yes","No"))</f>
        <v/>
      </c>
      <c r="K433" s="27">
        <f>IF($D433="","",IF($D433="T1","T2",IF($D433="T2","T3",IF($D433="T3","T4",IF($D433="T4","T5",IF($D433="T5","T6",IF($D433="T6","T7",IF($D433="T7","T8",IF($D433="T8","T9","")))))))))</f>
        <v/>
      </c>
      <c r="L433" s="28">
        <f>IF($K433="","",MAX(0,VLOOKUP($K433,RoleTitles!$A:$B,2,FALSE)-$E433))</f>
        <v/>
      </c>
    </row>
    <row r="434">
      <c r="A434" s="24">
        <f>IFERROR(INDEX(CoachRoster!$A$2:$A$1000,ROW()-1),"")</f>
        <v/>
      </c>
      <c r="B434" s="27">
        <f>IF($A434="","",VLOOKUP($A434,CoachRoster!$A:$E,2,FALSE))</f>
        <v/>
      </c>
      <c r="C434" s="27">
        <f>IF($A434="","",VLOOKUP($A434,CoachRoster!$A:$E,3,FALSE))</f>
        <v/>
      </c>
      <c r="D434" s="27">
        <f>IF($A434="","",VLOOKUP($A434,CoachRoster!$A:$E,4,FALSE))</f>
        <v/>
      </c>
      <c r="E434" s="27">
        <f>IF($A434="","",MIN(Settings!$B$8,IFERROR(SUMIF(Weekly_Coaching!$B:$B,$A434,Weekly_Coaching!$D:$D),0)+IFERROR(SUMIF(Monthly_Edu!$B:$B,$A434,Monthly_Edu!$D:$D),0)+IFERROR(SUMIF(Monthly_Ops!$B:$B,$A434,Monthly_Ops!$D:$D),0)+IFERROR(SUMIF(Monthly_Mentor!$B:$B,$A434,Monthly_Mentor!$D:$D),0)+IFERROR(SUMIF(Quarterly_Impact!$B:$B,$A434,Quarterly_Impact!$D:$D),0)+IFERROR(SUMIFS(XPLog!$M:$M,XPLog!$B:$B,$A434,XPLog!$J:$J,"Admin"),0)+IFERROR(SUMIFS(XPLog!$M:$M,XPLog!$B:$B,$A434,XPLog!$J:$J,"Seeding"),0)))</f>
        <v/>
      </c>
      <c r="F434" s="27">
        <f>IF($E434="","",LOOKUP($E434, XPBands!B$2:B$10, XPBands!A$2:A$10))</f>
        <v/>
      </c>
      <c r="G434" s="27">
        <f>IF($E434="","", VLOOKUP($F434, XPBands!A$2:G$10, 4, FALSE) + MIN(VLOOKUP($F434, XPBands!A$2:G$10, 5, FALSE) - VLOOKUP($F434, XPBands!A$2:G$10, 4, FALSE), FLOOR(( $E434 - VLOOKUP($F434, XPBands!A$2:G$10, 2, FALSE) ) / VLOOKUP($F434, XPBands!A$2:G$10, 7, FALSE),1)))</f>
        <v/>
      </c>
      <c r="H434" s="27">
        <f>IF($D434="","",VLOOKUP($D434,RoleTitles!$A:$E,3,FALSE))</f>
        <v/>
      </c>
      <c r="I434" s="27">
        <f>IF($D434="","",IF($C434="Greek",VLOOKUP($D434,RoleTitles!$A:$E,4,FALSE),IF($C434="Aesir",VLOOKUP($D434,RoleTitles!$A:$E,5,FALSE),VLOOKUP($D434,RoleTitles!$A:$E,3,FALSE))))</f>
        <v/>
      </c>
      <c r="J434" s="27">
        <f>IF($D434="","",IF($E434&gt;=VLOOKUP($D434,RoleTitles!$A:$B,2,FALSE),"Yes","No"))</f>
        <v/>
      </c>
      <c r="K434" s="27">
        <f>IF($D434="","",IF($D434="T1","T2",IF($D434="T2","T3",IF($D434="T3","T4",IF($D434="T4","T5",IF($D434="T5","T6",IF($D434="T6","T7",IF($D434="T7","T8",IF($D434="T8","T9","")))))))))</f>
        <v/>
      </c>
      <c r="L434" s="28">
        <f>IF($K434="","",MAX(0,VLOOKUP($K434,RoleTitles!$A:$B,2,FALSE)-$E434))</f>
        <v/>
      </c>
    </row>
    <row r="435">
      <c r="A435" s="24">
        <f>IFERROR(INDEX(CoachRoster!$A$2:$A$1000,ROW()-1),"")</f>
        <v/>
      </c>
      <c r="B435" s="27">
        <f>IF($A435="","",VLOOKUP($A435,CoachRoster!$A:$E,2,FALSE))</f>
        <v/>
      </c>
      <c r="C435" s="27">
        <f>IF($A435="","",VLOOKUP($A435,CoachRoster!$A:$E,3,FALSE))</f>
        <v/>
      </c>
      <c r="D435" s="27">
        <f>IF($A435="","",VLOOKUP($A435,CoachRoster!$A:$E,4,FALSE))</f>
        <v/>
      </c>
      <c r="E435" s="27">
        <f>IF($A435="","",MIN(Settings!$B$8,IFERROR(SUMIF(Weekly_Coaching!$B:$B,$A435,Weekly_Coaching!$D:$D),0)+IFERROR(SUMIF(Monthly_Edu!$B:$B,$A435,Monthly_Edu!$D:$D),0)+IFERROR(SUMIF(Monthly_Ops!$B:$B,$A435,Monthly_Ops!$D:$D),0)+IFERROR(SUMIF(Monthly_Mentor!$B:$B,$A435,Monthly_Mentor!$D:$D),0)+IFERROR(SUMIF(Quarterly_Impact!$B:$B,$A435,Quarterly_Impact!$D:$D),0)+IFERROR(SUMIFS(XPLog!$M:$M,XPLog!$B:$B,$A435,XPLog!$J:$J,"Admin"),0)+IFERROR(SUMIFS(XPLog!$M:$M,XPLog!$B:$B,$A435,XPLog!$J:$J,"Seeding"),0)))</f>
        <v/>
      </c>
      <c r="F435" s="27">
        <f>IF($E435="","",LOOKUP($E435, XPBands!B$2:B$10, XPBands!A$2:A$10))</f>
        <v/>
      </c>
      <c r="G435" s="27">
        <f>IF($E435="","", VLOOKUP($F435, XPBands!A$2:G$10, 4, FALSE) + MIN(VLOOKUP($F435, XPBands!A$2:G$10, 5, FALSE) - VLOOKUP($F435, XPBands!A$2:G$10, 4, FALSE), FLOOR(( $E435 - VLOOKUP($F435, XPBands!A$2:G$10, 2, FALSE) ) / VLOOKUP($F435, XPBands!A$2:G$10, 7, FALSE),1)))</f>
        <v/>
      </c>
      <c r="H435" s="27">
        <f>IF($D435="","",VLOOKUP($D435,RoleTitles!$A:$E,3,FALSE))</f>
        <v/>
      </c>
      <c r="I435" s="27">
        <f>IF($D435="","",IF($C435="Greek",VLOOKUP($D435,RoleTitles!$A:$E,4,FALSE),IF($C435="Aesir",VLOOKUP($D435,RoleTitles!$A:$E,5,FALSE),VLOOKUP($D435,RoleTitles!$A:$E,3,FALSE))))</f>
        <v/>
      </c>
      <c r="J435" s="27">
        <f>IF($D435="","",IF($E435&gt;=VLOOKUP($D435,RoleTitles!$A:$B,2,FALSE),"Yes","No"))</f>
        <v/>
      </c>
      <c r="K435" s="27">
        <f>IF($D435="","",IF($D435="T1","T2",IF($D435="T2","T3",IF($D435="T3","T4",IF($D435="T4","T5",IF($D435="T5","T6",IF($D435="T6","T7",IF($D435="T7","T8",IF($D435="T8","T9","")))))))))</f>
        <v/>
      </c>
      <c r="L435" s="28">
        <f>IF($K435="","",MAX(0,VLOOKUP($K435,RoleTitles!$A:$B,2,FALSE)-$E435))</f>
        <v/>
      </c>
    </row>
    <row r="436">
      <c r="A436" s="24">
        <f>IFERROR(INDEX(CoachRoster!$A$2:$A$1000,ROW()-1),"")</f>
        <v/>
      </c>
      <c r="B436" s="27">
        <f>IF($A436="","",VLOOKUP($A436,CoachRoster!$A:$E,2,FALSE))</f>
        <v/>
      </c>
      <c r="C436" s="27">
        <f>IF($A436="","",VLOOKUP($A436,CoachRoster!$A:$E,3,FALSE))</f>
        <v/>
      </c>
      <c r="D436" s="27">
        <f>IF($A436="","",VLOOKUP($A436,CoachRoster!$A:$E,4,FALSE))</f>
        <v/>
      </c>
      <c r="E436" s="27">
        <f>IF($A436="","",MIN(Settings!$B$8,IFERROR(SUMIF(Weekly_Coaching!$B:$B,$A436,Weekly_Coaching!$D:$D),0)+IFERROR(SUMIF(Monthly_Edu!$B:$B,$A436,Monthly_Edu!$D:$D),0)+IFERROR(SUMIF(Monthly_Ops!$B:$B,$A436,Monthly_Ops!$D:$D),0)+IFERROR(SUMIF(Monthly_Mentor!$B:$B,$A436,Monthly_Mentor!$D:$D),0)+IFERROR(SUMIF(Quarterly_Impact!$B:$B,$A436,Quarterly_Impact!$D:$D),0)+IFERROR(SUMIFS(XPLog!$M:$M,XPLog!$B:$B,$A436,XPLog!$J:$J,"Admin"),0)+IFERROR(SUMIFS(XPLog!$M:$M,XPLog!$B:$B,$A436,XPLog!$J:$J,"Seeding"),0)))</f>
        <v/>
      </c>
      <c r="F436" s="27">
        <f>IF($E436="","",LOOKUP($E436, XPBands!B$2:B$10, XPBands!A$2:A$10))</f>
        <v/>
      </c>
      <c r="G436" s="27">
        <f>IF($E436="","", VLOOKUP($F436, XPBands!A$2:G$10, 4, FALSE) + MIN(VLOOKUP($F436, XPBands!A$2:G$10, 5, FALSE) - VLOOKUP($F436, XPBands!A$2:G$10, 4, FALSE), FLOOR(( $E436 - VLOOKUP($F436, XPBands!A$2:G$10, 2, FALSE) ) / VLOOKUP($F436, XPBands!A$2:G$10, 7, FALSE),1)))</f>
        <v/>
      </c>
      <c r="H436" s="27">
        <f>IF($D436="","",VLOOKUP($D436,RoleTitles!$A:$E,3,FALSE))</f>
        <v/>
      </c>
      <c r="I436" s="27">
        <f>IF($D436="","",IF($C436="Greek",VLOOKUP($D436,RoleTitles!$A:$E,4,FALSE),IF($C436="Aesir",VLOOKUP($D436,RoleTitles!$A:$E,5,FALSE),VLOOKUP($D436,RoleTitles!$A:$E,3,FALSE))))</f>
        <v/>
      </c>
      <c r="J436" s="27">
        <f>IF($D436="","",IF($E436&gt;=VLOOKUP($D436,RoleTitles!$A:$B,2,FALSE),"Yes","No"))</f>
        <v/>
      </c>
      <c r="K436" s="27">
        <f>IF($D436="","",IF($D436="T1","T2",IF($D436="T2","T3",IF($D436="T3","T4",IF($D436="T4","T5",IF($D436="T5","T6",IF($D436="T6","T7",IF($D436="T7","T8",IF($D436="T8","T9","")))))))))</f>
        <v/>
      </c>
      <c r="L436" s="28">
        <f>IF($K436="","",MAX(0,VLOOKUP($K436,RoleTitles!$A:$B,2,FALSE)-$E436))</f>
        <v/>
      </c>
    </row>
    <row r="437">
      <c r="A437" s="24">
        <f>IFERROR(INDEX(CoachRoster!$A$2:$A$1000,ROW()-1),"")</f>
        <v/>
      </c>
      <c r="B437" s="27">
        <f>IF($A437="","",VLOOKUP($A437,CoachRoster!$A:$E,2,FALSE))</f>
        <v/>
      </c>
      <c r="C437" s="27">
        <f>IF($A437="","",VLOOKUP($A437,CoachRoster!$A:$E,3,FALSE))</f>
        <v/>
      </c>
      <c r="D437" s="27">
        <f>IF($A437="","",VLOOKUP($A437,CoachRoster!$A:$E,4,FALSE))</f>
        <v/>
      </c>
      <c r="E437" s="27">
        <f>IF($A437="","",MIN(Settings!$B$8,IFERROR(SUMIF(Weekly_Coaching!$B:$B,$A437,Weekly_Coaching!$D:$D),0)+IFERROR(SUMIF(Monthly_Edu!$B:$B,$A437,Monthly_Edu!$D:$D),0)+IFERROR(SUMIF(Monthly_Ops!$B:$B,$A437,Monthly_Ops!$D:$D),0)+IFERROR(SUMIF(Monthly_Mentor!$B:$B,$A437,Monthly_Mentor!$D:$D),0)+IFERROR(SUMIF(Quarterly_Impact!$B:$B,$A437,Quarterly_Impact!$D:$D),0)+IFERROR(SUMIFS(XPLog!$M:$M,XPLog!$B:$B,$A437,XPLog!$J:$J,"Admin"),0)+IFERROR(SUMIFS(XPLog!$M:$M,XPLog!$B:$B,$A437,XPLog!$J:$J,"Seeding"),0)))</f>
        <v/>
      </c>
      <c r="F437" s="27">
        <f>IF($E437="","",LOOKUP($E437, XPBands!B$2:B$10, XPBands!A$2:A$10))</f>
        <v/>
      </c>
      <c r="G437" s="27">
        <f>IF($E437="","", VLOOKUP($F437, XPBands!A$2:G$10, 4, FALSE) + MIN(VLOOKUP($F437, XPBands!A$2:G$10, 5, FALSE) - VLOOKUP($F437, XPBands!A$2:G$10, 4, FALSE), FLOOR(( $E437 - VLOOKUP($F437, XPBands!A$2:G$10, 2, FALSE) ) / VLOOKUP($F437, XPBands!A$2:G$10, 7, FALSE),1)))</f>
        <v/>
      </c>
      <c r="H437" s="27">
        <f>IF($D437="","",VLOOKUP($D437,RoleTitles!$A:$E,3,FALSE))</f>
        <v/>
      </c>
      <c r="I437" s="27">
        <f>IF($D437="","",IF($C437="Greek",VLOOKUP($D437,RoleTitles!$A:$E,4,FALSE),IF($C437="Aesir",VLOOKUP($D437,RoleTitles!$A:$E,5,FALSE),VLOOKUP($D437,RoleTitles!$A:$E,3,FALSE))))</f>
        <v/>
      </c>
      <c r="J437" s="27">
        <f>IF($D437="","",IF($E437&gt;=VLOOKUP($D437,RoleTitles!$A:$B,2,FALSE),"Yes","No"))</f>
        <v/>
      </c>
      <c r="K437" s="27">
        <f>IF($D437="","",IF($D437="T1","T2",IF($D437="T2","T3",IF($D437="T3","T4",IF($D437="T4","T5",IF($D437="T5","T6",IF($D437="T6","T7",IF($D437="T7","T8",IF($D437="T8","T9","")))))))))</f>
        <v/>
      </c>
      <c r="L437" s="28">
        <f>IF($K437="","",MAX(0,VLOOKUP($K437,RoleTitles!$A:$B,2,FALSE)-$E437))</f>
        <v/>
      </c>
    </row>
    <row r="438">
      <c r="A438" s="24">
        <f>IFERROR(INDEX(CoachRoster!$A$2:$A$1000,ROW()-1),"")</f>
        <v/>
      </c>
      <c r="B438" s="27">
        <f>IF($A438="","",VLOOKUP($A438,CoachRoster!$A:$E,2,FALSE))</f>
        <v/>
      </c>
      <c r="C438" s="27">
        <f>IF($A438="","",VLOOKUP($A438,CoachRoster!$A:$E,3,FALSE))</f>
        <v/>
      </c>
      <c r="D438" s="27">
        <f>IF($A438="","",VLOOKUP($A438,CoachRoster!$A:$E,4,FALSE))</f>
        <v/>
      </c>
      <c r="E438" s="27">
        <f>IF($A438="","",MIN(Settings!$B$8,IFERROR(SUMIF(Weekly_Coaching!$B:$B,$A438,Weekly_Coaching!$D:$D),0)+IFERROR(SUMIF(Monthly_Edu!$B:$B,$A438,Monthly_Edu!$D:$D),0)+IFERROR(SUMIF(Monthly_Ops!$B:$B,$A438,Monthly_Ops!$D:$D),0)+IFERROR(SUMIF(Monthly_Mentor!$B:$B,$A438,Monthly_Mentor!$D:$D),0)+IFERROR(SUMIF(Quarterly_Impact!$B:$B,$A438,Quarterly_Impact!$D:$D),0)+IFERROR(SUMIFS(XPLog!$M:$M,XPLog!$B:$B,$A438,XPLog!$J:$J,"Admin"),0)+IFERROR(SUMIFS(XPLog!$M:$M,XPLog!$B:$B,$A438,XPLog!$J:$J,"Seeding"),0)))</f>
        <v/>
      </c>
      <c r="F438" s="27">
        <f>IF($E438="","",LOOKUP($E438, XPBands!B$2:B$10, XPBands!A$2:A$10))</f>
        <v/>
      </c>
      <c r="G438" s="27">
        <f>IF($E438="","", VLOOKUP($F438, XPBands!A$2:G$10, 4, FALSE) + MIN(VLOOKUP($F438, XPBands!A$2:G$10, 5, FALSE) - VLOOKUP($F438, XPBands!A$2:G$10, 4, FALSE), FLOOR(( $E438 - VLOOKUP($F438, XPBands!A$2:G$10, 2, FALSE) ) / VLOOKUP($F438, XPBands!A$2:G$10, 7, FALSE),1)))</f>
        <v/>
      </c>
      <c r="H438" s="27">
        <f>IF($D438="","",VLOOKUP($D438,RoleTitles!$A:$E,3,FALSE))</f>
        <v/>
      </c>
      <c r="I438" s="27">
        <f>IF($D438="","",IF($C438="Greek",VLOOKUP($D438,RoleTitles!$A:$E,4,FALSE),IF($C438="Aesir",VLOOKUP($D438,RoleTitles!$A:$E,5,FALSE),VLOOKUP($D438,RoleTitles!$A:$E,3,FALSE))))</f>
        <v/>
      </c>
      <c r="J438" s="27">
        <f>IF($D438="","",IF($E438&gt;=VLOOKUP($D438,RoleTitles!$A:$B,2,FALSE),"Yes","No"))</f>
        <v/>
      </c>
      <c r="K438" s="27">
        <f>IF($D438="","",IF($D438="T1","T2",IF($D438="T2","T3",IF($D438="T3","T4",IF($D438="T4","T5",IF($D438="T5","T6",IF($D438="T6","T7",IF($D438="T7","T8",IF($D438="T8","T9","")))))))))</f>
        <v/>
      </c>
      <c r="L438" s="28">
        <f>IF($K438="","",MAX(0,VLOOKUP($K438,RoleTitles!$A:$B,2,FALSE)-$E438))</f>
        <v/>
      </c>
    </row>
    <row r="439">
      <c r="A439" s="24">
        <f>IFERROR(INDEX(CoachRoster!$A$2:$A$1000,ROW()-1),"")</f>
        <v/>
      </c>
      <c r="B439" s="27">
        <f>IF($A439="","",VLOOKUP($A439,CoachRoster!$A:$E,2,FALSE))</f>
        <v/>
      </c>
      <c r="C439" s="27">
        <f>IF($A439="","",VLOOKUP($A439,CoachRoster!$A:$E,3,FALSE))</f>
        <v/>
      </c>
      <c r="D439" s="27">
        <f>IF($A439="","",VLOOKUP($A439,CoachRoster!$A:$E,4,FALSE))</f>
        <v/>
      </c>
      <c r="E439" s="27">
        <f>IF($A439="","",MIN(Settings!$B$8,IFERROR(SUMIF(Weekly_Coaching!$B:$B,$A439,Weekly_Coaching!$D:$D),0)+IFERROR(SUMIF(Monthly_Edu!$B:$B,$A439,Monthly_Edu!$D:$D),0)+IFERROR(SUMIF(Monthly_Ops!$B:$B,$A439,Monthly_Ops!$D:$D),0)+IFERROR(SUMIF(Monthly_Mentor!$B:$B,$A439,Monthly_Mentor!$D:$D),0)+IFERROR(SUMIF(Quarterly_Impact!$B:$B,$A439,Quarterly_Impact!$D:$D),0)+IFERROR(SUMIFS(XPLog!$M:$M,XPLog!$B:$B,$A439,XPLog!$J:$J,"Admin"),0)+IFERROR(SUMIFS(XPLog!$M:$M,XPLog!$B:$B,$A439,XPLog!$J:$J,"Seeding"),0)))</f>
        <v/>
      </c>
      <c r="F439" s="27">
        <f>IF($E439="","",LOOKUP($E439, XPBands!B$2:B$10, XPBands!A$2:A$10))</f>
        <v/>
      </c>
      <c r="G439" s="27">
        <f>IF($E439="","", VLOOKUP($F439, XPBands!A$2:G$10, 4, FALSE) + MIN(VLOOKUP($F439, XPBands!A$2:G$10, 5, FALSE) - VLOOKUP($F439, XPBands!A$2:G$10, 4, FALSE), FLOOR(( $E439 - VLOOKUP($F439, XPBands!A$2:G$10, 2, FALSE) ) / VLOOKUP($F439, XPBands!A$2:G$10, 7, FALSE),1)))</f>
        <v/>
      </c>
      <c r="H439" s="27">
        <f>IF($D439="","",VLOOKUP($D439,RoleTitles!$A:$E,3,FALSE))</f>
        <v/>
      </c>
      <c r="I439" s="27">
        <f>IF($D439="","",IF($C439="Greek",VLOOKUP($D439,RoleTitles!$A:$E,4,FALSE),IF($C439="Aesir",VLOOKUP($D439,RoleTitles!$A:$E,5,FALSE),VLOOKUP($D439,RoleTitles!$A:$E,3,FALSE))))</f>
        <v/>
      </c>
      <c r="J439" s="27">
        <f>IF($D439="","",IF($E439&gt;=VLOOKUP($D439,RoleTitles!$A:$B,2,FALSE),"Yes","No"))</f>
        <v/>
      </c>
      <c r="K439" s="27">
        <f>IF($D439="","",IF($D439="T1","T2",IF($D439="T2","T3",IF($D439="T3","T4",IF($D439="T4","T5",IF($D439="T5","T6",IF($D439="T6","T7",IF($D439="T7","T8",IF($D439="T8","T9","")))))))))</f>
        <v/>
      </c>
      <c r="L439" s="28">
        <f>IF($K439="","",MAX(0,VLOOKUP($K439,RoleTitles!$A:$B,2,FALSE)-$E439))</f>
        <v/>
      </c>
    </row>
    <row r="440">
      <c r="A440" s="24">
        <f>IFERROR(INDEX(CoachRoster!$A$2:$A$1000,ROW()-1),"")</f>
        <v/>
      </c>
      <c r="B440" s="27">
        <f>IF($A440="","",VLOOKUP($A440,CoachRoster!$A:$E,2,FALSE))</f>
        <v/>
      </c>
      <c r="C440" s="27">
        <f>IF($A440="","",VLOOKUP($A440,CoachRoster!$A:$E,3,FALSE))</f>
        <v/>
      </c>
      <c r="D440" s="27">
        <f>IF($A440="","",VLOOKUP($A440,CoachRoster!$A:$E,4,FALSE))</f>
        <v/>
      </c>
      <c r="E440" s="27">
        <f>IF($A440="","",MIN(Settings!$B$8,IFERROR(SUMIF(Weekly_Coaching!$B:$B,$A440,Weekly_Coaching!$D:$D),0)+IFERROR(SUMIF(Monthly_Edu!$B:$B,$A440,Monthly_Edu!$D:$D),0)+IFERROR(SUMIF(Monthly_Ops!$B:$B,$A440,Monthly_Ops!$D:$D),0)+IFERROR(SUMIF(Monthly_Mentor!$B:$B,$A440,Monthly_Mentor!$D:$D),0)+IFERROR(SUMIF(Quarterly_Impact!$B:$B,$A440,Quarterly_Impact!$D:$D),0)+IFERROR(SUMIFS(XPLog!$M:$M,XPLog!$B:$B,$A440,XPLog!$J:$J,"Admin"),0)+IFERROR(SUMIFS(XPLog!$M:$M,XPLog!$B:$B,$A440,XPLog!$J:$J,"Seeding"),0)))</f>
        <v/>
      </c>
      <c r="F440" s="27">
        <f>IF($E440="","",LOOKUP($E440, XPBands!B$2:B$10, XPBands!A$2:A$10))</f>
        <v/>
      </c>
      <c r="G440" s="27">
        <f>IF($E440="","", VLOOKUP($F440, XPBands!A$2:G$10, 4, FALSE) + MIN(VLOOKUP($F440, XPBands!A$2:G$10, 5, FALSE) - VLOOKUP($F440, XPBands!A$2:G$10, 4, FALSE), FLOOR(( $E440 - VLOOKUP($F440, XPBands!A$2:G$10, 2, FALSE) ) / VLOOKUP($F440, XPBands!A$2:G$10, 7, FALSE),1)))</f>
        <v/>
      </c>
      <c r="H440" s="27">
        <f>IF($D440="","",VLOOKUP($D440,RoleTitles!$A:$E,3,FALSE))</f>
        <v/>
      </c>
      <c r="I440" s="27">
        <f>IF($D440="","",IF($C440="Greek",VLOOKUP($D440,RoleTitles!$A:$E,4,FALSE),IF($C440="Aesir",VLOOKUP($D440,RoleTitles!$A:$E,5,FALSE),VLOOKUP($D440,RoleTitles!$A:$E,3,FALSE))))</f>
        <v/>
      </c>
      <c r="J440" s="27">
        <f>IF($D440="","",IF($E440&gt;=VLOOKUP($D440,RoleTitles!$A:$B,2,FALSE),"Yes","No"))</f>
        <v/>
      </c>
      <c r="K440" s="27">
        <f>IF($D440="","",IF($D440="T1","T2",IF($D440="T2","T3",IF($D440="T3","T4",IF($D440="T4","T5",IF($D440="T5","T6",IF($D440="T6","T7",IF($D440="T7","T8",IF($D440="T8","T9","")))))))))</f>
        <v/>
      </c>
      <c r="L440" s="28">
        <f>IF($K440="","",MAX(0,VLOOKUP($K440,RoleTitles!$A:$B,2,FALSE)-$E440))</f>
        <v/>
      </c>
    </row>
    <row r="441">
      <c r="A441" s="24">
        <f>IFERROR(INDEX(CoachRoster!$A$2:$A$1000,ROW()-1),"")</f>
        <v/>
      </c>
      <c r="B441" s="27">
        <f>IF($A441="","",VLOOKUP($A441,CoachRoster!$A:$E,2,FALSE))</f>
        <v/>
      </c>
      <c r="C441" s="27">
        <f>IF($A441="","",VLOOKUP($A441,CoachRoster!$A:$E,3,FALSE))</f>
        <v/>
      </c>
      <c r="D441" s="27">
        <f>IF($A441="","",VLOOKUP($A441,CoachRoster!$A:$E,4,FALSE))</f>
        <v/>
      </c>
      <c r="E441" s="27">
        <f>IF($A441="","",MIN(Settings!$B$8,IFERROR(SUMIF(Weekly_Coaching!$B:$B,$A441,Weekly_Coaching!$D:$D),0)+IFERROR(SUMIF(Monthly_Edu!$B:$B,$A441,Monthly_Edu!$D:$D),0)+IFERROR(SUMIF(Monthly_Ops!$B:$B,$A441,Monthly_Ops!$D:$D),0)+IFERROR(SUMIF(Monthly_Mentor!$B:$B,$A441,Monthly_Mentor!$D:$D),0)+IFERROR(SUMIF(Quarterly_Impact!$B:$B,$A441,Quarterly_Impact!$D:$D),0)+IFERROR(SUMIFS(XPLog!$M:$M,XPLog!$B:$B,$A441,XPLog!$J:$J,"Admin"),0)+IFERROR(SUMIFS(XPLog!$M:$M,XPLog!$B:$B,$A441,XPLog!$J:$J,"Seeding"),0)))</f>
        <v/>
      </c>
      <c r="F441" s="27">
        <f>IF($E441="","",LOOKUP($E441, XPBands!B$2:B$10, XPBands!A$2:A$10))</f>
        <v/>
      </c>
      <c r="G441" s="27">
        <f>IF($E441="","", VLOOKUP($F441, XPBands!A$2:G$10, 4, FALSE) + MIN(VLOOKUP($F441, XPBands!A$2:G$10, 5, FALSE) - VLOOKUP($F441, XPBands!A$2:G$10, 4, FALSE), FLOOR(( $E441 - VLOOKUP($F441, XPBands!A$2:G$10, 2, FALSE) ) / VLOOKUP($F441, XPBands!A$2:G$10, 7, FALSE),1)))</f>
        <v/>
      </c>
      <c r="H441" s="27">
        <f>IF($D441="","",VLOOKUP($D441,RoleTitles!$A:$E,3,FALSE))</f>
        <v/>
      </c>
      <c r="I441" s="27">
        <f>IF($D441="","",IF($C441="Greek",VLOOKUP($D441,RoleTitles!$A:$E,4,FALSE),IF($C441="Aesir",VLOOKUP($D441,RoleTitles!$A:$E,5,FALSE),VLOOKUP($D441,RoleTitles!$A:$E,3,FALSE))))</f>
        <v/>
      </c>
      <c r="J441" s="27">
        <f>IF($D441="","",IF($E441&gt;=VLOOKUP($D441,RoleTitles!$A:$B,2,FALSE),"Yes","No"))</f>
        <v/>
      </c>
      <c r="K441" s="27">
        <f>IF($D441="","",IF($D441="T1","T2",IF($D441="T2","T3",IF($D441="T3","T4",IF($D441="T4","T5",IF($D441="T5","T6",IF($D441="T6","T7",IF($D441="T7","T8",IF($D441="T8","T9","")))))))))</f>
        <v/>
      </c>
      <c r="L441" s="28">
        <f>IF($K441="","",MAX(0,VLOOKUP($K441,RoleTitles!$A:$B,2,FALSE)-$E441))</f>
        <v/>
      </c>
    </row>
    <row r="442">
      <c r="A442" s="24">
        <f>IFERROR(INDEX(CoachRoster!$A$2:$A$1000,ROW()-1),"")</f>
        <v/>
      </c>
      <c r="B442" s="27">
        <f>IF($A442="","",VLOOKUP($A442,CoachRoster!$A:$E,2,FALSE))</f>
        <v/>
      </c>
      <c r="C442" s="27">
        <f>IF($A442="","",VLOOKUP($A442,CoachRoster!$A:$E,3,FALSE))</f>
        <v/>
      </c>
      <c r="D442" s="27">
        <f>IF($A442="","",VLOOKUP($A442,CoachRoster!$A:$E,4,FALSE))</f>
        <v/>
      </c>
      <c r="E442" s="27">
        <f>IF($A442="","",MIN(Settings!$B$8,IFERROR(SUMIF(Weekly_Coaching!$B:$B,$A442,Weekly_Coaching!$D:$D),0)+IFERROR(SUMIF(Monthly_Edu!$B:$B,$A442,Monthly_Edu!$D:$D),0)+IFERROR(SUMIF(Monthly_Ops!$B:$B,$A442,Monthly_Ops!$D:$D),0)+IFERROR(SUMIF(Monthly_Mentor!$B:$B,$A442,Monthly_Mentor!$D:$D),0)+IFERROR(SUMIF(Quarterly_Impact!$B:$B,$A442,Quarterly_Impact!$D:$D),0)+IFERROR(SUMIFS(XPLog!$M:$M,XPLog!$B:$B,$A442,XPLog!$J:$J,"Admin"),0)+IFERROR(SUMIFS(XPLog!$M:$M,XPLog!$B:$B,$A442,XPLog!$J:$J,"Seeding"),0)))</f>
        <v/>
      </c>
      <c r="F442" s="27">
        <f>IF($E442="","",LOOKUP($E442, XPBands!B$2:B$10, XPBands!A$2:A$10))</f>
        <v/>
      </c>
      <c r="G442" s="27">
        <f>IF($E442="","", VLOOKUP($F442, XPBands!A$2:G$10, 4, FALSE) + MIN(VLOOKUP($F442, XPBands!A$2:G$10, 5, FALSE) - VLOOKUP($F442, XPBands!A$2:G$10, 4, FALSE), FLOOR(( $E442 - VLOOKUP($F442, XPBands!A$2:G$10, 2, FALSE) ) / VLOOKUP($F442, XPBands!A$2:G$10, 7, FALSE),1)))</f>
        <v/>
      </c>
      <c r="H442" s="27">
        <f>IF($D442="","",VLOOKUP($D442,RoleTitles!$A:$E,3,FALSE))</f>
        <v/>
      </c>
      <c r="I442" s="27">
        <f>IF($D442="","",IF($C442="Greek",VLOOKUP($D442,RoleTitles!$A:$E,4,FALSE),IF($C442="Aesir",VLOOKUP($D442,RoleTitles!$A:$E,5,FALSE),VLOOKUP($D442,RoleTitles!$A:$E,3,FALSE))))</f>
        <v/>
      </c>
      <c r="J442" s="27">
        <f>IF($D442="","",IF($E442&gt;=VLOOKUP($D442,RoleTitles!$A:$B,2,FALSE),"Yes","No"))</f>
        <v/>
      </c>
      <c r="K442" s="27">
        <f>IF($D442="","",IF($D442="T1","T2",IF($D442="T2","T3",IF($D442="T3","T4",IF($D442="T4","T5",IF($D442="T5","T6",IF($D442="T6","T7",IF($D442="T7","T8",IF($D442="T8","T9","")))))))))</f>
        <v/>
      </c>
      <c r="L442" s="28">
        <f>IF($K442="","",MAX(0,VLOOKUP($K442,RoleTitles!$A:$B,2,FALSE)-$E442))</f>
        <v/>
      </c>
    </row>
    <row r="443">
      <c r="A443" s="24">
        <f>IFERROR(INDEX(CoachRoster!$A$2:$A$1000,ROW()-1),"")</f>
        <v/>
      </c>
      <c r="B443" s="27">
        <f>IF($A443="","",VLOOKUP($A443,CoachRoster!$A:$E,2,FALSE))</f>
        <v/>
      </c>
      <c r="C443" s="27">
        <f>IF($A443="","",VLOOKUP($A443,CoachRoster!$A:$E,3,FALSE))</f>
        <v/>
      </c>
      <c r="D443" s="27">
        <f>IF($A443="","",VLOOKUP($A443,CoachRoster!$A:$E,4,FALSE))</f>
        <v/>
      </c>
      <c r="E443" s="27">
        <f>IF($A443="","",MIN(Settings!$B$8,IFERROR(SUMIF(Weekly_Coaching!$B:$B,$A443,Weekly_Coaching!$D:$D),0)+IFERROR(SUMIF(Monthly_Edu!$B:$B,$A443,Monthly_Edu!$D:$D),0)+IFERROR(SUMIF(Monthly_Ops!$B:$B,$A443,Monthly_Ops!$D:$D),0)+IFERROR(SUMIF(Monthly_Mentor!$B:$B,$A443,Monthly_Mentor!$D:$D),0)+IFERROR(SUMIF(Quarterly_Impact!$B:$B,$A443,Quarterly_Impact!$D:$D),0)+IFERROR(SUMIFS(XPLog!$M:$M,XPLog!$B:$B,$A443,XPLog!$J:$J,"Admin"),0)+IFERROR(SUMIFS(XPLog!$M:$M,XPLog!$B:$B,$A443,XPLog!$J:$J,"Seeding"),0)))</f>
        <v/>
      </c>
      <c r="F443" s="27">
        <f>IF($E443="","",LOOKUP($E443, XPBands!B$2:B$10, XPBands!A$2:A$10))</f>
        <v/>
      </c>
      <c r="G443" s="27">
        <f>IF($E443="","", VLOOKUP($F443, XPBands!A$2:G$10, 4, FALSE) + MIN(VLOOKUP($F443, XPBands!A$2:G$10, 5, FALSE) - VLOOKUP($F443, XPBands!A$2:G$10, 4, FALSE), FLOOR(( $E443 - VLOOKUP($F443, XPBands!A$2:G$10, 2, FALSE) ) / VLOOKUP($F443, XPBands!A$2:G$10, 7, FALSE),1)))</f>
        <v/>
      </c>
      <c r="H443" s="27">
        <f>IF($D443="","",VLOOKUP($D443,RoleTitles!$A:$E,3,FALSE))</f>
        <v/>
      </c>
      <c r="I443" s="27">
        <f>IF($D443="","",IF($C443="Greek",VLOOKUP($D443,RoleTitles!$A:$E,4,FALSE),IF($C443="Aesir",VLOOKUP($D443,RoleTitles!$A:$E,5,FALSE),VLOOKUP($D443,RoleTitles!$A:$E,3,FALSE))))</f>
        <v/>
      </c>
      <c r="J443" s="27">
        <f>IF($D443="","",IF($E443&gt;=VLOOKUP($D443,RoleTitles!$A:$B,2,FALSE),"Yes","No"))</f>
        <v/>
      </c>
      <c r="K443" s="27">
        <f>IF($D443="","",IF($D443="T1","T2",IF($D443="T2","T3",IF($D443="T3","T4",IF($D443="T4","T5",IF($D443="T5","T6",IF($D443="T6","T7",IF($D443="T7","T8",IF($D443="T8","T9","")))))))))</f>
        <v/>
      </c>
      <c r="L443" s="28">
        <f>IF($K443="","",MAX(0,VLOOKUP($K443,RoleTitles!$A:$B,2,FALSE)-$E443))</f>
        <v/>
      </c>
    </row>
    <row r="444">
      <c r="A444" s="24">
        <f>IFERROR(INDEX(CoachRoster!$A$2:$A$1000,ROW()-1),"")</f>
        <v/>
      </c>
      <c r="B444" s="27">
        <f>IF($A444="","",VLOOKUP($A444,CoachRoster!$A:$E,2,FALSE))</f>
        <v/>
      </c>
      <c r="C444" s="27">
        <f>IF($A444="","",VLOOKUP($A444,CoachRoster!$A:$E,3,FALSE))</f>
        <v/>
      </c>
      <c r="D444" s="27">
        <f>IF($A444="","",VLOOKUP($A444,CoachRoster!$A:$E,4,FALSE))</f>
        <v/>
      </c>
      <c r="E444" s="27">
        <f>IF($A444="","",MIN(Settings!$B$8,IFERROR(SUMIF(Weekly_Coaching!$B:$B,$A444,Weekly_Coaching!$D:$D),0)+IFERROR(SUMIF(Monthly_Edu!$B:$B,$A444,Monthly_Edu!$D:$D),0)+IFERROR(SUMIF(Monthly_Ops!$B:$B,$A444,Monthly_Ops!$D:$D),0)+IFERROR(SUMIF(Monthly_Mentor!$B:$B,$A444,Monthly_Mentor!$D:$D),0)+IFERROR(SUMIF(Quarterly_Impact!$B:$B,$A444,Quarterly_Impact!$D:$D),0)+IFERROR(SUMIFS(XPLog!$M:$M,XPLog!$B:$B,$A444,XPLog!$J:$J,"Admin"),0)+IFERROR(SUMIFS(XPLog!$M:$M,XPLog!$B:$B,$A444,XPLog!$J:$J,"Seeding"),0)))</f>
        <v/>
      </c>
      <c r="F444" s="27">
        <f>IF($E444="","",LOOKUP($E444, XPBands!B$2:B$10, XPBands!A$2:A$10))</f>
        <v/>
      </c>
      <c r="G444" s="27">
        <f>IF($E444="","", VLOOKUP($F444, XPBands!A$2:G$10, 4, FALSE) + MIN(VLOOKUP($F444, XPBands!A$2:G$10, 5, FALSE) - VLOOKUP($F444, XPBands!A$2:G$10, 4, FALSE), FLOOR(( $E444 - VLOOKUP($F444, XPBands!A$2:G$10, 2, FALSE) ) / VLOOKUP($F444, XPBands!A$2:G$10, 7, FALSE),1)))</f>
        <v/>
      </c>
      <c r="H444" s="27">
        <f>IF($D444="","",VLOOKUP($D444,RoleTitles!$A:$E,3,FALSE))</f>
        <v/>
      </c>
      <c r="I444" s="27">
        <f>IF($D444="","",IF($C444="Greek",VLOOKUP($D444,RoleTitles!$A:$E,4,FALSE),IF($C444="Aesir",VLOOKUP($D444,RoleTitles!$A:$E,5,FALSE),VLOOKUP($D444,RoleTitles!$A:$E,3,FALSE))))</f>
        <v/>
      </c>
      <c r="J444" s="27">
        <f>IF($D444="","",IF($E444&gt;=VLOOKUP($D444,RoleTitles!$A:$B,2,FALSE),"Yes","No"))</f>
        <v/>
      </c>
      <c r="K444" s="27">
        <f>IF($D444="","",IF($D444="T1","T2",IF($D444="T2","T3",IF($D444="T3","T4",IF($D444="T4","T5",IF($D444="T5","T6",IF($D444="T6","T7",IF($D444="T7","T8",IF($D444="T8","T9","")))))))))</f>
        <v/>
      </c>
      <c r="L444" s="28">
        <f>IF($K444="","",MAX(0,VLOOKUP($K444,RoleTitles!$A:$B,2,FALSE)-$E444))</f>
        <v/>
      </c>
    </row>
    <row r="445">
      <c r="A445" s="24">
        <f>IFERROR(INDEX(CoachRoster!$A$2:$A$1000,ROW()-1),"")</f>
        <v/>
      </c>
      <c r="B445" s="27">
        <f>IF($A445="","",VLOOKUP($A445,CoachRoster!$A:$E,2,FALSE))</f>
        <v/>
      </c>
      <c r="C445" s="27">
        <f>IF($A445="","",VLOOKUP($A445,CoachRoster!$A:$E,3,FALSE))</f>
        <v/>
      </c>
      <c r="D445" s="27">
        <f>IF($A445="","",VLOOKUP($A445,CoachRoster!$A:$E,4,FALSE))</f>
        <v/>
      </c>
      <c r="E445" s="27">
        <f>IF($A445="","",MIN(Settings!$B$8,IFERROR(SUMIF(Weekly_Coaching!$B:$B,$A445,Weekly_Coaching!$D:$D),0)+IFERROR(SUMIF(Monthly_Edu!$B:$B,$A445,Monthly_Edu!$D:$D),0)+IFERROR(SUMIF(Monthly_Ops!$B:$B,$A445,Monthly_Ops!$D:$D),0)+IFERROR(SUMIF(Monthly_Mentor!$B:$B,$A445,Monthly_Mentor!$D:$D),0)+IFERROR(SUMIF(Quarterly_Impact!$B:$B,$A445,Quarterly_Impact!$D:$D),0)+IFERROR(SUMIFS(XPLog!$M:$M,XPLog!$B:$B,$A445,XPLog!$J:$J,"Admin"),0)+IFERROR(SUMIFS(XPLog!$M:$M,XPLog!$B:$B,$A445,XPLog!$J:$J,"Seeding"),0)))</f>
        <v/>
      </c>
      <c r="F445" s="27">
        <f>IF($E445="","",LOOKUP($E445, XPBands!B$2:B$10, XPBands!A$2:A$10))</f>
        <v/>
      </c>
      <c r="G445" s="27">
        <f>IF($E445="","", VLOOKUP($F445, XPBands!A$2:G$10, 4, FALSE) + MIN(VLOOKUP($F445, XPBands!A$2:G$10, 5, FALSE) - VLOOKUP($F445, XPBands!A$2:G$10, 4, FALSE), FLOOR(( $E445 - VLOOKUP($F445, XPBands!A$2:G$10, 2, FALSE) ) / VLOOKUP($F445, XPBands!A$2:G$10, 7, FALSE),1)))</f>
        <v/>
      </c>
      <c r="H445" s="27">
        <f>IF($D445="","",VLOOKUP($D445,RoleTitles!$A:$E,3,FALSE))</f>
        <v/>
      </c>
      <c r="I445" s="27">
        <f>IF($D445="","",IF($C445="Greek",VLOOKUP($D445,RoleTitles!$A:$E,4,FALSE),IF($C445="Aesir",VLOOKUP($D445,RoleTitles!$A:$E,5,FALSE),VLOOKUP($D445,RoleTitles!$A:$E,3,FALSE))))</f>
        <v/>
      </c>
      <c r="J445" s="27">
        <f>IF($D445="","",IF($E445&gt;=VLOOKUP($D445,RoleTitles!$A:$B,2,FALSE),"Yes","No"))</f>
        <v/>
      </c>
      <c r="K445" s="27">
        <f>IF($D445="","",IF($D445="T1","T2",IF($D445="T2","T3",IF($D445="T3","T4",IF($D445="T4","T5",IF($D445="T5","T6",IF($D445="T6","T7",IF($D445="T7","T8",IF($D445="T8","T9","")))))))))</f>
        <v/>
      </c>
      <c r="L445" s="28">
        <f>IF($K445="","",MAX(0,VLOOKUP($K445,RoleTitles!$A:$B,2,FALSE)-$E445))</f>
        <v/>
      </c>
    </row>
    <row r="446">
      <c r="A446" s="24">
        <f>IFERROR(INDEX(CoachRoster!$A$2:$A$1000,ROW()-1),"")</f>
        <v/>
      </c>
      <c r="B446" s="27">
        <f>IF($A446="","",VLOOKUP($A446,CoachRoster!$A:$E,2,FALSE))</f>
        <v/>
      </c>
      <c r="C446" s="27">
        <f>IF($A446="","",VLOOKUP($A446,CoachRoster!$A:$E,3,FALSE))</f>
        <v/>
      </c>
      <c r="D446" s="27">
        <f>IF($A446="","",VLOOKUP($A446,CoachRoster!$A:$E,4,FALSE))</f>
        <v/>
      </c>
      <c r="E446" s="27">
        <f>IF($A446="","",MIN(Settings!$B$8,IFERROR(SUMIF(Weekly_Coaching!$B:$B,$A446,Weekly_Coaching!$D:$D),0)+IFERROR(SUMIF(Monthly_Edu!$B:$B,$A446,Monthly_Edu!$D:$D),0)+IFERROR(SUMIF(Monthly_Ops!$B:$B,$A446,Monthly_Ops!$D:$D),0)+IFERROR(SUMIF(Monthly_Mentor!$B:$B,$A446,Monthly_Mentor!$D:$D),0)+IFERROR(SUMIF(Quarterly_Impact!$B:$B,$A446,Quarterly_Impact!$D:$D),0)+IFERROR(SUMIFS(XPLog!$M:$M,XPLog!$B:$B,$A446,XPLog!$J:$J,"Admin"),0)+IFERROR(SUMIFS(XPLog!$M:$M,XPLog!$B:$B,$A446,XPLog!$J:$J,"Seeding"),0)))</f>
        <v/>
      </c>
      <c r="F446" s="27">
        <f>IF($E446="","",LOOKUP($E446, XPBands!B$2:B$10, XPBands!A$2:A$10))</f>
        <v/>
      </c>
      <c r="G446" s="27">
        <f>IF($E446="","", VLOOKUP($F446, XPBands!A$2:G$10, 4, FALSE) + MIN(VLOOKUP($F446, XPBands!A$2:G$10, 5, FALSE) - VLOOKUP($F446, XPBands!A$2:G$10, 4, FALSE), FLOOR(( $E446 - VLOOKUP($F446, XPBands!A$2:G$10, 2, FALSE) ) / VLOOKUP($F446, XPBands!A$2:G$10, 7, FALSE),1)))</f>
        <v/>
      </c>
      <c r="H446" s="27">
        <f>IF($D446="","",VLOOKUP($D446,RoleTitles!$A:$E,3,FALSE))</f>
        <v/>
      </c>
      <c r="I446" s="27">
        <f>IF($D446="","",IF($C446="Greek",VLOOKUP($D446,RoleTitles!$A:$E,4,FALSE),IF($C446="Aesir",VLOOKUP($D446,RoleTitles!$A:$E,5,FALSE),VLOOKUP($D446,RoleTitles!$A:$E,3,FALSE))))</f>
        <v/>
      </c>
      <c r="J446" s="27">
        <f>IF($D446="","",IF($E446&gt;=VLOOKUP($D446,RoleTitles!$A:$B,2,FALSE),"Yes","No"))</f>
        <v/>
      </c>
      <c r="K446" s="27">
        <f>IF($D446="","",IF($D446="T1","T2",IF($D446="T2","T3",IF($D446="T3","T4",IF($D446="T4","T5",IF($D446="T5","T6",IF($D446="T6","T7",IF($D446="T7","T8",IF($D446="T8","T9","")))))))))</f>
        <v/>
      </c>
      <c r="L446" s="28">
        <f>IF($K446="","",MAX(0,VLOOKUP($K446,RoleTitles!$A:$B,2,FALSE)-$E446))</f>
        <v/>
      </c>
    </row>
    <row r="447">
      <c r="A447" s="24">
        <f>IFERROR(INDEX(CoachRoster!$A$2:$A$1000,ROW()-1),"")</f>
        <v/>
      </c>
      <c r="B447" s="27">
        <f>IF($A447="","",VLOOKUP($A447,CoachRoster!$A:$E,2,FALSE))</f>
        <v/>
      </c>
      <c r="C447" s="27">
        <f>IF($A447="","",VLOOKUP($A447,CoachRoster!$A:$E,3,FALSE))</f>
        <v/>
      </c>
      <c r="D447" s="27">
        <f>IF($A447="","",VLOOKUP($A447,CoachRoster!$A:$E,4,FALSE))</f>
        <v/>
      </c>
      <c r="E447" s="27">
        <f>IF($A447="","",MIN(Settings!$B$8,IFERROR(SUMIF(Weekly_Coaching!$B:$B,$A447,Weekly_Coaching!$D:$D),0)+IFERROR(SUMIF(Monthly_Edu!$B:$B,$A447,Monthly_Edu!$D:$D),0)+IFERROR(SUMIF(Monthly_Ops!$B:$B,$A447,Monthly_Ops!$D:$D),0)+IFERROR(SUMIF(Monthly_Mentor!$B:$B,$A447,Monthly_Mentor!$D:$D),0)+IFERROR(SUMIF(Quarterly_Impact!$B:$B,$A447,Quarterly_Impact!$D:$D),0)+IFERROR(SUMIFS(XPLog!$M:$M,XPLog!$B:$B,$A447,XPLog!$J:$J,"Admin"),0)+IFERROR(SUMIFS(XPLog!$M:$M,XPLog!$B:$B,$A447,XPLog!$J:$J,"Seeding"),0)))</f>
        <v/>
      </c>
      <c r="F447" s="27">
        <f>IF($E447="","",LOOKUP($E447, XPBands!B$2:B$10, XPBands!A$2:A$10))</f>
        <v/>
      </c>
      <c r="G447" s="27">
        <f>IF($E447="","", VLOOKUP($F447, XPBands!A$2:G$10, 4, FALSE) + MIN(VLOOKUP($F447, XPBands!A$2:G$10, 5, FALSE) - VLOOKUP($F447, XPBands!A$2:G$10, 4, FALSE), FLOOR(( $E447 - VLOOKUP($F447, XPBands!A$2:G$10, 2, FALSE) ) / VLOOKUP($F447, XPBands!A$2:G$10, 7, FALSE),1)))</f>
        <v/>
      </c>
      <c r="H447" s="27">
        <f>IF($D447="","",VLOOKUP($D447,RoleTitles!$A:$E,3,FALSE))</f>
        <v/>
      </c>
      <c r="I447" s="27">
        <f>IF($D447="","",IF($C447="Greek",VLOOKUP($D447,RoleTitles!$A:$E,4,FALSE),IF($C447="Aesir",VLOOKUP($D447,RoleTitles!$A:$E,5,FALSE),VLOOKUP($D447,RoleTitles!$A:$E,3,FALSE))))</f>
        <v/>
      </c>
      <c r="J447" s="27">
        <f>IF($D447="","",IF($E447&gt;=VLOOKUP($D447,RoleTitles!$A:$B,2,FALSE),"Yes","No"))</f>
        <v/>
      </c>
      <c r="K447" s="27">
        <f>IF($D447="","",IF($D447="T1","T2",IF($D447="T2","T3",IF($D447="T3","T4",IF($D447="T4","T5",IF($D447="T5","T6",IF($D447="T6","T7",IF($D447="T7","T8",IF($D447="T8","T9","")))))))))</f>
        <v/>
      </c>
      <c r="L447" s="28">
        <f>IF($K447="","",MAX(0,VLOOKUP($K447,RoleTitles!$A:$B,2,FALSE)-$E447))</f>
        <v/>
      </c>
    </row>
    <row r="448">
      <c r="A448" s="24">
        <f>IFERROR(INDEX(CoachRoster!$A$2:$A$1000,ROW()-1),"")</f>
        <v/>
      </c>
      <c r="B448" s="27">
        <f>IF($A448="","",VLOOKUP($A448,CoachRoster!$A:$E,2,FALSE))</f>
        <v/>
      </c>
      <c r="C448" s="27">
        <f>IF($A448="","",VLOOKUP($A448,CoachRoster!$A:$E,3,FALSE))</f>
        <v/>
      </c>
      <c r="D448" s="27">
        <f>IF($A448="","",VLOOKUP($A448,CoachRoster!$A:$E,4,FALSE))</f>
        <v/>
      </c>
      <c r="E448" s="27">
        <f>IF($A448="","",MIN(Settings!$B$8,IFERROR(SUMIF(Weekly_Coaching!$B:$B,$A448,Weekly_Coaching!$D:$D),0)+IFERROR(SUMIF(Monthly_Edu!$B:$B,$A448,Monthly_Edu!$D:$D),0)+IFERROR(SUMIF(Monthly_Ops!$B:$B,$A448,Monthly_Ops!$D:$D),0)+IFERROR(SUMIF(Monthly_Mentor!$B:$B,$A448,Monthly_Mentor!$D:$D),0)+IFERROR(SUMIF(Quarterly_Impact!$B:$B,$A448,Quarterly_Impact!$D:$D),0)+IFERROR(SUMIFS(XPLog!$M:$M,XPLog!$B:$B,$A448,XPLog!$J:$J,"Admin"),0)+IFERROR(SUMIFS(XPLog!$M:$M,XPLog!$B:$B,$A448,XPLog!$J:$J,"Seeding"),0)))</f>
        <v/>
      </c>
      <c r="F448" s="27">
        <f>IF($E448="","",LOOKUP($E448, XPBands!B$2:B$10, XPBands!A$2:A$10))</f>
        <v/>
      </c>
      <c r="G448" s="27">
        <f>IF($E448="","", VLOOKUP($F448, XPBands!A$2:G$10, 4, FALSE) + MIN(VLOOKUP($F448, XPBands!A$2:G$10, 5, FALSE) - VLOOKUP($F448, XPBands!A$2:G$10, 4, FALSE), FLOOR(( $E448 - VLOOKUP($F448, XPBands!A$2:G$10, 2, FALSE) ) / VLOOKUP($F448, XPBands!A$2:G$10, 7, FALSE),1)))</f>
        <v/>
      </c>
      <c r="H448" s="27">
        <f>IF($D448="","",VLOOKUP($D448,RoleTitles!$A:$E,3,FALSE))</f>
        <v/>
      </c>
      <c r="I448" s="27">
        <f>IF($D448="","",IF($C448="Greek",VLOOKUP($D448,RoleTitles!$A:$E,4,FALSE),IF($C448="Aesir",VLOOKUP($D448,RoleTitles!$A:$E,5,FALSE),VLOOKUP($D448,RoleTitles!$A:$E,3,FALSE))))</f>
        <v/>
      </c>
      <c r="J448" s="27">
        <f>IF($D448="","",IF($E448&gt;=VLOOKUP($D448,RoleTitles!$A:$B,2,FALSE),"Yes","No"))</f>
        <v/>
      </c>
      <c r="K448" s="27">
        <f>IF($D448="","",IF($D448="T1","T2",IF($D448="T2","T3",IF($D448="T3","T4",IF($D448="T4","T5",IF($D448="T5","T6",IF($D448="T6","T7",IF($D448="T7","T8",IF($D448="T8","T9","")))))))))</f>
        <v/>
      </c>
      <c r="L448" s="28">
        <f>IF($K448="","",MAX(0,VLOOKUP($K448,RoleTitles!$A:$B,2,FALSE)-$E448))</f>
        <v/>
      </c>
    </row>
    <row r="449">
      <c r="A449" s="24">
        <f>IFERROR(INDEX(CoachRoster!$A$2:$A$1000,ROW()-1),"")</f>
        <v/>
      </c>
      <c r="B449" s="27">
        <f>IF($A449="","",VLOOKUP($A449,CoachRoster!$A:$E,2,FALSE))</f>
        <v/>
      </c>
      <c r="C449" s="27">
        <f>IF($A449="","",VLOOKUP($A449,CoachRoster!$A:$E,3,FALSE))</f>
        <v/>
      </c>
      <c r="D449" s="27">
        <f>IF($A449="","",VLOOKUP($A449,CoachRoster!$A:$E,4,FALSE))</f>
        <v/>
      </c>
      <c r="E449" s="27">
        <f>IF($A449="","",MIN(Settings!$B$8,IFERROR(SUMIF(Weekly_Coaching!$B:$B,$A449,Weekly_Coaching!$D:$D),0)+IFERROR(SUMIF(Monthly_Edu!$B:$B,$A449,Monthly_Edu!$D:$D),0)+IFERROR(SUMIF(Monthly_Ops!$B:$B,$A449,Monthly_Ops!$D:$D),0)+IFERROR(SUMIF(Monthly_Mentor!$B:$B,$A449,Monthly_Mentor!$D:$D),0)+IFERROR(SUMIF(Quarterly_Impact!$B:$B,$A449,Quarterly_Impact!$D:$D),0)+IFERROR(SUMIFS(XPLog!$M:$M,XPLog!$B:$B,$A449,XPLog!$J:$J,"Admin"),0)+IFERROR(SUMIFS(XPLog!$M:$M,XPLog!$B:$B,$A449,XPLog!$J:$J,"Seeding"),0)))</f>
        <v/>
      </c>
      <c r="F449" s="27">
        <f>IF($E449="","",LOOKUP($E449, XPBands!B$2:B$10, XPBands!A$2:A$10))</f>
        <v/>
      </c>
      <c r="G449" s="27">
        <f>IF($E449="","", VLOOKUP($F449, XPBands!A$2:G$10, 4, FALSE) + MIN(VLOOKUP($F449, XPBands!A$2:G$10, 5, FALSE) - VLOOKUP($F449, XPBands!A$2:G$10, 4, FALSE), FLOOR(( $E449 - VLOOKUP($F449, XPBands!A$2:G$10, 2, FALSE) ) / VLOOKUP($F449, XPBands!A$2:G$10, 7, FALSE),1)))</f>
        <v/>
      </c>
      <c r="H449" s="27">
        <f>IF($D449="","",VLOOKUP($D449,RoleTitles!$A:$E,3,FALSE))</f>
        <v/>
      </c>
      <c r="I449" s="27">
        <f>IF($D449="","",IF($C449="Greek",VLOOKUP($D449,RoleTitles!$A:$E,4,FALSE),IF($C449="Aesir",VLOOKUP($D449,RoleTitles!$A:$E,5,FALSE),VLOOKUP($D449,RoleTitles!$A:$E,3,FALSE))))</f>
        <v/>
      </c>
      <c r="J449" s="27">
        <f>IF($D449="","",IF($E449&gt;=VLOOKUP($D449,RoleTitles!$A:$B,2,FALSE),"Yes","No"))</f>
        <v/>
      </c>
      <c r="K449" s="27">
        <f>IF($D449="","",IF($D449="T1","T2",IF($D449="T2","T3",IF($D449="T3","T4",IF($D449="T4","T5",IF($D449="T5","T6",IF($D449="T6","T7",IF($D449="T7","T8",IF($D449="T8","T9","")))))))))</f>
        <v/>
      </c>
      <c r="L449" s="28">
        <f>IF($K449="","",MAX(0,VLOOKUP($K449,RoleTitles!$A:$B,2,FALSE)-$E449))</f>
        <v/>
      </c>
    </row>
    <row r="450">
      <c r="A450" s="24">
        <f>IFERROR(INDEX(CoachRoster!$A$2:$A$1000,ROW()-1),"")</f>
        <v/>
      </c>
      <c r="B450" s="27">
        <f>IF($A450="","",VLOOKUP($A450,CoachRoster!$A:$E,2,FALSE))</f>
        <v/>
      </c>
      <c r="C450" s="27">
        <f>IF($A450="","",VLOOKUP($A450,CoachRoster!$A:$E,3,FALSE))</f>
        <v/>
      </c>
      <c r="D450" s="27">
        <f>IF($A450="","",VLOOKUP($A450,CoachRoster!$A:$E,4,FALSE))</f>
        <v/>
      </c>
      <c r="E450" s="27">
        <f>IF($A450="","",MIN(Settings!$B$8,IFERROR(SUMIF(Weekly_Coaching!$B:$B,$A450,Weekly_Coaching!$D:$D),0)+IFERROR(SUMIF(Monthly_Edu!$B:$B,$A450,Monthly_Edu!$D:$D),0)+IFERROR(SUMIF(Monthly_Ops!$B:$B,$A450,Monthly_Ops!$D:$D),0)+IFERROR(SUMIF(Monthly_Mentor!$B:$B,$A450,Monthly_Mentor!$D:$D),0)+IFERROR(SUMIF(Quarterly_Impact!$B:$B,$A450,Quarterly_Impact!$D:$D),0)+IFERROR(SUMIFS(XPLog!$M:$M,XPLog!$B:$B,$A450,XPLog!$J:$J,"Admin"),0)+IFERROR(SUMIFS(XPLog!$M:$M,XPLog!$B:$B,$A450,XPLog!$J:$J,"Seeding"),0)))</f>
        <v/>
      </c>
      <c r="F450" s="27">
        <f>IF($E450="","",LOOKUP($E450, XPBands!B$2:B$10, XPBands!A$2:A$10))</f>
        <v/>
      </c>
      <c r="G450" s="27">
        <f>IF($E450="","", VLOOKUP($F450, XPBands!A$2:G$10, 4, FALSE) + MIN(VLOOKUP($F450, XPBands!A$2:G$10, 5, FALSE) - VLOOKUP($F450, XPBands!A$2:G$10, 4, FALSE), FLOOR(( $E450 - VLOOKUP($F450, XPBands!A$2:G$10, 2, FALSE) ) / VLOOKUP($F450, XPBands!A$2:G$10, 7, FALSE),1)))</f>
        <v/>
      </c>
      <c r="H450" s="27">
        <f>IF($D450="","",VLOOKUP($D450,RoleTitles!$A:$E,3,FALSE))</f>
        <v/>
      </c>
      <c r="I450" s="27">
        <f>IF($D450="","",IF($C450="Greek",VLOOKUP($D450,RoleTitles!$A:$E,4,FALSE),IF($C450="Aesir",VLOOKUP($D450,RoleTitles!$A:$E,5,FALSE),VLOOKUP($D450,RoleTitles!$A:$E,3,FALSE))))</f>
        <v/>
      </c>
      <c r="J450" s="27">
        <f>IF($D450="","",IF($E450&gt;=VLOOKUP($D450,RoleTitles!$A:$B,2,FALSE),"Yes","No"))</f>
        <v/>
      </c>
      <c r="K450" s="27">
        <f>IF($D450="","",IF($D450="T1","T2",IF($D450="T2","T3",IF($D450="T3","T4",IF($D450="T4","T5",IF($D450="T5","T6",IF($D450="T6","T7",IF($D450="T7","T8",IF($D450="T8","T9","")))))))))</f>
        <v/>
      </c>
      <c r="L450" s="28">
        <f>IF($K450="","",MAX(0,VLOOKUP($K450,RoleTitles!$A:$B,2,FALSE)-$E450))</f>
        <v/>
      </c>
    </row>
    <row r="451">
      <c r="A451" s="24">
        <f>IFERROR(INDEX(CoachRoster!$A$2:$A$1000,ROW()-1),"")</f>
        <v/>
      </c>
      <c r="B451" s="27">
        <f>IF($A451="","",VLOOKUP($A451,CoachRoster!$A:$E,2,FALSE))</f>
        <v/>
      </c>
      <c r="C451" s="27">
        <f>IF($A451="","",VLOOKUP($A451,CoachRoster!$A:$E,3,FALSE))</f>
        <v/>
      </c>
      <c r="D451" s="27">
        <f>IF($A451="","",VLOOKUP($A451,CoachRoster!$A:$E,4,FALSE))</f>
        <v/>
      </c>
      <c r="E451" s="27">
        <f>IF($A451="","",MIN(Settings!$B$8,IFERROR(SUMIF(Weekly_Coaching!$B:$B,$A451,Weekly_Coaching!$D:$D),0)+IFERROR(SUMIF(Monthly_Edu!$B:$B,$A451,Monthly_Edu!$D:$D),0)+IFERROR(SUMIF(Monthly_Ops!$B:$B,$A451,Monthly_Ops!$D:$D),0)+IFERROR(SUMIF(Monthly_Mentor!$B:$B,$A451,Monthly_Mentor!$D:$D),0)+IFERROR(SUMIF(Quarterly_Impact!$B:$B,$A451,Quarterly_Impact!$D:$D),0)+IFERROR(SUMIFS(XPLog!$M:$M,XPLog!$B:$B,$A451,XPLog!$J:$J,"Admin"),0)+IFERROR(SUMIFS(XPLog!$M:$M,XPLog!$B:$B,$A451,XPLog!$J:$J,"Seeding"),0)))</f>
        <v/>
      </c>
      <c r="F451" s="27">
        <f>IF($E451="","",LOOKUP($E451, XPBands!B$2:B$10, XPBands!A$2:A$10))</f>
        <v/>
      </c>
      <c r="G451" s="27">
        <f>IF($E451="","", VLOOKUP($F451, XPBands!A$2:G$10, 4, FALSE) + MIN(VLOOKUP($F451, XPBands!A$2:G$10, 5, FALSE) - VLOOKUP($F451, XPBands!A$2:G$10, 4, FALSE), FLOOR(( $E451 - VLOOKUP($F451, XPBands!A$2:G$10, 2, FALSE) ) / VLOOKUP($F451, XPBands!A$2:G$10, 7, FALSE),1)))</f>
        <v/>
      </c>
      <c r="H451" s="27">
        <f>IF($D451="","",VLOOKUP($D451,RoleTitles!$A:$E,3,FALSE))</f>
        <v/>
      </c>
      <c r="I451" s="27">
        <f>IF($D451="","",IF($C451="Greek",VLOOKUP($D451,RoleTitles!$A:$E,4,FALSE),IF($C451="Aesir",VLOOKUP($D451,RoleTitles!$A:$E,5,FALSE),VLOOKUP($D451,RoleTitles!$A:$E,3,FALSE))))</f>
        <v/>
      </c>
      <c r="J451" s="27">
        <f>IF($D451="","",IF($E451&gt;=VLOOKUP($D451,RoleTitles!$A:$B,2,FALSE),"Yes","No"))</f>
        <v/>
      </c>
      <c r="K451" s="27">
        <f>IF($D451="","",IF($D451="T1","T2",IF($D451="T2","T3",IF($D451="T3","T4",IF($D451="T4","T5",IF($D451="T5","T6",IF($D451="T6","T7",IF($D451="T7","T8",IF($D451="T8","T9","")))))))))</f>
        <v/>
      </c>
      <c r="L451" s="28">
        <f>IF($K451="","",MAX(0,VLOOKUP($K451,RoleTitles!$A:$B,2,FALSE)-$E451))</f>
        <v/>
      </c>
    </row>
    <row r="452">
      <c r="A452" s="24">
        <f>IFERROR(INDEX(CoachRoster!$A$2:$A$1000,ROW()-1),"")</f>
        <v/>
      </c>
      <c r="B452" s="27">
        <f>IF($A452="","",VLOOKUP($A452,CoachRoster!$A:$E,2,FALSE))</f>
        <v/>
      </c>
      <c r="C452" s="27">
        <f>IF($A452="","",VLOOKUP($A452,CoachRoster!$A:$E,3,FALSE))</f>
        <v/>
      </c>
      <c r="D452" s="27">
        <f>IF($A452="","",VLOOKUP($A452,CoachRoster!$A:$E,4,FALSE))</f>
        <v/>
      </c>
      <c r="E452" s="27">
        <f>IF($A452="","",MIN(Settings!$B$8,IFERROR(SUMIF(Weekly_Coaching!$B:$B,$A452,Weekly_Coaching!$D:$D),0)+IFERROR(SUMIF(Monthly_Edu!$B:$B,$A452,Monthly_Edu!$D:$D),0)+IFERROR(SUMIF(Monthly_Ops!$B:$B,$A452,Monthly_Ops!$D:$D),0)+IFERROR(SUMIF(Monthly_Mentor!$B:$B,$A452,Monthly_Mentor!$D:$D),0)+IFERROR(SUMIF(Quarterly_Impact!$B:$B,$A452,Quarterly_Impact!$D:$D),0)+IFERROR(SUMIFS(XPLog!$M:$M,XPLog!$B:$B,$A452,XPLog!$J:$J,"Admin"),0)+IFERROR(SUMIFS(XPLog!$M:$M,XPLog!$B:$B,$A452,XPLog!$J:$J,"Seeding"),0)))</f>
        <v/>
      </c>
      <c r="F452" s="27">
        <f>IF($E452="","",LOOKUP($E452, XPBands!B$2:B$10, XPBands!A$2:A$10))</f>
        <v/>
      </c>
      <c r="G452" s="27">
        <f>IF($E452="","", VLOOKUP($F452, XPBands!A$2:G$10, 4, FALSE) + MIN(VLOOKUP($F452, XPBands!A$2:G$10, 5, FALSE) - VLOOKUP($F452, XPBands!A$2:G$10, 4, FALSE), FLOOR(( $E452 - VLOOKUP($F452, XPBands!A$2:G$10, 2, FALSE) ) / VLOOKUP($F452, XPBands!A$2:G$10, 7, FALSE),1)))</f>
        <v/>
      </c>
      <c r="H452" s="27">
        <f>IF($D452="","",VLOOKUP($D452,RoleTitles!$A:$E,3,FALSE))</f>
        <v/>
      </c>
      <c r="I452" s="27">
        <f>IF($D452="","",IF($C452="Greek",VLOOKUP($D452,RoleTitles!$A:$E,4,FALSE),IF($C452="Aesir",VLOOKUP($D452,RoleTitles!$A:$E,5,FALSE),VLOOKUP($D452,RoleTitles!$A:$E,3,FALSE))))</f>
        <v/>
      </c>
      <c r="J452" s="27">
        <f>IF($D452="","",IF($E452&gt;=VLOOKUP($D452,RoleTitles!$A:$B,2,FALSE),"Yes","No"))</f>
        <v/>
      </c>
      <c r="K452" s="27">
        <f>IF($D452="","",IF($D452="T1","T2",IF($D452="T2","T3",IF($D452="T3","T4",IF($D452="T4","T5",IF($D452="T5","T6",IF($D452="T6","T7",IF($D452="T7","T8",IF($D452="T8","T9","")))))))))</f>
        <v/>
      </c>
      <c r="L452" s="28">
        <f>IF($K452="","",MAX(0,VLOOKUP($K452,RoleTitles!$A:$B,2,FALSE)-$E452))</f>
        <v/>
      </c>
    </row>
    <row r="453">
      <c r="A453" s="24">
        <f>IFERROR(INDEX(CoachRoster!$A$2:$A$1000,ROW()-1),"")</f>
        <v/>
      </c>
      <c r="B453" s="27">
        <f>IF($A453="","",VLOOKUP($A453,CoachRoster!$A:$E,2,FALSE))</f>
        <v/>
      </c>
      <c r="C453" s="27">
        <f>IF($A453="","",VLOOKUP($A453,CoachRoster!$A:$E,3,FALSE))</f>
        <v/>
      </c>
      <c r="D453" s="27">
        <f>IF($A453="","",VLOOKUP($A453,CoachRoster!$A:$E,4,FALSE))</f>
        <v/>
      </c>
      <c r="E453" s="27">
        <f>IF($A453="","",MIN(Settings!$B$8,IFERROR(SUMIF(Weekly_Coaching!$B:$B,$A453,Weekly_Coaching!$D:$D),0)+IFERROR(SUMIF(Monthly_Edu!$B:$B,$A453,Monthly_Edu!$D:$D),0)+IFERROR(SUMIF(Monthly_Ops!$B:$B,$A453,Monthly_Ops!$D:$D),0)+IFERROR(SUMIF(Monthly_Mentor!$B:$B,$A453,Monthly_Mentor!$D:$D),0)+IFERROR(SUMIF(Quarterly_Impact!$B:$B,$A453,Quarterly_Impact!$D:$D),0)+IFERROR(SUMIFS(XPLog!$M:$M,XPLog!$B:$B,$A453,XPLog!$J:$J,"Admin"),0)+IFERROR(SUMIFS(XPLog!$M:$M,XPLog!$B:$B,$A453,XPLog!$J:$J,"Seeding"),0)))</f>
        <v/>
      </c>
      <c r="F453" s="27">
        <f>IF($E453="","",LOOKUP($E453, XPBands!B$2:B$10, XPBands!A$2:A$10))</f>
        <v/>
      </c>
      <c r="G453" s="27">
        <f>IF($E453="","", VLOOKUP($F453, XPBands!A$2:G$10, 4, FALSE) + MIN(VLOOKUP($F453, XPBands!A$2:G$10, 5, FALSE) - VLOOKUP($F453, XPBands!A$2:G$10, 4, FALSE), FLOOR(( $E453 - VLOOKUP($F453, XPBands!A$2:G$10, 2, FALSE) ) / VLOOKUP($F453, XPBands!A$2:G$10, 7, FALSE),1)))</f>
        <v/>
      </c>
      <c r="H453" s="27">
        <f>IF($D453="","",VLOOKUP($D453,RoleTitles!$A:$E,3,FALSE))</f>
        <v/>
      </c>
      <c r="I453" s="27">
        <f>IF($D453="","",IF($C453="Greek",VLOOKUP($D453,RoleTitles!$A:$E,4,FALSE),IF($C453="Aesir",VLOOKUP($D453,RoleTitles!$A:$E,5,FALSE),VLOOKUP($D453,RoleTitles!$A:$E,3,FALSE))))</f>
        <v/>
      </c>
      <c r="J453" s="27">
        <f>IF($D453="","",IF($E453&gt;=VLOOKUP($D453,RoleTitles!$A:$B,2,FALSE),"Yes","No"))</f>
        <v/>
      </c>
      <c r="K453" s="27">
        <f>IF($D453="","",IF($D453="T1","T2",IF($D453="T2","T3",IF($D453="T3","T4",IF($D453="T4","T5",IF($D453="T5","T6",IF($D453="T6","T7",IF($D453="T7","T8",IF($D453="T8","T9","")))))))))</f>
        <v/>
      </c>
      <c r="L453" s="28">
        <f>IF($K453="","",MAX(0,VLOOKUP($K453,RoleTitles!$A:$B,2,FALSE)-$E453))</f>
        <v/>
      </c>
    </row>
    <row r="454">
      <c r="A454" s="24">
        <f>IFERROR(INDEX(CoachRoster!$A$2:$A$1000,ROW()-1),"")</f>
        <v/>
      </c>
      <c r="B454" s="27">
        <f>IF($A454="","",VLOOKUP($A454,CoachRoster!$A:$E,2,FALSE))</f>
        <v/>
      </c>
      <c r="C454" s="27">
        <f>IF($A454="","",VLOOKUP($A454,CoachRoster!$A:$E,3,FALSE))</f>
        <v/>
      </c>
      <c r="D454" s="27">
        <f>IF($A454="","",VLOOKUP($A454,CoachRoster!$A:$E,4,FALSE))</f>
        <v/>
      </c>
      <c r="E454" s="27">
        <f>IF($A454="","",MIN(Settings!$B$8,IFERROR(SUMIF(Weekly_Coaching!$B:$B,$A454,Weekly_Coaching!$D:$D),0)+IFERROR(SUMIF(Monthly_Edu!$B:$B,$A454,Monthly_Edu!$D:$D),0)+IFERROR(SUMIF(Monthly_Ops!$B:$B,$A454,Monthly_Ops!$D:$D),0)+IFERROR(SUMIF(Monthly_Mentor!$B:$B,$A454,Monthly_Mentor!$D:$D),0)+IFERROR(SUMIF(Quarterly_Impact!$B:$B,$A454,Quarterly_Impact!$D:$D),0)+IFERROR(SUMIFS(XPLog!$M:$M,XPLog!$B:$B,$A454,XPLog!$J:$J,"Admin"),0)+IFERROR(SUMIFS(XPLog!$M:$M,XPLog!$B:$B,$A454,XPLog!$J:$J,"Seeding"),0)))</f>
        <v/>
      </c>
      <c r="F454" s="27">
        <f>IF($E454="","",LOOKUP($E454, XPBands!B$2:B$10, XPBands!A$2:A$10))</f>
        <v/>
      </c>
      <c r="G454" s="27">
        <f>IF($E454="","", VLOOKUP($F454, XPBands!A$2:G$10, 4, FALSE) + MIN(VLOOKUP($F454, XPBands!A$2:G$10, 5, FALSE) - VLOOKUP($F454, XPBands!A$2:G$10, 4, FALSE), FLOOR(( $E454 - VLOOKUP($F454, XPBands!A$2:G$10, 2, FALSE) ) / VLOOKUP($F454, XPBands!A$2:G$10, 7, FALSE),1)))</f>
        <v/>
      </c>
      <c r="H454" s="27">
        <f>IF($D454="","",VLOOKUP($D454,RoleTitles!$A:$E,3,FALSE))</f>
        <v/>
      </c>
      <c r="I454" s="27">
        <f>IF($D454="","",IF($C454="Greek",VLOOKUP($D454,RoleTitles!$A:$E,4,FALSE),IF($C454="Aesir",VLOOKUP($D454,RoleTitles!$A:$E,5,FALSE),VLOOKUP($D454,RoleTitles!$A:$E,3,FALSE))))</f>
        <v/>
      </c>
      <c r="J454" s="27">
        <f>IF($D454="","",IF($E454&gt;=VLOOKUP($D454,RoleTitles!$A:$B,2,FALSE),"Yes","No"))</f>
        <v/>
      </c>
      <c r="K454" s="27">
        <f>IF($D454="","",IF($D454="T1","T2",IF($D454="T2","T3",IF($D454="T3","T4",IF($D454="T4","T5",IF($D454="T5","T6",IF($D454="T6","T7",IF($D454="T7","T8",IF($D454="T8","T9","")))))))))</f>
        <v/>
      </c>
      <c r="L454" s="28">
        <f>IF($K454="","",MAX(0,VLOOKUP($K454,RoleTitles!$A:$B,2,FALSE)-$E454))</f>
        <v/>
      </c>
    </row>
    <row r="455">
      <c r="A455" s="24">
        <f>IFERROR(INDEX(CoachRoster!$A$2:$A$1000,ROW()-1),"")</f>
        <v/>
      </c>
      <c r="B455" s="27">
        <f>IF($A455="","",VLOOKUP($A455,CoachRoster!$A:$E,2,FALSE))</f>
        <v/>
      </c>
      <c r="C455" s="27">
        <f>IF($A455="","",VLOOKUP($A455,CoachRoster!$A:$E,3,FALSE))</f>
        <v/>
      </c>
      <c r="D455" s="27">
        <f>IF($A455="","",VLOOKUP($A455,CoachRoster!$A:$E,4,FALSE))</f>
        <v/>
      </c>
      <c r="E455" s="27">
        <f>IF($A455="","",MIN(Settings!$B$8,IFERROR(SUMIF(Weekly_Coaching!$B:$B,$A455,Weekly_Coaching!$D:$D),0)+IFERROR(SUMIF(Monthly_Edu!$B:$B,$A455,Monthly_Edu!$D:$D),0)+IFERROR(SUMIF(Monthly_Ops!$B:$B,$A455,Monthly_Ops!$D:$D),0)+IFERROR(SUMIF(Monthly_Mentor!$B:$B,$A455,Monthly_Mentor!$D:$D),0)+IFERROR(SUMIF(Quarterly_Impact!$B:$B,$A455,Quarterly_Impact!$D:$D),0)+IFERROR(SUMIFS(XPLog!$M:$M,XPLog!$B:$B,$A455,XPLog!$J:$J,"Admin"),0)+IFERROR(SUMIFS(XPLog!$M:$M,XPLog!$B:$B,$A455,XPLog!$J:$J,"Seeding"),0)))</f>
        <v/>
      </c>
      <c r="F455" s="27">
        <f>IF($E455="","",LOOKUP($E455, XPBands!B$2:B$10, XPBands!A$2:A$10))</f>
        <v/>
      </c>
      <c r="G455" s="27">
        <f>IF($E455="","", VLOOKUP($F455, XPBands!A$2:G$10, 4, FALSE) + MIN(VLOOKUP($F455, XPBands!A$2:G$10, 5, FALSE) - VLOOKUP($F455, XPBands!A$2:G$10, 4, FALSE), FLOOR(( $E455 - VLOOKUP($F455, XPBands!A$2:G$10, 2, FALSE) ) / VLOOKUP($F455, XPBands!A$2:G$10, 7, FALSE),1)))</f>
        <v/>
      </c>
      <c r="H455" s="27">
        <f>IF($D455="","",VLOOKUP($D455,RoleTitles!$A:$E,3,FALSE))</f>
        <v/>
      </c>
      <c r="I455" s="27">
        <f>IF($D455="","",IF($C455="Greek",VLOOKUP($D455,RoleTitles!$A:$E,4,FALSE),IF($C455="Aesir",VLOOKUP($D455,RoleTitles!$A:$E,5,FALSE),VLOOKUP($D455,RoleTitles!$A:$E,3,FALSE))))</f>
        <v/>
      </c>
      <c r="J455" s="27">
        <f>IF($D455="","",IF($E455&gt;=VLOOKUP($D455,RoleTitles!$A:$B,2,FALSE),"Yes","No"))</f>
        <v/>
      </c>
      <c r="K455" s="27">
        <f>IF($D455="","",IF($D455="T1","T2",IF($D455="T2","T3",IF($D455="T3","T4",IF($D455="T4","T5",IF($D455="T5","T6",IF($D455="T6","T7",IF($D455="T7","T8",IF($D455="T8","T9","")))))))))</f>
        <v/>
      </c>
      <c r="L455" s="28">
        <f>IF($K455="","",MAX(0,VLOOKUP($K455,RoleTitles!$A:$B,2,FALSE)-$E455))</f>
        <v/>
      </c>
    </row>
    <row r="456">
      <c r="A456" s="24">
        <f>IFERROR(INDEX(CoachRoster!$A$2:$A$1000,ROW()-1),"")</f>
        <v/>
      </c>
      <c r="B456" s="27">
        <f>IF($A456="","",VLOOKUP($A456,CoachRoster!$A:$E,2,FALSE))</f>
        <v/>
      </c>
      <c r="C456" s="27">
        <f>IF($A456="","",VLOOKUP($A456,CoachRoster!$A:$E,3,FALSE))</f>
        <v/>
      </c>
      <c r="D456" s="27">
        <f>IF($A456="","",VLOOKUP($A456,CoachRoster!$A:$E,4,FALSE))</f>
        <v/>
      </c>
      <c r="E456" s="27">
        <f>IF($A456="","",MIN(Settings!$B$8,IFERROR(SUMIF(Weekly_Coaching!$B:$B,$A456,Weekly_Coaching!$D:$D),0)+IFERROR(SUMIF(Monthly_Edu!$B:$B,$A456,Monthly_Edu!$D:$D),0)+IFERROR(SUMIF(Monthly_Ops!$B:$B,$A456,Monthly_Ops!$D:$D),0)+IFERROR(SUMIF(Monthly_Mentor!$B:$B,$A456,Monthly_Mentor!$D:$D),0)+IFERROR(SUMIF(Quarterly_Impact!$B:$B,$A456,Quarterly_Impact!$D:$D),0)+IFERROR(SUMIFS(XPLog!$M:$M,XPLog!$B:$B,$A456,XPLog!$J:$J,"Admin"),0)+IFERROR(SUMIFS(XPLog!$M:$M,XPLog!$B:$B,$A456,XPLog!$J:$J,"Seeding"),0)))</f>
        <v/>
      </c>
      <c r="F456" s="27">
        <f>IF($E456="","",LOOKUP($E456, XPBands!B$2:B$10, XPBands!A$2:A$10))</f>
        <v/>
      </c>
      <c r="G456" s="27">
        <f>IF($E456="","", VLOOKUP($F456, XPBands!A$2:G$10, 4, FALSE) + MIN(VLOOKUP($F456, XPBands!A$2:G$10, 5, FALSE) - VLOOKUP($F456, XPBands!A$2:G$10, 4, FALSE), FLOOR(( $E456 - VLOOKUP($F456, XPBands!A$2:G$10, 2, FALSE) ) / VLOOKUP($F456, XPBands!A$2:G$10, 7, FALSE),1)))</f>
        <v/>
      </c>
      <c r="H456" s="27">
        <f>IF($D456="","",VLOOKUP($D456,RoleTitles!$A:$E,3,FALSE))</f>
        <v/>
      </c>
      <c r="I456" s="27">
        <f>IF($D456="","",IF($C456="Greek",VLOOKUP($D456,RoleTitles!$A:$E,4,FALSE),IF($C456="Aesir",VLOOKUP($D456,RoleTitles!$A:$E,5,FALSE),VLOOKUP($D456,RoleTitles!$A:$E,3,FALSE))))</f>
        <v/>
      </c>
      <c r="J456" s="27">
        <f>IF($D456="","",IF($E456&gt;=VLOOKUP($D456,RoleTitles!$A:$B,2,FALSE),"Yes","No"))</f>
        <v/>
      </c>
      <c r="K456" s="27">
        <f>IF($D456="","",IF($D456="T1","T2",IF($D456="T2","T3",IF($D456="T3","T4",IF($D456="T4","T5",IF($D456="T5","T6",IF($D456="T6","T7",IF($D456="T7","T8",IF($D456="T8","T9","")))))))))</f>
        <v/>
      </c>
      <c r="L456" s="28">
        <f>IF($K456="","",MAX(0,VLOOKUP($K456,RoleTitles!$A:$B,2,FALSE)-$E456))</f>
        <v/>
      </c>
    </row>
    <row r="457">
      <c r="A457" s="24">
        <f>IFERROR(INDEX(CoachRoster!$A$2:$A$1000,ROW()-1),"")</f>
        <v/>
      </c>
      <c r="B457" s="27">
        <f>IF($A457="","",VLOOKUP($A457,CoachRoster!$A:$E,2,FALSE))</f>
        <v/>
      </c>
      <c r="C457" s="27">
        <f>IF($A457="","",VLOOKUP($A457,CoachRoster!$A:$E,3,FALSE))</f>
        <v/>
      </c>
      <c r="D457" s="27">
        <f>IF($A457="","",VLOOKUP($A457,CoachRoster!$A:$E,4,FALSE))</f>
        <v/>
      </c>
      <c r="E457" s="27">
        <f>IF($A457="","",MIN(Settings!$B$8,IFERROR(SUMIF(Weekly_Coaching!$B:$B,$A457,Weekly_Coaching!$D:$D),0)+IFERROR(SUMIF(Monthly_Edu!$B:$B,$A457,Monthly_Edu!$D:$D),0)+IFERROR(SUMIF(Monthly_Ops!$B:$B,$A457,Monthly_Ops!$D:$D),0)+IFERROR(SUMIF(Monthly_Mentor!$B:$B,$A457,Monthly_Mentor!$D:$D),0)+IFERROR(SUMIF(Quarterly_Impact!$B:$B,$A457,Quarterly_Impact!$D:$D),0)+IFERROR(SUMIFS(XPLog!$M:$M,XPLog!$B:$B,$A457,XPLog!$J:$J,"Admin"),0)+IFERROR(SUMIFS(XPLog!$M:$M,XPLog!$B:$B,$A457,XPLog!$J:$J,"Seeding"),0)))</f>
        <v/>
      </c>
      <c r="F457" s="27">
        <f>IF($E457="","",LOOKUP($E457, XPBands!B$2:B$10, XPBands!A$2:A$10))</f>
        <v/>
      </c>
      <c r="G457" s="27">
        <f>IF($E457="","", VLOOKUP($F457, XPBands!A$2:G$10, 4, FALSE) + MIN(VLOOKUP($F457, XPBands!A$2:G$10, 5, FALSE) - VLOOKUP($F457, XPBands!A$2:G$10, 4, FALSE), FLOOR(( $E457 - VLOOKUP($F457, XPBands!A$2:G$10, 2, FALSE) ) / VLOOKUP($F457, XPBands!A$2:G$10, 7, FALSE),1)))</f>
        <v/>
      </c>
      <c r="H457" s="27">
        <f>IF($D457="","",VLOOKUP($D457,RoleTitles!$A:$E,3,FALSE))</f>
        <v/>
      </c>
      <c r="I457" s="27">
        <f>IF($D457="","",IF($C457="Greek",VLOOKUP($D457,RoleTitles!$A:$E,4,FALSE),IF($C457="Aesir",VLOOKUP($D457,RoleTitles!$A:$E,5,FALSE),VLOOKUP($D457,RoleTitles!$A:$E,3,FALSE))))</f>
        <v/>
      </c>
      <c r="J457" s="27">
        <f>IF($D457="","",IF($E457&gt;=VLOOKUP($D457,RoleTitles!$A:$B,2,FALSE),"Yes","No"))</f>
        <v/>
      </c>
      <c r="K457" s="27">
        <f>IF($D457="","",IF($D457="T1","T2",IF($D457="T2","T3",IF($D457="T3","T4",IF($D457="T4","T5",IF($D457="T5","T6",IF($D457="T6","T7",IF($D457="T7","T8",IF($D457="T8","T9","")))))))))</f>
        <v/>
      </c>
      <c r="L457" s="28">
        <f>IF($K457="","",MAX(0,VLOOKUP($K457,RoleTitles!$A:$B,2,FALSE)-$E457))</f>
        <v/>
      </c>
    </row>
    <row r="458">
      <c r="A458" s="24">
        <f>IFERROR(INDEX(CoachRoster!$A$2:$A$1000,ROW()-1),"")</f>
        <v/>
      </c>
      <c r="B458" s="27">
        <f>IF($A458="","",VLOOKUP($A458,CoachRoster!$A:$E,2,FALSE))</f>
        <v/>
      </c>
      <c r="C458" s="27">
        <f>IF($A458="","",VLOOKUP($A458,CoachRoster!$A:$E,3,FALSE))</f>
        <v/>
      </c>
      <c r="D458" s="27">
        <f>IF($A458="","",VLOOKUP($A458,CoachRoster!$A:$E,4,FALSE))</f>
        <v/>
      </c>
      <c r="E458" s="27">
        <f>IF($A458="","",MIN(Settings!$B$8,IFERROR(SUMIF(Weekly_Coaching!$B:$B,$A458,Weekly_Coaching!$D:$D),0)+IFERROR(SUMIF(Monthly_Edu!$B:$B,$A458,Monthly_Edu!$D:$D),0)+IFERROR(SUMIF(Monthly_Ops!$B:$B,$A458,Monthly_Ops!$D:$D),0)+IFERROR(SUMIF(Monthly_Mentor!$B:$B,$A458,Monthly_Mentor!$D:$D),0)+IFERROR(SUMIF(Quarterly_Impact!$B:$B,$A458,Quarterly_Impact!$D:$D),0)+IFERROR(SUMIFS(XPLog!$M:$M,XPLog!$B:$B,$A458,XPLog!$J:$J,"Admin"),0)+IFERROR(SUMIFS(XPLog!$M:$M,XPLog!$B:$B,$A458,XPLog!$J:$J,"Seeding"),0)))</f>
        <v/>
      </c>
      <c r="F458" s="27">
        <f>IF($E458="","",LOOKUP($E458, XPBands!B$2:B$10, XPBands!A$2:A$10))</f>
        <v/>
      </c>
      <c r="G458" s="27">
        <f>IF($E458="","", VLOOKUP($F458, XPBands!A$2:G$10, 4, FALSE) + MIN(VLOOKUP($F458, XPBands!A$2:G$10, 5, FALSE) - VLOOKUP($F458, XPBands!A$2:G$10, 4, FALSE), FLOOR(( $E458 - VLOOKUP($F458, XPBands!A$2:G$10, 2, FALSE) ) / VLOOKUP($F458, XPBands!A$2:G$10, 7, FALSE),1)))</f>
        <v/>
      </c>
      <c r="H458" s="27">
        <f>IF($D458="","",VLOOKUP($D458,RoleTitles!$A:$E,3,FALSE))</f>
        <v/>
      </c>
      <c r="I458" s="27">
        <f>IF($D458="","",IF($C458="Greek",VLOOKUP($D458,RoleTitles!$A:$E,4,FALSE),IF($C458="Aesir",VLOOKUP($D458,RoleTitles!$A:$E,5,FALSE),VLOOKUP($D458,RoleTitles!$A:$E,3,FALSE))))</f>
        <v/>
      </c>
      <c r="J458" s="27">
        <f>IF($D458="","",IF($E458&gt;=VLOOKUP($D458,RoleTitles!$A:$B,2,FALSE),"Yes","No"))</f>
        <v/>
      </c>
      <c r="K458" s="27">
        <f>IF($D458="","",IF($D458="T1","T2",IF($D458="T2","T3",IF($D458="T3","T4",IF($D458="T4","T5",IF($D458="T5","T6",IF($D458="T6","T7",IF($D458="T7","T8",IF($D458="T8","T9","")))))))))</f>
        <v/>
      </c>
      <c r="L458" s="28">
        <f>IF($K458="","",MAX(0,VLOOKUP($K458,RoleTitles!$A:$B,2,FALSE)-$E458))</f>
        <v/>
      </c>
    </row>
    <row r="459">
      <c r="A459" s="24">
        <f>IFERROR(INDEX(CoachRoster!$A$2:$A$1000,ROW()-1),"")</f>
        <v/>
      </c>
      <c r="B459" s="27">
        <f>IF($A459="","",VLOOKUP($A459,CoachRoster!$A:$E,2,FALSE))</f>
        <v/>
      </c>
      <c r="C459" s="27">
        <f>IF($A459="","",VLOOKUP($A459,CoachRoster!$A:$E,3,FALSE))</f>
        <v/>
      </c>
      <c r="D459" s="27">
        <f>IF($A459="","",VLOOKUP($A459,CoachRoster!$A:$E,4,FALSE))</f>
        <v/>
      </c>
      <c r="E459" s="27">
        <f>IF($A459="","",MIN(Settings!$B$8,IFERROR(SUMIF(Weekly_Coaching!$B:$B,$A459,Weekly_Coaching!$D:$D),0)+IFERROR(SUMIF(Monthly_Edu!$B:$B,$A459,Monthly_Edu!$D:$D),0)+IFERROR(SUMIF(Monthly_Ops!$B:$B,$A459,Monthly_Ops!$D:$D),0)+IFERROR(SUMIF(Monthly_Mentor!$B:$B,$A459,Monthly_Mentor!$D:$D),0)+IFERROR(SUMIF(Quarterly_Impact!$B:$B,$A459,Quarterly_Impact!$D:$D),0)+IFERROR(SUMIFS(XPLog!$M:$M,XPLog!$B:$B,$A459,XPLog!$J:$J,"Admin"),0)+IFERROR(SUMIFS(XPLog!$M:$M,XPLog!$B:$B,$A459,XPLog!$J:$J,"Seeding"),0)))</f>
        <v/>
      </c>
      <c r="F459" s="27">
        <f>IF($E459="","",LOOKUP($E459, XPBands!B$2:B$10, XPBands!A$2:A$10))</f>
        <v/>
      </c>
      <c r="G459" s="27">
        <f>IF($E459="","", VLOOKUP($F459, XPBands!A$2:G$10, 4, FALSE) + MIN(VLOOKUP($F459, XPBands!A$2:G$10, 5, FALSE) - VLOOKUP($F459, XPBands!A$2:G$10, 4, FALSE), FLOOR(( $E459 - VLOOKUP($F459, XPBands!A$2:G$10, 2, FALSE) ) / VLOOKUP($F459, XPBands!A$2:G$10, 7, FALSE),1)))</f>
        <v/>
      </c>
      <c r="H459" s="27">
        <f>IF($D459="","",VLOOKUP($D459,RoleTitles!$A:$E,3,FALSE))</f>
        <v/>
      </c>
      <c r="I459" s="27">
        <f>IF($D459="","",IF($C459="Greek",VLOOKUP($D459,RoleTitles!$A:$E,4,FALSE),IF($C459="Aesir",VLOOKUP($D459,RoleTitles!$A:$E,5,FALSE),VLOOKUP($D459,RoleTitles!$A:$E,3,FALSE))))</f>
        <v/>
      </c>
      <c r="J459" s="27">
        <f>IF($D459="","",IF($E459&gt;=VLOOKUP($D459,RoleTitles!$A:$B,2,FALSE),"Yes","No"))</f>
        <v/>
      </c>
      <c r="K459" s="27">
        <f>IF($D459="","",IF($D459="T1","T2",IF($D459="T2","T3",IF($D459="T3","T4",IF($D459="T4","T5",IF($D459="T5","T6",IF($D459="T6","T7",IF($D459="T7","T8",IF($D459="T8","T9","")))))))))</f>
        <v/>
      </c>
      <c r="L459" s="28">
        <f>IF($K459="","",MAX(0,VLOOKUP($K459,RoleTitles!$A:$B,2,FALSE)-$E459))</f>
        <v/>
      </c>
    </row>
    <row r="460">
      <c r="A460" s="24">
        <f>IFERROR(INDEX(CoachRoster!$A$2:$A$1000,ROW()-1),"")</f>
        <v/>
      </c>
      <c r="B460" s="27">
        <f>IF($A460="","",VLOOKUP($A460,CoachRoster!$A:$E,2,FALSE))</f>
        <v/>
      </c>
      <c r="C460" s="27">
        <f>IF($A460="","",VLOOKUP($A460,CoachRoster!$A:$E,3,FALSE))</f>
        <v/>
      </c>
      <c r="D460" s="27">
        <f>IF($A460="","",VLOOKUP($A460,CoachRoster!$A:$E,4,FALSE))</f>
        <v/>
      </c>
      <c r="E460" s="27">
        <f>IF($A460="","",MIN(Settings!$B$8,IFERROR(SUMIF(Weekly_Coaching!$B:$B,$A460,Weekly_Coaching!$D:$D),0)+IFERROR(SUMIF(Monthly_Edu!$B:$B,$A460,Monthly_Edu!$D:$D),0)+IFERROR(SUMIF(Monthly_Ops!$B:$B,$A460,Monthly_Ops!$D:$D),0)+IFERROR(SUMIF(Monthly_Mentor!$B:$B,$A460,Monthly_Mentor!$D:$D),0)+IFERROR(SUMIF(Quarterly_Impact!$B:$B,$A460,Quarterly_Impact!$D:$D),0)+IFERROR(SUMIFS(XPLog!$M:$M,XPLog!$B:$B,$A460,XPLog!$J:$J,"Admin"),0)+IFERROR(SUMIFS(XPLog!$M:$M,XPLog!$B:$B,$A460,XPLog!$J:$J,"Seeding"),0)))</f>
        <v/>
      </c>
      <c r="F460" s="27">
        <f>IF($E460="","",LOOKUP($E460, XPBands!B$2:B$10, XPBands!A$2:A$10))</f>
        <v/>
      </c>
      <c r="G460" s="27">
        <f>IF($E460="","", VLOOKUP($F460, XPBands!A$2:G$10, 4, FALSE) + MIN(VLOOKUP($F460, XPBands!A$2:G$10, 5, FALSE) - VLOOKUP($F460, XPBands!A$2:G$10, 4, FALSE), FLOOR(( $E460 - VLOOKUP($F460, XPBands!A$2:G$10, 2, FALSE) ) / VLOOKUP($F460, XPBands!A$2:G$10, 7, FALSE),1)))</f>
        <v/>
      </c>
      <c r="H460" s="27">
        <f>IF($D460="","",VLOOKUP($D460,RoleTitles!$A:$E,3,FALSE))</f>
        <v/>
      </c>
      <c r="I460" s="27">
        <f>IF($D460="","",IF($C460="Greek",VLOOKUP($D460,RoleTitles!$A:$E,4,FALSE),IF($C460="Aesir",VLOOKUP($D460,RoleTitles!$A:$E,5,FALSE),VLOOKUP($D460,RoleTitles!$A:$E,3,FALSE))))</f>
        <v/>
      </c>
      <c r="J460" s="27">
        <f>IF($D460="","",IF($E460&gt;=VLOOKUP($D460,RoleTitles!$A:$B,2,FALSE),"Yes","No"))</f>
        <v/>
      </c>
      <c r="K460" s="27">
        <f>IF($D460="","",IF($D460="T1","T2",IF($D460="T2","T3",IF($D460="T3","T4",IF($D460="T4","T5",IF($D460="T5","T6",IF($D460="T6","T7",IF($D460="T7","T8",IF($D460="T8","T9","")))))))))</f>
        <v/>
      </c>
      <c r="L460" s="28">
        <f>IF($K460="","",MAX(0,VLOOKUP($K460,RoleTitles!$A:$B,2,FALSE)-$E460))</f>
        <v/>
      </c>
    </row>
    <row r="461">
      <c r="A461" s="24">
        <f>IFERROR(INDEX(CoachRoster!$A$2:$A$1000,ROW()-1),"")</f>
        <v/>
      </c>
      <c r="B461" s="27">
        <f>IF($A461="","",VLOOKUP($A461,CoachRoster!$A:$E,2,FALSE))</f>
        <v/>
      </c>
      <c r="C461" s="27">
        <f>IF($A461="","",VLOOKUP($A461,CoachRoster!$A:$E,3,FALSE))</f>
        <v/>
      </c>
      <c r="D461" s="27">
        <f>IF($A461="","",VLOOKUP($A461,CoachRoster!$A:$E,4,FALSE))</f>
        <v/>
      </c>
      <c r="E461" s="27">
        <f>IF($A461="","",MIN(Settings!$B$8,IFERROR(SUMIF(Weekly_Coaching!$B:$B,$A461,Weekly_Coaching!$D:$D),0)+IFERROR(SUMIF(Monthly_Edu!$B:$B,$A461,Monthly_Edu!$D:$D),0)+IFERROR(SUMIF(Monthly_Ops!$B:$B,$A461,Monthly_Ops!$D:$D),0)+IFERROR(SUMIF(Monthly_Mentor!$B:$B,$A461,Monthly_Mentor!$D:$D),0)+IFERROR(SUMIF(Quarterly_Impact!$B:$B,$A461,Quarterly_Impact!$D:$D),0)+IFERROR(SUMIFS(XPLog!$M:$M,XPLog!$B:$B,$A461,XPLog!$J:$J,"Admin"),0)+IFERROR(SUMIFS(XPLog!$M:$M,XPLog!$B:$B,$A461,XPLog!$J:$J,"Seeding"),0)))</f>
        <v/>
      </c>
      <c r="F461" s="27">
        <f>IF($E461="","",LOOKUP($E461, XPBands!B$2:B$10, XPBands!A$2:A$10))</f>
        <v/>
      </c>
      <c r="G461" s="27">
        <f>IF($E461="","", VLOOKUP($F461, XPBands!A$2:G$10, 4, FALSE) + MIN(VLOOKUP($F461, XPBands!A$2:G$10, 5, FALSE) - VLOOKUP($F461, XPBands!A$2:G$10, 4, FALSE), FLOOR(( $E461 - VLOOKUP($F461, XPBands!A$2:G$10, 2, FALSE) ) / VLOOKUP($F461, XPBands!A$2:G$10, 7, FALSE),1)))</f>
        <v/>
      </c>
      <c r="H461" s="27">
        <f>IF($D461="","",VLOOKUP($D461,RoleTitles!$A:$E,3,FALSE))</f>
        <v/>
      </c>
      <c r="I461" s="27">
        <f>IF($D461="","",IF($C461="Greek",VLOOKUP($D461,RoleTitles!$A:$E,4,FALSE),IF($C461="Aesir",VLOOKUP($D461,RoleTitles!$A:$E,5,FALSE),VLOOKUP($D461,RoleTitles!$A:$E,3,FALSE))))</f>
        <v/>
      </c>
      <c r="J461" s="27">
        <f>IF($D461="","",IF($E461&gt;=VLOOKUP($D461,RoleTitles!$A:$B,2,FALSE),"Yes","No"))</f>
        <v/>
      </c>
      <c r="K461" s="27">
        <f>IF($D461="","",IF($D461="T1","T2",IF($D461="T2","T3",IF($D461="T3","T4",IF($D461="T4","T5",IF($D461="T5","T6",IF($D461="T6","T7",IF($D461="T7","T8",IF($D461="T8","T9","")))))))))</f>
        <v/>
      </c>
      <c r="L461" s="28">
        <f>IF($K461="","",MAX(0,VLOOKUP($K461,RoleTitles!$A:$B,2,FALSE)-$E461))</f>
        <v/>
      </c>
    </row>
    <row r="462">
      <c r="A462" s="24">
        <f>IFERROR(INDEX(CoachRoster!$A$2:$A$1000,ROW()-1),"")</f>
        <v/>
      </c>
      <c r="B462" s="27">
        <f>IF($A462="","",VLOOKUP($A462,CoachRoster!$A:$E,2,FALSE))</f>
        <v/>
      </c>
      <c r="C462" s="27">
        <f>IF($A462="","",VLOOKUP($A462,CoachRoster!$A:$E,3,FALSE))</f>
        <v/>
      </c>
      <c r="D462" s="27">
        <f>IF($A462="","",VLOOKUP($A462,CoachRoster!$A:$E,4,FALSE))</f>
        <v/>
      </c>
      <c r="E462" s="27">
        <f>IF($A462="","",MIN(Settings!$B$8,IFERROR(SUMIF(Weekly_Coaching!$B:$B,$A462,Weekly_Coaching!$D:$D),0)+IFERROR(SUMIF(Monthly_Edu!$B:$B,$A462,Monthly_Edu!$D:$D),0)+IFERROR(SUMIF(Monthly_Ops!$B:$B,$A462,Monthly_Ops!$D:$D),0)+IFERROR(SUMIF(Monthly_Mentor!$B:$B,$A462,Monthly_Mentor!$D:$D),0)+IFERROR(SUMIF(Quarterly_Impact!$B:$B,$A462,Quarterly_Impact!$D:$D),0)+IFERROR(SUMIFS(XPLog!$M:$M,XPLog!$B:$B,$A462,XPLog!$J:$J,"Admin"),0)+IFERROR(SUMIFS(XPLog!$M:$M,XPLog!$B:$B,$A462,XPLog!$J:$J,"Seeding"),0)))</f>
        <v/>
      </c>
      <c r="F462" s="27">
        <f>IF($E462="","",LOOKUP($E462, XPBands!B$2:B$10, XPBands!A$2:A$10))</f>
        <v/>
      </c>
      <c r="G462" s="27">
        <f>IF($E462="","", VLOOKUP($F462, XPBands!A$2:G$10, 4, FALSE) + MIN(VLOOKUP($F462, XPBands!A$2:G$10, 5, FALSE) - VLOOKUP($F462, XPBands!A$2:G$10, 4, FALSE), FLOOR(( $E462 - VLOOKUP($F462, XPBands!A$2:G$10, 2, FALSE) ) / VLOOKUP($F462, XPBands!A$2:G$10, 7, FALSE),1)))</f>
        <v/>
      </c>
      <c r="H462" s="27">
        <f>IF($D462="","",VLOOKUP($D462,RoleTitles!$A:$E,3,FALSE))</f>
        <v/>
      </c>
      <c r="I462" s="27">
        <f>IF($D462="","",IF($C462="Greek",VLOOKUP($D462,RoleTitles!$A:$E,4,FALSE),IF($C462="Aesir",VLOOKUP($D462,RoleTitles!$A:$E,5,FALSE),VLOOKUP($D462,RoleTitles!$A:$E,3,FALSE))))</f>
        <v/>
      </c>
      <c r="J462" s="27">
        <f>IF($D462="","",IF($E462&gt;=VLOOKUP($D462,RoleTitles!$A:$B,2,FALSE),"Yes","No"))</f>
        <v/>
      </c>
      <c r="K462" s="27">
        <f>IF($D462="","",IF($D462="T1","T2",IF($D462="T2","T3",IF($D462="T3","T4",IF($D462="T4","T5",IF($D462="T5","T6",IF($D462="T6","T7",IF($D462="T7","T8",IF($D462="T8","T9","")))))))))</f>
        <v/>
      </c>
      <c r="L462" s="28">
        <f>IF($K462="","",MAX(0,VLOOKUP($K462,RoleTitles!$A:$B,2,FALSE)-$E462))</f>
        <v/>
      </c>
    </row>
    <row r="463">
      <c r="A463" s="24">
        <f>IFERROR(INDEX(CoachRoster!$A$2:$A$1000,ROW()-1),"")</f>
        <v/>
      </c>
      <c r="B463" s="27">
        <f>IF($A463="","",VLOOKUP($A463,CoachRoster!$A:$E,2,FALSE))</f>
        <v/>
      </c>
      <c r="C463" s="27">
        <f>IF($A463="","",VLOOKUP($A463,CoachRoster!$A:$E,3,FALSE))</f>
        <v/>
      </c>
      <c r="D463" s="27">
        <f>IF($A463="","",VLOOKUP($A463,CoachRoster!$A:$E,4,FALSE))</f>
        <v/>
      </c>
      <c r="E463" s="27">
        <f>IF($A463="","",MIN(Settings!$B$8,IFERROR(SUMIF(Weekly_Coaching!$B:$B,$A463,Weekly_Coaching!$D:$D),0)+IFERROR(SUMIF(Monthly_Edu!$B:$B,$A463,Monthly_Edu!$D:$D),0)+IFERROR(SUMIF(Monthly_Ops!$B:$B,$A463,Monthly_Ops!$D:$D),0)+IFERROR(SUMIF(Monthly_Mentor!$B:$B,$A463,Monthly_Mentor!$D:$D),0)+IFERROR(SUMIF(Quarterly_Impact!$B:$B,$A463,Quarterly_Impact!$D:$D),0)+IFERROR(SUMIFS(XPLog!$M:$M,XPLog!$B:$B,$A463,XPLog!$J:$J,"Admin"),0)+IFERROR(SUMIFS(XPLog!$M:$M,XPLog!$B:$B,$A463,XPLog!$J:$J,"Seeding"),0)))</f>
        <v/>
      </c>
      <c r="F463" s="27">
        <f>IF($E463="","",LOOKUP($E463, XPBands!B$2:B$10, XPBands!A$2:A$10))</f>
        <v/>
      </c>
      <c r="G463" s="27">
        <f>IF($E463="","", VLOOKUP($F463, XPBands!A$2:G$10, 4, FALSE) + MIN(VLOOKUP($F463, XPBands!A$2:G$10, 5, FALSE) - VLOOKUP($F463, XPBands!A$2:G$10, 4, FALSE), FLOOR(( $E463 - VLOOKUP($F463, XPBands!A$2:G$10, 2, FALSE) ) / VLOOKUP($F463, XPBands!A$2:G$10, 7, FALSE),1)))</f>
        <v/>
      </c>
      <c r="H463" s="27">
        <f>IF($D463="","",VLOOKUP($D463,RoleTitles!$A:$E,3,FALSE))</f>
        <v/>
      </c>
      <c r="I463" s="27">
        <f>IF($D463="","",IF($C463="Greek",VLOOKUP($D463,RoleTitles!$A:$E,4,FALSE),IF($C463="Aesir",VLOOKUP($D463,RoleTitles!$A:$E,5,FALSE),VLOOKUP($D463,RoleTitles!$A:$E,3,FALSE))))</f>
        <v/>
      </c>
      <c r="J463" s="27">
        <f>IF($D463="","",IF($E463&gt;=VLOOKUP($D463,RoleTitles!$A:$B,2,FALSE),"Yes","No"))</f>
        <v/>
      </c>
      <c r="K463" s="27">
        <f>IF($D463="","",IF($D463="T1","T2",IF($D463="T2","T3",IF($D463="T3","T4",IF($D463="T4","T5",IF($D463="T5","T6",IF($D463="T6","T7",IF($D463="T7","T8",IF($D463="T8","T9","")))))))))</f>
        <v/>
      </c>
      <c r="L463" s="28">
        <f>IF($K463="","",MAX(0,VLOOKUP($K463,RoleTitles!$A:$B,2,FALSE)-$E463))</f>
        <v/>
      </c>
    </row>
    <row r="464">
      <c r="A464" s="24">
        <f>IFERROR(INDEX(CoachRoster!$A$2:$A$1000,ROW()-1),"")</f>
        <v/>
      </c>
      <c r="B464" s="27">
        <f>IF($A464="","",VLOOKUP($A464,CoachRoster!$A:$E,2,FALSE))</f>
        <v/>
      </c>
      <c r="C464" s="27">
        <f>IF($A464="","",VLOOKUP($A464,CoachRoster!$A:$E,3,FALSE))</f>
        <v/>
      </c>
      <c r="D464" s="27">
        <f>IF($A464="","",VLOOKUP($A464,CoachRoster!$A:$E,4,FALSE))</f>
        <v/>
      </c>
      <c r="E464" s="27">
        <f>IF($A464="","",MIN(Settings!$B$8,IFERROR(SUMIF(Weekly_Coaching!$B:$B,$A464,Weekly_Coaching!$D:$D),0)+IFERROR(SUMIF(Monthly_Edu!$B:$B,$A464,Monthly_Edu!$D:$D),0)+IFERROR(SUMIF(Monthly_Ops!$B:$B,$A464,Monthly_Ops!$D:$D),0)+IFERROR(SUMIF(Monthly_Mentor!$B:$B,$A464,Monthly_Mentor!$D:$D),0)+IFERROR(SUMIF(Quarterly_Impact!$B:$B,$A464,Quarterly_Impact!$D:$D),0)+IFERROR(SUMIFS(XPLog!$M:$M,XPLog!$B:$B,$A464,XPLog!$J:$J,"Admin"),0)+IFERROR(SUMIFS(XPLog!$M:$M,XPLog!$B:$B,$A464,XPLog!$J:$J,"Seeding"),0)))</f>
        <v/>
      </c>
      <c r="F464" s="27">
        <f>IF($E464="","",LOOKUP($E464, XPBands!B$2:B$10, XPBands!A$2:A$10))</f>
        <v/>
      </c>
      <c r="G464" s="27">
        <f>IF($E464="","", VLOOKUP($F464, XPBands!A$2:G$10, 4, FALSE) + MIN(VLOOKUP($F464, XPBands!A$2:G$10, 5, FALSE) - VLOOKUP($F464, XPBands!A$2:G$10, 4, FALSE), FLOOR(( $E464 - VLOOKUP($F464, XPBands!A$2:G$10, 2, FALSE) ) / VLOOKUP($F464, XPBands!A$2:G$10, 7, FALSE),1)))</f>
        <v/>
      </c>
      <c r="H464" s="27">
        <f>IF($D464="","",VLOOKUP($D464,RoleTitles!$A:$E,3,FALSE))</f>
        <v/>
      </c>
      <c r="I464" s="27">
        <f>IF($D464="","",IF($C464="Greek",VLOOKUP($D464,RoleTitles!$A:$E,4,FALSE),IF($C464="Aesir",VLOOKUP($D464,RoleTitles!$A:$E,5,FALSE),VLOOKUP($D464,RoleTitles!$A:$E,3,FALSE))))</f>
        <v/>
      </c>
      <c r="J464" s="27">
        <f>IF($D464="","",IF($E464&gt;=VLOOKUP($D464,RoleTitles!$A:$B,2,FALSE),"Yes","No"))</f>
        <v/>
      </c>
      <c r="K464" s="27">
        <f>IF($D464="","",IF($D464="T1","T2",IF($D464="T2","T3",IF($D464="T3","T4",IF($D464="T4","T5",IF($D464="T5","T6",IF($D464="T6","T7",IF($D464="T7","T8",IF($D464="T8","T9","")))))))))</f>
        <v/>
      </c>
      <c r="L464" s="28">
        <f>IF($K464="","",MAX(0,VLOOKUP($K464,RoleTitles!$A:$B,2,FALSE)-$E464))</f>
        <v/>
      </c>
    </row>
    <row r="465">
      <c r="A465" s="24">
        <f>IFERROR(INDEX(CoachRoster!$A$2:$A$1000,ROW()-1),"")</f>
        <v/>
      </c>
      <c r="B465" s="27">
        <f>IF($A465="","",VLOOKUP($A465,CoachRoster!$A:$E,2,FALSE))</f>
        <v/>
      </c>
      <c r="C465" s="27">
        <f>IF($A465="","",VLOOKUP($A465,CoachRoster!$A:$E,3,FALSE))</f>
        <v/>
      </c>
      <c r="D465" s="27">
        <f>IF($A465="","",VLOOKUP($A465,CoachRoster!$A:$E,4,FALSE))</f>
        <v/>
      </c>
      <c r="E465" s="27">
        <f>IF($A465="","",MIN(Settings!$B$8,IFERROR(SUMIF(Weekly_Coaching!$B:$B,$A465,Weekly_Coaching!$D:$D),0)+IFERROR(SUMIF(Monthly_Edu!$B:$B,$A465,Monthly_Edu!$D:$D),0)+IFERROR(SUMIF(Monthly_Ops!$B:$B,$A465,Monthly_Ops!$D:$D),0)+IFERROR(SUMIF(Monthly_Mentor!$B:$B,$A465,Monthly_Mentor!$D:$D),0)+IFERROR(SUMIF(Quarterly_Impact!$B:$B,$A465,Quarterly_Impact!$D:$D),0)+IFERROR(SUMIFS(XPLog!$M:$M,XPLog!$B:$B,$A465,XPLog!$J:$J,"Admin"),0)+IFERROR(SUMIFS(XPLog!$M:$M,XPLog!$B:$B,$A465,XPLog!$J:$J,"Seeding"),0)))</f>
        <v/>
      </c>
      <c r="F465" s="27">
        <f>IF($E465="","",LOOKUP($E465, XPBands!B$2:B$10, XPBands!A$2:A$10))</f>
        <v/>
      </c>
      <c r="G465" s="27">
        <f>IF($E465="","", VLOOKUP($F465, XPBands!A$2:G$10, 4, FALSE) + MIN(VLOOKUP($F465, XPBands!A$2:G$10, 5, FALSE) - VLOOKUP($F465, XPBands!A$2:G$10, 4, FALSE), FLOOR(( $E465 - VLOOKUP($F465, XPBands!A$2:G$10, 2, FALSE) ) / VLOOKUP($F465, XPBands!A$2:G$10, 7, FALSE),1)))</f>
        <v/>
      </c>
      <c r="H465" s="27">
        <f>IF($D465="","",VLOOKUP($D465,RoleTitles!$A:$E,3,FALSE))</f>
        <v/>
      </c>
      <c r="I465" s="27">
        <f>IF($D465="","",IF($C465="Greek",VLOOKUP($D465,RoleTitles!$A:$E,4,FALSE),IF($C465="Aesir",VLOOKUP($D465,RoleTitles!$A:$E,5,FALSE),VLOOKUP($D465,RoleTitles!$A:$E,3,FALSE))))</f>
        <v/>
      </c>
      <c r="J465" s="27">
        <f>IF($D465="","",IF($E465&gt;=VLOOKUP($D465,RoleTitles!$A:$B,2,FALSE),"Yes","No"))</f>
        <v/>
      </c>
      <c r="K465" s="27">
        <f>IF($D465="","",IF($D465="T1","T2",IF($D465="T2","T3",IF($D465="T3","T4",IF($D465="T4","T5",IF($D465="T5","T6",IF($D465="T6","T7",IF($D465="T7","T8",IF($D465="T8","T9","")))))))))</f>
        <v/>
      </c>
      <c r="L465" s="28">
        <f>IF($K465="","",MAX(0,VLOOKUP($K465,RoleTitles!$A:$B,2,FALSE)-$E465))</f>
        <v/>
      </c>
    </row>
    <row r="466">
      <c r="A466" s="24">
        <f>IFERROR(INDEX(CoachRoster!$A$2:$A$1000,ROW()-1),"")</f>
        <v/>
      </c>
      <c r="B466" s="27">
        <f>IF($A466="","",VLOOKUP($A466,CoachRoster!$A:$E,2,FALSE))</f>
        <v/>
      </c>
      <c r="C466" s="27">
        <f>IF($A466="","",VLOOKUP($A466,CoachRoster!$A:$E,3,FALSE))</f>
        <v/>
      </c>
      <c r="D466" s="27">
        <f>IF($A466="","",VLOOKUP($A466,CoachRoster!$A:$E,4,FALSE))</f>
        <v/>
      </c>
      <c r="E466" s="27">
        <f>IF($A466="","",MIN(Settings!$B$8,IFERROR(SUMIF(Weekly_Coaching!$B:$B,$A466,Weekly_Coaching!$D:$D),0)+IFERROR(SUMIF(Monthly_Edu!$B:$B,$A466,Monthly_Edu!$D:$D),0)+IFERROR(SUMIF(Monthly_Ops!$B:$B,$A466,Monthly_Ops!$D:$D),0)+IFERROR(SUMIF(Monthly_Mentor!$B:$B,$A466,Monthly_Mentor!$D:$D),0)+IFERROR(SUMIF(Quarterly_Impact!$B:$B,$A466,Quarterly_Impact!$D:$D),0)+IFERROR(SUMIFS(XPLog!$M:$M,XPLog!$B:$B,$A466,XPLog!$J:$J,"Admin"),0)+IFERROR(SUMIFS(XPLog!$M:$M,XPLog!$B:$B,$A466,XPLog!$J:$J,"Seeding"),0)))</f>
        <v/>
      </c>
      <c r="F466" s="27">
        <f>IF($E466="","",LOOKUP($E466, XPBands!B$2:B$10, XPBands!A$2:A$10))</f>
        <v/>
      </c>
      <c r="G466" s="27">
        <f>IF($E466="","", VLOOKUP($F466, XPBands!A$2:G$10, 4, FALSE) + MIN(VLOOKUP($F466, XPBands!A$2:G$10, 5, FALSE) - VLOOKUP($F466, XPBands!A$2:G$10, 4, FALSE), FLOOR(( $E466 - VLOOKUP($F466, XPBands!A$2:G$10, 2, FALSE) ) / VLOOKUP($F466, XPBands!A$2:G$10, 7, FALSE),1)))</f>
        <v/>
      </c>
      <c r="H466" s="27">
        <f>IF($D466="","",VLOOKUP($D466,RoleTitles!$A:$E,3,FALSE))</f>
        <v/>
      </c>
      <c r="I466" s="27">
        <f>IF($D466="","",IF($C466="Greek",VLOOKUP($D466,RoleTitles!$A:$E,4,FALSE),IF($C466="Aesir",VLOOKUP($D466,RoleTitles!$A:$E,5,FALSE),VLOOKUP($D466,RoleTitles!$A:$E,3,FALSE))))</f>
        <v/>
      </c>
      <c r="J466" s="27">
        <f>IF($D466="","",IF($E466&gt;=VLOOKUP($D466,RoleTitles!$A:$B,2,FALSE),"Yes","No"))</f>
        <v/>
      </c>
      <c r="K466" s="27">
        <f>IF($D466="","",IF($D466="T1","T2",IF($D466="T2","T3",IF($D466="T3","T4",IF($D466="T4","T5",IF($D466="T5","T6",IF($D466="T6","T7",IF($D466="T7","T8",IF($D466="T8","T9","")))))))))</f>
        <v/>
      </c>
      <c r="L466" s="28">
        <f>IF($K466="","",MAX(0,VLOOKUP($K466,RoleTitles!$A:$B,2,FALSE)-$E466))</f>
        <v/>
      </c>
    </row>
    <row r="467">
      <c r="A467" s="24">
        <f>IFERROR(INDEX(CoachRoster!$A$2:$A$1000,ROW()-1),"")</f>
        <v/>
      </c>
      <c r="B467" s="27">
        <f>IF($A467="","",VLOOKUP($A467,CoachRoster!$A:$E,2,FALSE))</f>
        <v/>
      </c>
      <c r="C467" s="27">
        <f>IF($A467="","",VLOOKUP($A467,CoachRoster!$A:$E,3,FALSE))</f>
        <v/>
      </c>
      <c r="D467" s="27">
        <f>IF($A467="","",VLOOKUP($A467,CoachRoster!$A:$E,4,FALSE))</f>
        <v/>
      </c>
      <c r="E467" s="27">
        <f>IF($A467="","",MIN(Settings!$B$8,IFERROR(SUMIF(Weekly_Coaching!$B:$B,$A467,Weekly_Coaching!$D:$D),0)+IFERROR(SUMIF(Monthly_Edu!$B:$B,$A467,Monthly_Edu!$D:$D),0)+IFERROR(SUMIF(Monthly_Ops!$B:$B,$A467,Monthly_Ops!$D:$D),0)+IFERROR(SUMIF(Monthly_Mentor!$B:$B,$A467,Monthly_Mentor!$D:$D),0)+IFERROR(SUMIF(Quarterly_Impact!$B:$B,$A467,Quarterly_Impact!$D:$D),0)+IFERROR(SUMIFS(XPLog!$M:$M,XPLog!$B:$B,$A467,XPLog!$J:$J,"Admin"),0)+IFERROR(SUMIFS(XPLog!$M:$M,XPLog!$B:$B,$A467,XPLog!$J:$J,"Seeding"),0)))</f>
        <v/>
      </c>
      <c r="F467" s="27">
        <f>IF($E467="","",LOOKUP($E467, XPBands!B$2:B$10, XPBands!A$2:A$10))</f>
        <v/>
      </c>
      <c r="G467" s="27">
        <f>IF($E467="","", VLOOKUP($F467, XPBands!A$2:G$10, 4, FALSE) + MIN(VLOOKUP($F467, XPBands!A$2:G$10, 5, FALSE) - VLOOKUP($F467, XPBands!A$2:G$10, 4, FALSE), FLOOR(( $E467 - VLOOKUP($F467, XPBands!A$2:G$10, 2, FALSE) ) / VLOOKUP($F467, XPBands!A$2:G$10, 7, FALSE),1)))</f>
        <v/>
      </c>
      <c r="H467" s="27">
        <f>IF($D467="","",VLOOKUP($D467,RoleTitles!$A:$E,3,FALSE))</f>
        <v/>
      </c>
      <c r="I467" s="27">
        <f>IF($D467="","",IF($C467="Greek",VLOOKUP($D467,RoleTitles!$A:$E,4,FALSE),IF($C467="Aesir",VLOOKUP($D467,RoleTitles!$A:$E,5,FALSE),VLOOKUP($D467,RoleTitles!$A:$E,3,FALSE))))</f>
        <v/>
      </c>
      <c r="J467" s="27">
        <f>IF($D467="","",IF($E467&gt;=VLOOKUP($D467,RoleTitles!$A:$B,2,FALSE),"Yes","No"))</f>
        <v/>
      </c>
      <c r="K467" s="27">
        <f>IF($D467="","",IF($D467="T1","T2",IF($D467="T2","T3",IF($D467="T3","T4",IF($D467="T4","T5",IF($D467="T5","T6",IF($D467="T6","T7",IF($D467="T7","T8",IF($D467="T8","T9","")))))))))</f>
        <v/>
      </c>
      <c r="L467" s="28">
        <f>IF($K467="","",MAX(0,VLOOKUP($K467,RoleTitles!$A:$B,2,FALSE)-$E467))</f>
        <v/>
      </c>
    </row>
    <row r="468">
      <c r="A468" s="24">
        <f>IFERROR(INDEX(CoachRoster!$A$2:$A$1000,ROW()-1),"")</f>
        <v/>
      </c>
      <c r="B468" s="27">
        <f>IF($A468="","",VLOOKUP($A468,CoachRoster!$A:$E,2,FALSE))</f>
        <v/>
      </c>
      <c r="C468" s="27">
        <f>IF($A468="","",VLOOKUP($A468,CoachRoster!$A:$E,3,FALSE))</f>
        <v/>
      </c>
      <c r="D468" s="27">
        <f>IF($A468="","",VLOOKUP($A468,CoachRoster!$A:$E,4,FALSE))</f>
        <v/>
      </c>
      <c r="E468" s="27">
        <f>IF($A468="","",MIN(Settings!$B$8,IFERROR(SUMIF(Weekly_Coaching!$B:$B,$A468,Weekly_Coaching!$D:$D),0)+IFERROR(SUMIF(Monthly_Edu!$B:$B,$A468,Monthly_Edu!$D:$D),0)+IFERROR(SUMIF(Monthly_Ops!$B:$B,$A468,Monthly_Ops!$D:$D),0)+IFERROR(SUMIF(Monthly_Mentor!$B:$B,$A468,Monthly_Mentor!$D:$D),0)+IFERROR(SUMIF(Quarterly_Impact!$B:$B,$A468,Quarterly_Impact!$D:$D),0)+IFERROR(SUMIFS(XPLog!$M:$M,XPLog!$B:$B,$A468,XPLog!$J:$J,"Admin"),0)+IFERROR(SUMIFS(XPLog!$M:$M,XPLog!$B:$B,$A468,XPLog!$J:$J,"Seeding"),0)))</f>
        <v/>
      </c>
      <c r="F468" s="27">
        <f>IF($E468="","",LOOKUP($E468, XPBands!B$2:B$10, XPBands!A$2:A$10))</f>
        <v/>
      </c>
      <c r="G468" s="27">
        <f>IF($E468="","", VLOOKUP($F468, XPBands!A$2:G$10, 4, FALSE) + MIN(VLOOKUP($F468, XPBands!A$2:G$10, 5, FALSE) - VLOOKUP($F468, XPBands!A$2:G$10, 4, FALSE), FLOOR(( $E468 - VLOOKUP($F468, XPBands!A$2:G$10, 2, FALSE) ) / VLOOKUP($F468, XPBands!A$2:G$10, 7, FALSE),1)))</f>
        <v/>
      </c>
      <c r="H468" s="27">
        <f>IF($D468="","",VLOOKUP($D468,RoleTitles!$A:$E,3,FALSE))</f>
        <v/>
      </c>
      <c r="I468" s="27">
        <f>IF($D468="","",IF($C468="Greek",VLOOKUP($D468,RoleTitles!$A:$E,4,FALSE),IF($C468="Aesir",VLOOKUP($D468,RoleTitles!$A:$E,5,FALSE),VLOOKUP($D468,RoleTitles!$A:$E,3,FALSE))))</f>
        <v/>
      </c>
      <c r="J468" s="27">
        <f>IF($D468="","",IF($E468&gt;=VLOOKUP($D468,RoleTitles!$A:$B,2,FALSE),"Yes","No"))</f>
        <v/>
      </c>
      <c r="K468" s="27">
        <f>IF($D468="","",IF($D468="T1","T2",IF($D468="T2","T3",IF($D468="T3","T4",IF($D468="T4","T5",IF($D468="T5","T6",IF($D468="T6","T7",IF($D468="T7","T8",IF($D468="T8","T9","")))))))))</f>
        <v/>
      </c>
      <c r="L468" s="28">
        <f>IF($K468="","",MAX(0,VLOOKUP($K468,RoleTitles!$A:$B,2,FALSE)-$E468))</f>
        <v/>
      </c>
    </row>
    <row r="469">
      <c r="A469" s="24">
        <f>IFERROR(INDEX(CoachRoster!$A$2:$A$1000,ROW()-1),"")</f>
        <v/>
      </c>
      <c r="B469" s="27">
        <f>IF($A469="","",VLOOKUP($A469,CoachRoster!$A:$E,2,FALSE))</f>
        <v/>
      </c>
      <c r="C469" s="27">
        <f>IF($A469="","",VLOOKUP($A469,CoachRoster!$A:$E,3,FALSE))</f>
        <v/>
      </c>
      <c r="D469" s="27">
        <f>IF($A469="","",VLOOKUP($A469,CoachRoster!$A:$E,4,FALSE))</f>
        <v/>
      </c>
      <c r="E469" s="27">
        <f>IF($A469="","",MIN(Settings!$B$8,IFERROR(SUMIF(Weekly_Coaching!$B:$B,$A469,Weekly_Coaching!$D:$D),0)+IFERROR(SUMIF(Monthly_Edu!$B:$B,$A469,Monthly_Edu!$D:$D),0)+IFERROR(SUMIF(Monthly_Ops!$B:$B,$A469,Monthly_Ops!$D:$D),0)+IFERROR(SUMIF(Monthly_Mentor!$B:$B,$A469,Monthly_Mentor!$D:$D),0)+IFERROR(SUMIF(Quarterly_Impact!$B:$B,$A469,Quarterly_Impact!$D:$D),0)+IFERROR(SUMIFS(XPLog!$M:$M,XPLog!$B:$B,$A469,XPLog!$J:$J,"Admin"),0)+IFERROR(SUMIFS(XPLog!$M:$M,XPLog!$B:$B,$A469,XPLog!$J:$J,"Seeding"),0)))</f>
        <v/>
      </c>
      <c r="F469" s="27">
        <f>IF($E469="","",LOOKUP($E469, XPBands!B$2:B$10, XPBands!A$2:A$10))</f>
        <v/>
      </c>
      <c r="G469" s="27">
        <f>IF($E469="","", VLOOKUP($F469, XPBands!A$2:G$10, 4, FALSE) + MIN(VLOOKUP($F469, XPBands!A$2:G$10, 5, FALSE) - VLOOKUP($F469, XPBands!A$2:G$10, 4, FALSE), FLOOR(( $E469 - VLOOKUP($F469, XPBands!A$2:G$10, 2, FALSE) ) / VLOOKUP($F469, XPBands!A$2:G$10, 7, FALSE),1)))</f>
        <v/>
      </c>
      <c r="H469" s="27">
        <f>IF($D469="","",VLOOKUP($D469,RoleTitles!$A:$E,3,FALSE))</f>
        <v/>
      </c>
      <c r="I469" s="27">
        <f>IF($D469="","",IF($C469="Greek",VLOOKUP($D469,RoleTitles!$A:$E,4,FALSE),IF($C469="Aesir",VLOOKUP($D469,RoleTitles!$A:$E,5,FALSE),VLOOKUP($D469,RoleTitles!$A:$E,3,FALSE))))</f>
        <v/>
      </c>
      <c r="J469" s="27">
        <f>IF($D469="","",IF($E469&gt;=VLOOKUP($D469,RoleTitles!$A:$B,2,FALSE),"Yes","No"))</f>
        <v/>
      </c>
      <c r="K469" s="27">
        <f>IF($D469="","",IF($D469="T1","T2",IF($D469="T2","T3",IF($D469="T3","T4",IF($D469="T4","T5",IF($D469="T5","T6",IF($D469="T6","T7",IF($D469="T7","T8",IF($D469="T8","T9","")))))))))</f>
        <v/>
      </c>
      <c r="L469" s="28">
        <f>IF($K469="","",MAX(0,VLOOKUP($K469,RoleTitles!$A:$B,2,FALSE)-$E469))</f>
        <v/>
      </c>
    </row>
    <row r="470">
      <c r="A470" s="24">
        <f>IFERROR(INDEX(CoachRoster!$A$2:$A$1000,ROW()-1),"")</f>
        <v/>
      </c>
      <c r="B470" s="27">
        <f>IF($A470="","",VLOOKUP($A470,CoachRoster!$A:$E,2,FALSE))</f>
        <v/>
      </c>
      <c r="C470" s="27">
        <f>IF($A470="","",VLOOKUP($A470,CoachRoster!$A:$E,3,FALSE))</f>
        <v/>
      </c>
      <c r="D470" s="27">
        <f>IF($A470="","",VLOOKUP($A470,CoachRoster!$A:$E,4,FALSE))</f>
        <v/>
      </c>
      <c r="E470" s="27">
        <f>IF($A470="","",MIN(Settings!$B$8,IFERROR(SUMIF(Weekly_Coaching!$B:$B,$A470,Weekly_Coaching!$D:$D),0)+IFERROR(SUMIF(Monthly_Edu!$B:$B,$A470,Monthly_Edu!$D:$D),0)+IFERROR(SUMIF(Monthly_Ops!$B:$B,$A470,Monthly_Ops!$D:$D),0)+IFERROR(SUMIF(Monthly_Mentor!$B:$B,$A470,Monthly_Mentor!$D:$D),0)+IFERROR(SUMIF(Quarterly_Impact!$B:$B,$A470,Quarterly_Impact!$D:$D),0)+IFERROR(SUMIFS(XPLog!$M:$M,XPLog!$B:$B,$A470,XPLog!$J:$J,"Admin"),0)+IFERROR(SUMIFS(XPLog!$M:$M,XPLog!$B:$B,$A470,XPLog!$J:$J,"Seeding"),0)))</f>
        <v/>
      </c>
      <c r="F470" s="27">
        <f>IF($E470="","",LOOKUP($E470, XPBands!B$2:B$10, XPBands!A$2:A$10))</f>
        <v/>
      </c>
      <c r="G470" s="27">
        <f>IF($E470="","", VLOOKUP($F470, XPBands!A$2:G$10, 4, FALSE) + MIN(VLOOKUP($F470, XPBands!A$2:G$10, 5, FALSE) - VLOOKUP($F470, XPBands!A$2:G$10, 4, FALSE), FLOOR(( $E470 - VLOOKUP($F470, XPBands!A$2:G$10, 2, FALSE) ) / VLOOKUP($F470, XPBands!A$2:G$10, 7, FALSE),1)))</f>
        <v/>
      </c>
      <c r="H470" s="27">
        <f>IF($D470="","",VLOOKUP($D470,RoleTitles!$A:$E,3,FALSE))</f>
        <v/>
      </c>
      <c r="I470" s="27">
        <f>IF($D470="","",IF($C470="Greek",VLOOKUP($D470,RoleTitles!$A:$E,4,FALSE),IF($C470="Aesir",VLOOKUP($D470,RoleTitles!$A:$E,5,FALSE),VLOOKUP($D470,RoleTitles!$A:$E,3,FALSE))))</f>
        <v/>
      </c>
      <c r="J470" s="27">
        <f>IF($D470="","",IF($E470&gt;=VLOOKUP($D470,RoleTitles!$A:$B,2,FALSE),"Yes","No"))</f>
        <v/>
      </c>
      <c r="K470" s="27">
        <f>IF($D470="","",IF($D470="T1","T2",IF($D470="T2","T3",IF($D470="T3","T4",IF($D470="T4","T5",IF($D470="T5","T6",IF($D470="T6","T7",IF($D470="T7","T8",IF($D470="T8","T9","")))))))))</f>
        <v/>
      </c>
      <c r="L470" s="28">
        <f>IF($K470="","",MAX(0,VLOOKUP($K470,RoleTitles!$A:$B,2,FALSE)-$E470))</f>
        <v/>
      </c>
    </row>
    <row r="471">
      <c r="A471" s="24">
        <f>IFERROR(INDEX(CoachRoster!$A$2:$A$1000,ROW()-1),"")</f>
        <v/>
      </c>
      <c r="B471" s="27">
        <f>IF($A471="","",VLOOKUP($A471,CoachRoster!$A:$E,2,FALSE))</f>
        <v/>
      </c>
      <c r="C471" s="27">
        <f>IF($A471="","",VLOOKUP($A471,CoachRoster!$A:$E,3,FALSE))</f>
        <v/>
      </c>
      <c r="D471" s="27">
        <f>IF($A471="","",VLOOKUP($A471,CoachRoster!$A:$E,4,FALSE))</f>
        <v/>
      </c>
      <c r="E471" s="27">
        <f>IF($A471="","",MIN(Settings!$B$8,IFERROR(SUMIF(Weekly_Coaching!$B:$B,$A471,Weekly_Coaching!$D:$D),0)+IFERROR(SUMIF(Monthly_Edu!$B:$B,$A471,Monthly_Edu!$D:$D),0)+IFERROR(SUMIF(Monthly_Ops!$B:$B,$A471,Monthly_Ops!$D:$D),0)+IFERROR(SUMIF(Monthly_Mentor!$B:$B,$A471,Monthly_Mentor!$D:$D),0)+IFERROR(SUMIF(Quarterly_Impact!$B:$B,$A471,Quarterly_Impact!$D:$D),0)+IFERROR(SUMIFS(XPLog!$M:$M,XPLog!$B:$B,$A471,XPLog!$J:$J,"Admin"),0)+IFERROR(SUMIFS(XPLog!$M:$M,XPLog!$B:$B,$A471,XPLog!$J:$J,"Seeding"),0)))</f>
        <v/>
      </c>
      <c r="F471" s="27">
        <f>IF($E471="","",LOOKUP($E471, XPBands!B$2:B$10, XPBands!A$2:A$10))</f>
        <v/>
      </c>
      <c r="G471" s="27">
        <f>IF($E471="","", VLOOKUP($F471, XPBands!A$2:G$10, 4, FALSE) + MIN(VLOOKUP($F471, XPBands!A$2:G$10, 5, FALSE) - VLOOKUP($F471, XPBands!A$2:G$10, 4, FALSE), FLOOR(( $E471 - VLOOKUP($F471, XPBands!A$2:G$10, 2, FALSE) ) / VLOOKUP($F471, XPBands!A$2:G$10, 7, FALSE),1)))</f>
        <v/>
      </c>
      <c r="H471" s="27">
        <f>IF($D471="","",VLOOKUP($D471,RoleTitles!$A:$E,3,FALSE))</f>
        <v/>
      </c>
      <c r="I471" s="27">
        <f>IF($D471="","",IF($C471="Greek",VLOOKUP($D471,RoleTitles!$A:$E,4,FALSE),IF($C471="Aesir",VLOOKUP($D471,RoleTitles!$A:$E,5,FALSE),VLOOKUP($D471,RoleTitles!$A:$E,3,FALSE))))</f>
        <v/>
      </c>
      <c r="J471" s="27">
        <f>IF($D471="","",IF($E471&gt;=VLOOKUP($D471,RoleTitles!$A:$B,2,FALSE),"Yes","No"))</f>
        <v/>
      </c>
      <c r="K471" s="27">
        <f>IF($D471="","",IF($D471="T1","T2",IF($D471="T2","T3",IF($D471="T3","T4",IF($D471="T4","T5",IF($D471="T5","T6",IF($D471="T6","T7",IF($D471="T7","T8",IF($D471="T8","T9","")))))))))</f>
        <v/>
      </c>
      <c r="L471" s="28">
        <f>IF($K471="","",MAX(0,VLOOKUP($K471,RoleTitles!$A:$B,2,FALSE)-$E471))</f>
        <v/>
      </c>
    </row>
    <row r="472">
      <c r="A472" s="24">
        <f>IFERROR(INDEX(CoachRoster!$A$2:$A$1000,ROW()-1),"")</f>
        <v/>
      </c>
      <c r="B472" s="27">
        <f>IF($A472="","",VLOOKUP($A472,CoachRoster!$A:$E,2,FALSE))</f>
        <v/>
      </c>
      <c r="C472" s="27">
        <f>IF($A472="","",VLOOKUP($A472,CoachRoster!$A:$E,3,FALSE))</f>
        <v/>
      </c>
      <c r="D472" s="27">
        <f>IF($A472="","",VLOOKUP($A472,CoachRoster!$A:$E,4,FALSE))</f>
        <v/>
      </c>
      <c r="E472" s="27">
        <f>IF($A472="","",MIN(Settings!$B$8,IFERROR(SUMIF(Weekly_Coaching!$B:$B,$A472,Weekly_Coaching!$D:$D),0)+IFERROR(SUMIF(Monthly_Edu!$B:$B,$A472,Monthly_Edu!$D:$D),0)+IFERROR(SUMIF(Monthly_Ops!$B:$B,$A472,Monthly_Ops!$D:$D),0)+IFERROR(SUMIF(Monthly_Mentor!$B:$B,$A472,Monthly_Mentor!$D:$D),0)+IFERROR(SUMIF(Quarterly_Impact!$B:$B,$A472,Quarterly_Impact!$D:$D),0)+IFERROR(SUMIFS(XPLog!$M:$M,XPLog!$B:$B,$A472,XPLog!$J:$J,"Admin"),0)+IFERROR(SUMIFS(XPLog!$M:$M,XPLog!$B:$B,$A472,XPLog!$J:$J,"Seeding"),0)))</f>
        <v/>
      </c>
      <c r="F472" s="27">
        <f>IF($E472="","",LOOKUP($E472, XPBands!B$2:B$10, XPBands!A$2:A$10))</f>
        <v/>
      </c>
      <c r="G472" s="27">
        <f>IF($E472="","", VLOOKUP($F472, XPBands!A$2:G$10, 4, FALSE) + MIN(VLOOKUP($F472, XPBands!A$2:G$10, 5, FALSE) - VLOOKUP($F472, XPBands!A$2:G$10, 4, FALSE), FLOOR(( $E472 - VLOOKUP($F472, XPBands!A$2:G$10, 2, FALSE) ) / VLOOKUP($F472, XPBands!A$2:G$10, 7, FALSE),1)))</f>
        <v/>
      </c>
      <c r="H472" s="27">
        <f>IF($D472="","",VLOOKUP($D472,RoleTitles!$A:$E,3,FALSE))</f>
        <v/>
      </c>
      <c r="I472" s="27">
        <f>IF($D472="","",IF($C472="Greek",VLOOKUP($D472,RoleTitles!$A:$E,4,FALSE),IF($C472="Aesir",VLOOKUP($D472,RoleTitles!$A:$E,5,FALSE),VLOOKUP($D472,RoleTitles!$A:$E,3,FALSE))))</f>
        <v/>
      </c>
      <c r="J472" s="27">
        <f>IF($D472="","",IF($E472&gt;=VLOOKUP($D472,RoleTitles!$A:$B,2,FALSE),"Yes","No"))</f>
        <v/>
      </c>
      <c r="K472" s="27">
        <f>IF($D472="","",IF($D472="T1","T2",IF($D472="T2","T3",IF($D472="T3","T4",IF($D472="T4","T5",IF($D472="T5","T6",IF($D472="T6","T7",IF($D472="T7","T8",IF($D472="T8","T9","")))))))))</f>
        <v/>
      </c>
      <c r="L472" s="28">
        <f>IF($K472="","",MAX(0,VLOOKUP($K472,RoleTitles!$A:$B,2,FALSE)-$E472))</f>
        <v/>
      </c>
    </row>
    <row r="473">
      <c r="A473" s="24">
        <f>IFERROR(INDEX(CoachRoster!$A$2:$A$1000,ROW()-1),"")</f>
        <v/>
      </c>
      <c r="B473" s="27">
        <f>IF($A473="","",VLOOKUP($A473,CoachRoster!$A:$E,2,FALSE))</f>
        <v/>
      </c>
      <c r="C473" s="27">
        <f>IF($A473="","",VLOOKUP($A473,CoachRoster!$A:$E,3,FALSE))</f>
        <v/>
      </c>
      <c r="D473" s="27">
        <f>IF($A473="","",VLOOKUP($A473,CoachRoster!$A:$E,4,FALSE))</f>
        <v/>
      </c>
      <c r="E473" s="27">
        <f>IF($A473="","",MIN(Settings!$B$8,IFERROR(SUMIF(Weekly_Coaching!$B:$B,$A473,Weekly_Coaching!$D:$D),0)+IFERROR(SUMIF(Monthly_Edu!$B:$B,$A473,Monthly_Edu!$D:$D),0)+IFERROR(SUMIF(Monthly_Ops!$B:$B,$A473,Monthly_Ops!$D:$D),0)+IFERROR(SUMIF(Monthly_Mentor!$B:$B,$A473,Monthly_Mentor!$D:$D),0)+IFERROR(SUMIF(Quarterly_Impact!$B:$B,$A473,Quarterly_Impact!$D:$D),0)+IFERROR(SUMIFS(XPLog!$M:$M,XPLog!$B:$B,$A473,XPLog!$J:$J,"Admin"),0)+IFERROR(SUMIFS(XPLog!$M:$M,XPLog!$B:$B,$A473,XPLog!$J:$J,"Seeding"),0)))</f>
        <v/>
      </c>
      <c r="F473" s="27">
        <f>IF($E473="","",LOOKUP($E473, XPBands!B$2:B$10, XPBands!A$2:A$10))</f>
        <v/>
      </c>
      <c r="G473" s="27">
        <f>IF($E473="","", VLOOKUP($F473, XPBands!A$2:G$10, 4, FALSE) + MIN(VLOOKUP($F473, XPBands!A$2:G$10, 5, FALSE) - VLOOKUP($F473, XPBands!A$2:G$10, 4, FALSE), FLOOR(( $E473 - VLOOKUP($F473, XPBands!A$2:G$10, 2, FALSE) ) / VLOOKUP($F473, XPBands!A$2:G$10, 7, FALSE),1)))</f>
        <v/>
      </c>
      <c r="H473" s="27">
        <f>IF($D473="","",VLOOKUP($D473,RoleTitles!$A:$E,3,FALSE))</f>
        <v/>
      </c>
      <c r="I473" s="27">
        <f>IF($D473="","",IF($C473="Greek",VLOOKUP($D473,RoleTitles!$A:$E,4,FALSE),IF($C473="Aesir",VLOOKUP($D473,RoleTitles!$A:$E,5,FALSE),VLOOKUP($D473,RoleTitles!$A:$E,3,FALSE))))</f>
        <v/>
      </c>
      <c r="J473" s="27">
        <f>IF($D473="","",IF($E473&gt;=VLOOKUP($D473,RoleTitles!$A:$B,2,FALSE),"Yes","No"))</f>
        <v/>
      </c>
      <c r="K473" s="27">
        <f>IF($D473="","",IF($D473="T1","T2",IF($D473="T2","T3",IF($D473="T3","T4",IF($D473="T4","T5",IF($D473="T5","T6",IF($D473="T6","T7",IF($D473="T7","T8",IF($D473="T8","T9","")))))))))</f>
        <v/>
      </c>
      <c r="L473" s="28">
        <f>IF($K473="","",MAX(0,VLOOKUP($K473,RoleTitles!$A:$B,2,FALSE)-$E473))</f>
        <v/>
      </c>
    </row>
    <row r="474">
      <c r="A474" s="24">
        <f>IFERROR(INDEX(CoachRoster!$A$2:$A$1000,ROW()-1),"")</f>
        <v/>
      </c>
      <c r="B474" s="27">
        <f>IF($A474="","",VLOOKUP($A474,CoachRoster!$A:$E,2,FALSE))</f>
        <v/>
      </c>
      <c r="C474" s="27">
        <f>IF($A474="","",VLOOKUP($A474,CoachRoster!$A:$E,3,FALSE))</f>
        <v/>
      </c>
      <c r="D474" s="27">
        <f>IF($A474="","",VLOOKUP($A474,CoachRoster!$A:$E,4,FALSE))</f>
        <v/>
      </c>
      <c r="E474" s="27">
        <f>IF($A474="","",MIN(Settings!$B$8,IFERROR(SUMIF(Weekly_Coaching!$B:$B,$A474,Weekly_Coaching!$D:$D),0)+IFERROR(SUMIF(Monthly_Edu!$B:$B,$A474,Monthly_Edu!$D:$D),0)+IFERROR(SUMIF(Monthly_Ops!$B:$B,$A474,Monthly_Ops!$D:$D),0)+IFERROR(SUMIF(Monthly_Mentor!$B:$B,$A474,Monthly_Mentor!$D:$D),0)+IFERROR(SUMIF(Quarterly_Impact!$B:$B,$A474,Quarterly_Impact!$D:$D),0)+IFERROR(SUMIFS(XPLog!$M:$M,XPLog!$B:$B,$A474,XPLog!$J:$J,"Admin"),0)+IFERROR(SUMIFS(XPLog!$M:$M,XPLog!$B:$B,$A474,XPLog!$J:$J,"Seeding"),0)))</f>
        <v/>
      </c>
      <c r="F474" s="27">
        <f>IF($E474="","",LOOKUP($E474, XPBands!B$2:B$10, XPBands!A$2:A$10))</f>
        <v/>
      </c>
      <c r="G474" s="27">
        <f>IF($E474="","", VLOOKUP($F474, XPBands!A$2:G$10, 4, FALSE) + MIN(VLOOKUP($F474, XPBands!A$2:G$10, 5, FALSE) - VLOOKUP($F474, XPBands!A$2:G$10, 4, FALSE), FLOOR(( $E474 - VLOOKUP($F474, XPBands!A$2:G$10, 2, FALSE) ) / VLOOKUP($F474, XPBands!A$2:G$10, 7, FALSE),1)))</f>
        <v/>
      </c>
      <c r="H474" s="27">
        <f>IF($D474="","",VLOOKUP($D474,RoleTitles!$A:$E,3,FALSE))</f>
        <v/>
      </c>
      <c r="I474" s="27">
        <f>IF($D474="","",IF($C474="Greek",VLOOKUP($D474,RoleTitles!$A:$E,4,FALSE),IF($C474="Aesir",VLOOKUP($D474,RoleTitles!$A:$E,5,FALSE),VLOOKUP($D474,RoleTitles!$A:$E,3,FALSE))))</f>
        <v/>
      </c>
      <c r="J474" s="27">
        <f>IF($D474="","",IF($E474&gt;=VLOOKUP($D474,RoleTitles!$A:$B,2,FALSE),"Yes","No"))</f>
        <v/>
      </c>
      <c r="K474" s="27">
        <f>IF($D474="","",IF($D474="T1","T2",IF($D474="T2","T3",IF($D474="T3","T4",IF($D474="T4","T5",IF($D474="T5","T6",IF($D474="T6","T7",IF($D474="T7","T8",IF($D474="T8","T9","")))))))))</f>
        <v/>
      </c>
      <c r="L474" s="28">
        <f>IF($K474="","",MAX(0,VLOOKUP($K474,RoleTitles!$A:$B,2,FALSE)-$E474))</f>
        <v/>
      </c>
    </row>
    <row r="475">
      <c r="A475" s="24">
        <f>IFERROR(INDEX(CoachRoster!$A$2:$A$1000,ROW()-1),"")</f>
        <v/>
      </c>
      <c r="B475" s="27">
        <f>IF($A475="","",VLOOKUP($A475,CoachRoster!$A:$E,2,FALSE))</f>
        <v/>
      </c>
      <c r="C475" s="27">
        <f>IF($A475="","",VLOOKUP($A475,CoachRoster!$A:$E,3,FALSE))</f>
        <v/>
      </c>
      <c r="D475" s="27">
        <f>IF($A475="","",VLOOKUP($A475,CoachRoster!$A:$E,4,FALSE))</f>
        <v/>
      </c>
      <c r="E475" s="27">
        <f>IF($A475="","",MIN(Settings!$B$8,IFERROR(SUMIF(Weekly_Coaching!$B:$B,$A475,Weekly_Coaching!$D:$D),0)+IFERROR(SUMIF(Monthly_Edu!$B:$B,$A475,Monthly_Edu!$D:$D),0)+IFERROR(SUMIF(Monthly_Ops!$B:$B,$A475,Monthly_Ops!$D:$D),0)+IFERROR(SUMIF(Monthly_Mentor!$B:$B,$A475,Monthly_Mentor!$D:$D),0)+IFERROR(SUMIF(Quarterly_Impact!$B:$B,$A475,Quarterly_Impact!$D:$D),0)+IFERROR(SUMIFS(XPLog!$M:$M,XPLog!$B:$B,$A475,XPLog!$J:$J,"Admin"),0)+IFERROR(SUMIFS(XPLog!$M:$M,XPLog!$B:$B,$A475,XPLog!$J:$J,"Seeding"),0)))</f>
        <v/>
      </c>
      <c r="F475" s="27">
        <f>IF($E475="","",LOOKUP($E475, XPBands!B$2:B$10, XPBands!A$2:A$10))</f>
        <v/>
      </c>
      <c r="G475" s="27">
        <f>IF($E475="","", VLOOKUP($F475, XPBands!A$2:G$10, 4, FALSE) + MIN(VLOOKUP($F475, XPBands!A$2:G$10, 5, FALSE) - VLOOKUP($F475, XPBands!A$2:G$10, 4, FALSE), FLOOR(( $E475 - VLOOKUP($F475, XPBands!A$2:G$10, 2, FALSE) ) / VLOOKUP($F475, XPBands!A$2:G$10, 7, FALSE),1)))</f>
        <v/>
      </c>
      <c r="H475" s="27">
        <f>IF($D475="","",VLOOKUP($D475,RoleTitles!$A:$E,3,FALSE))</f>
        <v/>
      </c>
      <c r="I475" s="27">
        <f>IF($D475="","",IF($C475="Greek",VLOOKUP($D475,RoleTitles!$A:$E,4,FALSE),IF($C475="Aesir",VLOOKUP($D475,RoleTitles!$A:$E,5,FALSE),VLOOKUP($D475,RoleTitles!$A:$E,3,FALSE))))</f>
        <v/>
      </c>
      <c r="J475" s="27">
        <f>IF($D475="","",IF($E475&gt;=VLOOKUP($D475,RoleTitles!$A:$B,2,FALSE),"Yes","No"))</f>
        <v/>
      </c>
      <c r="K475" s="27">
        <f>IF($D475="","",IF($D475="T1","T2",IF($D475="T2","T3",IF($D475="T3","T4",IF($D475="T4","T5",IF($D475="T5","T6",IF($D475="T6","T7",IF($D475="T7","T8",IF($D475="T8","T9","")))))))))</f>
        <v/>
      </c>
      <c r="L475" s="28">
        <f>IF($K475="","",MAX(0,VLOOKUP($K475,RoleTitles!$A:$B,2,FALSE)-$E475))</f>
        <v/>
      </c>
    </row>
    <row r="476">
      <c r="A476" s="24">
        <f>IFERROR(INDEX(CoachRoster!$A$2:$A$1000,ROW()-1),"")</f>
        <v/>
      </c>
      <c r="B476" s="27">
        <f>IF($A476="","",VLOOKUP($A476,CoachRoster!$A:$E,2,FALSE))</f>
        <v/>
      </c>
      <c r="C476" s="27">
        <f>IF($A476="","",VLOOKUP($A476,CoachRoster!$A:$E,3,FALSE))</f>
        <v/>
      </c>
      <c r="D476" s="27">
        <f>IF($A476="","",VLOOKUP($A476,CoachRoster!$A:$E,4,FALSE))</f>
        <v/>
      </c>
      <c r="E476" s="27">
        <f>IF($A476="","",MIN(Settings!$B$8,IFERROR(SUMIF(Weekly_Coaching!$B:$B,$A476,Weekly_Coaching!$D:$D),0)+IFERROR(SUMIF(Monthly_Edu!$B:$B,$A476,Monthly_Edu!$D:$D),0)+IFERROR(SUMIF(Monthly_Ops!$B:$B,$A476,Monthly_Ops!$D:$D),0)+IFERROR(SUMIF(Monthly_Mentor!$B:$B,$A476,Monthly_Mentor!$D:$D),0)+IFERROR(SUMIF(Quarterly_Impact!$B:$B,$A476,Quarterly_Impact!$D:$D),0)+IFERROR(SUMIFS(XPLog!$M:$M,XPLog!$B:$B,$A476,XPLog!$J:$J,"Admin"),0)+IFERROR(SUMIFS(XPLog!$M:$M,XPLog!$B:$B,$A476,XPLog!$J:$J,"Seeding"),0)))</f>
        <v/>
      </c>
      <c r="F476" s="27">
        <f>IF($E476="","",LOOKUP($E476, XPBands!B$2:B$10, XPBands!A$2:A$10))</f>
        <v/>
      </c>
      <c r="G476" s="27">
        <f>IF($E476="","", VLOOKUP($F476, XPBands!A$2:G$10, 4, FALSE) + MIN(VLOOKUP($F476, XPBands!A$2:G$10, 5, FALSE) - VLOOKUP($F476, XPBands!A$2:G$10, 4, FALSE), FLOOR(( $E476 - VLOOKUP($F476, XPBands!A$2:G$10, 2, FALSE) ) / VLOOKUP($F476, XPBands!A$2:G$10, 7, FALSE),1)))</f>
        <v/>
      </c>
      <c r="H476" s="27">
        <f>IF($D476="","",VLOOKUP($D476,RoleTitles!$A:$E,3,FALSE))</f>
        <v/>
      </c>
      <c r="I476" s="27">
        <f>IF($D476="","",IF($C476="Greek",VLOOKUP($D476,RoleTitles!$A:$E,4,FALSE),IF($C476="Aesir",VLOOKUP($D476,RoleTitles!$A:$E,5,FALSE),VLOOKUP($D476,RoleTitles!$A:$E,3,FALSE))))</f>
        <v/>
      </c>
      <c r="J476" s="27">
        <f>IF($D476="","",IF($E476&gt;=VLOOKUP($D476,RoleTitles!$A:$B,2,FALSE),"Yes","No"))</f>
        <v/>
      </c>
      <c r="K476" s="27">
        <f>IF($D476="","",IF($D476="T1","T2",IF($D476="T2","T3",IF($D476="T3","T4",IF($D476="T4","T5",IF($D476="T5","T6",IF($D476="T6","T7",IF($D476="T7","T8",IF($D476="T8","T9","")))))))))</f>
        <v/>
      </c>
      <c r="L476" s="28">
        <f>IF($K476="","",MAX(0,VLOOKUP($K476,RoleTitles!$A:$B,2,FALSE)-$E476))</f>
        <v/>
      </c>
    </row>
    <row r="477">
      <c r="A477" s="24">
        <f>IFERROR(INDEX(CoachRoster!$A$2:$A$1000,ROW()-1),"")</f>
        <v/>
      </c>
      <c r="B477" s="27">
        <f>IF($A477="","",VLOOKUP($A477,CoachRoster!$A:$E,2,FALSE))</f>
        <v/>
      </c>
      <c r="C477" s="27">
        <f>IF($A477="","",VLOOKUP($A477,CoachRoster!$A:$E,3,FALSE))</f>
        <v/>
      </c>
      <c r="D477" s="27">
        <f>IF($A477="","",VLOOKUP($A477,CoachRoster!$A:$E,4,FALSE))</f>
        <v/>
      </c>
      <c r="E477" s="27">
        <f>IF($A477="","",MIN(Settings!$B$8,IFERROR(SUMIF(Weekly_Coaching!$B:$B,$A477,Weekly_Coaching!$D:$D),0)+IFERROR(SUMIF(Monthly_Edu!$B:$B,$A477,Monthly_Edu!$D:$D),0)+IFERROR(SUMIF(Monthly_Ops!$B:$B,$A477,Monthly_Ops!$D:$D),0)+IFERROR(SUMIF(Monthly_Mentor!$B:$B,$A477,Monthly_Mentor!$D:$D),0)+IFERROR(SUMIF(Quarterly_Impact!$B:$B,$A477,Quarterly_Impact!$D:$D),0)+IFERROR(SUMIFS(XPLog!$M:$M,XPLog!$B:$B,$A477,XPLog!$J:$J,"Admin"),0)+IFERROR(SUMIFS(XPLog!$M:$M,XPLog!$B:$B,$A477,XPLog!$J:$J,"Seeding"),0)))</f>
        <v/>
      </c>
      <c r="F477" s="27">
        <f>IF($E477="","",LOOKUP($E477, XPBands!B$2:B$10, XPBands!A$2:A$10))</f>
        <v/>
      </c>
      <c r="G477" s="27">
        <f>IF($E477="","", VLOOKUP($F477, XPBands!A$2:G$10, 4, FALSE) + MIN(VLOOKUP($F477, XPBands!A$2:G$10, 5, FALSE) - VLOOKUP($F477, XPBands!A$2:G$10, 4, FALSE), FLOOR(( $E477 - VLOOKUP($F477, XPBands!A$2:G$10, 2, FALSE) ) / VLOOKUP($F477, XPBands!A$2:G$10, 7, FALSE),1)))</f>
        <v/>
      </c>
      <c r="H477" s="27">
        <f>IF($D477="","",VLOOKUP($D477,RoleTitles!$A:$E,3,FALSE))</f>
        <v/>
      </c>
      <c r="I477" s="27">
        <f>IF($D477="","",IF($C477="Greek",VLOOKUP($D477,RoleTitles!$A:$E,4,FALSE),IF($C477="Aesir",VLOOKUP($D477,RoleTitles!$A:$E,5,FALSE),VLOOKUP($D477,RoleTitles!$A:$E,3,FALSE))))</f>
        <v/>
      </c>
      <c r="J477" s="27">
        <f>IF($D477="","",IF($E477&gt;=VLOOKUP($D477,RoleTitles!$A:$B,2,FALSE),"Yes","No"))</f>
        <v/>
      </c>
      <c r="K477" s="27">
        <f>IF($D477="","",IF($D477="T1","T2",IF($D477="T2","T3",IF($D477="T3","T4",IF($D477="T4","T5",IF($D477="T5","T6",IF($D477="T6","T7",IF($D477="T7","T8",IF($D477="T8","T9","")))))))))</f>
        <v/>
      </c>
      <c r="L477" s="28">
        <f>IF($K477="","",MAX(0,VLOOKUP($K477,RoleTitles!$A:$B,2,FALSE)-$E477))</f>
        <v/>
      </c>
    </row>
    <row r="478">
      <c r="A478" s="24">
        <f>IFERROR(INDEX(CoachRoster!$A$2:$A$1000,ROW()-1),"")</f>
        <v/>
      </c>
      <c r="B478" s="27">
        <f>IF($A478="","",VLOOKUP($A478,CoachRoster!$A:$E,2,FALSE))</f>
        <v/>
      </c>
      <c r="C478" s="27">
        <f>IF($A478="","",VLOOKUP($A478,CoachRoster!$A:$E,3,FALSE))</f>
        <v/>
      </c>
      <c r="D478" s="27">
        <f>IF($A478="","",VLOOKUP($A478,CoachRoster!$A:$E,4,FALSE))</f>
        <v/>
      </c>
      <c r="E478" s="27">
        <f>IF($A478="","",MIN(Settings!$B$8,IFERROR(SUMIF(Weekly_Coaching!$B:$B,$A478,Weekly_Coaching!$D:$D),0)+IFERROR(SUMIF(Monthly_Edu!$B:$B,$A478,Monthly_Edu!$D:$D),0)+IFERROR(SUMIF(Monthly_Ops!$B:$B,$A478,Monthly_Ops!$D:$D),0)+IFERROR(SUMIF(Monthly_Mentor!$B:$B,$A478,Monthly_Mentor!$D:$D),0)+IFERROR(SUMIF(Quarterly_Impact!$B:$B,$A478,Quarterly_Impact!$D:$D),0)+IFERROR(SUMIFS(XPLog!$M:$M,XPLog!$B:$B,$A478,XPLog!$J:$J,"Admin"),0)+IFERROR(SUMIFS(XPLog!$M:$M,XPLog!$B:$B,$A478,XPLog!$J:$J,"Seeding"),0)))</f>
        <v/>
      </c>
      <c r="F478" s="27">
        <f>IF($E478="","",LOOKUP($E478, XPBands!B$2:B$10, XPBands!A$2:A$10))</f>
        <v/>
      </c>
      <c r="G478" s="27">
        <f>IF($E478="","", VLOOKUP($F478, XPBands!A$2:G$10, 4, FALSE) + MIN(VLOOKUP($F478, XPBands!A$2:G$10, 5, FALSE) - VLOOKUP($F478, XPBands!A$2:G$10, 4, FALSE), FLOOR(( $E478 - VLOOKUP($F478, XPBands!A$2:G$10, 2, FALSE) ) / VLOOKUP($F478, XPBands!A$2:G$10, 7, FALSE),1)))</f>
        <v/>
      </c>
      <c r="H478" s="27">
        <f>IF($D478="","",VLOOKUP($D478,RoleTitles!$A:$E,3,FALSE))</f>
        <v/>
      </c>
      <c r="I478" s="27">
        <f>IF($D478="","",IF($C478="Greek",VLOOKUP($D478,RoleTitles!$A:$E,4,FALSE),IF($C478="Aesir",VLOOKUP($D478,RoleTitles!$A:$E,5,FALSE),VLOOKUP($D478,RoleTitles!$A:$E,3,FALSE))))</f>
        <v/>
      </c>
      <c r="J478" s="27">
        <f>IF($D478="","",IF($E478&gt;=VLOOKUP($D478,RoleTitles!$A:$B,2,FALSE),"Yes","No"))</f>
        <v/>
      </c>
      <c r="K478" s="27">
        <f>IF($D478="","",IF($D478="T1","T2",IF($D478="T2","T3",IF($D478="T3","T4",IF($D478="T4","T5",IF($D478="T5","T6",IF($D478="T6","T7",IF($D478="T7","T8",IF($D478="T8","T9","")))))))))</f>
        <v/>
      </c>
      <c r="L478" s="28">
        <f>IF($K478="","",MAX(0,VLOOKUP($K478,RoleTitles!$A:$B,2,FALSE)-$E478))</f>
        <v/>
      </c>
    </row>
    <row r="479">
      <c r="A479" s="24">
        <f>IFERROR(INDEX(CoachRoster!$A$2:$A$1000,ROW()-1),"")</f>
        <v/>
      </c>
      <c r="B479" s="27">
        <f>IF($A479="","",VLOOKUP($A479,CoachRoster!$A:$E,2,FALSE))</f>
        <v/>
      </c>
      <c r="C479" s="27">
        <f>IF($A479="","",VLOOKUP($A479,CoachRoster!$A:$E,3,FALSE))</f>
        <v/>
      </c>
      <c r="D479" s="27">
        <f>IF($A479="","",VLOOKUP($A479,CoachRoster!$A:$E,4,FALSE))</f>
        <v/>
      </c>
      <c r="E479" s="27">
        <f>IF($A479="","",MIN(Settings!$B$8,IFERROR(SUMIF(Weekly_Coaching!$B:$B,$A479,Weekly_Coaching!$D:$D),0)+IFERROR(SUMIF(Monthly_Edu!$B:$B,$A479,Monthly_Edu!$D:$D),0)+IFERROR(SUMIF(Monthly_Ops!$B:$B,$A479,Monthly_Ops!$D:$D),0)+IFERROR(SUMIF(Monthly_Mentor!$B:$B,$A479,Monthly_Mentor!$D:$D),0)+IFERROR(SUMIF(Quarterly_Impact!$B:$B,$A479,Quarterly_Impact!$D:$D),0)+IFERROR(SUMIFS(XPLog!$M:$M,XPLog!$B:$B,$A479,XPLog!$J:$J,"Admin"),0)+IFERROR(SUMIFS(XPLog!$M:$M,XPLog!$B:$B,$A479,XPLog!$J:$J,"Seeding"),0)))</f>
        <v/>
      </c>
      <c r="F479" s="27">
        <f>IF($E479="","",LOOKUP($E479, XPBands!B$2:B$10, XPBands!A$2:A$10))</f>
        <v/>
      </c>
      <c r="G479" s="27">
        <f>IF($E479="","", VLOOKUP($F479, XPBands!A$2:G$10, 4, FALSE) + MIN(VLOOKUP($F479, XPBands!A$2:G$10, 5, FALSE) - VLOOKUP($F479, XPBands!A$2:G$10, 4, FALSE), FLOOR(( $E479 - VLOOKUP($F479, XPBands!A$2:G$10, 2, FALSE) ) / VLOOKUP($F479, XPBands!A$2:G$10, 7, FALSE),1)))</f>
        <v/>
      </c>
      <c r="H479" s="27">
        <f>IF($D479="","",VLOOKUP($D479,RoleTitles!$A:$E,3,FALSE))</f>
        <v/>
      </c>
      <c r="I479" s="27">
        <f>IF($D479="","",IF($C479="Greek",VLOOKUP($D479,RoleTitles!$A:$E,4,FALSE),IF($C479="Aesir",VLOOKUP($D479,RoleTitles!$A:$E,5,FALSE),VLOOKUP($D479,RoleTitles!$A:$E,3,FALSE))))</f>
        <v/>
      </c>
      <c r="J479" s="27">
        <f>IF($D479="","",IF($E479&gt;=VLOOKUP($D479,RoleTitles!$A:$B,2,FALSE),"Yes","No"))</f>
        <v/>
      </c>
      <c r="K479" s="27">
        <f>IF($D479="","",IF($D479="T1","T2",IF($D479="T2","T3",IF($D479="T3","T4",IF($D479="T4","T5",IF($D479="T5","T6",IF($D479="T6","T7",IF($D479="T7","T8",IF($D479="T8","T9","")))))))))</f>
        <v/>
      </c>
      <c r="L479" s="28">
        <f>IF($K479="","",MAX(0,VLOOKUP($K479,RoleTitles!$A:$B,2,FALSE)-$E479))</f>
        <v/>
      </c>
    </row>
    <row r="480">
      <c r="A480" s="24">
        <f>IFERROR(INDEX(CoachRoster!$A$2:$A$1000,ROW()-1),"")</f>
        <v/>
      </c>
      <c r="B480" s="27">
        <f>IF($A480="","",VLOOKUP($A480,CoachRoster!$A:$E,2,FALSE))</f>
        <v/>
      </c>
      <c r="C480" s="27">
        <f>IF($A480="","",VLOOKUP($A480,CoachRoster!$A:$E,3,FALSE))</f>
        <v/>
      </c>
      <c r="D480" s="27">
        <f>IF($A480="","",VLOOKUP($A480,CoachRoster!$A:$E,4,FALSE))</f>
        <v/>
      </c>
      <c r="E480" s="27">
        <f>IF($A480="","",MIN(Settings!$B$8,IFERROR(SUMIF(Weekly_Coaching!$B:$B,$A480,Weekly_Coaching!$D:$D),0)+IFERROR(SUMIF(Monthly_Edu!$B:$B,$A480,Monthly_Edu!$D:$D),0)+IFERROR(SUMIF(Monthly_Ops!$B:$B,$A480,Monthly_Ops!$D:$D),0)+IFERROR(SUMIF(Monthly_Mentor!$B:$B,$A480,Monthly_Mentor!$D:$D),0)+IFERROR(SUMIF(Quarterly_Impact!$B:$B,$A480,Quarterly_Impact!$D:$D),0)+IFERROR(SUMIFS(XPLog!$M:$M,XPLog!$B:$B,$A480,XPLog!$J:$J,"Admin"),0)+IFERROR(SUMIFS(XPLog!$M:$M,XPLog!$B:$B,$A480,XPLog!$J:$J,"Seeding"),0)))</f>
        <v/>
      </c>
      <c r="F480" s="27">
        <f>IF($E480="","",LOOKUP($E480, XPBands!B$2:B$10, XPBands!A$2:A$10))</f>
        <v/>
      </c>
      <c r="G480" s="27">
        <f>IF($E480="","", VLOOKUP($F480, XPBands!A$2:G$10, 4, FALSE) + MIN(VLOOKUP($F480, XPBands!A$2:G$10, 5, FALSE) - VLOOKUP($F480, XPBands!A$2:G$10, 4, FALSE), FLOOR(( $E480 - VLOOKUP($F480, XPBands!A$2:G$10, 2, FALSE) ) / VLOOKUP($F480, XPBands!A$2:G$10, 7, FALSE),1)))</f>
        <v/>
      </c>
      <c r="H480" s="27">
        <f>IF($D480="","",VLOOKUP($D480,RoleTitles!$A:$E,3,FALSE))</f>
        <v/>
      </c>
      <c r="I480" s="27">
        <f>IF($D480="","",IF($C480="Greek",VLOOKUP($D480,RoleTitles!$A:$E,4,FALSE),IF($C480="Aesir",VLOOKUP($D480,RoleTitles!$A:$E,5,FALSE),VLOOKUP($D480,RoleTitles!$A:$E,3,FALSE))))</f>
        <v/>
      </c>
      <c r="J480" s="27">
        <f>IF($D480="","",IF($E480&gt;=VLOOKUP($D480,RoleTitles!$A:$B,2,FALSE),"Yes","No"))</f>
        <v/>
      </c>
      <c r="K480" s="27">
        <f>IF($D480="","",IF($D480="T1","T2",IF($D480="T2","T3",IF($D480="T3","T4",IF($D480="T4","T5",IF($D480="T5","T6",IF($D480="T6","T7",IF($D480="T7","T8",IF($D480="T8","T9","")))))))))</f>
        <v/>
      </c>
      <c r="L480" s="28">
        <f>IF($K480="","",MAX(0,VLOOKUP($K480,RoleTitles!$A:$B,2,FALSE)-$E480))</f>
        <v/>
      </c>
    </row>
    <row r="481">
      <c r="A481" s="24">
        <f>IFERROR(INDEX(CoachRoster!$A$2:$A$1000,ROW()-1),"")</f>
        <v/>
      </c>
      <c r="B481" s="27">
        <f>IF($A481="","",VLOOKUP($A481,CoachRoster!$A:$E,2,FALSE))</f>
        <v/>
      </c>
      <c r="C481" s="27">
        <f>IF($A481="","",VLOOKUP($A481,CoachRoster!$A:$E,3,FALSE))</f>
        <v/>
      </c>
      <c r="D481" s="27">
        <f>IF($A481="","",VLOOKUP($A481,CoachRoster!$A:$E,4,FALSE))</f>
        <v/>
      </c>
      <c r="E481" s="27">
        <f>IF($A481="","",MIN(Settings!$B$8,IFERROR(SUMIF(Weekly_Coaching!$B:$B,$A481,Weekly_Coaching!$D:$D),0)+IFERROR(SUMIF(Monthly_Edu!$B:$B,$A481,Monthly_Edu!$D:$D),0)+IFERROR(SUMIF(Monthly_Ops!$B:$B,$A481,Monthly_Ops!$D:$D),0)+IFERROR(SUMIF(Monthly_Mentor!$B:$B,$A481,Monthly_Mentor!$D:$D),0)+IFERROR(SUMIF(Quarterly_Impact!$B:$B,$A481,Quarterly_Impact!$D:$D),0)+IFERROR(SUMIFS(XPLog!$M:$M,XPLog!$B:$B,$A481,XPLog!$J:$J,"Admin"),0)+IFERROR(SUMIFS(XPLog!$M:$M,XPLog!$B:$B,$A481,XPLog!$J:$J,"Seeding"),0)))</f>
        <v/>
      </c>
      <c r="F481" s="27">
        <f>IF($E481="","",LOOKUP($E481, XPBands!B$2:B$10, XPBands!A$2:A$10))</f>
        <v/>
      </c>
      <c r="G481" s="27">
        <f>IF($E481="","", VLOOKUP($F481, XPBands!A$2:G$10, 4, FALSE) + MIN(VLOOKUP($F481, XPBands!A$2:G$10, 5, FALSE) - VLOOKUP($F481, XPBands!A$2:G$10, 4, FALSE), FLOOR(( $E481 - VLOOKUP($F481, XPBands!A$2:G$10, 2, FALSE) ) / VLOOKUP($F481, XPBands!A$2:G$10, 7, FALSE),1)))</f>
        <v/>
      </c>
      <c r="H481" s="27">
        <f>IF($D481="","",VLOOKUP($D481,RoleTitles!$A:$E,3,FALSE))</f>
        <v/>
      </c>
      <c r="I481" s="27">
        <f>IF($D481="","",IF($C481="Greek",VLOOKUP($D481,RoleTitles!$A:$E,4,FALSE),IF($C481="Aesir",VLOOKUP($D481,RoleTitles!$A:$E,5,FALSE),VLOOKUP($D481,RoleTitles!$A:$E,3,FALSE))))</f>
        <v/>
      </c>
      <c r="J481" s="27">
        <f>IF($D481="","",IF($E481&gt;=VLOOKUP($D481,RoleTitles!$A:$B,2,FALSE),"Yes","No"))</f>
        <v/>
      </c>
      <c r="K481" s="27">
        <f>IF($D481="","",IF($D481="T1","T2",IF($D481="T2","T3",IF($D481="T3","T4",IF($D481="T4","T5",IF($D481="T5","T6",IF($D481="T6","T7",IF($D481="T7","T8",IF($D481="T8","T9","")))))))))</f>
        <v/>
      </c>
      <c r="L481" s="28">
        <f>IF($K481="","",MAX(0,VLOOKUP($K481,RoleTitles!$A:$B,2,FALSE)-$E481))</f>
        <v/>
      </c>
    </row>
    <row r="482">
      <c r="A482" s="24">
        <f>IFERROR(INDEX(CoachRoster!$A$2:$A$1000,ROW()-1),"")</f>
        <v/>
      </c>
      <c r="B482" s="27">
        <f>IF($A482="","",VLOOKUP($A482,CoachRoster!$A:$E,2,FALSE))</f>
        <v/>
      </c>
      <c r="C482" s="27">
        <f>IF($A482="","",VLOOKUP($A482,CoachRoster!$A:$E,3,FALSE))</f>
        <v/>
      </c>
      <c r="D482" s="27">
        <f>IF($A482="","",VLOOKUP($A482,CoachRoster!$A:$E,4,FALSE))</f>
        <v/>
      </c>
      <c r="E482" s="27">
        <f>IF($A482="","",MIN(Settings!$B$8,IFERROR(SUMIF(Weekly_Coaching!$B:$B,$A482,Weekly_Coaching!$D:$D),0)+IFERROR(SUMIF(Monthly_Edu!$B:$B,$A482,Monthly_Edu!$D:$D),0)+IFERROR(SUMIF(Monthly_Ops!$B:$B,$A482,Monthly_Ops!$D:$D),0)+IFERROR(SUMIF(Monthly_Mentor!$B:$B,$A482,Monthly_Mentor!$D:$D),0)+IFERROR(SUMIF(Quarterly_Impact!$B:$B,$A482,Quarterly_Impact!$D:$D),0)+IFERROR(SUMIFS(XPLog!$M:$M,XPLog!$B:$B,$A482,XPLog!$J:$J,"Admin"),0)+IFERROR(SUMIFS(XPLog!$M:$M,XPLog!$B:$B,$A482,XPLog!$J:$J,"Seeding"),0)))</f>
        <v/>
      </c>
      <c r="F482" s="27">
        <f>IF($E482="","",LOOKUP($E482, XPBands!B$2:B$10, XPBands!A$2:A$10))</f>
        <v/>
      </c>
      <c r="G482" s="27">
        <f>IF($E482="","", VLOOKUP($F482, XPBands!A$2:G$10, 4, FALSE) + MIN(VLOOKUP($F482, XPBands!A$2:G$10, 5, FALSE) - VLOOKUP($F482, XPBands!A$2:G$10, 4, FALSE), FLOOR(( $E482 - VLOOKUP($F482, XPBands!A$2:G$10, 2, FALSE) ) / VLOOKUP($F482, XPBands!A$2:G$10, 7, FALSE),1)))</f>
        <v/>
      </c>
      <c r="H482" s="27">
        <f>IF($D482="","",VLOOKUP($D482,RoleTitles!$A:$E,3,FALSE))</f>
        <v/>
      </c>
      <c r="I482" s="27">
        <f>IF($D482="","",IF($C482="Greek",VLOOKUP($D482,RoleTitles!$A:$E,4,FALSE),IF($C482="Aesir",VLOOKUP($D482,RoleTitles!$A:$E,5,FALSE),VLOOKUP($D482,RoleTitles!$A:$E,3,FALSE))))</f>
        <v/>
      </c>
      <c r="J482" s="27">
        <f>IF($D482="","",IF($E482&gt;=VLOOKUP($D482,RoleTitles!$A:$B,2,FALSE),"Yes","No"))</f>
        <v/>
      </c>
      <c r="K482" s="27">
        <f>IF($D482="","",IF($D482="T1","T2",IF($D482="T2","T3",IF($D482="T3","T4",IF($D482="T4","T5",IF($D482="T5","T6",IF($D482="T6","T7",IF($D482="T7","T8",IF($D482="T8","T9","")))))))))</f>
        <v/>
      </c>
      <c r="L482" s="28">
        <f>IF($K482="","",MAX(0,VLOOKUP($K482,RoleTitles!$A:$B,2,FALSE)-$E482))</f>
        <v/>
      </c>
    </row>
    <row r="483">
      <c r="A483" s="24">
        <f>IFERROR(INDEX(CoachRoster!$A$2:$A$1000,ROW()-1),"")</f>
        <v/>
      </c>
      <c r="B483" s="27">
        <f>IF($A483="","",VLOOKUP($A483,CoachRoster!$A:$E,2,FALSE))</f>
        <v/>
      </c>
      <c r="C483" s="27">
        <f>IF($A483="","",VLOOKUP($A483,CoachRoster!$A:$E,3,FALSE))</f>
        <v/>
      </c>
      <c r="D483" s="27">
        <f>IF($A483="","",VLOOKUP($A483,CoachRoster!$A:$E,4,FALSE))</f>
        <v/>
      </c>
      <c r="E483" s="27">
        <f>IF($A483="","",MIN(Settings!$B$8,IFERROR(SUMIF(Weekly_Coaching!$B:$B,$A483,Weekly_Coaching!$D:$D),0)+IFERROR(SUMIF(Monthly_Edu!$B:$B,$A483,Monthly_Edu!$D:$D),0)+IFERROR(SUMIF(Monthly_Ops!$B:$B,$A483,Monthly_Ops!$D:$D),0)+IFERROR(SUMIF(Monthly_Mentor!$B:$B,$A483,Monthly_Mentor!$D:$D),0)+IFERROR(SUMIF(Quarterly_Impact!$B:$B,$A483,Quarterly_Impact!$D:$D),0)+IFERROR(SUMIFS(XPLog!$M:$M,XPLog!$B:$B,$A483,XPLog!$J:$J,"Admin"),0)+IFERROR(SUMIFS(XPLog!$M:$M,XPLog!$B:$B,$A483,XPLog!$J:$J,"Seeding"),0)))</f>
        <v/>
      </c>
      <c r="F483" s="27">
        <f>IF($E483="","",LOOKUP($E483, XPBands!B$2:B$10, XPBands!A$2:A$10))</f>
        <v/>
      </c>
      <c r="G483" s="27">
        <f>IF($E483="","", VLOOKUP($F483, XPBands!A$2:G$10, 4, FALSE) + MIN(VLOOKUP($F483, XPBands!A$2:G$10, 5, FALSE) - VLOOKUP($F483, XPBands!A$2:G$10, 4, FALSE), FLOOR(( $E483 - VLOOKUP($F483, XPBands!A$2:G$10, 2, FALSE) ) / VLOOKUP($F483, XPBands!A$2:G$10, 7, FALSE),1)))</f>
        <v/>
      </c>
      <c r="H483" s="27">
        <f>IF($D483="","",VLOOKUP($D483,RoleTitles!$A:$E,3,FALSE))</f>
        <v/>
      </c>
      <c r="I483" s="27">
        <f>IF($D483="","",IF($C483="Greek",VLOOKUP($D483,RoleTitles!$A:$E,4,FALSE),IF($C483="Aesir",VLOOKUP($D483,RoleTitles!$A:$E,5,FALSE),VLOOKUP($D483,RoleTitles!$A:$E,3,FALSE))))</f>
        <v/>
      </c>
      <c r="J483" s="27">
        <f>IF($D483="","",IF($E483&gt;=VLOOKUP($D483,RoleTitles!$A:$B,2,FALSE),"Yes","No"))</f>
        <v/>
      </c>
      <c r="K483" s="27">
        <f>IF($D483="","",IF($D483="T1","T2",IF($D483="T2","T3",IF($D483="T3","T4",IF($D483="T4","T5",IF($D483="T5","T6",IF($D483="T6","T7",IF($D483="T7","T8",IF($D483="T8","T9","")))))))))</f>
        <v/>
      </c>
      <c r="L483" s="28">
        <f>IF($K483="","",MAX(0,VLOOKUP($K483,RoleTitles!$A:$B,2,FALSE)-$E483))</f>
        <v/>
      </c>
    </row>
    <row r="484">
      <c r="A484" s="24">
        <f>IFERROR(INDEX(CoachRoster!$A$2:$A$1000,ROW()-1),"")</f>
        <v/>
      </c>
      <c r="B484" s="27">
        <f>IF($A484="","",VLOOKUP($A484,CoachRoster!$A:$E,2,FALSE))</f>
        <v/>
      </c>
      <c r="C484" s="27">
        <f>IF($A484="","",VLOOKUP($A484,CoachRoster!$A:$E,3,FALSE))</f>
        <v/>
      </c>
      <c r="D484" s="27">
        <f>IF($A484="","",VLOOKUP($A484,CoachRoster!$A:$E,4,FALSE))</f>
        <v/>
      </c>
      <c r="E484" s="27">
        <f>IF($A484="","",MIN(Settings!$B$8,IFERROR(SUMIF(Weekly_Coaching!$B:$B,$A484,Weekly_Coaching!$D:$D),0)+IFERROR(SUMIF(Monthly_Edu!$B:$B,$A484,Monthly_Edu!$D:$D),0)+IFERROR(SUMIF(Monthly_Ops!$B:$B,$A484,Monthly_Ops!$D:$D),0)+IFERROR(SUMIF(Monthly_Mentor!$B:$B,$A484,Monthly_Mentor!$D:$D),0)+IFERROR(SUMIF(Quarterly_Impact!$B:$B,$A484,Quarterly_Impact!$D:$D),0)+IFERROR(SUMIFS(XPLog!$M:$M,XPLog!$B:$B,$A484,XPLog!$J:$J,"Admin"),0)+IFERROR(SUMIFS(XPLog!$M:$M,XPLog!$B:$B,$A484,XPLog!$J:$J,"Seeding"),0)))</f>
        <v/>
      </c>
      <c r="F484" s="27">
        <f>IF($E484="","",LOOKUP($E484, XPBands!B$2:B$10, XPBands!A$2:A$10))</f>
        <v/>
      </c>
      <c r="G484" s="27">
        <f>IF($E484="","", VLOOKUP($F484, XPBands!A$2:G$10, 4, FALSE) + MIN(VLOOKUP($F484, XPBands!A$2:G$10, 5, FALSE) - VLOOKUP($F484, XPBands!A$2:G$10, 4, FALSE), FLOOR(( $E484 - VLOOKUP($F484, XPBands!A$2:G$10, 2, FALSE) ) / VLOOKUP($F484, XPBands!A$2:G$10, 7, FALSE),1)))</f>
        <v/>
      </c>
      <c r="H484" s="27">
        <f>IF($D484="","",VLOOKUP($D484,RoleTitles!$A:$E,3,FALSE))</f>
        <v/>
      </c>
      <c r="I484" s="27">
        <f>IF($D484="","",IF($C484="Greek",VLOOKUP($D484,RoleTitles!$A:$E,4,FALSE),IF($C484="Aesir",VLOOKUP($D484,RoleTitles!$A:$E,5,FALSE),VLOOKUP($D484,RoleTitles!$A:$E,3,FALSE))))</f>
        <v/>
      </c>
      <c r="J484" s="27">
        <f>IF($D484="","",IF($E484&gt;=VLOOKUP($D484,RoleTitles!$A:$B,2,FALSE),"Yes","No"))</f>
        <v/>
      </c>
      <c r="K484" s="27">
        <f>IF($D484="","",IF($D484="T1","T2",IF($D484="T2","T3",IF($D484="T3","T4",IF($D484="T4","T5",IF($D484="T5","T6",IF($D484="T6","T7",IF($D484="T7","T8",IF($D484="T8","T9","")))))))))</f>
        <v/>
      </c>
      <c r="L484" s="28">
        <f>IF($K484="","",MAX(0,VLOOKUP($K484,RoleTitles!$A:$B,2,FALSE)-$E484))</f>
        <v/>
      </c>
    </row>
    <row r="485">
      <c r="A485" s="24">
        <f>IFERROR(INDEX(CoachRoster!$A$2:$A$1000,ROW()-1),"")</f>
        <v/>
      </c>
      <c r="B485" s="27">
        <f>IF($A485="","",VLOOKUP($A485,CoachRoster!$A:$E,2,FALSE))</f>
        <v/>
      </c>
      <c r="C485" s="27">
        <f>IF($A485="","",VLOOKUP($A485,CoachRoster!$A:$E,3,FALSE))</f>
        <v/>
      </c>
      <c r="D485" s="27">
        <f>IF($A485="","",VLOOKUP($A485,CoachRoster!$A:$E,4,FALSE))</f>
        <v/>
      </c>
      <c r="E485" s="27">
        <f>IF($A485="","",MIN(Settings!$B$8,IFERROR(SUMIF(Weekly_Coaching!$B:$B,$A485,Weekly_Coaching!$D:$D),0)+IFERROR(SUMIF(Monthly_Edu!$B:$B,$A485,Monthly_Edu!$D:$D),0)+IFERROR(SUMIF(Monthly_Ops!$B:$B,$A485,Monthly_Ops!$D:$D),0)+IFERROR(SUMIF(Monthly_Mentor!$B:$B,$A485,Monthly_Mentor!$D:$D),0)+IFERROR(SUMIF(Quarterly_Impact!$B:$B,$A485,Quarterly_Impact!$D:$D),0)+IFERROR(SUMIFS(XPLog!$M:$M,XPLog!$B:$B,$A485,XPLog!$J:$J,"Admin"),0)+IFERROR(SUMIFS(XPLog!$M:$M,XPLog!$B:$B,$A485,XPLog!$J:$J,"Seeding"),0)))</f>
        <v/>
      </c>
      <c r="F485" s="27">
        <f>IF($E485="","",LOOKUP($E485, XPBands!B$2:B$10, XPBands!A$2:A$10))</f>
        <v/>
      </c>
      <c r="G485" s="27">
        <f>IF($E485="","", VLOOKUP($F485, XPBands!A$2:G$10, 4, FALSE) + MIN(VLOOKUP($F485, XPBands!A$2:G$10, 5, FALSE) - VLOOKUP($F485, XPBands!A$2:G$10, 4, FALSE), FLOOR(( $E485 - VLOOKUP($F485, XPBands!A$2:G$10, 2, FALSE) ) / VLOOKUP($F485, XPBands!A$2:G$10, 7, FALSE),1)))</f>
        <v/>
      </c>
      <c r="H485" s="27">
        <f>IF($D485="","",VLOOKUP($D485,RoleTitles!$A:$E,3,FALSE))</f>
        <v/>
      </c>
      <c r="I485" s="27">
        <f>IF($D485="","",IF($C485="Greek",VLOOKUP($D485,RoleTitles!$A:$E,4,FALSE),IF($C485="Aesir",VLOOKUP($D485,RoleTitles!$A:$E,5,FALSE),VLOOKUP($D485,RoleTitles!$A:$E,3,FALSE))))</f>
        <v/>
      </c>
      <c r="J485" s="27">
        <f>IF($D485="","",IF($E485&gt;=VLOOKUP($D485,RoleTitles!$A:$B,2,FALSE),"Yes","No"))</f>
        <v/>
      </c>
      <c r="K485" s="27">
        <f>IF($D485="","",IF($D485="T1","T2",IF($D485="T2","T3",IF($D485="T3","T4",IF($D485="T4","T5",IF($D485="T5","T6",IF($D485="T6","T7",IF($D485="T7","T8",IF($D485="T8","T9","")))))))))</f>
        <v/>
      </c>
      <c r="L485" s="28">
        <f>IF($K485="","",MAX(0,VLOOKUP($K485,RoleTitles!$A:$B,2,FALSE)-$E485))</f>
        <v/>
      </c>
    </row>
    <row r="486">
      <c r="A486" s="24">
        <f>IFERROR(INDEX(CoachRoster!$A$2:$A$1000,ROW()-1),"")</f>
        <v/>
      </c>
      <c r="B486" s="27">
        <f>IF($A486="","",VLOOKUP($A486,CoachRoster!$A:$E,2,FALSE))</f>
        <v/>
      </c>
      <c r="C486" s="27">
        <f>IF($A486="","",VLOOKUP($A486,CoachRoster!$A:$E,3,FALSE))</f>
        <v/>
      </c>
      <c r="D486" s="27">
        <f>IF($A486="","",VLOOKUP($A486,CoachRoster!$A:$E,4,FALSE))</f>
        <v/>
      </c>
      <c r="E486" s="27">
        <f>IF($A486="","",MIN(Settings!$B$8,IFERROR(SUMIF(Weekly_Coaching!$B:$B,$A486,Weekly_Coaching!$D:$D),0)+IFERROR(SUMIF(Monthly_Edu!$B:$B,$A486,Monthly_Edu!$D:$D),0)+IFERROR(SUMIF(Monthly_Ops!$B:$B,$A486,Monthly_Ops!$D:$D),0)+IFERROR(SUMIF(Monthly_Mentor!$B:$B,$A486,Monthly_Mentor!$D:$D),0)+IFERROR(SUMIF(Quarterly_Impact!$B:$B,$A486,Quarterly_Impact!$D:$D),0)+IFERROR(SUMIFS(XPLog!$M:$M,XPLog!$B:$B,$A486,XPLog!$J:$J,"Admin"),0)+IFERROR(SUMIFS(XPLog!$M:$M,XPLog!$B:$B,$A486,XPLog!$J:$J,"Seeding"),0)))</f>
        <v/>
      </c>
      <c r="F486" s="27">
        <f>IF($E486="","",LOOKUP($E486, XPBands!B$2:B$10, XPBands!A$2:A$10))</f>
        <v/>
      </c>
      <c r="G486" s="27">
        <f>IF($E486="","", VLOOKUP($F486, XPBands!A$2:G$10, 4, FALSE) + MIN(VLOOKUP($F486, XPBands!A$2:G$10, 5, FALSE) - VLOOKUP($F486, XPBands!A$2:G$10, 4, FALSE), FLOOR(( $E486 - VLOOKUP($F486, XPBands!A$2:G$10, 2, FALSE) ) / VLOOKUP($F486, XPBands!A$2:G$10, 7, FALSE),1)))</f>
        <v/>
      </c>
      <c r="H486" s="27">
        <f>IF($D486="","",VLOOKUP($D486,RoleTitles!$A:$E,3,FALSE))</f>
        <v/>
      </c>
      <c r="I486" s="27">
        <f>IF($D486="","",IF($C486="Greek",VLOOKUP($D486,RoleTitles!$A:$E,4,FALSE),IF($C486="Aesir",VLOOKUP($D486,RoleTitles!$A:$E,5,FALSE),VLOOKUP($D486,RoleTitles!$A:$E,3,FALSE))))</f>
        <v/>
      </c>
      <c r="J486" s="27">
        <f>IF($D486="","",IF($E486&gt;=VLOOKUP($D486,RoleTitles!$A:$B,2,FALSE),"Yes","No"))</f>
        <v/>
      </c>
      <c r="K486" s="27">
        <f>IF($D486="","",IF($D486="T1","T2",IF($D486="T2","T3",IF($D486="T3","T4",IF($D486="T4","T5",IF($D486="T5","T6",IF($D486="T6","T7",IF($D486="T7","T8",IF($D486="T8","T9","")))))))))</f>
        <v/>
      </c>
      <c r="L486" s="28">
        <f>IF($K486="","",MAX(0,VLOOKUP($K486,RoleTitles!$A:$B,2,FALSE)-$E486))</f>
        <v/>
      </c>
    </row>
    <row r="487">
      <c r="A487" s="24">
        <f>IFERROR(INDEX(CoachRoster!$A$2:$A$1000,ROW()-1),"")</f>
        <v/>
      </c>
      <c r="B487" s="27">
        <f>IF($A487="","",VLOOKUP($A487,CoachRoster!$A:$E,2,FALSE))</f>
        <v/>
      </c>
      <c r="C487" s="27">
        <f>IF($A487="","",VLOOKUP($A487,CoachRoster!$A:$E,3,FALSE))</f>
        <v/>
      </c>
      <c r="D487" s="27">
        <f>IF($A487="","",VLOOKUP($A487,CoachRoster!$A:$E,4,FALSE))</f>
        <v/>
      </c>
      <c r="E487" s="27">
        <f>IF($A487="","",MIN(Settings!$B$8,IFERROR(SUMIF(Weekly_Coaching!$B:$B,$A487,Weekly_Coaching!$D:$D),0)+IFERROR(SUMIF(Monthly_Edu!$B:$B,$A487,Monthly_Edu!$D:$D),0)+IFERROR(SUMIF(Monthly_Ops!$B:$B,$A487,Monthly_Ops!$D:$D),0)+IFERROR(SUMIF(Monthly_Mentor!$B:$B,$A487,Monthly_Mentor!$D:$D),0)+IFERROR(SUMIF(Quarterly_Impact!$B:$B,$A487,Quarterly_Impact!$D:$D),0)+IFERROR(SUMIFS(XPLog!$M:$M,XPLog!$B:$B,$A487,XPLog!$J:$J,"Admin"),0)+IFERROR(SUMIFS(XPLog!$M:$M,XPLog!$B:$B,$A487,XPLog!$J:$J,"Seeding"),0)))</f>
        <v/>
      </c>
      <c r="F487" s="27">
        <f>IF($E487="","",LOOKUP($E487, XPBands!B$2:B$10, XPBands!A$2:A$10))</f>
        <v/>
      </c>
      <c r="G487" s="27">
        <f>IF($E487="","", VLOOKUP($F487, XPBands!A$2:G$10, 4, FALSE) + MIN(VLOOKUP($F487, XPBands!A$2:G$10, 5, FALSE) - VLOOKUP($F487, XPBands!A$2:G$10, 4, FALSE), FLOOR(( $E487 - VLOOKUP($F487, XPBands!A$2:G$10, 2, FALSE) ) / VLOOKUP($F487, XPBands!A$2:G$10, 7, FALSE),1)))</f>
        <v/>
      </c>
      <c r="H487" s="27">
        <f>IF($D487="","",VLOOKUP($D487,RoleTitles!$A:$E,3,FALSE))</f>
        <v/>
      </c>
      <c r="I487" s="27">
        <f>IF($D487="","",IF($C487="Greek",VLOOKUP($D487,RoleTitles!$A:$E,4,FALSE),IF($C487="Aesir",VLOOKUP($D487,RoleTitles!$A:$E,5,FALSE),VLOOKUP($D487,RoleTitles!$A:$E,3,FALSE))))</f>
        <v/>
      </c>
      <c r="J487" s="27">
        <f>IF($D487="","",IF($E487&gt;=VLOOKUP($D487,RoleTitles!$A:$B,2,FALSE),"Yes","No"))</f>
        <v/>
      </c>
      <c r="K487" s="27">
        <f>IF($D487="","",IF($D487="T1","T2",IF($D487="T2","T3",IF($D487="T3","T4",IF($D487="T4","T5",IF($D487="T5","T6",IF($D487="T6","T7",IF($D487="T7","T8",IF($D487="T8","T9","")))))))))</f>
        <v/>
      </c>
      <c r="L487" s="28">
        <f>IF($K487="","",MAX(0,VLOOKUP($K487,RoleTitles!$A:$B,2,FALSE)-$E487))</f>
        <v/>
      </c>
    </row>
    <row r="488">
      <c r="A488" s="24">
        <f>IFERROR(INDEX(CoachRoster!$A$2:$A$1000,ROW()-1),"")</f>
        <v/>
      </c>
      <c r="B488" s="27">
        <f>IF($A488="","",VLOOKUP($A488,CoachRoster!$A:$E,2,FALSE))</f>
        <v/>
      </c>
      <c r="C488" s="27">
        <f>IF($A488="","",VLOOKUP($A488,CoachRoster!$A:$E,3,FALSE))</f>
        <v/>
      </c>
      <c r="D488" s="27">
        <f>IF($A488="","",VLOOKUP($A488,CoachRoster!$A:$E,4,FALSE))</f>
        <v/>
      </c>
      <c r="E488" s="27">
        <f>IF($A488="","",MIN(Settings!$B$8,IFERROR(SUMIF(Weekly_Coaching!$B:$B,$A488,Weekly_Coaching!$D:$D),0)+IFERROR(SUMIF(Monthly_Edu!$B:$B,$A488,Monthly_Edu!$D:$D),0)+IFERROR(SUMIF(Monthly_Ops!$B:$B,$A488,Monthly_Ops!$D:$D),0)+IFERROR(SUMIF(Monthly_Mentor!$B:$B,$A488,Monthly_Mentor!$D:$D),0)+IFERROR(SUMIF(Quarterly_Impact!$B:$B,$A488,Quarterly_Impact!$D:$D),0)+IFERROR(SUMIFS(XPLog!$M:$M,XPLog!$B:$B,$A488,XPLog!$J:$J,"Admin"),0)+IFERROR(SUMIFS(XPLog!$M:$M,XPLog!$B:$B,$A488,XPLog!$J:$J,"Seeding"),0)))</f>
        <v/>
      </c>
      <c r="F488" s="27">
        <f>IF($E488="","",LOOKUP($E488, XPBands!B$2:B$10, XPBands!A$2:A$10))</f>
        <v/>
      </c>
      <c r="G488" s="27">
        <f>IF($E488="","", VLOOKUP($F488, XPBands!A$2:G$10, 4, FALSE) + MIN(VLOOKUP($F488, XPBands!A$2:G$10, 5, FALSE) - VLOOKUP($F488, XPBands!A$2:G$10, 4, FALSE), FLOOR(( $E488 - VLOOKUP($F488, XPBands!A$2:G$10, 2, FALSE) ) / VLOOKUP($F488, XPBands!A$2:G$10, 7, FALSE),1)))</f>
        <v/>
      </c>
      <c r="H488" s="27">
        <f>IF($D488="","",VLOOKUP($D488,RoleTitles!$A:$E,3,FALSE))</f>
        <v/>
      </c>
      <c r="I488" s="27">
        <f>IF($D488="","",IF($C488="Greek",VLOOKUP($D488,RoleTitles!$A:$E,4,FALSE),IF($C488="Aesir",VLOOKUP($D488,RoleTitles!$A:$E,5,FALSE),VLOOKUP($D488,RoleTitles!$A:$E,3,FALSE))))</f>
        <v/>
      </c>
      <c r="J488" s="27">
        <f>IF($D488="","",IF($E488&gt;=VLOOKUP($D488,RoleTitles!$A:$B,2,FALSE),"Yes","No"))</f>
        <v/>
      </c>
      <c r="K488" s="27">
        <f>IF($D488="","",IF($D488="T1","T2",IF($D488="T2","T3",IF($D488="T3","T4",IF($D488="T4","T5",IF($D488="T5","T6",IF($D488="T6","T7",IF($D488="T7","T8",IF($D488="T8","T9","")))))))))</f>
        <v/>
      </c>
      <c r="L488" s="28">
        <f>IF($K488="","",MAX(0,VLOOKUP($K488,RoleTitles!$A:$B,2,FALSE)-$E488))</f>
        <v/>
      </c>
    </row>
    <row r="489">
      <c r="A489" s="24">
        <f>IFERROR(INDEX(CoachRoster!$A$2:$A$1000,ROW()-1),"")</f>
        <v/>
      </c>
      <c r="B489" s="27">
        <f>IF($A489="","",VLOOKUP($A489,CoachRoster!$A:$E,2,FALSE))</f>
        <v/>
      </c>
      <c r="C489" s="27">
        <f>IF($A489="","",VLOOKUP($A489,CoachRoster!$A:$E,3,FALSE))</f>
        <v/>
      </c>
      <c r="D489" s="27">
        <f>IF($A489="","",VLOOKUP($A489,CoachRoster!$A:$E,4,FALSE))</f>
        <v/>
      </c>
      <c r="E489" s="27">
        <f>IF($A489="","",MIN(Settings!$B$8,IFERROR(SUMIF(Weekly_Coaching!$B:$B,$A489,Weekly_Coaching!$D:$D),0)+IFERROR(SUMIF(Monthly_Edu!$B:$B,$A489,Monthly_Edu!$D:$D),0)+IFERROR(SUMIF(Monthly_Ops!$B:$B,$A489,Monthly_Ops!$D:$D),0)+IFERROR(SUMIF(Monthly_Mentor!$B:$B,$A489,Monthly_Mentor!$D:$D),0)+IFERROR(SUMIF(Quarterly_Impact!$B:$B,$A489,Quarterly_Impact!$D:$D),0)+IFERROR(SUMIFS(XPLog!$M:$M,XPLog!$B:$B,$A489,XPLog!$J:$J,"Admin"),0)+IFERROR(SUMIFS(XPLog!$M:$M,XPLog!$B:$B,$A489,XPLog!$J:$J,"Seeding"),0)))</f>
        <v/>
      </c>
      <c r="F489" s="27">
        <f>IF($E489="","",LOOKUP($E489, XPBands!B$2:B$10, XPBands!A$2:A$10))</f>
        <v/>
      </c>
      <c r="G489" s="27">
        <f>IF($E489="","", VLOOKUP($F489, XPBands!A$2:G$10, 4, FALSE) + MIN(VLOOKUP($F489, XPBands!A$2:G$10, 5, FALSE) - VLOOKUP($F489, XPBands!A$2:G$10, 4, FALSE), FLOOR(( $E489 - VLOOKUP($F489, XPBands!A$2:G$10, 2, FALSE) ) / VLOOKUP($F489, XPBands!A$2:G$10, 7, FALSE),1)))</f>
        <v/>
      </c>
      <c r="H489" s="27">
        <f>IF($D489="","",VLOOKUP($D489,RoleTitles!$A:$E,3,FALSE))</f>
        <v/>
      </c>
      <c r="I489" s="27">
        <f>IF($D489="","",IF($C489="Greek",VLOOKUP($D489,RoleTitles!$A:$E,4,FALSE),IF($C489="Aesir",VLOOKUP($D489,RoleTitles!$A:$E,5,FALSE),VLOOKUP($D489,RoleTitles!$A:$E,3,FALSE))))</f>
        <v/>
      </c>
      <c r="J489" s="27">
        <f>IF($D489="","",IF($E489&gt;=VLOOKUP($D489,RoleTitles!$A:$B,2,FALSE),"Yes","No"))</f>
        <v/>
      </c>
      <c r="K489" s="27">
        <f>IF($D489="","",IF($D489="T1","T2",IF($D489="T2","T3",IF($D489="T3","T4",IF($D489="T4","T5",IF($D489="T5","T6",IF($D489="T6","T7",IF($D489="T7","T8",IF($D489="T8","T9","")))))))))</f>
        <v/>
      </c>
      <c r="L489" s="28">
        <f>IF($K489="","",MAX(0,VLOOKUP($K489,RoleTitles!$A:$B,2,FALSE)-$E489))</f>
        <v/>
      </c>
    </row>
    <row r="490">
      <c r="A490" s="24">
        <f>IFERROR(INDEX(CoachRoster!$A$2:$A$1000,ROW()-1),"")</f>
        <v/>
      </c>
      <c r="B490" s="27">
        <f>IF($A490="","",VLOOKUP($A490,CoachRoster!$A:$E,2,FALSE))</f>
        <v/>
      </c>
      <c r="C490" s="27">
        <f>IF($A490="","",VLOOKUP($A490,CoachRoster!$A:$E,3,FALSE))</f>
        <v/>
      </c>
      <c r="D490" s="27">
        <f>IF($A490="","",VLOOKUP($A490,CoachRoster!$A:$E,4,FALSE))</f>
        <v/>
      </c>
      <c r="E490" s="27">
        <f>IF($A490="","",MIN(Settings!$B$8,IFERROR(SUMIF(Weekly_Coaching!$B:$B,$A490,Weekly_Coaching!$D:$D),0)+IFERROR(SUMIF(Monthly_Edu!$B:$B,$A490,Monthly_Edu!$D:$D),0)+IFERROR(SUMIF(Monthly_Ops!$B:$B,$A490,Monthly_Ops!$D:$D),0)+IFERROR(SUMIF(Monthly_Mentor!$B:$B,$A490,Monthly_Mentor!$D:$D),0)+IFERROR(SUMIF(Quarterly_Impact!$B:$B,$A490,Quarterly_Impact!$D:$D),0)+IFERROR(SUMIFS(XPLog!$M:$M,XPLog!$B:$B,$A490,XPLog!$J:$J,"Admin"),0)+IFERROR(SUMIFS(XPLog!$M:$M,XPLog!$B:$B,$A490,XPLog!$J:$J,"Seeding"),0)))</f>
        <v/>
      </c>
      <c r="F490" s="27">
        <f>IF($E490="","",LOOKUP($E490, XPBands!B$2:B$10, XPBands!A$2:A$10))</f>
        <v/>
      </c>
      <c r="G490" s="27">
        <f>IF($E490="","", VLOOKUP($F490, XPBands!A$2:G$10, 4, FALSE) + MIN(VLOOKUP($F490, XPBands!A$2:G$10, 5, FALSE) - VLOOKUP($F490, XPBands!A$2:G$10, 4, FALSE), FLOOR(( $E490 - VLOOKUP($F490, XPBands!A$2:G$10, 2, FALSE) ) / VLOOKUP($F490, XPBands!A$2:G$10, 7, FALSE),1)))</f>
        <v/>
      </c>
      <c r="H490" s="27">
        <f>IF($D490="","",VLOOKUP($D490,RoleTitles!$A:$E,3,FALSE))</f>
        <v/>
      </c>
      <c r="I490" s="27">
        <f>IF($D490="","",IF($C490="Greek",VLOOKUP($D490,RoleTitles!$A:$E,4,FALSE),IF($C490="Aesir",VLOOKUP($D490,RoleTitles!$A:$E,5,FALSE),VLOOKUP($D490,RoleTitles!$A:$E,3,FALSE))))</f>
        <v/>
      </c>
      <c r="J490" s="27">
        <f>IF($D490="","",IF($E490&gt;=VLOOKUP($D490,RoleTitles!$A:$B,2,FALSE),"Yes","No"))</f>
        <v/>
      </c>
      <c r="K490" s="27">
        <f>IF($D490="","",IF($D490="T1","T2",IF($D490="T2","T3",IF($D490="T3","T4",IF($D490="T4","T5",IF($D490="T5","T6",IF($D490="T6","T7",IF($D490="T7","T8",IF($D490="T8","T9","")))))))))</f>
        <v/>
      </c>
      <c r="L490" s="28">
        <f>IF($K490="","",MAX(0,VLOOKUP($K490,RoleTitles!$A:$B,2,FALSE)-$E490))</f>
        <v/>
      </c>
    </row>
    <row r="491">
      <c r="A491" s="24">
        <f>IFERROR(INDEX(CoachRoster!$A$2:$A$1000,ROW()-1),"")</f>
        <v/>
      </c>
      <c r="B491" s="27">
        <f>IF($A491="","",VLOOKUP($A491,CoachRoster!$A:$E,2,FALSE))</f>
        <v/>
      </c>
      <c r="C491" s="27">
        <f>IF($A491="","",VLOOKUP($A491,CoachRoster!$A:$E,3,FALSE))</f>
        <v/>
      </c>
      <c r="D491" s="27">
        <f>IF($A491="","",VLOOKUP($A491,CoachRoster!$A:$E,4,FALSE))</f>
        <v/>
      </c>
      <c r="E491" s="27">
        <f>IF($A491="","",MIN(Settings!$B$8,IFERROR(SUMIF(Weekly_Coaching!$B:$B,$A491,Weekly_Coaching!$D:$D),0)+IFERROR(SUMIF(Monthly_Edu!$B:$B,$A491,Monthly_Edu!$D:$D),0)+IFERROR(SUMIF(Monthly_Ops!$B:$B,$A491,Monthly_Ops!$D:$D),0)+IFERROR(SUMIF(Monthly_Mentor!$B:$B,$A491,Monthly_Mentor!$D:$D),0)+IFERROR(SUMIF(Quarterly_Impact!$B:$B,$A491,Quarterly_Impact!$D:$D),0)+IFERROR(SUMIFS(XPLog!$M:$M,XPLog!$B:$B,$A491,XPLog!$J:$J,"Admin"),0)+IFERROR(SUMIFS(XPLog!$M:$M,XPLog!$B:$B,$A491,XPLog!$J:$J,"Seeding"),0)))</f>
        <v/>
      </c>
      <c r="F491" s="27">
        <f>IF($E491="","",LOOKUP($E491, XPBands!B$2:B$10, XPBands!A$2:A$10))</f>
        <v/>
      </c>
      <c r="G491" s="27">
        <f>IF($E491="","", VLOOKUP($F491, XPBands!A$2:G$10, 4, FALSE) + MIN(VLOOKUP($F491, XPBands!A$2:G$10, 5, FALSE) - VLOOKUP($F491, XPBands!A$2:G$10, 4, FALSE), FLOOR(( $E491 - VLOOKUP($F491, XPBands!A$2:G$10, 2, FALSE) ) / VLOOKUP($F491, XPBands!A$2:G$10, 7, FALSE),1)))</f>
        <v/>
      </c>
      <c r="H491" s="27">
        <f>IF($D491="","",VLOOKUP($D491,RoleTitles!$A:$E,3,FALSE))</f>
        <v/>
      </c>
      <c r="I491" s="27">
        <f>IF($D491="","",IF($C491="Greek",VLOOKUP($D491,RoleTitles!$A:$E,4,FALSE),IF($C491="Aesir",VLOOKUP($D491,RoleTitles!$A:$E,5,FALSE),VLOOKUP($D491,RoleTitles!$A:$E,3,FALSE))))</f>
        <v/>
      </c>
      <c r="J491" s="27">
        <f>IF($D491="","",IF($E491&gt;=VLOOKUP($D491,RoleTitles!$A:$B,2,FALSE),"Yes","No"))</f>
        <v/>
      </c>
      <c r="K491" s="27">
        <f>IF($D491="","",IF($D491="T1","T2",IF($D491="T2","T3",IF($D491="T3","T4",IF($D491="T4","T5",IF($D491="T5","T6",IF($D491="T6","T7",IF($D491="T7","T8",IF($D491="T8","T9","")))))))))</f>
        <v/>
      </c>
      <c r="L491" s="28">
        <f>IF($K491="","",MAX(0,VLOOKUP($K491,RoleTitles!$A:$B,2,FALSE)-$E491))</f>
        <v/>
      </c>
    </row>
    <row r="492">
      <c r="A492" s="24">
        <f>IFERROR(INDEX(CoachRoster!$A$2:$A$1000,ROW()-1),"")</f>
        <v/>
      </c>
      <c r="B492" s="27">
        <f>IF($A492="","",VLOOKUP($A492,CoachRoster!$A:$E,2,FALSE))</f>
        <v/>
      </c>
      <c r="C492" s="27">
        <f>IF($A492="","",VLOOKUP($A492,CoachRoster!$A:$E,3,FALSE))</f>
        <v/>
      </c>
      <c r="D492" s="27">
        <f>IF($A492="","",VLOOKUP($A492,CoachRoster!$A:$E,4,FALSE))</f>
        <v/>
      </c>
      <c r="E492" s="27">
        <f>IF($A492="","",MIN(Settings!$B$8,IFERROR(SUMIF(Weekly_Coaching!$B:$B,$A492,Weekly_Coaching!$D:$D),0)+IFERROR(SUMIF(Monthly_Edu!$B:$B,$A492,Monthly_Edu!$D:$D),0)+IFERROR(SUMIF(Monthly_Ops!$B:$B,$A492,Monthly_Ops!$D:$D),0)+IFERROR(SUMIF(Monthly_Mentor!$B:$B,$A492,Monthly_Mentor!$D:$D),0)+IFERROR(SUMIF(Quarterly_Impact!$B:$B,$A492,Quarterly_Impact!$D:$D),0)+IFERROR(SUMIFS(XPLog!$M:$M,XPLog!$B:$B,$A492,XPLog!$J:$J,"Admin"),0)+IFERROR(SUMIFS(XPLog!$M:$M,XPLog!$B:$B,$A492,XPLog!$J:$J,"Seeding"),0)))</f>
        <v/>
      </c>
      <c r="F492" s="27">
        <f>IF($E492="","",LOOKUP($E492, XPBands!B$2:B$10, XPBands!A$2:A$10))</f>
        <v/>
      </c>
      <c r="G492" s="27">
        <f>IF($E492="","", VLOOKUP($F492, XPBands!A$2:G$10, 4, FALSE) + MIN(VLOOKUP($F492, XPBands!A$2:G$10, 5, FALSE) - VLOOKUP($F492, XPBands!A$2:G$10, 4, FALSE), FLOOR(( $E492 - VLOOKUP($F492, XPBands!A$2:G$10, 2, FALSE) ) / VLOOKUP($F492, XPBands!A$2:G$10, 7, FALSE),1)))</f>
        <v/>
      </c>
      <c r="H492" s="27">
        <f>IF($D492="","",VLOOKUP($D492,RoleTitles!$A:$E,3,FALSE))</f>
        <v/>
      </c>
      <c r="I492" s="27">
        <f>IF($D492="","",IF($C492="Greek",VLOOKUP($D492,RoleTitles!$A:$E,4,FALSE),IF($C492="Aesir",VLOOKUP($D492,RoleTitles!$A:$E,5,FALSE),VLOOKUP($D492,RoleTitles!$A:$E,3,FALSE))))</f>
        <v/>
      </c>
      <c r="J492" s="27">
        <f>IF($D492="","",IF($E492&gt;=VLOOKUP($D492,RoleTitles!$A:$B,2,FALSE),"Yes","No"))</f>
        <v/>
      </c>
      <c r="K492" s="27">
        <f>IF($D492="","",IF($D492="T1","T2",IF($D492="T2","T3",IF($D492="T3","T4",IF($D492="T4","T5",IF($D492="T5","T6",IF($D492="T6","T7",IF($D492="T7","T8",IF($D492="T8","T9","")))))))))</f>
        <v/>
      </c>
      <c r="L492" s="28">
        <f>IF($K492="","",MAX(0,VLOOKUP($K492,RoleTitles!$A:$B,2,FALSE)-$E492))</f>
        <v/>
      </c>
    </row>
    <row r="493">
      <c r="A493" s="24">
        <f>IFERROR(INDEX(CoachRoster!$A$2:$A$1000,ROW()-1),"")</f>
        <v/>
      </c>
      <c r="B493" s="27">
        <f>IF($A493="","",VLOOKUP($A493,CoachRoster!$A:$E,2,FALSE))</f>
        <v/>
      </c>
      <c r="C493" s="27">
        <f>IF($A493="","",VLOOKUP($A493,CoachRoster!$A:$E,3,FALSE))</f>
        <v/>
      </c>
      <c r="D493" s="27">
        <f>IF($A493="","",VLOOKUP($A493,CoachRoster!$A:$E,4,FALSE))</f>
        <v/>
      </c>
      <c r="E493" s="27">
        <f>IF($A493="","",MIN(Settings!$B$8,IFERROR(SUMIF(Weekly_Coaching!$B:$B,$A493,Weekly_Coaching!$D:$D),0)+IFERROR(SUMIF(Monthly_Edu!$B:$B,$A493,Monthly_Edu!$D:$D),0)+IFERROR(SUMIF(Monthly_Ops!$B:$B,$A493,Monthly_Ops!$D:$D),0)+IFERROR(SUMIF(Monthly_Mentor!$B:$B,$A493,Monthly_Mentor!$D:$D),0)+IFERROR(SUMIF(Quarterly_Impact!$B:$B,$A493,Quarterly_Impact!$D:$D),0)+IFERROR(SUMIFS(XPLog!$M:$M,XPLog!$B:$B,$A493,XPLog!$J:$J,"Admin"),0)+IFERROR(SUMIFS(XPLog!$M:$M,XPLog!$B:$B,$A493,XPLog!$J:$J,"Seeding"),0)))</f>
        <v/>
      </c>
      <c r="F493" s="27">
        <f>IF($E493="","",LOOKUP($E493, XPBands!B$2:B$10, XPBands!A$2:A$10))</f>
        <v/>
      </c>
      <c r="G493" s="27">
        <f>IF($E493="","", VLOOKUP($F493, XPBands!A$2:G$10, 4, FALSE) + MIN(VLOOKUP($F493, XPBands!A$2:G$10, 5, FALSE) - VLOOKUP($F493, XPBands!A$2:G$10, 4, FALSE), FLOOR(( $E493 - VLOOKUP($F493, XPBands!A$2:G$10, 2, FALSE) ) / VLOOKUP($F493, XPBands!A$2:G$10, 7, FALSE),1)))</f>
        <v/>
      </c>
      <c r="H493" s="27">
        <f>IF($D493="","",VLOOKUP($D493,RoleTitles!$A:$E,3,FALSE))</f>
        <v/>
      </c>
      <c r="I493" s="27">
        <f>IF($D493="","",IF($C493="Greek",VLOOKUP($D493,RoleTitles!$A:$E,4,FALSE),IF($C493="Aesir",VLOOKUP($D493,RoleTitles!$A:$E,5,FALSE),VLOOKUP($D493,RoleTitles!$A:$E,3,FALSE))))</f>
        <v/>
      </c>
      <c r="J493" s="27">
        <f>IF($D493="","",IF($E493&gt;=VLOOKUP($D493,RoleTitles!$A:$B,2,FALSE),"Yes","No"))</f>
        <v/>
      </c>
      <c r="K493" s="27">
        <f>IF($D493="","",IF($D493="T1","T2",IF($D493="T2","T3",IF($D493="T3","T4",IF($D493="T4","T5",IF($D493="T5","T6",IF($D493="T6","T7",IF($D493="T7","T8",IF($D493="T8","T9","")))))))))</f>
        <v/>
      </c>
      <c r="L493" s="28">
        <f>IF($K493="","",MAX(0,VLOOKUP($K493,RoleTitles!$A:$B,2,FALSE)-$E493))</f>
        <v/>
      </c>
    </row>
    <row r="494">
      <c r="A494" s="24">
        <f>IFERROR(INDEX(CoachRoster!$A$2:$A$1000,ROW()-1),"")</f>
        <v/>
      </c>
      <c r="B494" s="27">
        <f>IF($A494="","",VLOOKUP($A494,CoachRoster!$A:$E,2,FALSE))</f>
        <v/>
      </c>
      <c r="C494" s="27">
        <f>IF($A494="","",VLOOKUP($A494,CoachRoster!$A:$E,3,FALSE))</f>
        <v/>
      </c>
      <c r="D494" s="27">
        <f>IF($A494="","",VLOOKUP($A494,CoachRoster!$A:$E,4,FALSE))</f>
        <v/>
      </c>
      <c r="E494" s="27">
        <f>IF($A494="","",MIN(Settings!$B$8,IFERROR(SUMIF(Weekly_Coaching!$B:$B,$A494,Weekly_Coaching!$D:$D),0)+IFERROR(SUMIF(Monthly_Edu!$B:$B,$A494,Monthly_Edu!$D:$D),0)+IFERROR(SUMIF(Monthly_Ops!$B:$B,$A494,Monthly_Ops!$D:$D),0)+IFERROR(SUMIF(Monthly_Mentor!$B:$B,$A494,Monthly_Mentor!$D:$D),0)+IFERROR(SUMIF(Quarterly_Impact!$B:$B,$A494,Quarterly_Impact!$D:$D),0)+IFERROR(SUMIFS(XPLog!$M:$M,XPLog!$B:$B,$A494,XPLog!$J:$J,"Admin"),0)+IFERROR(SUMIFS(XPLog!$M:$M,XPLog!$B:$B,$A494,XPLog!$J:$J,"Seeding"),0)))</f>
        <v/>
      </c>
      <c r="F494" s="27">
        <f>IF($E494="","",LOOKUP($E494, XPBands!B$2:B$10, XPBands!A$2:A$10))</f>
        <v/>
      </c>
      <c r="G494" s="27">
        <f>IF($E494="","", VLOOKUP($F494, XPBands!A$2:G$10, 4, FALSE) + MIN(VLOOKUP($F494, XPBands!A$2:G$10, 5, FALSE) - VLOOKUP($F494, XPBands!A$2:G$10, 4, FALSE), FLOOR(( $E494 - VLOOKUP($F494, XPBands!A$2:G$10, 2, FALSE) ) / VLOOKUP($F494, XPBands!A$2:G$10, 7, FALSE),1)))</f>
        <v/>
      </c>
      <c r="H494" s="27">
        <f>IF($D494="","",VLOOKUP($D494,RoleTitles!$A:$E,3,FALSE))</f>
        <v/>
      </c>
      <c r="I494" s="27">
        <f>IF($D494="","",IF($C494="Greek",VLOOKUP($D494,RoleTitles!$A:$E,4,FALSE),IF($C494="Aesir",VLOOKUP($D494,RoleTitles!$A:$E,5,FALSE),VLOOKUP($D494,RoleTitles!$A:$E,3,FALSE))))</f>
        <v/>
      </c>
      <c r="J494" s="27">
        <f>IF($D494="","",IF($E494&gt;=VLOOKUP($D494,RoleTitles!$A:$B,2,FALSE),"Yes","No"))</f>
        <v/>
      </c>
      <c r="K494" s="27">
        <f>IF($D494="","",IF($D494="T1","T2",IF($D494="T2","T3",IF($D494="T3","T4",IF($D494="T4","T5",IF($D494="T5","T6",IF($D494="T6","T7",IF($D494="T7","T8",IF($D494="T8","T9","")))))))))</f>
        <v/>
      </c>
      <c r="L494" s="28">
        <f>IF($K494="","",MAX(0,VLOOKUP($K494,RoleTitles!$A:$B,2,FALSE)-$E494))</f>
        <v/>
      </c>
    </row>
    <row r="495">
      <c r="A495" s="24">
        <f>IFERROR(INDEX(CoachRoster!$A$2:$A$1000,ROW()-1),"")</f>
        <v/>
      </c>
      <c r="B495" s="27">
        <f>IF($A495="","",VLOOKUP($A495,CoachRoster!$A:$E,2,FALSE))</f>
        <v/>
      </c>
      <c r="C495" s="27">
        <f>IF($A495="","",VLOOKUP($A495,CoachRoster!$A:$E,3,FALSE))</f>
        <v/>
      </c>
      <c r="D495" s="27">
        <f>IF($A495="","",VLOOKUP($A495,CoachRoster!$A:$E,4,FALSE))</f>
        <v/>
      </c>
      <c r="E495" s="27">
        <f>IF($A495="","",MIN(Settings!$B$8,IFERROR(SUMIF(Weekly_Coaching!$B:$B,$A495,Weekly_Coaching!$D:$D),0)+IFERROR(SUMIF(Monthly_Edu!$B:$B,$A495,Monthly_Edu!$D:$D),0)+IFERROR(SUMIF(Monthly_Ops!$B:$B,$A495,Monthly_Ops!$D:$D),0)+IFERROR(SUMIF(Monthly_Mentor!$B:$B,$A495,Monthly_Mentor!$D:$D),0)+IFERROR(SUMIF(Quarterly_Impact!$B:$B,$A495,Quarterly_Impact!$D:$D),0)+IFERROR(SUMIFS(XPLog!$M:$M,XPLog!$B:$B,$A495,XPLog!$J:$J,"Admin"),0)+IFERROR(SUMIFS(XPLog!$M:$M,XPLog!$B:$B,$A495,XPLog!$J:$J,"Seeding"),0)))</f>
        <v/>
      </c>
      <c r="F495" s="27">
        <f>IF($E495="","",LOOKUP($E495, XPBands!B$2:B$10, XPBands!A$2:A$10))</f>
        <v/>
      </c>
      <c r="G495" s="27">
        <f>IF($E495="","", VLOOKUP($F495, XPBands!A$2:G$10, 4, FALSE) + MIN(VLOOKUP($F495, XPBands!A$2:G$10, 5, FALSE) - VLOOKUP($F495, XPBands!A$2:G$10, 4, FALSE), FLOOR(( $E495 - VLOOKUP($F495, XPBands!A$2:G$10, 2, FALSE) ) / VLOOKUP($F495, XPBands!A$2:G$10, 7, FALSE),1)))</f>
        <v/>
      </c>
      <c r="H495" s="27">
        <f>IF($D495="","",VLOOKUP($D495,RoleTitles!$A:$E,3,FALSE))</f>
        <v/>
      </c>
      <c r="I495" s="27">
        <f>IF($D495="","",IF($C495="Greek",VLOOKUP($D495,RoleTitles!$A:$E,4,FALSE),IF($C495="Aesir",VLOOKUP($D495,RoleTitles!$A:$E,5,FALSE),VLOOKUP($D495,RoleTitles!$A:$E,3,FALSE))))</f>
        <v/>
      </c>
      <c r="J495" s="27">
        <f>IF($D495="","",IF($E495&gt;=VLOOKUP($D495,RoleTitles!$A:$B,2,FALSE),"Yes","No"))</f>
        <v/>
      </c>
      <c r="K495" s="27">
        <f>IF($D495="","",IF($D495="T1","T2",IF($D495="T2","T3",IF($D495="T3","T4",IF($D495="T4","T5",IF($D495="T5","T6",IF($D495="T6","T7",IF($D495="T7","T8",IF($D495="T8","T9","")))))))))</f>
        <v/>
      </c>
      <c r="L495" s="28">
        <f>IF($K495="","",MAX(0,VLOOKUP($K495,RoleTitles!$A:$B,2,FALSE)-$E495))</f>
        <v/>
      </c>
    </row>
    <row r="496">
      <c r="A496" s="24">
        <f>IFERROR(INDEX(CoachRoster!$A$2:$A$1000,ROW()-1),"")</f>
        <v/>
      </c>
      <c r="B496" s="27">
        <f>IF($A496="","",VLOOKUP($A496,CoachRoster!$A:$E,2,FALSE))</f>
        <v/>
      </c>
      <c r="C496" s="27">
        <f>IF($A496="","",VLOOKUP($A496,CoachRoster!$A:$E,3,FALSE))</f>
        <v/>
      </c>
      <c r="D496" s="27">
        <f>IF($A496="","",VLOOKUP($A496,CoachRoster!$A:$E,4,FALSE))</f>
        <v/>
      </c>
      <c r="E496" s="27">
        <f>IF($A496="","",MIN(Settings!$B$8,IFERROR(SUMIF(Weekly_Coaching!$B:$B,$A496,Weekly_Coaching!$D:$D),0)+IFERROR(SUMIF(Monthly_Edu!$B:$B,$A496,Monthly_Edu!$D:$D),0)+IFERROR(SUMIF(Monthly_Ops!$B:$B,$A496,Monthly_Ops!$D:$D),0)+IFERROR(SUMIF(Monthly_Mentor!$B:$B,$A496,Monthly_Mentor!$D:$D),0)+IFERROR(SUMIF(Quarterly_Impact!$B:$B,$A496,Quarterly_Impact!$D:$D),0)+IFERROR(SUMIFS(XPLog!$M:$M,XPLog!$B:$B,$A496,XPLog!$J:$J,"Admin"),0)+IFERROR(SUMIFS(XPLog!$M:$M,XPLog!$B:$B,$A496,XPLog!$J:$J,"Seeding"),0)))</f>
        <v/>
      </c>
      <c r="F496" s="27">
        <f>IF($E496="","",LOOKUP($E496, XPBands!B$2:B$10, XPBands!A$2:A$10))</f>
        <v/>
      </c>
      <c r="G496" s="27">
        <f>IF($E496="","", VLOOKUP($F496, XPBands!A$2:G$10, 4, FALSE) + MIN(VLOOKUP($F496, XPBands!A$2:G$10, 5, FALSE) - VLOOKUP($F496, XPBands!A$2:G$10, 4, FALSE), FLOOR(( $E496 - VLOOKUP($F496, XPBands!A$2:G$10, 2, FALSE) ) / VLOOKUP($F496, XPBands!A$2:G$10, 7, FALSE),1)))</f>
        <v/>
      </c>
      <c r="H496" s="27">
        <f>IF($D496="","",VLOOKUP($D496,RoleTitles!$A:$E,3,FALSE))</f>
        <v/>
      </c>
      <c r="I496" s="27">
        <f>IF($D496="","",IF($C496="Greek",VLOOKUP($D496,RoleTitles!$A:$E,4,FALSE),IF($C496="Aesir",VLOOKUP($D496,RoleTitles!$A:$E,5,FALSE),VLOOKUP($D496,RoleTitles!$A:$E,3,FALSE))))</f>
        <v/>
      </c>
      <c r="J496" s="27">
        <f>IF($D496="","",IF($E496&gt;=VLOOKUP($D496,RoleTitles!$A:$B,2,FALSE),"Yes","No"))</f>
        <v/>
      </c>
      <c r="K496" s="27">
        <f>IF($D496="","",IF($D496="T1","T2",IF($D496="T2","T3",IF($D496="T3","T4",IF($D496="T4","T5",IF($D496="T5","T6",IF($D496="T6","T7",IF($D496="T7","T8",IF($D496="T8","T9","")))))))))</f>
        <v/>
      </c>
      <c r="L496" s="28">
        <f>IF($K496="","",MAX(0,VLOOKUP($K496,RoleTitles!$A:$B,2,FALSE)-$E496))</f>
        <v/>
      </c>
    </row>
    <row r="497">
      <c r="A497" s="24">
        <f>IFERROR(INDEX(CoachRoster!$A$2:$A$1000,ROW()-1),"")</f>
        <v/>
      </c>
      <c r="B497" s="27">
        <f>IF($A497="","",VLOOKUP($A497,CoachRoster!$A:$E,2,FALSE))</f>
        <v/>
      </c>
      <c r="C497" s="27">
        <f>IF($A497="","",VLOOKUP($A497,CoachRoster!$A:$E,3,FALSE))</f>
        <v/>
      </c>
      <c r="D497" s="27">
        <f>IF($A497="","",VLOOKUP($A497,CoachRoster!$A:$E,4,FALSE))</f>
        <v/>
      </c>
      <c r="E497" s="27">
        <f>IF($A497="","",MIN(Settings!$B$8,IFERROR(SUMIF(Weekly_Coaching!$B:$B,$A497,Weekly_Coaching!$D:$D),0)+IFERROR(SUMIF(Monthly_Edu!$B:$B,$A497,Monthly_Edu!$D:$D),0)+IFERROR(SUMIF(Monthly_Ops!$B:$B,$A497,Monthly_Ops!$D:$D),0)+IFERROR(SUMIF(Monthly_Mentor!$B:$B,$A497,Monthly_Mentor!$D:$D),0)+IFERROR(SUMIF(Quarterly_Impact!$B:$B,$A497,Quarterly_Impact!$D:$D),0)+IFERROR(SUMIFS(XPLog!$M:$M,XPLog!$B:$B,$A497,XPLog!$J:$J,"Admin"),0)+IFERROR(SUMIFS(XPLog!$M:$M,XPLog!$B:$B,$A497,XPLog!$J:$J,"Seeding"),0)))</f>
        <v/>
      </c>
      <c r="F497" s="27">
        <f>IF($E497="","",LOOKUP($E497, XPBands!B$2:B$10, XPBands!A$2:A$10))</f>
        <v/>
      </c>
      <c r="G497" s="27">
        <f>IF($E497="","", VLOOKUP($F497, XPBands!A$2:G$10, 4, FALSE) + MIN(VLOOKUP($F497, XPBands!A$2:G$10, 5, FALSE) - VLOOKUP($F497, XPBands!A$2:G$10, 4, FALSE), FLOOR(( $E497 - VLOOKUP($F497, XPBands!A$2:G$10, 2, FALSE) ) / VLOOKUP($F497, XPBands!A$2:G$10, 7, FALSE),1)))</f>
        <v/>
      </c>
      <c r="H497" s="27">
        <f>IF($D497="","",VLOOKUP($D497,RoleTitles!$A:$E,3,FALSE))</f>
        <v/>
      </c>
      <c r="I497" s="27">
        <f>IF($D497="","",IF($C497="Greek",VLOOKUP($D497,RoleTitles!$A:$E,4,FALSE),IF($C497="Aesir",VLOOKUP($D497,RoleTitles!$A:$E,5,FALSE),VLOOKUP($D497,RoleTitles!$A:$E,3,FALSE))))</f>
        <v/>
      </c>
      <c r="J497" s="27">
        <f>IF($D497="","",IF($E497&gt;=VLOOKUP($D497,RoleTitles!$A:$B,2,FALSE),"Yes","No"))</f>
        <v/>
      </c>
      <c r="K497" s="27">
        <f>IF($D497="","",IF($D497="T1","T2",IF($D497="T2","T3",IF($D497="T3","T4",IF($D497="T4","T5",IF($D497="T5","T6",IF($D497="T6","T7",IF($D497="T7","T8",IF($D497="T8","T9","")))))))))</f>
        <v/>
      </c>
      <c r="L497" s="28">
        <f>IF($K497="","",MAX(0,VLOOKUP($K497,RoleTitles!$A:$B,2,FALSE)-$E497))</f>
        <v/>
      </c>
    </row>
    <row r="498">
      <c r="A498" s="24">
        <f>IFERROR(INDEX(CoachRoster!$A$2:$A$1000,ROW()-1),"")</f>
        <v/>
      </c>
      <c r="B498" s="27">
        <f>IF($A498="","",VLOOKUP($A498,CoachRoster!$A:$E,2,FALSE))</f>
        <v/>
      </c>
      <c r="C498" s="27">
        <f>IF($A498="","",VLOOKUP($A498,CoachRoster!$A:$E,3,FALSE))</f>
        <v/>
      </c>
      <c r="D498" s="27">
        <f>IF($A498="","",VLOOKUP($A498,CoachRoster!$A:$E,4,FALSE))</f>
        <v/>
      </c>
      <c r="E498" s="27">
        <f>IF($A498="","",MIN(Settings!$B$8,IFERROR(SUMIF(Weekly_Coaching!$B:$B,$A498,Weekly_Coaching!$D:$D),0)+IFERROR(SUMIF(Monthly_Edu!$B:$B,$A498,Monthly_Edu!$D:$D),0)+IFERROR(SUMIF(Monthly_Ops!$B:$B,$A498,Monthly_Ops!$D:$D),0)+IFERROR(SUMIF(Monthly_Mentor!$B:$B,$A498,Monthly_Mentor!$D:$D),0)+IFERROR(SUMIF(Quarterly_Impact!$B:$B,$A498,Quarterly_Impact!$D:$D),0)+IFERROR(SUMIFS(XPLog!$M:$M,XPLog!$B:$B,$A498,XPLog!$J:$J,"Admin"),0)+IFERROR(SUMIFS(XPLog!$M:$M,XPLog!$B:$B,$A498,XPLog!$J:$J,"Seeding"),0)))</f>
        <v/>
      </c>
      <c r="F498" s="27">
        <f>IF($E498="","",LOOKUP($E498, XPBands!B$2:B$10, XPBands!A$2:A$10))</f>
        <v/>
      </c>
      <c r="G498" s="27">
        <f>IF($E498="","", VLOOKUP($F498, XPBands!A$2:G$10, 4, FALSE) + MIN(VLOOKUP($F498, XPBands!A$2:G$10, 5, FALSE) - VLOOKUP($F498, XPBands!A$2:G$10, 4, FALSE), FLOOR(( $E498 - VLOOKUP($F498, XPBands!A$2:G$10, 2, FALSE) ) / VLOOKUP($F498, XPBands!A$2:G$10, 7, FALSE),1)))</f>
        <v/>
      </c>
      <c r="H498" s="27">
        <f>IF($D498="","",VLOOKUP($D498,RoleTitles!$A:$E,3,FALSE))</f>
        <v/>
      </c>
      <c r="I498" s="27">
        <f>IF($D498="","",IF($C498="Greek",VLOOKUP($D498,RoleTitles!$A:$E,4,FALSE),IF($C498="Aesir",VLOOKUP($D498,RoleTitles!$A:$E,5,FALSE),VLOOKUP($D498,RoleTitles!$A:$E,3,FALSE))))</f>
        <v/>
      </c>
      <c r="J498" s="27">
        <f>IF($D498="","",IF($E498&gt;=VLOOKUP($D498,RoleTitles!$A:$B,2,FALSE),"Yes","No"))</f>
        <v/>
      </c>
      <c r="K498" s="27">
        <f>IF($D498="","",IF($D498="T1","T2",IF($D498="T2","T3",IF($D498="T3","T4",IF($D498="T4","T5",IF($D498="T5","T6",IF($D498="T6","T7",IF($D498="T7","T8",IF($D498="T8","T9","")))))))))</f>
        <v/>
      </c>
      <c r="L498" s="28">
        <f>IF($K498="","",MAX(0,VLOOKUP($K498,RoleTitles!$A:$B,2,FALSE)-$E498))</f>
        <v/>
      </c>
    </row>
    <row r="499">
      <c r="A499" s="24">
        <f>IFERROR(INDEX(CoachRoster!$A$2:$A$1000,ROW()-1),"")</f>
        <v/>
      </c>
      <c r="B499" s="27">
        <f>IF($A499="","",VLOOKUP($A499,CoachRoster!$A:$E,2,FALSE))</f>
        <v/>
      </c>
      <c r="C499" s="27">
        <f>IF($A499="","",VLOOKUP($A499,CoachRoster!$A:$E,3,FALSE))</f>
        <v/>
      </c>
      <c r="D499" s="27">
        <f>IF($A499="","",VLOOKUP($A499,CoachRoster!$A:$E,4,FALSE))</f>
        <v/>
      </c>
      <c r="E499" s="27">
        <f>IF($A499="","",MIN(Settings!$B$8,IFERROR(SUMIF(Weekly_Coaching!$B:$B,$A499,Weekly_Coaching!$D:$D),0)+IFERROR(SUMIF(Monthly_Edu!$B:$B,$A499,Monthly_Edu!$D:$D),0)+IFERROR(SUMIF(Monthly_Ops!$B:$B,$A499,Monthly_Ops!$D:$D),0)+IFERROR(SUMIF(Monthly_Mentor!$B:$B,$A499,Monthly_Mentor!$D:$D),0)+IFERROR(SUMIF(Quarterly_Impact!$B:$B,$A499,Quarterly_Impact!$D:$D),0)+IFERROR(SUMIFS(XPLog!$M:$M,XPLog!$B:$B,$A499,XPLog!$J:$J,"Admin"),0)+IFERROR(SUMIFS(XPLog!$M:$M,XPLog!$B:$B,$A499,XPLog!$J:$J,"Seeding"),0)))</f>
        <v/>
      </c>
      <c r="F499" s="27">
        <f>IF($E499="","",LOOKUP($E499, XPBands!B$2:B$10, XPBands!A$2:A$10))</f>
        <v/>
      </c>
      <c r="G499" s="27">
        <f>IF($E499="","", VLOOKUP($F499, XPBands!A$2:G$10, 4, FALSE) + MIN(VLOOKUP($F499, XPBands!A$2:G$10, 5, FALSE) - VLOOKUP($F499, XPBands!A$2:G$10, 4, FALSE), FLOOR(( $E499 - VLOOKUP($F499, XPBands!A$2:G$10, 2, FALSE) ) / VLOOKUP($F499, XPBands!A$2:G$10, 7, FALSE),1)))</f>
        <v/>
      </c>
      <c r="H499" s="27">
        <f>IF($D499="","",VLOOKUP($D499,RoleTitles!$A:$E,3,FALSE))</f>
        <v/>
      </c>
      <c r="I499" s="27">
        <f>IF($D499="","",IF($C499="Greek",VLOOKUP($D499,RoleTitles!$A:$E,4,FALSE),IF($C499="Aesir",VLOOKUP($D499,RoleTitles!$A:$E,5,FALSE),VLOOKUP($D499,RoleTitles!$A:$E,3,FALSE))))</f>
        <v/>
      </c>
      <c r="J499" s="27">
        <f>IF($D499="","",IF($E499&gt;=VLOOKUP($D499,RoleTitles!$A:$B,2,FALSE),"Yes","No"))</f>
        <v/>
      </c>
      <c r="K499" s="27">
        <f>IF($D499="","",IF($D499="T1","T2",IF($D499="T2","T3",IF($D499="T3","T4",IF($D499="T4","T5",IF($D499="T5","T6",IF($D499="T6","T7",IF($D499="T7","T8",IF($D499="T8","T9","")))))))))</f>
        <v/>
      </c>
      <c r="L499" s="28">
        <f>IF($K499="","",MAX(0,VLOOKUP($K499,RoleTitles!$A:$B,2,FALSE)-$E499))</f>
        <v/>
      </c>
    </row>
    <row r="500">
      <c r="A500" s="24">
        <f>IFERROR(INDEX(CoachRoster!$A$2:$A$1000,ROW()-1),"")</f>
        <v/>
      </c>
      <c r="B500" s="27">
        <f>IF($A500="","",VLOOKUP($A500,CoachRoster!$A:$E,2,FALSE))</f>
        <v/>
      </c>
      <c r="C500" s="27">
        <f>IF($A500="","",VLOOKUP($A500,CoachRoster!$A:$E,3,FALSE))</f>
        <v/>
      </c>
      <c r="D500" s="27">
        <f>IF($A500="","",VLOOKUP($A500,CoachRoster!$A:$E,4,FALSE))</f>
        <v/>
      </c>
      <c r="E500" s="27">
        <f>IF($A500="","",MIN(Settings!$B$8,IFERROR(SUMIF(Weekly_Coaching!$B:$B,$A500,Weekly_Coaching!$D:$D),0)+IFERROR(SUMIF(Monthly_Edu!$B:$B,$A500,Monthly_Edu!$D:$D),0)+IFERROR(SUMIF(Monthly_Ops!$B:$B,$A500,Monthly_Ops!$D:$D),0)+IFERROR(SUMIF(Monthly_Mentor!$B:$B,$A500,Monthly_Mentor!$D:$D),0)+IFERROR(SUMIF(Quarterly_Impact!$B:$B,$A500,Quarterly_Impact!$D:$D),0)+IFERROR(SUMIFS(XPLog!$M:$M,XPLog!$B:$B,$A500,XPLog!$J:$J,"Admin"),0)+IFERROR(SUMIFS(XPLog!$M:$M,XPLog!$B:$B,$A500,XPLog!$J:$J,"Seeding"),0)))</f>
        <v/>
      </c>
      <c r="F500" s="27">
        <f>IF($E500="","",LOOKUP($E500, XPBands!B$2:B$10, XPBands!A$2:A$10))</f>
        <v/>
      </c>
      <c r="G500" s="27">
        <f>IF($E500="","", VLOOKUP($F500, XPBands!A$2:G$10, 4, FALSE) + MIN(VLOOKUP($F500, XPBands!A$2:G$10, 5, FALSE) - VLOOKUP($F500, XPBands!A$2:G$10, 4, FALSE), FLOOR(( $E500 - VLOOKUP($F500, XPBands!A$2:G$10, 2, FALSE) ) / VLOOKUP($F500, XPBands!A$2:G$10, 7, FALSE),1)))</f>
        <v/>
      </c>
      <c r="H500" s="27">
        <f>IF($D500="","",VLOOKUP($D500,RoleTitles!$A:$E,3,FALSE))</f>
        <v/>
      </c>
      <c r="I500" s="27">
        <f>IF($D500="","",IF($C500="Greek",VLOOKUP($D500,RoleTitles!$A:$E,4,FALSE),IF($C500="Aesir",VLOOKUP($D500,RoleTitles!$A:$E,5,FALSE),VLOOKUP($D500,RoleTitles!$A:$E,3,FALSE))))</f>
        <v/>
      </c>
      <c r="J500" s="27">
        <f>IF($D500="","",IF($E500&gt;=VLOOKUP($D500,RoleTitles!$A:$B,2,FALSE),"Yes","No"))</f>
        <v/>
      </c>
      <c r="K500" s="27">
        <f>IF($D500="","",IF($D500="T1","T2",IF($D500="T2","T3",IF($D500="T3","T4",IF($D500="T4","T5",IF($D500="T5","T6",IF($D500="T6","T7",IF($D500="T7","T8",IF($D500="T8","T9","")))))))))</f>
        <v/>
      </c>
      <c r="L500" s="28">
        <f>IF($K500="","",MAX(0,VLOOKUP($K500,RoleTitles!$A:$B,2,FALSE)-$E500))</f>
        <v/>
      </c>
    </row>
    <row r="501">
      <c r="A501" s="24">
        <f>IFERROR(INDEX(CoachRoster!$A$2:$A$1000,ROW()-1),"")</f>
        <v/>
      </c>
      <c r="B501" s="27">
        <f>IF($A501="","",VLOOKUP($A501,CoachRoster!$A:$E,2,FALSE))</f>
        <v/>
      </c>
      <c r="C501" s="27">
        <f>IF($A501="","",VLOOKUP($A501,CoachRoster!$A:$E,3,FALSE))</f>
        <v/>
      </c>
      <c r="D501" s="27">
        <f>IF($A501="","",VLOOKUP($A501,CoachRoster!$A:$E,4,FALSE))</f>
        <v/>
      </c>
      <c r="E501" s="27">
        <f>IF($A501="","",MIN(Settings!$B$8,IFERROR(SUMIF(Weekly_Coaching!$B:$B,$A501,Weekly_Coaching!$D:$D),0)+IFERROR(SUMIF(Monthly_Edu!$B:$B,$A501,Monthly_Edu!$D:$D),0)+IFERROR(SUMIF(Monthly_Ops!$B:$B,$A501,Monthly_Ops!$D:$D),0)+IFERROR(SUMIF(Monthly_Mentor!$B:$B,$A501,Monthly_Mentor!$D:$D),0)+IFERROR(SUMIF(Quarterly_Impact!$B:$B,$A501,Quarterly_Impact!$D:$D),0)+IFERROR(SUMIFS(XPLog!$M:$M,XPLog!$B:$B,$A501,XPLog!$J:$J,"Admin"),0)+IFERROR(SUMIFS(XPLog!$M:$M,XPLog!$B:$B,$A501,XPLog!$J:$J,"Seeding"),0)))</f>
        <v/>
      </c>
      <c r="F501" s="27">
        <f>IF($E501="","",LOOKUP($E501, XPBands!B$2:B$10, XPBands!A$2:A$10))</f>
        <v/>
      </c>
      <c r="G501" s="27">
        <f>IF($E501="","", VLOOKUP($F501, XPBands!A$2:G$10, 4, FALSE) + MIN(VLOOKUP($F501, XPBands!A$2:G$10, 5, FALSE) - VLOOKUP($F501, XPBands!A$2:G$10, 4, FALSE), FLOOR(( $E501 - VLOOKUP($F501, XPBands!A$2:G$10, 2, FALSE) ) / VLOOKUP($F501, XPBands!A$2:G$10, 7, FALSE),1)))</f>
        <v/>
      </c>
      <c r="H501" s="27">
        <f>IF($D501="","",VLOOKUP($D501,RoleTitles!$A:$E,3,FALSE))</f>
        <v/>
      </c>
      <c r="I501" s="27">
        <f>IF($D501="","",IF($C501="Greek",VLOOKUP($D501,RoleTitles!$A:$E,4,FALSE),IF($C501="Aesir",VLOOKUP($D501,RoleTitles!$A:$E,5,FALSE),VLOOKUP($D501,RoleTitles!$A:$E,3,FALSE))))</f>
        <v/>
      </c>
      <c r="J501" s="27">
        <f>IF($D501="","",IF($E501&gt;=VLOOKUP($D501,RoleTitles!$A:$B,2,FALSE),"Yes","No"))</f>
        <v/>
      </c>
      <c r="K501" s="27">
        <f>IF($D501="","",IF($D501="T1","T2",IF($D501="T2","T3",IF($D501="T3","T4",IF($D501="T4","T5",IF($D501="T5","T6",IF($D501="T6","T7",IF($D501="T7","T8",IF($D501="T8","T9","")))))))))</f>
        <v/>
      </c>
      <c r="L501" s="28">
        <f>IF($K501="","",MAX(0,VLOOKUP($K501,RoleTitles!$A:$B,2,FALSE)-$E501))</f>
        <v/>
      </c>
    </row>
    <row r="502">
      <c r="A502" s="24">
        <f>IFERROR(INDEX(CoachRoster!$A$2:$A$1000,ROW()-1),"")</f>
        <v/>
      </c>
      <c r="B502" s="27">
        <f>IF($A502="","",VLOOKUP($A502,CoachRoster!$A:$E,2,FALSE))</f>
        <v/>
      </c>
      <c r="C502" s="27">
        <f>IF($A502="","",VLOOKUP($A502,CoachRoster!$A:$E,3,FALSE))</f>
        <v/>
      </c>
      <c r="D502" s="27">
        <f>IF($A502="","",VLOOKUP($A502,CoachRoster!$A:$E,4,FALSE))</f>
        <v/>
      </c>
      <c r="E502" s="27">
        <f>IF($A502="","",MIN(Settings!$B$8,IFERROR(SUMIF(Weekly_Coaching!$B:$B,$A502,Weekly_Coaching!$D:$D),0)+IFERROR(SUMIF(Monthly_Edu!$B:$B,$A502,Monthly_Edu!$D:$D),0)+IFERROR(SUMIF(Monthly_Ops!$B:$B,$A502,Monthly_Ops!$D:$D),0)+IFERROR(SUMIF(Monthly_Mentor!$B:$B,$A502,Monthly_Mentor!$D:$D),0)+IFERROR(SUMIF(Quarterly_Impact!$B:$B,$A502,Quarterly_Impact!$D:$D),0)+IFERROR(SUMIFS(XPLog!$M:$M,XPLog!$B:$B,$A502,XPLog!$J:$J,"Admin"),0)+IFERROR(SUMIFS(XPLog!$M:$M,XPLog!$B:$B,$A502,XPLog!$J:$J,"Seeding"),0)))</f>
        <v/>
      </c>
      <c r="F502" s="27">
        <f>IF($E502="","",LOOKUP($E502, XPBands!B$2:B$10, XPBands!A$2:A$10))</f>
        <v/>
      </c>
      <c r="G502" s="27">
        <f>IF($E502="","", VLOOKUP($F502, XPBands!A$2:G$10, 4, FALSE) + MIN(VLOOKUP($F502, XPBands!A$2:G$10, 5, FALSE) - VLOOKUP($F502, XPBands!A$2:G$10, 4, FALSE), FLOOR(( $E502 - VLOOKUP($F502, XPBands!A$2:G$10, 2, FALSE) ) / VLOOKUP($F502, XPBands!A$2:G$10, 7, FALSE),1)))</f>
        <v/>
      </c>
      <c r="H502" s="27">
        <f>IF($D502="","",VLOOKUP($D502,RoleTitles!$A:$E,3,FALSE))</f>
        <v/>
      </c>
      <c r="I502" s="27">
        <f>IF($D502="","",IF($C502="Greek",VLOOKUP($D502,RoleTitles!$A:$E,4,FALSE),IF($C502="Aesir",VLOOKUP($D502,RoleTitles!$A:$E,5,FALSE),VLOOKUP($D502,RoleTitles!$A:$E,3,FALSE))))</f>
        <v/>
      </c>
      <c r="J502" s="27">
        <f>IF($D502="","",IF($E502&gt;=VLOOKUP($D502,RoleTitles!$A:$B,2,FALSE),"Yes","No"))</f>
        <v/>
      </c>
      <c r="K502" s="27">
        <f>IF($D502="","",IF($D502="T1","T2",IF($D502="T2","T3",IF($D502="T3","T4",IF($D502="T4","T5",IF($D502="T5","T6",IF($D502="T6","T7",IF($D502="T7","T8",IF($D502="T8","T9","")))))))))</f>
        <v/>
      </c>
      <c r="L502" s="28">
        <f>IF($K502="","",MAX(0,VLOOKUP($K502,RoleTitles!$A:$B,2,FALSE)-$E502))</f>
        <v/>
      </c>
    </row>
    <row r="503">
      <c r="A503" s="24">
        <f>IFERROR(INDEX(CoachRoster!$A$2:$A$1000,ROW()-1),"")</f>
        <v/>
      </c>
      <c r="B503" s="27">
        <f>IF($A503="","",VLOOKUP($A503,CoachRoster!$A:$E,2,FALSE))</f>
        <v/>
      </c>
      <c r="C503" s="27">
        <f>IF($A503="","",VLOOKUP($A503,CoachRoster!$A:$E,3,FALSE))</f>
        <v/>
      </c>
      <c r="D503" s="27">
        <f>IF($A503="","",VLOOKUP($A503,CoachRoster!$A:$E,4,FALSE))</f>
        <v/>
      </c>
      <c r="E503" s="27">
        <f>IF($A503="","",MIN(Settings!$B$8,IFERROR(SUMIF(Weekly_Coaching!$B:$B,$A503,Weekly_Coaching!$D:$D),0)+IFERROR(SUMIF(Monthly_Edu!$B:$B,$A503,Monthly_Edu!$D:$D),0)+IFERROR(SUMIF(Monthly_Ops!$B:$B,$A503,Monthly_Ops!$D:$D),0)+IFERROR(SUMIF(Monthly_Mentor!$B:$B,$A503,Monthly_Mentor!$D:$D),0)+IFERROR(SUMIF(Quarterly_Impact!$B:$B,$A503,Quarterly_Impact!$D:$D),0)+IFERROR(SUMIFS(XPLog!$M:$M,XPLog!$B:$B,$A503,XPLog!$J:$J,"Admin"),0)+IFERROR(SUMIFS(XPLog!$M:$M,XPLog!$B:$B,$A503,XPLog!$J:$J,"Seeding"),0)))</f>
        <v/>
      </c>
      <c r="F503" s="27">
        <f>IF($E503="","",LOOKUP($E503, XPBands!B$2:B$10, XPBands!A$2:A$10))</f>
        <v/>
      </c>
      <c r="G503" s="27">
        <f>IF($E503="","", VLOOKUP($F503, XPBands!A$2:G$10, 4, FALSE) + MIN(VLOOKUP($F503, XPBands!A$2:G$10, 5, FALSE) - VLOOKUP($F503, XPBands!A$2:G$10, 4, FALSE), FLOOR(( $E503 - VLOOKUP($F503, XPBands!A$2:G$10, 2, FALSE) ) / VLOOKUP($F503, XPBands!A$2:G$10, 7, FALSE),1)))</f>
        <v/>
      </c>
      <c r="H503" s="27">
        <f>IF($D503="","",VLOOKUP($D503,RoleTitles!$A:$E,3,FALSE))</f>
        <v/>
      </c>
      <c r="I503" s="27">
        <f>IF($D503="","",IF($C503="Greek",VLOOKUP($D503,RoleTitles!$A:$E,4,FALSE),IF($C503="Aesir",VLOOKUP($D503,RoleTitles!$A:$E,5,FALSE),VLOOKUP($D503,RoleTitles!$A:$E,3,FALSE))))</f>
        <v/>
      </c>
      <c r="J503" s="27">
        <f>IF($D503="","",IF($E503&gt;=VLOOKUP($D503,RoleTitles!$A:$B,2,FALSE),"Yes","No"))</f>
        <v/>
      </c>
      <c r="K503" s="27">
        <f>IF($D503="","",IF($D503="T1","T2",IF($D503="T2","T3",IF($D503="T3","T4",IF($D503="T4","T5",IF($D503="T5","T6",IF($D503="T6","T7",IF($D503="T7","T8",IF($D503="T8","T9","")))))))))</f>
        <v/>
      </c>
      <c r="L503" s="28">
        <f>IF($K503="","",MAX(0,VLOOKUP($K503,RoleTitles!$A:$B,2,FALSE)-$E503))</f>
        <v/>
      </c>
    </row>
    <row r="504">
      <c r="A504" s="24">
        <f>IFERROR(INDEX(CoachRoster!$A$2:$A$1000,ROW()-1),"")</f>
        <v/>
      </c>
      <c r="B504" s="27">
        <f>IF($A504="","",VLOOKUP($A504,CoachRoster!$A:$E,2,FALSE))</f>
        <v/>
      </c>
      <c r="C504" s="27">
        <f>IF($A504="","",VLOOKUP($A504,CoachRoster!$A:$E,3,FALSE))</f>
        <v/>
      </c>
      <c r="D504" s="27">
        <f>IF($A504="","",VLOOKUP($A504,CoachRoster!$A:$E,4,FALSE))</f>
        <v/>
      </c>
      <c r="E504" s="27">
        <f>IF($A504="","",MIN(Settings!$B$8,IFERROR(SUMIF(Weekly_Coaching!$B:$B,$A504,Weekly_Coaching!$D:$D),0)+IFERROR(SUMIF(Monthly_Edu!$B:$B,$A504,Monthly_Edu!$D:$D),0)+IFERROR(SUMIF(Monthly_Ops!$B:$B,$A504,Monthly_Ops!$D:$D),0)+IFERROR(SUMIF(Monthly_Mentor!$B:$B,$A504,Monthly_Mentor!$D:$D),0)+IFERROR(SUMIF(Quarterly_Impact!$B:$B,$A504,Quarterly_Impact!$D:$D),0)+IFERROR(SUMIFS(XPLog!$M:$M,XPLog!$B:$B,$A504,XPLog!$J:$J,"Admin"),0)+IFERROR(SUMIFS(XPLog!$M:$M,XPLog!$B:$B,$A504,XPLog!$J:$J,"Seeding"),0)))</f>
        <v/>
      </c>
      <c r="F504" s="27">
        <f>IF($E504="","",LOOKUP($E504, XPBands!B$2:B$10, XPBands!A$2:A$10))</f>
        <v/>
      </c>
      <c r="G504" s="27">
        <f>IF($E504="","", VLOOKUP($F504, XPBands!A$2:G$10, 4, FALSE) + MIN(VLOOKUP($F504, XPBands!A$2:G$10, 5, FALSE) - VLOOKUP($F504, XPBands!A$2:G$10, 4, FALSE), FLOOR(( $E504 - VLOOKUP($F504, XPBands!A$2:G$10, 2, FALSE) ) / VLOOKUP($F504, XPBands!A$2:G$10, 7, FALSE),1)))</f>
        <v/>
      </c>
      <c r="H504" s="27">
        <f>IF($D504="","",VLOOKUP($D504,RoleTitles!$A:$E,3,FALSE))</f>
        <v/>
      </c>
      <c r="I504" s="27">
        <f>IF($D504="","",IF($C504="Greek",VLOOKUP($D504,RoleTitles!$A:$E,4,FALSE),IF($C504="Aesir",VLOOKUP($D504,RoleTitles!$A:$E,5,FALSE),VLOOKUP($D504,RoleTitles!$A:$E,3,FALSE))))</f>
        <v/>
      </c>
      <c r="J504" s="27">
        <f>IF($D504="","",IF($E504&gt;=VLOOKUP($D504,RoleTitles!$A:$B,2,FALSE),"Yes","No"))</f>
        <v/>
      </c>
      <c r="K504" s="27">
        <f>IF($D504="","",IF($D504="T1","T2",IF($D504="T2","T3",IF($D504="T3","T4",IF($D504="T4","T5",IF($D504="T5","T6",IF($D504="T6","T7",IF($D504="T7","T8",IF($D504="T8","T9","")))))))))</f>
        <v/>
      </c>
      <c r="L504" s="28">
        <f>IF($K504="","",MAX(0,VLOOKUP($K504,RoleTitles!$A:$B,2,FALSE)-$E504))</f>
        <v/>
      </c>
    </row>
    <row r="505">
      <c r="A505" s="24">
        <f>IFERROR(INDEX(CoachRoster!$A$2:$A$1000,ROW()-1),"")</f>
        <v/>
      </c>
      <c r="B505" s="27">
        <f>IF($A505="","",VLOOKUP($A505,CoachRoster!$A:$E,2,FALSE))</f>
        <v/>
      </c>
      <c r="C505" s="27">
        <f>IF($A505="","",VLOOKUP($A505,CoachRoster!$A:$E,3,FALSE))</f>
        <v/>
      </c>
      <c r="D505" s="27">
        <f>IF($A505="","",VLOOKUP($A505,CoachRoster!$A:$E,4,FALSE))</f>
        <v/>
      </c>
      <c r="E505" s="27">
        <f>IF($A505="","",MIN(Settings!$B$8,IFERROR(SUMIF(Weekly_Coaching!$B:$B,$A505,Weekly_Coaching!$D:$D),0)+IFERROR(SUMIF(Monthly_Edu!$B:$B,$A505,Monthly_Edu!$D:$D),0)+IFERROR(SUMIF(Monthly_Ops!$B:$B,$A505,Monthly_Ops!$D:$D),0)+IFERROR(SUMIF(Monthly_Mentor!$B:$B,$A505,Monthly_Mentor!$D:$D),0)+IFERROR(SUMIF(Quarterly_Impact!$B:$B,$A505,Quarterly_Impact!$D:$D),0)+IFERROR(SUMIFS(XPLog!$M:$M,XPLog!$B:$B,$A505,XPLog!$J:$J,"Admin"),0)+IFERROR(SUMIFS(XPLog!$M:$M,XPLog!$B:$B,$A505,XPLog!$J:$J,"Seeding"),0)))</f>
        <v/>
      </c>
      <c r="F505" s="27">
        <f>IF($E505="","",LOOKUP($E505, XPBands!B$2:B$10, XPBands!A$2:A$10))</f>
        <v/>
      </c>
      <c r="G505" s="27">
        <f>IF($E505="","", VLOOKUP($F505, XPBands!A$2:G$10, 4, FALSE) + MIN(VLOOKUP($F505, XPBands!A$2:G$10, 5, FALSE) - VLOOKUP($F505, XPBands!A$2:G$10, 4, FALSE), FLOOR(( $E505 - VLOOKUP($F505, XPBands!A$2:G$10, 2, FALSE) ) / VLOOKUP($F505, XPBands!A$2:G$10, 7, FALSE),1)))</f>
        <v/>
      </c>
      <c r="H505" s="27">
        <f>IF($D505="","",VLOOKUP($D505,RoleTitles!$A:$E,3,FALSE))</f>
        <v/>
      </c>
      <c r="I505" s="27">
        <f>IF($D505="","",IF($C505="Greek",VLOOKUP($D505,RoleTitles!$A:$E,4,FALSE),IF($C505="Aesir",VLOOKUP($D505,RoleTitles!$A:$E,5,FALSE),VLOOKUP($D505,RoleTitles!$A:$E,3,FALSE))))</f>
        <v/>
      </c>
      <c r="J505" s="27">
        <f>IF($D505="","",IF($E505&gt;=VLOOKUP($D505,RoleTitles!$A:$B,2,FALSE),"Yes","No"))</f>
        <v/>
      </c>
      <c r="K505" s="27">
        <f>IF($D505="","",IF($D505="T1","T2",IF($D505="T2","T3",IF($D505="T3","T4",IF($D505="T4","T5",IF($D505="T5","T6",IF($D505="T6","T7",IF($D505="T7","T8",IF($D505="T8","T9","")))))))))</f>
        <v/>
      </c>
      <c r="L505" s="28">
        <f>IF($K505="","",MAX(0,VLOOKUP($K505,RoleTitles!$A:$B,2,FALSE)-$E505))</f>
        <v/>
      </c>
    </row>
    <row r="506">
      <c r="A506" s="24">
        <f>IFERROR(INDEX(CoachRoster!$A$2:$A$1000,ROW()-1),"")</f>
        <v/>
      </c>
      <c r="B506" s="27">
        <f>IF($A506="","",VLOOKUP($A506,CoachRoster!$A:$E,2,FALSE))</f>
        <v/>
      </c>
      <c r="C506" s="27">
        <f>IF($A506="","",VLOOKUP($A506,CoachRoster!$A:$E,3,FALSE))</f>
        <v/>
      </c>
      <c r="D506" s="27">
        <f>IF($A506="","",VLOOKUP($A506,CoachRoster!$A:$E,4,FALSE))</f>
        <v/>
      </c>
      <c r="E506" s="27">
        <f>IF($A506="","",MIN(Settings!$B$8,IFERROR(SUMIF(Weekly_Coaching!$B:$B,$A506,Weekly_Coaching!$D:$D),0)+IFERROR(SUMIF(Monthly_Edu!$B:$B,$A506,Monthly_Edu!$D:$D),0)+IFERROR(SUMIF(Monthly_Ops!$B:$B,$A506,Monthly_Ops!$D:$D),0)+IFERROR(SUMIF(Monthly_Mentor!$B:$B,$A506,Monthly_Mentor!$D:$D),0)+IFERROR(SUMIF(Quarterly_Impact!$B:$B,$A506,Quarterly_Impact!$D:$D),0)+IFERROR(SUMIFS(XPLog!$M:$M,XPLog!$B:$B,$A506,XPLog!$J:$J,"Admin"),0)+IFERROR(SUMIFS(XPLog!$M:$M,XPLog!$B:$B,$A506,XPLog!$J:$J,"Seeding"),0)))</f>
        <v/>
      </c>
      <c r="F506" s="27">
        <f>IF($E506="","",LOOKUP($E506, XPBands!B$2:B$10, XPBands!A$2:A$10))</f>
        <v/>
      </c>
      <c r="G506" s="27">
        <f>IF($E506="","", VLOOKUP($F506, XPBands!A$2:G$10, 4, FALSE) + MIN(VLOOKUP($F506, XPBands!A$2:G$10, 5, FALSE) - VLOOKUP($F506, XPBands!A$2:G$10, 4, FALSE), FLOOR(( $E506 - VLOOKUP($F506, XPBands!A$2:G$10, 2, FALSE) ) / VLOOKUP($F506, XPBands!A$2:G$10, 7, FALSE),1)))</f>
        <v/>
      </c>
      <c r="H506" s="27">
        <f>IF($D506="","",VLOOKUP($D506,RoleTitles!$A:$E,3,FALSE))</f>
        <v/>
      </c>
      <c r="I506" s="27">
        <f>IF($D506="","",IF($C506="Greek",VLOOKUP($D506,RoleTitles!$A:$E,4,FALSE),IF($C506="Aesir",VLOOKUP($D506,RoleTitles!$A:$E,5,FALSE),VLOOKUP($D506,RoleTitles!$A:$E,3,FALSE))))</f>
        <v/>
      </c>
      <c r="J506" s="27">
        <f>IF($D506="","",IF($E506&gt;=VLOOKUP($D506,RoleTitles!$A:$B,2,FALSE),"Yes","No"))</f>
        <v/>
      </c>
      <c r="K506" s="27">
        <f>IF($D506="","",IF($D506="T1","T2",IF($D506="T2","T3",IF($D506="T3","T4",IF($D506="T4","T5",IF($D506="T5","T6",IF($D506="T6","T7",IF($D506="T7","T8",IF($D506="T8","T9","")))))))))</f>
        <v/>
      </c>
      <c r="L506" s="28">
        <f>IF($K506="","",MAX(0,VLOOKUP($K506,RoleTitles!$A:$B,2,FALSE)-$E506))</f>
        <v/>
      </c>
    </row>
    <row r="507">
      <c r="A507" s="24">
        <f>IFERROR(INDEX(CoachRoster!$A$2:$A$1000,ROW()-1),"")</f>
        <v/>
      </c>
      <c r="B507" s="27">
        <f>IF($A507="","",VLOOKUP($A507,CoachRoster!$A:$E,2,FALSE))</f>
        <v/>
      </c>
      <c r="C507" s="27">
        <f>IF($A507="","",VLOOKUP($A507,CoachRoster!$A:$E,3,FALSE))</f>
        <v/>
      </c>
      <c r="D507" s="27">
        <f>IF($A507="","",VLOOKUP($A507,CoachRoster!$A:$E,4,FALSE))</f>
        <v/>
      </c>
      <c r="E507" s="27">
        <f>IF($A507="","",MIN(Settings!$B$8,IFERROR(SUMIF(Weekly_Coaching!$B:$B,$A507,Weekly_Coaching!$D:$D),0)+IFERROR(SUMIF(Monthly_Edu!$B:$B,$A507,Monthly_Edu!$D:$D),0)+IFERROR(SUMIF(Monthly_Ops!$B:$B,$A507,Monthly_Ops!$D:$D),0)+IFERROR(SUMIF(Monthly_Mentor!$B:$B,$A507,Monthly_Mentor!$D:$D),0)+IFERROR(SUMIF(Quarterly_Impact!$B:$B,$A507,Quarterly_Impact!$D:$D),0)+IFERROR(SUMIFS(XPLog!$M:$M,XPLog!$B:$B,$A507,XPLog!$J:$J,"Admin"),0)+IFERROR(SUMIFS(XPLog!$M:$M,XPLog!$B:$B,$A507,XPLog!$J:$J,"Seeding"),0)))</f>
        <v/>
      </c>
      <c r="F507" s="27">
        <f>IF($E507="","",LOOKUP($E507, XPBands!B$2:B$10, XPBands!A$2:A$10))</f>
        <v/>
      </c>
      <c r="G507" s="27">
        <f>IF($E507="","", VLOOKUP($F507, XPBands!A$2:G$10, 4, FALSE) + MIN(VLOOKUP($F507, XPBands!A$2:G$10, 5, FALSE) - VLOOKUP($F507, XPBands!A$2:G$10, 4, FALSE), FLOOR(( $E507 - VLOOKUP($F507, XPBands!A$2:G$10, 2, FALSE) ) / VLOOKUP($F507, XPBands!A$2:G$10, 7, FALSE),1)))</f>
        <v/>
      </c>
      <c r="H507" s="27">
        <f>IF($D507="","",VLOOKUP($D507,RoleTitles!$A:$E,3,FALSE))</f>
        <v/>
      </c>
      <c r="I507" s="27">
        <f>IF($D507="","",IF($C507="Greek",VLOOKUP($D507,RoleTitles!$A:$E,4,FALSE),IF($C507="Aesir",VLOOKUP($D507,RoleTitles!$A:$E,5,FALSE),VLOOKUP($D507,RoleTitles!$A:$E,3,FALSE))))</f>
        <v/>
      </c>
      <c r="J507" s="27">
        <f>IF($D507="","",IF($E507&gt;=VLOOKUP($D507,RoleTitles!$A:$B,2,FALSE),"Yes","No"))</f>
        <v/>
      </c>
      <c r="K507" s="27">
        <f>IF($D507="","",IF($D507="T1","T2",IF($D507="T2","T3",IF($D507="T3","T4",IF($D507="T4","T5",IF($D507="T5","T6",IF($D507="T6","T7",IF($D507="T7","T8",IF($D507="T8","T9","")))))))))</f>
        <v/>
      </c>
      <c r="L507" s="28">
        <f>IF($K507="","",MAX(0,VLOOKUP($K507,RoleTitles!$A:$B,2,FALSE)-$E507))</f>
        <v/>
      </c>
    </row>
    <row r="508">
      <c r="A508" s="24">
        <f>IFERROR(INDEX(CoachRoster!$A$2:$A$1000,ROW()-1),"")</f>
        <v/>
      </c>
      <c r="B508" s="27">
        <f>IF($A508="","",VLOOKUP($A508,CoachRoster!$A:$E,2,FALSE))</f>
        <v/>
      </c>
      <c r="C508" s="27">
        <f>IF($A508="","",VLOOKUP($A508,CoachRoster!$A:$E,3,FALSE))</f>
        <v/>
      </c>
      <c r="D508" s="27">
        <f>IF($A508="","",VLOOKUP($A508,CoachRoster!$A:$E,4,FALSE))</f>
        <v/>
      </c>
      <c r="E508" s="27">
        <f>IF($A508="","",MIN(Settings!$B$8,IFERROR(SUMIF(Weekly_Coaching!$B:$B,$A508,Weekly_Coaching!$D:$D),0)+IFERROR(SUMIF(Monthly_Edu!$B:$B,$A508,Monthly_Edu!$D:$D),0)+IFERROR(SUMIF(Monthly_Ops!$B:$B,$A508,Monthly_Ops!$D:$D),0)+IFERROR(SUMIF(Monthly_Mentor!$B:$B,$A508,Monthly_Mentor!$D:$D),0)+IFERROR(SUMIF(Quarterly_Impact!$B:$B,$A508,Quarterly_Impact!$D:$D),0)+IFERROR(SUMIFS(XPLog!$M:$M,XPLog!$B:$B,$A508,XPLog!$J:$J,"Admin"),0)+IFERROR(SUMIFS(XPLog!$M:$M,XPLog!$B:$B,$A508,XPLog!$J:$J,"Seeding"),0)))</f>
        <v/>
      </c>
      <c r="F508" s="27">
        <f>IF($E508="","",LOOKUP($E508, XPBands!B$2:B$10, XPBands!A$2:A$10))</f>
        <v/>
      </c>
      <c r="G508" s="27">
        <f>IF($E508="","", VLOOKUP($F508, XPBands!A$2:G$10, 4, FALSE) + MIN(VLOOKUP($F508, XPBands!A$2:G$10, 5, FALSE) - VLOOKUP($F508, XPBands!A$2:G$10, 4, FALSE), FLOOR(( $E508 - VLOOKUP($F508, XPBands!A$2:G$10, 2, FALSE) ) / VLOOKUP($F508, XPBands!A$2:G$10, 7, FALSE),1)))</f>
        <v/>
      </c>
      <c r="H508" s="27">
        <f>IF($D508="","",VLOOKUP($D508,RoleTitles!$A:$E,3,FALSE))</f>
        <v/>
      </c>
      <c r="I508" s="27">
        <f>IF($D508="","",IF($C508="Greek",VLOOKUP($D508,RoleTitles!$A:$E,4,FALSE),IF($C508="Aesir",VLOOKUP($D508,RoleTitles!$A:$E,5,FALSE),VLOOKUP($D508,RoleTitles!$A:$E,3,FALSE))))</f>
        <v/>
      </c>
      <c r="J508" s="27">
        <f>IF($D508="","",IF($E508&gt;=VLOOKUP($D508,RoleTitles!$A:$B,2,FALSE),"Yes","No"))</f>
        <v/>
      </c>
      <c r="K508" s="27">
        <f>IF($D508="","",IF($D508="T1","T2",IF($D508="T2","T3",IF($D508="T3","T4",IF($D508="T4","T5",IF($D508="T5","T6",IF($D508="T6","T7",IF($D508="T7","T8",IF($D508="T8","T9","")))))))))</f>
        <v/>
      </c>
      <c r="L508" s="28">
        <f>IF($K508="","",MAX(0,VLOOKUP($K508,RoleTitles!$A:$B,2,FALSE)-$E508))</f>
        <v/>
      </c>
    </row>
    <row r="509">
      <c r="A509" s="24">
        <f>IFERROR(INDEX(CoachRoster!$A$2:$A$1000,ROW()-1),"")</f>
        <v/>
      </c>
      <c r="B509" s="27">
        <f>IF($A509="","",VLOOKUP($A509,CoachRoster!$A:$E,2,FALSE))</f>
        <v/>
      </c>
      <c r="C509" s="27">
        <f>IF($A509="","",VLOOKUP($A509,CoachRoster!$A:$E,3,FALSE))</f>
        <v/>
      </c>
      <c r="D509" s="27">
        <f>IF($A509="","",VLOOKUP($A509,CoachRoster!$A:$E,4,FALSE))</f>
        <v/>
      </c>
      <c r="E509" s="27">
        <f>IF($A509="","",MIN(Settings!$B$8,IFERROR(SUMIF(Weekly_Coaching!$B:$B,$A509,Weekly_Coaching!$D:$D),0)+IFERROR(SUMIF(Monthly_Edu!$B:$B,$A509,Monthly_Edu!$D:$D),0)+IFERROR(SUMIF(Monthly_Ops!$B:$B,$A509,Monthly_Ops!$D:$D),0)+IFERROR(SUMIF(Monthly_Mentor!$B:$B,$A509,Monthly_Mentor!$D:$D),0)+IFERROR(SUMIF(Quarterly_Impact!$B:$B,$A509,Quarterly_Impact!$D:$D),0)+IFERROR(SUMIFS(XPLog!$M:$M,XPLog!$B:$B,$A509,XPLog!$J:$J,"Admin"),0)+IFERROR(SUMIFS(XPLog!$M:$M,XPLog!$B:$B,$A509,XPLog!$J:$J,"Seeding"),0)))</f>
        <v/>
      </c>
      <c r="F509" s="27">
        <f>IF($E509="","",LOOKUP($E509, XPBands!B$2:B$10, XPBands!A$2:A$10))</f>
        <v/>
      </c>
      <c r="G509" s="27">
        <f>IF($E509="","", VLOOKUP($F509, XPBands!A$2:G$10, 4, FALSE) + MIN(VLOOKUP($F509, XPBands!A$2:G$10, 5, FALSE) - VLOOKUP($F509, XPBands!A$2:G$10, 4, FALSE), FLOOR(( $E509 - VLOOKUP($F509, XPBands!A$2:G$10, 2, FALSE) ) / VLOOKUP($F509, XPBands!A$2:G$10, 7, FALSE),1)))</f>
        <v/>
      </c>
      <c r="H509" s="27">
        <f>IF($D509="","",VLOOKUP($D509,RoleTitles!$A:$E,3,FALSE))</f>
        <v/>
      </c>
      <c r="I509" s="27">
        <f>IF($D509="","",IF($C509="Greek",VLOOKUP($D509,RoleTitles!$A:$E,4,FALSE),IF($C509="Aesir",VLOOKUP($D509,RoleTitles!$A:$E,5,FALSE),VLOOKUP($D509,RoleTitles!$A:$E,3,FALSE))))</f>
        <v/>
      </c>
      <c r="J509" s="27">
        <f>IF($D509="","",IF($E509&gt;=VLOOKUP($D509,RoleTitles!$A:$B,2,FALSE),"Yes","No"))</f>
        <v/>
      </c>
      <c r="K509" s="27">
        <f>IF($D509="","",IF($D509="T1","T2",IF($D509="T2","T3",IF($D509="T3","T4",IF($D509="T4","T5",IF($D509="T5","T6",IF($D509="T6","T7",IF($D509="T7","T8",IF($D509="T8","T9","")))))))))</f>
        <v/>
      </c>
      <c r="L509" s="28">
        <f>IF($K509="","",MAX(0,VLOOKUP($K509,RoleTitles!$A:$B,2,FALSE)-$E509))</f>
        <v/>
      </c>
    </row>
    <row r="510">
      <c r="A510" s="24">
        <f>IFERROR(INDEX(CoachRoster!$A$2:$A$1000,ROW()-1),"")</f>
        <v/>
      </c>
      <c r="B510" s="27">
        <f>IF($A510="","",VLOOKUP($A510,CoachRoster!$A:$E,2,FALSE))</f>
        <v/>
      </c>
      <c r="C510" s="27">
        <f>IF($A510="","",VLOOKUP($A510,CoachRoster!$A:$E,3,FALSE))</f>
        <v/>
      </c>
      <c r="D510" s="27">
        <f>IF($A510="","",VLOOKUP($A510,CoachRoster!$A:$E,4,FALSE))</f>
        <v/>
      </c>
      <c r="E510" s="27">
        <f>IF($A510="","",MIN(Settings!$B$8,IFERROR(SUMIF(Weekly_Coaching!$B:$B,$A510,Weekly_Coaching!$D:$D),0)+IFERROR(SUMIF(Monthly_Edu!$B:$B,$A510,Monthly_Edu!$D:$D),0)+IFERROR(SUMIF(Monthly_Ops!$B:$B,$A510,Monthly_Ops!$D:$D),0)+IFERROR(SUMIF(Monthly_Mentor!$B:$B,$A510,Monthly_Mentor!$D:$D),0)+IFERROR(SUMIF(Quarterly_Impact!$B:$B,$A510,Quarterly_Impact!$D:$D),0)+IFERROR(SUMIFS(XPLog!$M:$M,XPLog!$B:$B,$A510,XPLog!$J:$J,"Admin"),0)+IFERROR(SUMIFS(XPLog!$M:$M,XPLog!$B:$B,$A510,XPLog!$J:$J,"Seeding"),0)))</f>
        <v/>
      </c>
      <c r="F510" s="27">
        <f>IF($E510="","",LOOKUP($E510, XPBands!B$2:B$10, XPBands!A$2:A$10))</f>
        <v/>
      </c>
      <c r="G510" s="27">
        <f>IF($E510="","", VLOOKUP($F510, XPBands!A$2:G$10, 4, FALSE) + MIN(VLOOKUP($F510, XPBands!A$2:G$10, 5, FALSE) - VLOOKUP($F510, XPBands!A$2:G$10, 4, FALSE), FLOOR(( $E510 - VLOOKUP($F510, XPBands!A$2:G$10, 2, FALSE) ) / VLOOKUP($F510, XPBands!A$2:G$10, 7, FALSE),1)))</f>
        <v/>
      </c>
      <c r="H510" s="27">
        <f>IF($D510="","",VLOOKUP($D510,RoleTitles!$A:$E,3,FALSE))</f>
        <v/>
      </c>
      <c r="I510" s="27">
        <f>IF($D510="","",IF($C510="Greek",VLOOKUP($D510,RoleTitles!$A:$E,4,FALSE),IF($C510="Aesir",VLOOKUP($D510,RoleTitles!$A:$E,5,FALSE),VLOOKUP($D510,RoleTitles!$A:$E,3,FALSE))))</f>
        <v/>
      </c>
      <c r="J510" s="27">
        <f>IF($D510="","",IF($E510&gt;=VLOOKUP($D510,RoleTitles!$A:$B,2,FALSE),"Yes","No"))</f>
        <v/>
      </c>
      <c r="K510" s="27">
        <f>IF($D510="","",IF($D510="T1","T2",IF($D510="T2","T3",IF($D510="T3","T4",IF($D510="T4","T5",IF($D510="T5","T6",IF($D510="T6","T7",IF($D510="T7","T8",IF($D510="T8","T9","")))))))))</f>
        <v/>
      </c>
      <c r="L510" s="28">
        <f>IF($K510="","",MAX(0,VLOOKUP($K510,RoleTitles!$A:$B,2,FALSE)-$E510))</f>
        <v/>
      </c>
    </row>
    <row r="511">
      <c r="A511" s="24">
        <f>IFERROR(INDEX(CoachRoster!$A$2:$A$1000,ROW()-1),"")</f>
        <v/>
      </c>
      <c r="B511" s="27">
        <f>IF($A511="","",VLOOKUP($A511,CoachRoster!$A:$E,2,FALSE))</f>
        <v/>
      </c>
      <c r="C511" s="27">
        <f>IF($A511="","",VLOOKUP($A511,CoachRoster!$A:$E,3,FALSE))</f>
        <v/>
      </c>
      <c r="D511" s="27">
        <f>IF($A511="","",VLOOKUP($A511,CoachRoster!$A:$E,4,FALSE))</f>
        <v/>
      </c>
      <c r="E511" s="27">
        <f>IF($A511="","",MIN(Settings!$B$8,IFERROR(SUMIF(Weekly_Coaching!$B:$B,$A511,Weekly_Coaching!$D:$D),0)+IFERROR(SUMIF(Monthly_Edu!$B:$B,$A511,Monthly_Edu!$D:$D),0)+IFERROR(SUMIF(Monthly_Ops!$B:$B,$A511,Monthly_Ops!$D:$D),0)+IFERROR(SUMIF(Monthly_Mentor!$B:$B,$A511,Monthly_Mentor!$D:$D),0)+IFERROR(SUMIF(Quarterly_Impact!$B:$B,$A511,Quarterly_Impact!$D:$D),0)+IFERROR(SUMIFS(XPLog!$M:$M,XPLog!$B:$B,$A511,XPLog!$J:$J,"Admin"),0)+IFERROR(SUMIFS(XPLog!$M:$M,XPLog!$B:$B,$A511,XPLog!$J:$J,"Seeding"),0)))</f>
        <v/>
      </c>
      <c r="F511" s="27">
        <f>IF($E511="","",LOOKUP($E511, XPBands!B$2:B$10, XPBands!A$2:A$10))</f>
        <v/>
      </c>
      <c r="G511" s="27">
        <f>IF($E511="","", VLOOKUP($F511, XPBands!A$2:G$10, 4, FALSE) + MIN(VLOOKUP($F511, XPBands!A$2:G$10, 5, FALSE) - VLOOKUP($F511, XPBands!A$2:G$10, 4, FALSE), FLOOR(( $E511 - VLOOKUP($F511, XPBands!A$2:G$10, 2, FALSE) ) / VLOOKUP($F511, XPBands!A$2:G$10, 7, FALSE),1)))</f>
        <v/>
      </c>
      <c r="H511" s="27">
        <f>IF($D511="","",VLOOKUP($D511,RoleTitles!$A:$E,3,FALSE))</f>
        <v/>
      </c>
      <c r="I511" s="27">
        <f>IF($D511="","",IF($C511="Greek",VLOOKUP($D511,RoleTitles!$A:$E,4,FALSE),IF($C511="Aesir",VLOOKUP($D511,RoleTitles!$A:$E,5,FALSE),VLOOKUP($D511,RoleTitles!$A:$E,3,FALSE))))</f>
        <v/>
      </c>
      <c r="J511" s="27">
        <f>IF($D511="","",IF($E511&gt;=VLOOKUP($D511,RoleTitles!$A:$B,2,FALSE),"Yes","No"))</f>
        <v/>
      </c>
      <c r="K511" s="27">
        <f>IF($D511="","",IF($D511="T1","T2",IF($D511="T2","T3",IF($D511="T3","T4",IF($D511="T4","T5",IF($D511="T5","T6",IF($D511="T6","T7",IF($D511="T7","T8",IF($D511="T8","T9","")))))))))</f>
        <v/>
      </c>
      <c r="L511" s="28">
        <f>IF($K511="","",MAX(0,VLOOKUP($K511,RoleTitles!$A:$B,2,FALSE)-$E511))</f>
        <v/>
      </c>
    </row>
    <row r="512">
      <c r="A512" s="24">
        <f>IFERROR(INDEX(CoachRoster!$A$2:$A$1000,ROW()-1),"")</f>
        <v/>
      </c>
      <c r="B512" s="27">
        <f>IF($A512="","",VLOOKUP($A512,CoachRoster!$A:$E,2,FALSE))</f>
        <v/>
      </c>
      <c r="C512" s="27">
        <f>IF($A512="","",VLOOKUP($A512,CoachRoster!$A:$E,3,FALSE))</f>
        <v/>
      </c>
      <c r="D512" s="27">
        <f>IF($A512="","",VLOOKUP($A512,CoachRoster!$A:$E,4,FALSE))</f>
        <v/>
      </c>
      <c r="E512" s="27">
        <f>IF($A512="","",MIN(Settings!$B$8,IFERROR(SUMIF(Weekly_Coaching!$B:$B,$A512,Weekly_Coaching!$D:$D),0)+IFERROR(SUMIF(Monthly_Edu!$B:$B,$A512,Monthly_Edu!$D:$D),0)+IFERROR(SUMIF(Monthly_Ops!$B:$B,$A512,Monthly_Ops!$D:$D),0)+IFERROR(SUMIF(Monthly_Mentor!$B:$B,$A512,Monthly_Mentor!$D:$D),0)+IFERROR(SUMIF(Quarterly_Impact!$B:$B,$A512,Quarterly_Impact!$D:$D),0)+IFERROR(SUMIFS(XPLog!$M:$M,XPLog!$B:$B,$A512,XPLog!$J:$J,"Admin"),0)+IFERROR(SUMIFS(XPLog!$M:$M,XPLog!$B:$B,$A512,XPLog!$J:$J,"Seeding"),0)))</f>
        <v/>
      </c>
      <c r="F512" s="27">
        <f>IF($E512="","",LOOKUP($E512, XPBands!B$2:B$10, XPBands!A$2:A$10))</f>
        <v/>
      </c>
      <c r="G512" s="27">
        <f>IF($E512="","", VLOOKUP($F512, XPBands!A$2:G$10, 4, FALSE) + MIN(VLOOKUP($F512, XPBands!A$2:G$10, 5, FALSE) - VLOOKUP($F512, XPBands!A$2:G$10, 4, FALSE), FLOOR(( $E512 - VLOOKUP($F512, XPBands!A$2:G$10, 2, FALSE) ) / VLOOKUP($F512, XPBands!A$2:G$10, 7, FALSE),1)))</f>
        <v/>
      </c>
      <c r="H512" s="27">
        <f>IF($D512="","",VLOOKUP($D512,RoleTitles!$A:$E,3,FALSE))</f>
        <v/>
      </c>
      <c r="I512" s="27">
        <f>IF($D512="","",IF($C512="Greek",VLOOKUP($D512,RoleTitles!$A:$E,4,FALSE),IF($C512="Aesir",VLOOKUP($D512,RoleTitles!$A:$E,5,FALSE),VLOOKUP($D512,RoleTitles!$A:$E,3,FALSE))))</f>
        <v/>
      </c>
      <c r="J512" s="27">
        <f>IF($D512="","",IF($E512&gt;=VLOOKUP($D512,RoleTitles!$A:$B,2,FALSE),"Yes","No"))</f>
        <v/>
      </c>
      <c r="K512" s="27">
        <f>IF($D512="","",IF($D512="T1","T2",IF($D512="T2","T3",IF($D512="T3","T4",IF($D512="T4","T5",IF($D512="T5","T6",IF($D512="T6","T7",IF($D512="T7","T8",IF($D512="T8","T9","")))))))))</f>
        <v/>
      </c>
      <c r="L512" s="28">
        <f>IF($K512="","",MAX(0,VLOOKUP($K512,RoleTitles!$A:$B,2,FALSE)-$E512))</f>
        <v/>
      </c>
    </row>
    <row r="513">
      <c r="A513" s="24">
        <f>IFERROR(INDEX(CoachRoster!$A$2:$A$1000,ROW()-1),"")</f>
        <v/>
      </c>
      <c r="B513" s="27">
        <f>IF($A513="","",VLOOKUP($A513,CoachRoster!$A:$E,2,FALSE))</f>
        <v/>
      </c>
      <c r="C513" s="27">
        <f>IF($A513="","",VLOOKUP($A513,CoachRoster!$A:$E,3,FALSE))</f>
        <v/>
      </c>
      <c r="D513" s="27">
        <f>IF($A513="","",VLOOKUP($A513,CoachRoster!$A:$E,4,FALSE))</f>
        <v/>
      </c>
      <c r="E513" s="27">
        <f>IF($A513="","",MIN(Settings!$B$8,IFERROR(SUMIF(Weekly_Coaching!$B:$B,$A513,Weekly_Coaching!$D:$D),0)+IFERROR(SUMIF(Monthly_Edu!$B:$B,$A513,Monthly_Edu!$D:$D),0)+IFERROR(SUMIF(Monthly_Ops!$B:$B,$A513,Monthly_Ops!$D:$D),0)+IFERROR(SUMIF(Monthly_Mentor!$B:$B,$A513,Monthly_Mentor!$D:$D),0)+IFERROR(SUMIF(Quarterly_Impact!$B:$B,$A513,Quarterly_Impact!$D:$D),0)+IFERROR(SUMIFS(XPLog!$M:$M,XPLog!$B:$B,$A513,XPLog!$J:$J,"Admin"),0)+IFERROR(SUMIFS(XPLog!$M:$M,XPLog!$B:$B,$A513,XPLog!$J:$J,"Seeding"),0)))</f>
        <v/>
      </c>
      <c r="F513" s="27">
        <f>IF($E513="","",LOOKUP($E513, XPBands!B$2:B$10, XPBands!A$2:A$10))</f>
        <v/>
      </c>
      <c r="G513" s="27">
        <f>IF($E513="","", VLOOKUP($F513, XPBands!A$2:G$10, 4, FALSE) + MIN(VLOOKUP($F513, XPBands!A$2:G$10, 5, FALSE) - VLOOKUP($F513, XPBands!A$2:G$10, 4, FALSE), FLOOR(( $E513 - VLOOKUP($F513, XPBands!A$2:G$10, 2, FALSE) ) / VLOOKUP($F513, XPBands!A$2:G$10, 7, FALSE),1)))</f>
        <v/>
      </c>
      <c r="H513" s="27">
        <f>IF($D513="","",VLOOKUP($D513,RoleTitles!$A:$E,3,FALSE))</f>
        <v/>
      </c>
      <c r="I513" s="27">
        <f>IF($D513="","",IF($C513="Greek",VLOOKUP($D513,RoleTitles!$A:$E,4,FALSE),IF($C513="Aesir",VLOOKUP($D513,RoleTitles!$A:$E,5,FALSE),VLOOKUP($D513,RoleTitles!$A:$E,3,FALSE))))</f>
        <v/>
      </c>
      <c r="J513" s="27">
        <f>IF($D513="","",IF($E513&gt;=VLOOKUP($D513,RoleTitles!$A:$B,2,FALSE),"Yes","No"))</f>
        <v/>
      </c>
      <c r="K513" s="27">
        <f>IF($D513="","",IF($D513="T1","T2",IF($D513="T2","T3",IF($D513="T3","T4",IF($D513="T4","T5",IF($D513="T5","T6",IF($D513="T6","T7",IF($D513="T7","T8",IF($D513="T8","T9","")))))))))</f>
        <v/>
      </c>
      <c r="L513" s="28">
        <f>IF($K513="","",MAX(0,VLOOKUP($K513,RoleTitles!$A:$B,2,FALSE)-$E513))</f>
        <v/>
      </c>
    </row>
    <row r="514">
      <c r="A514" s="24">
        <f>IFERROR(INDEX(CoachRoster!$A$2:$A$1000,ROW()-1),"")</f>
        <v/>
      </c>
      <c r="B514" s="27">
        <f>IF($A514="","",VLOOKUP($A514,CoachRoster!$A:$E,2,FALSE))</f>
        <v/>
      </c>
      <c r="C514" s="27">
        <f>IF($A514="","",VLOOKUP($A514,CoachRoster!$A:$E,3,FALSE))</f>
        <v/>
      </c>
      <c r="D514" s="27">
        <f>IF($A514="","",VLOOKUP($A514,CoachRoster!$A:$E,4,FALSE))</f>
        <v/>
      </c>
      <c r="E514" s="27">
        <f>IF($A514="","",MIN(Settings!$B$8,IFERROR(SUMIF(Weekly_Coaching!$B:$B,$A514,Weekly_Coaching!$D:$D),0)+IFERROR(SUMIF(Monthly_Edu!$B:$B,$A514,Monthly_Edu!$D:$D),0)+IFERROR(SUMIF(Monthly_Ops!$B:$B,$A514,Monthly_Ops!$D:$D),0)+IFERROR(SUMIF(Monthly_Mentor!$B:$B,$A514,Monthly_Mentor!$D:$D),0)+IFERROR(SUMIF(Quarterly_Impact!$B:$B,$A514,Quarterly_Impact!$D:$D),0)+IFERROR(SUMIFS(XPLog!$M:$M,XPLog!$B:$B,$A514,XPLog!$J:$J,"Admin"),0)+IFERROR(SUMIFS(XPLog!$M:$M,XPLog!$B:$B,$A514,XPLog!$J:$J,"Seeding"),0)))</f>
        <v/>
      </c>
      <c r="F514" s="27">
        <f>IF($E514="","",LOOKUP($E514, XPBands!B$2:B$10, XPBands!A$2:A$10))</f>
        <v/>
      </c>
      <c r="G514" s="27">
        <f>IF($E514="","", VLOOKUP($F514, XPBands!A$2:G$10, 4, FALSE) + MIN(VLOOKUP($F514, XPBands!A$2:G$10, 5, FALSE) - VLOOKUP($F514, XPBands!A$2:G$10, 4, FALSE), FLOOR(( $E514 - VLOOKUP($F514, XPBands!A$2:G$10, 2, FALSE) ) / VLOOKUP($F514, XPBands!A$2:G$10, 7, FALSE),1)))</f>
        <v/>
      </c>
      <c r="H514" s="27">
        <f>IF($D514="","",VLOOKUP($D514,RoleTitles!$A:$E,3,FALSE))</f>
        <v/>
      </c>
      <c r="I514" s="27">
        <f>IF($D514="","",IF($C514="Greek",VLOOKUP($D514,RoleTitles!$A:$E,4,FALSE),IF($C514="Aesir",VLOOKUP($D514,RoleTitles!$A:$E,5,FALSE),VLOOKUP($D514,RoleTitles!$A:$E,3,FALSE))))</f>
        <v/>
      </c>
      <c r="J514" s="27">
        <f>IF($D514="","",IF($E514&gt;=VLOOKUP($D514,RoleTitles!$A:$B,2,FALSE),"Yes","No"))</f>
        <v/>
      </c>
      <c r="K514" s="27">
        <f>IF($D514="","",IF($D514="T1","T2",IF($D514="T2","T3",IF($D514="T3","T4",IF($D514="T4","T5",IF($D514="T5","T6",IF($D514="T6","T7",IF($D514="T7","T8",IF($D514="T8","T9","")))))))))</f>
        <v/>
      </c>
      <c r="L514" s="28">
        <f>IF($K514="","",MAX(0,VLOOKUP($K514,RoleTitles!$A:$B,2,FALSE)-$E514))</f>
        <v/>
      </c>
    </row>
    <row r="515">
      <c r="A515" s="24">
        <f>IFERROR(INDEX(CoachRoster!$A$2:$A$1000,ROW()-1),"")</f>
        <v/>
      </c>
      <c r="B515" s="27">
        <f>IF($A515="","",VLOOKUP($A515,CoachRoster!$A:$E,2,FALSE))</f>
        <v/>
      </c>
      <c r="C515" s="27">
        <f>IF($A515="","",VLOOKUP($A515,CoachRoster!$A:$E,3,FALSE))</f>
        <v/>
      </c>
      <c r="D515" s="27">
        <f>IF($A515="","",VLOOKUP($A515,CoachRoster!$A:$E,4,FALSE))</f>
        <v/>
      </c>
      <c r="E515" s="27">
        <f>IF($A515="","",MIN(Settings!$B$8,IFERROR(SUMIF(Weekly_Coaching!$B:$B,$A515,Weekly_Coaching!$D:$D),0)+IFERROR(SUMIF(Monthly_Edu!$B:$B,$A515,Monthly_Edu!$D:$D),0)+IFERROR(SUMIF(Monthly_Ops!$B:$B,$A515,Monthly_Ops!$D:$D),0)+IFERROR(SUMIF(Monthly_Mentor!$B:$B,$A515,Monthly_Mentor!$D:$D),0)+IFERROR(SUMIF(Quarterly_Impact!$B:$B,$A515,Quarterly_Impact!$D:$D),0)+IFERROR(SUMIFS(XPLog!$M:$M,XPLog!$B:$B,$A515,XPLog!$J:$J,"Admin"),0)+IFERROR(SUMIFS(XPLog!$M:$M,XPLog!$B:$B,$A515,XPLog!$J:$J,"Seeding"),0)))</f>
        <v/>
      </c>
      <c r="F515" s="27">
        <f>IF($E515="","",LOOKUP($E515, XPBands!B$2:B$10, XPBands!A$2:A$10))</f>
        <v/>
      </c>
      <c r="G515" s="27">
        <f>IF($E515="","", VLOOKUP($F515, XPBands!A$2:G$10, 4, FALSE) + MIN(VLOOKUP($F515, XPBands!A$2:G$10, 5, FALSE) - VLOOKUP($F515, XPBands!A$2:G$10, 4, FALSE), FLOOR(( $E515 - VLOOKUP($F515, XPBands!A$2:G$10, 2, FALSE) ) / VLOOKUP($F515, XPBands!A$2:G$10, 7, FALSE),1)))</f>
        <v/>
      </c>
      <c r="H515" s="27">
        <f>IF($D515="","",VLOOKUP($D515,RoleTitles!$A:$E,3,FALSE))</f>
        <v/>
      </c>
      <c r="I515" s="27">
        <f>IF($D515="","",IF($C515="Greek",VLOOKUP($D515,RoleTitles!$A:$E,4,FALSE),IF($C515="Aesir",VLOOKUP($D515,RoleTitles!$A:$E,5,FALSE),VLOOKUP($D515,RoleTitles!$A:$E,3,FALSE))))</f>
        <v/>
      </c>
      <c r="J515" s="27">
        <f>IF($D515="","",IF($E515&gt;=VLOOKUP($D515,RoleTitles!$A:$B,2,FALSE),"Yes","No"))</f>
        <v/>
      </c>
      <c r="K515" s="27">
        <f>IF($D515="","",IF($D515="T1","T2",IF($D515="T2","T3",IF($D515="T3","T4",IF($D515="T4","T5",IF($D515="T5","T6",IF($D515="T6","T7",IF($D515="T7","T8",IF($D515="T8","T9","")))))))))</f>
        <v/>
      </c>
      <c r="L515" s="28">
        <f>IF($K515="","",MAX(0,VLOOKUP($K515,RoleTitles!$A:$B,2,FALSE)-$E515))</f>
        <v/>
      </c>
    </row>
    <row r="516">
      <c r="A516" s="24">
        <f>IFERROR(INDEX(CoachRoster!$A$2:$A$1000,ROW()-1),"")</f>
        <v/>
      </c>
      <c r="B516" s="27">
        <f>IF($A516="","",VLOOKUP($A516,CoachRoster!$A:$E,2,FALSE))</f>
        <v/>
      </c>
      <c r="C516" s="27">
        <f>IF($A516="","",VLOOKUP($A516,CoachRoster!$A:$E,3,FALSE))</f>
        <v/>
      </c>
      <c r="D516" s="27">
        <f>IF($A516="","",VLOOKUP($A516,CoachRoster!$A:$E,4,FALSE))</f>
        <v/>
      </c>
      <c r="E516" s="27">
        <f>IF($A516="","",MIN(Settings!$B$8,IFERROR(SUMIF(Weekly_Coaching!$B:$B,$A516,Weekly_Coaching!$D:$D),0)+IFERROR(SUMIF(Monthly_Edu!$B:$B,$A516,Monthly_Edu!$D:$D),0)+IFERROR(SUMIF(Monthly_Ops!$B:$B,$A516,Monthly_Ops!$D:$D),0)+IFERROR(SUMIF(Monthly_Mentor!$B:$B,$A516,Monthly_Mentor!$D:$D),0)+IFERROR(SUMIF(Quarterly_Impact!$B:$B,$A516,Quarterly_Impact!$D:$D),0)+IFERROR(SUMIFS(XPLog!$M:$M,XPLog!$B:$B,$A516,XPLog!$J:$J,"Admin"),0)+IFERROR(SUMIFS(XPLog!$M:$M,XPLog!$B:$B,$A516,XPLog!$J:$J,"Seeding"),0)))</f>
        <v/>
      </c>
      <c r="F516" s="27">
        <f>IF($E516="","",LOOKUP($E516, XPBands!B$2:B$10, XPBands!A$2:A$10))</f>
        <v/>
      </c>
      <c r="G516" s="27">
        <f>IF($E516="","", VLOOKUP($F516, XPBands!A$2:G$10, 4, FALSE) + MIN(VLOOKUP($F516, XPBands!A$2:G$10, 5, FALSE) - VLOOKUP($F516, XPBands!A$2:G$10, 4, FALSE), FLOOR(( $E516 - VLOOKUP($F516, XPBands!A$2:G$10, 2, FALSE) ) / VLOOKUP($F516, XPBands!A$2:G$10, 7, FALSE),1)))</f>
        <v/>
      </c>
      <c r="H516" s="27">
        <f>IF($D516="","",VLOOKUP($D516,RoleTitles!$A:$E,3,FALSE))</f>
        <v/>
      </c>
      <c r="I516" s="27">
        <f>IF($D516="","",IF($C516="Greek",VLOOKUP($D516,RoleTitles!$A:$E,4,FALSE),IF($C516="Aesir",VLOOKUP($D516,RoleTitles!$A:$E,5,FALSE),VLOOKUP($D516,RoleTitles!$A:$E,3,FALSE))))</f>
        <v/>
      </c>
      <c r="J516" s="27">
        <f>IF($D516="","",IF($E516&gt;=VLOOKUP($D516,RoleTitles!$A:$B,2,FALSE),"Yes","No"))</f>
        <v/>
      </c>
      <c r="K516" s="27">
        <f>IF($D516="","",IF($D516="T1","T2",IF($D516="T2","T3",IF($D516="T3","T4",IF($D516="T4","T5",IF($D516="T5","T6",IF($D516="T6","T7",IF($D516="T7","T8",IF($D516="T8","T9","")))))))))</f>
        <v/>
      </c>
      <c r="L516" s="28">
        <f>IF($K516="","",MAX(0,VLOOKUP($K516,RoleTitles!$A:$B,2,FALSE)-$E516))</f>
        <v/>
      </c>
    </row>
    <row r="517">
      <c r="A517" s="24">
        <f>IFERROR(INDEX(CoachRoster!$A$2:$A$1000,ROW()-1),"")</f>
        <v/>
      </c>
      <c r="B517" s="27">
        <f>IF($A517="","",VLOOKUP($A517,CoachRoster!$A:$E,2,FALSE))</f>
        <v/>
      </c>
      <c r="C517" s="27">
        <f>IF($A517="","",VLOOKUP($A517,CoachRoster!$A:$E,3,FALSE))</f>
        <v/>
      </c>
      <c r="D517" s="27">
        <f>IF($A517="","",VLOOKUP($A517,CoachRoster!$A:$E,4,FALSE))</f>
        <v/>
      </c>
      <c r="E517" s="27">
        <f>IF($A517="","",MIN(Settings!$B$8,IFERROR(SUMIF(Weekly_Coaching!$B:$B,$A517,Weekly_Coaching!$D:$D),0)+IFERROR(SUMIF(Monthly_Edu!$B:$B,$A517,Monthly_Edu!$D:$D),0)+IFERROR(SUMIF(Monthly_Ops!$B:$B,$A517,Monthly_Ops!$D:$D),0)+IFERROR(SUMIF(Monthly_Mentor!$B:$B,$A517,Monthly_Mentor!$D:$D),0)+IFERROR(SUMIF(Quarterly_Impact!$B:$B,$A517,Quarterly_Impact!$D:$D),0)+IFERROR(SUMIFS(XPLog!$M:$M,XPLog!$B:$B,$A517,XPLog!$J:$J,"Admin"),0)+IFERROR(SUMIFS(XPLog!$M:$M,XPLog!$B:$B,$A517,XPLog!$J:$J,"Seeding"),0)))</f>
        <v/>
      </c>
      <c r="F517" s="27">
        <f>IF($E517="","",LOOKUP($E517, XPBands!B$2:B$10, XPBands!A$2:A$10))</f>
        <v/>
      </c>
      <c r="G517" s="27">
        <f>IF($E517="","", VLOOKUP($F517, XPBands!A$2:G$10, 4, FALSE) + MIN(VLOOKUP($F517, XPBands!A$2:G$10, 5, FALSE) - VLOOKUP($F517, XPBands!A$2:G$10, 4, FALSE), FLOOR(( $E517 - VLOOKUP($F517, XPBands!A$2:G$10, 2, FALSE) ) / VLOOKUP($F517, XPBands!A$2:G$10, 7, FALSE),1)))</f>
        <v/>
      </c>
      <c r="H517" s="27">
        <f>IF($D517="","",VLOOKUP($D517,RoleTitles!$A:$E,3,FALSE))</f>
        <v/>
      </c>
      <c r="I517" s="27">
        <f>IF($D517="","",IF($C517="Greek",VLOOKUP($D517,RoleTitles!$A:$E,4,FALSE),IF($C517="Aesir",VLOOKUP($D517,RoleTitles!$A:$E,5,FALSE),VLOOKUP($D517,RoleTitles!$A:$E,3,FALSE))))</f>
        <v/>
      </c>
      <c r="J517" s="27">
        <f>IF($D517="","",IF($E517&gt;=VLOOKUP($D517,RoleTitles!$A:$B,2,FALSE),"Yes","No"))</f>
        <v/>
      </c>
      <c r="K517" s="27">
        <f>IF($D517="","",IF($D517="T1","T2",IF($D517="T2","T3",IF($D517="T3","T4",IF($D517="T4","T5",IF($D517="T5","T6",IF($D517="T6","T7",IF($D517="T7","T8",IF($D517="T8","T9","")))))))))</f>
        <v/>
      </c>
      <c r="L517" s="28">
        <f>IF($K517="","",MAX(0,VLOOKUP($K517,RoleTitles!$A:$B,2,FALSE)-$E517))</f>
        <v/>
      </c>
    </row>
    <row r="518">
      <c r="A518" s="24">
        <f>IFERROR(INDEX(CoachRoster!$A$2:$A$1000,ROW()-1),"")</f>
        <v/>
      </c>
      <c r="B518" s="27">
        <f>IF($A518="","",VLOOKUP($A518,CoachRoster!$A:$E,2,FALSE))</f>
        <v/>
      </c>
      <c r="C518" s="27">
        <f>IF($A518="","",VLOOKUP($A518,CoachRoster!$A:$E,3,FALSE))</f>
        <v/>
      </c>
      <c r="D518" s="27">
        <f>IF($A518="","",VLOOKUP($A518,CoachRoster!$A:$E,4,FALSE))</f>
        <v/>
      </c>
      <c r="E518" s="27">
        <f>IF($A518="","",MIN(Settings!$B$8,IFERROR(SUMIF(Weekly_Coaching!$B:$B,$A518,Weekly_Coaching!$D:$D),0)+IFERROR(SUMIF(Monthly_Edu!$B:$B,$A518,Monthly_Edu!$D:$D),0)+IFERROR(SUMIF(Monthly_Ops!$B:$B,$A518,Monthly_Ops!$D:$D),0)+IFERROR(SUMIF(Monthly_Mentor!$B:$B,$A518,Monthly_Mentor!$D:$D),0)+IFERROR(SUMIF(Quarterly_Impact!$B:$B,$A518,Quarterly_Impact!$D:$D),0)+IFERROR(SUMIFS(XPLog!$M:$M,XPLog!$B:$B,$A518,XPLog!$J:$J,"Admin"),0)+IFERROR(SUMIFS(XPLog!$M:$M,XPLog!$B:$B,$A518,XPLog!$J:$J,"Seeding"),0)))</f>
        <v/>
      </c>
      <c r="F518" s="27">
        <f>IF($E518="","",LOOKUP($E518, XPBands!B$2:B$10, XPBands!A$2:A$10))</f>
        <v/>
      </c>
      <c r="G518" s="27">
        <f>IF($E518="","", VLOOKUP($F518, XPBands!A$2:G$10, 4, FALSE) + MIN(VLOOKUP($F518, XPBands!A$2:G$10, 5, FALSE) - VLOOKUP($F518, XPBands!A$2:G$10, 4, FALSE), FLOOR(( $E518 - VLOOKUP($F518, XPBands!A$2:G$10, 2, FALSE) ) / VLOOKUP($F518, XPBands!A$2:G$10, 7, FALSE),1)))</f>
        <v/>
      </c>
      <c r="H518" s="27">
        <f>IF($D518="","",VLOOKUP($D518,RoleTitles!$A:$E,3,FALSE))</f>
        <v/>
      </c>
      <c r="I518" s="27">
        <f>IF($D518="","",IF($C518="Greek",VLOOKUP($D518,RoleTitles!$A:$E,4,FALSE),IF($C518="Aesir",VLOOKUP($D518,RoleTitles!$A:$E,5,FALSE),VLOOKUP($D518,RoleTitles!$A:$E,3,FALSE))))</f>
        <v/>
      </c>
      <c r="J518" s="27">
        <f>IF($D518="","",IF($E518&gt;=VLOOKUP($D518,RoleTitles!$A:$B,2,FALSE),"Yes","No"))</f>
        <v/>
      </c>
      <c r="K518" s="27">
        <f>IF($D518="","",IF($D518="T1","T2",IF($D518="T2","T3",IF($D518="T3","T4",IF($D518="T4","T5",IF($D518="T5","T6",IF($D518="T6","T7",IF($D518="T7","T8",IF($D518="T8","T9","")))))))))</f>
        <v/>
      </c>
      <c r="L518" s="28">
        <f>IF($K518="","",MAX(0,VLOOKUP($K518,RoleTitles!$A:$B,2,FALSE)-$E518))</f>
        <v/>
      </c>
    </row>
    <row r="519">
      <c r="A519" s="24">
        <f>IFERROR(INDEX(CoachRoster!$A$2:$A$1000,ROW()-1),"")</f>
        <v/>
      </c>
      <c r="B519" s="27">
        <f>IF($A519="","",VLOOKUP($A519,CoachRoster!$A:$E,2,FALSE))</f>
        <v/>
      </c>
      <c r="C519" s="27">
        <f>IF($A519="","",VLOOKUP($A519,CoachRoster!$A:$E,3,FALSE))</f>
        <v/>
      </c>
      <c r="D519" s="27">
        <f>IF($A519="","",VLOOKUP($A519,CoachRoster!$A:$E,4,FALSE))</f>
        <v/>
      </c>
      <c r="E519" s="27">
        <f>IF($A519="","",MIN(Settings!$B$8,IFERROR(SUMIF(Weekly_Coaching!$B:$B,$A519,Weekly_Coaching!$D:$D),0)+IFERROR(SUMIF(Monthly_Edu!$B:$B,$A519,Monthly_Edu!$D:$D),0)+IFERROR(SUMIF(Monthly_Ops!$B:$B,$A519,Monthly_Ops!$D:$D),0)+IFERROR(SUMIF(Monthly_Mentor!$B:$B,$A519,Monthly_Mentor!$D:$D),0)+IFERROR(SUMIF(Quarterly_Impact!$B:$B,$A519,Quarterly_Impact!$D:$D),0)+IFERROR(SUMIFS(XPLog!$M:$M,XPLog!$B:$B,$A519,XPLog!$J:$J,"Admin"),0)+IFERROR(SUMIFS(XPLog!$M:$M,XPLog!$B:$B,$A519,XPLog!$J:$J,"Seeding"),0)))</f>
        <v/>
      </c>
      <c r="F519" s="27">
        <f>IF($E519="","",LOOKUP($E519, XPBands!B$2:B$10, XPBands!A$2:A$10))</f>
        <v/>
      </c>
      <c r="G519" s="27">
        <f>IF($E519="","", VLOOKUP($F519, XPBands!A$2:G$10, 4, FALSE) + MIN(VLOOKUP($F519, XPBands!A$2:G$10, 5, FALSE) - VLOOKUP($F519, XPBands!A$2:G$10, 4, FALSE), FLOOR(( $E519 - VLOOKUP($F519, XPBands!A$2:G$10, 2, FALSE) ) / VLOOKUP($F519, XPBands!A$2:G$10, 7, FALSE),1)))</f>
        <v/>
      </c>
      <c r="H519" s="27">
        <f>IF($D519="","",VLOOKUP($D519,RoleTitles!$A:$E,3,FALSE))</f>
        <v/>
      </c>
      <c r="I519" s="27">
        <f>IF($D519="","",IF($C519="Greek",VLOOKUP($D519,RoleTitles!$A:$E,4,FALSE),IF($C519="Aesir",VLOOKUP($D519,RoleTitles!$A:$E,5,FALSE),VLOOKUP($D519,RoleTitles!$A:$E,3,FALSE))))</f>
        <v/>
      </c>
      <c r="J519" s="27">
        <f>IF($D519="","",IF($E519&gt;=VLOOKUP($D519,RoleTitles!$A:$B,2,FALSE),"Yes","No"))</f>
        <v/>
      </c>
      <c r="K519" s="27">
        <f>IF($D519="","",IF($D519="T1","T2",IF($D519="T2","T3",IF($D519="T3","T4",IF($D519="T4","T5",IF($D519="T5","T6",IF($D519="T6","T7",IF($D519="T7","T8",IF($D519="T8","T9","")))))))))</f>
        <v/>
      </c>
      <c r="L519" s="28">
        <f>IF($K519="","",MAX(0,VLOOKUP($K519,RoleTitles!$A:$B,2,FALSE)-$E519))</f>
        <v/>
      </c>
    </row>
    <row r="520">
      <c r="A520" s="24">
        <f>IFERROR(INDEX(CoachRoster!$A$2:$A$1000,ROW()-1),"")</f>
        <v/>
      </c>
      <c r="B520" s="27">
        <f>IF($A520="","",VLOOKUP($A520,CoachRoster!$A:$E,2,FALSE))</f>
        <v/>
      </c>
      <c r="C520" s="27">
        <f>IF($A520="","",VLOOKUP($A520,CoachRoster!$A:$E,3,FALSE))</f>
        <v/>
      </c>
      <c r="D520" s="27">
        <f>IF($A520="","",VLOOKUP($A520,CoachRoster!$A:$E,4,FALSE))</f>
        <v/>
      </c>
      <c r="E520" s="27">
        <f>IF($A520="","",MIN(Settings!$B$8,IFERROR(SUMIF(Weekly_Coaching!$B:$B,$A520,Weekly_Coaching!$D:$D),0)+IFERROR(SUMIF(Monthly_Edu!$B:$B,$A520,Monthly_Edu!$D:$D),0)+IFERROR(SUMIF(Monthly_Ops!$B:$B,$A520,Monthly_Ops!$D:$D),0)+IFERROR(SUMIF(Monthly_Mentor!$B:$B,$A520,Monthly_Mentor!$D:$D),0)+IFERROR(SUMIF(Quarterly_Impact!$B:$B,$A520,Quarterly_Impact!$D:$D),0)+IFERROR(SUMIFS(XPLog!$M:$M,XPLog!$B:$B,$A520,XPLog!$J:$J,"Admin"),0)+IFERROR(SUMIFS(XPLog!$M:$M,XPLog!$B:$B,$A520,XPLog!$J:$J,"Seeding"),0)))</f>
        <v/>
      </c>
      <c r="F520" s="27">
        <f>IF($E520="","",LOOKUP($E520, XPBands!B$2:B$10, XPBands!A$2:A$10))</f>
        <v/>
      </c>
      <c r="G520" s="27">
        <f>IF($E520="","", VLOOKUP($F520, XPBands!A$2:G$10, 4, FALSE) + MIN(VLOOKUP($F520, XPBands!A$2:G$10, 5, FALSE) - VLOOKUP($F520, XPBands!A$2:G$10, 4, FALSE), FLOOR(( $E520 - VLOOKUP($F520, XPBands!A$2:G$10, 2, FALSE) ) / VLOOKUP($F520, XPBands!A$2:G$10, 7, FALSE),1)))</f>
        <v/>
      </c>
      <c r="H520" s="27">
        <f>IF($D520="","",VLOOKUP($D520,RoleTitles!$A:$E,3,FALSE))</f>
        <v/>
      </c>
      <c r="I520" s="27">
        <f>IF($D520="","",IF($C520="Greek",VLOOKUP($D520,RoleTitles!$A:$E,4,FALSE),IF($C520="Aesir",VLOOKUP($D520,RoleTitles!$A:$E,5,FALSE),VLOOKUP($D520,RoleTitles!$A:$E,3,FALSE))))</f>
        <v/>
      </c>
      <c r="J520" s="27">
        <f>IF($D520="","",IF($E520&gt;=VLOOKUP($D520,RoleTitles!$A:$B,2,FALSE),"Yes","No"))</f>
        <v/>
      </c>
      <c r="K520" s="27">
        <f>IF($D520="","",IF($D520="T1","T2",IF($D520="T2","T3",IF($D520="T3","T4",IF($D520="T4","T5",IF($D520="T5","T6",IF($D520="T6","T7",IF($D520="T7","T8",IF($D520="T8","T9","")))))))))</f>
        <v/>
      </c>
      <c r="L520" s="28">
        <f>IF($K520="","",MAX(0,VLOOKUP($K520,RoleTitles!$A:$B,2,FALSE)-$E520))</f>
        <v/>
      </c>
    </row>
    <row r="521">
      <c r="A521" s="24">
        <f>IFERROR(INDEX(CoachRoster!$A$2:$A$1000,ROW()-1),"")</f>
        <v/>
      </c>
      <c r="B521" s="27">
        <f>IF($A521="","",VLOOKUP($A521,CoachRoster!$A:$E,2,FALSE))</f>
        <v/>
      </c>
      <c r="C521" s="27">
        <f>IF($A521="","",VLOOKUP($A521,CoachRoster!$A:$E,3,FALSE))</f>
        <v/>
      </c>
      <c r="D521" s="27">
        <f>IF($A521="","",VLOOKUP($A521,CoachRoster!$A:$E,4,FALSE))</f>
        <v/>
      </c>
      <c r="E521" s="27">
        <f>IF($A521="","",MIN(Settings!$B$8,IFERROR(SUMIF(Weekly_Coaching!$B:$B,$A521,Weekly_Coaching!$D:$D),0)+IFERROR(SUMIF(Monthly_Edu!$B:$B,$A521,Monthly_Edu!$D:$D),0)+IFERROR(SUMIF(Monthly_Ops!$B:$B,$A521,Monthly_Ops!$D:$D),0)+IFERROR(SUMIF(Monthly_Mentor!$B:$B,$A521,Monthly_Mentor!$D:$D),0)+IFERROR(SUMIF(Quarterly_Impact!$B:$B,$A521,Quarterly_Impact!$D:$D),0)+IFERROR(SUMIFS(XPLog!$M:$M,XPLog!$B:$B,$A521,XPLog!$J:$J,"Admin"),0)+IFERROR(SUMIFS(XPLog!$M:$M,XPLog!$B:$B,$A521,XPLog!$J:$J,"Seeding"),0)))</f>
        <v/>
      </c>
      <c r="F521" s="27">
        <f>IF($E521="","",LOOKUP($E521, XPBands!B$2:B$10, XPBands!A$2:A$10))</f>
        <v/>
      </c>
      <c r="G521" s="27">
        <f>IF($E521="","", VLOOKUP($F521, XPBands!A$2:G$10, 4, FALSE) + MIN(VLOOKUP($F521, XPBands!A$2:G$10, 5, FALSE) - VLOOKUP($F521, XPBands!A$2:G$10, 4, FALSE), FLOOR(( $E521 - VLOOKUP($F521, XPBands!A$2:G$10, 2, FALSE) ) / VLOOKUP($F521, XPBands!A$2:G$10, 7, FALSE),1)))</f>
        <v/>
      </c>
      <c r="H521" s="27">
        <f>IF($D521="","",VLOOKUP($D521,RoleTitles!$A:$E,3,FALSE))</f>
        <v/>
      </c>
      <c r="I521" s="27">
        <f>IF($D521="","",IF($C521="Greek",VLOOKUP($D521,RoleTitles!$A:$E,4,FALSE),IF($C521="Aesir",VLOOKUP($D521,RoleTitles!$A:$E,5,FALSE),VLOOKUP($D521,RoleTitles!$A:$E,3,FALSE))))</f>
        <v/>
      </c>
      <c r="J521" s="27">
        <f>IF($D521="","",IF($E521&gt;=VLOOKUP($D521,RoleTitles!$A:$B,2,FALSE),"Yes","No"))</f>
        <v/>
      </c>
      <c r="K521" s="27">
        <f>IF($D521="","",IF($D521="T1","T2",IF($D521="T2","T3",IF($D521="T3","T4",IF($D521="T4","T5",IF($D521="T5","T6",IF($D521="T6","T7",IF($D521="T7","T8",IF($D521="T8","T9","")))))))))</f>
        <v/>
      </c>
      <c r="L521" s="28">
        <f>IF($K521="","",MAX(0,VLOOKUP($K521,RoleTitles!$A:$B,2,FALSE)-$E521))</f>
        <v/>
      </c>
    </row>
    <row r="522">
      <c r="A522" s="24">
        <f>IFERROR(INDEX(CoachRoster!$A$2:$A$1000,ROW()-1),"")</f>
        <v/>
      </c>
      <c r="B522" s="27">
        <f>IF($A522="","",VLOOKUP($A522,CoachRoster!$A:$E,2,FALSE))</f>
        <v/>
      </c>
      <c r="C522" s="27">
        <f>IF($A522="","",VLOOKUP($A522,CoachRoster!$A:$E,3,FALSE))</f>
        <v/>
      </c>
      <c r="D522" s="27">
        <f>IF($A522="","",VLOOKUP($A522,CoachRoster!$A:$E,4,FALSE))</f>
        <v/>
      </c>
      <c r="E522" s="27">
        <f>IF($A522="","",MIN(Settings!$B$8,IFERROR(SUMIF(Weekly_Coaching!$B:$B,$A522,Weekly_Coaching!$D:$D),0)+IFERROR(SUMIF(Monthly_Edu!$B:$B,$A522,Monthly_Edu!$D:$D),0)+IFERROR(SUMIF(Monthly_Ops!$B:$B,$A522,Monthly_Ops!$D:$D),0)+IFERROR(SUMIF(Monthly_Mentor!$B:$B,$A522,Monthly_Mentor!$D:$D),0)+IFERROR(SUMIF(Quarterly_Impact!$B:$B,$A522,Quarterly_Impact!$D:$D),0)+IFERROR(SUMIFS(XPLog!$M:$M,XPLog!$B:$B,$A522,XPLog!$J:$J,"Admin"),0)+IFERROR(SUMIFS(XPLog!$M:$M,XPLog!$B:$B,$A522,XPLog!$J:$J,"Seeding"),0)))</f>
        <v/>
      </c>
      <c r="F522" s="27">
        <f>IF($E522="","",LOOKUP($E522, XPBands!B$2:B$10, XPBands!A$2:A$10))</f>
        <v/>
      </c>
      <c r="G522" s="27">
        <f>IF($E522="","", VLOOKUP($F522, XPBands!A$2:G$10, 4, FALSE) + MIN(VLOOKUP($F522, XPBands!A$2:G$10, 5, FALSE) - VLOOKUP($F522, XPBands!A$2:G$10, 4, FALSE), FLOOR(( $E522 - VLOOKUP($F522, XPBands!A$2:G$10, 2, FALSE) ) / VLOOKUP($F522, XPBands!A$2:G$10, 7, FALSE),1)))</f>
        <v/>
      </c>
      <c r="H522" s="27">
        <f>IF($D522="","",VLOOKUP($D522,RoleTitles!$A:$E,3,FALSE))</f>
        <v/>
      </c>
      <c r="I522" s="27">
        <f>IF($D522="","",IF($C522="Greek",VLOOKUP($D522,RoleTitles!$A:$E,4,FALSE),IF($C522="Aesir",VLOOKUP($D522,RoleTitles!$A:$E,5,FALSE),VLOOKUP($D522,RoleTitles!$A:$E,3,FALSE))))</f>
        <v/>
      </c>
      <c r="J522" s="27">
        <f>IF($D522="","",IF($E522&gt;=VLOOKUP($D522,RoleTitles!$A:$B,2,FALSE),"Yes","No"))</f>
        <v/>
      </c>
      <c r="K522" s="27">
        <f>IF($D522="","",IF($D522="T1","T2",IF($D522="T2","T3",IF($D522="T3","T4",IF($D522="T4","T5",IF($D522="T5","T6",IF($D522="T6","T7",IF($D522="T7","T8",IF($D522="T8","T9","")))))))))</f>
        <v/>
      </c>
      <c r="L522" s="28">
        <f>IF($K522="","",MAX(0,VLOOKUP($K522,RoleTitles!$A:$B,2,FALSE)-$E522))</f>
        <v/>
      </c>
    </row>
    <row r="523">
      <c r="A523" s="24">
        <f>IFERROR(INDEX(CoachRoster!$A$2:$A$1000,ROW()-1),"")</f>
        <v/>
      </c>
      <c r="B523" s="27">
        <f>IF($A523="","",VLOOKUP($A523,CoachRoster!$A:$E,2,FALSE))</f>
        <v/>
      </c>
      <c r="C523" s="27">
        <f>IF($A523="","",VLOOKUP($A523,CoachRoster!$A:$E,3,FALSE))</f>
        <v/>
      </c>
      <c r="D523" s="27">
        <f>IF($A523="","",VLOOKUP($A523,CoachRoster!$A:$E,4,FALSE))</f>
        <v/>
      </c>
      <c r="E523" s="27">
        <f>IF($A523="","",MIN(Settings!$B$8,IFERROR(SUMIF(Weekly_Coaching!$B:$B,$A523,Weekly_Coaching!$D:$D),0)+IFERROR(SUMIF(Monthly_Edu!$B:$B,$A523,Monthly_Edu!$D:$D),0)+IFERROR(SUMIF(Monthly_Ops!$B:$B,$A523,Monthly_Ops!$D:$D),0)+IFERROR(SUMIF(Monthly_Mentor!$B:$B,$A523,Monthly_Mentor!$D:$D),0)+IFERROR(SUMIF(Quarterly_Impact!$B:$B,$A523,Quarterly_Impact!$D:$D),0)+IFERROR(SUMIFS(XPLog!$M:$M,XPLog!$B:$B,$A523,XPLog!$J:$J,"Admin"),0)+IFERROR(SUMIFS(XPLog!$M:$M,XPLog!$B:$B,$A523,XPLog!$J:$J,"Seeding"),0)))</f>
        <v/>
      </c>
      <c r="F523" s="27">
        <f>IF($E523="","",LOOKUP($E523, XPBands!B$2:B$10, XPBands!A$2:A$10))</f>
        <v/>
      </c>
      <c r="G523" s="27">
        <f>IF($E523="","", VLOOKUP($F523, XPBands!A$2:G$10, 4, FALSE) + MIN(VLOOKUP($F523, XPBands!A$2:G$10, 5, FALSE) - VLOOKUP($F523, XPBands!A$2:G$10, 4, FALSE), FLOOR(( $E523 - VLOOKUP($F523, XPBands!A$2:G$10, 2, FALSE) ) / VLOOKUP($F523, XPBands!A$2:G$10, 7, FALSE),1)))</f>
        <v/>
      </c>
      <c r="H523" s="27">
        <f>IF($D523="","",VLOOKUP($D523,RoleTitles!$A:$E,3,FALSE))</f>
        <v/>
      </c>
      <c r="I523" s="27">
        <f>IF($D523="","",IF($C523="Greek",VLOOKUP($D523,RoleTitles!$A:$E,4,FALSE),IF($C523="Aesir",VLOOKUP($D523,RoleTitles!$A:$E,5,FALSE),VLOOKUP($D523,RoleTitles!$A:$E,3,FALSE))))</f>
        <v/>
      </c>
      <c r="J523" s="27">
        <f>IF($D523="","",IF($E523&gt;=VLOOKUP($D523,RoleTitles!$A:$B,2,FALSE),"Yes","No"))</f>
        <v/>
      </c>
      <c r="K523" s="27">
        <f>IF($D523="","",IF($D523="T1","T2",IF($D523="T2","T3",IF($D523="T3","T4",IF($D523="T4","T5",IF($D523="T5","T6",IF($D523="T6","T7",IF($D523="T7","T8",IF($D523="T8","T9","")))))))))</f>
        <v/>
      </c>
      <c r="L523" s="28">
        <f>IF($K523="","",MAX(0,VLOOKUP($K523,RoleTitles!$A:$B,2,FALSE)-$E523))</f>
        <v/>
      </c>
    </row>
    <row r="524">
      <c r="A524" s="24">
        <f>IFERROR(INDEX(CoachRoster!$A$2:$A$1000,ROW()-1),"")</f>
        <v/>
      </c>
      <c r="B524" s="27">
        <f>IF($A524="","",VLOOKUP($A524,CoachRoster!$A:$E,2,FALSE))</f>
        <v/>
      </c>
      <c r="C524" s="27">
        <f>IF($A524="","",VLOOKUP($A524,CoachRoster!$A:$E,3,FALSE))</f>
        <v/>
      </c>
      <c r="D524" s="27">
        <f>IF($A524="","",VLOOKUP($A524,CoachRoster!$A:$E,4,FALSE))</f>
        <v/>
      </c>
      <c r="E524" s="27">
        <f>IF($A524="","",MIN(Settings!$B$8,IFERROR(SUMIF(Weekly_Coaching!$B:$B,$A524,Weekly_Coaching!$D:$D),0)+IFERROR(SUMIF(Monthly_Edu!$B:$B,$A524,Monthly_Edu!$D:$D),0)+IFERROR(SUMIF(Monthly_Ops!$B:$B,$A524,Monthly_Ops!$D:$D),0)+IFERROR(SUMIF(Monthly_Mentor!$B:$B,$A524,Monthly_Mentor!$D:$D),0)+IFERROR(SUMIF(Quarterly_Impact!$B:$B,$A524,Quarterly_Impact!$D:$D),0)+IFERROR(SUMIFS(XPLog!$M:$M,XPLog!$B:$B,$A524,XPLog!$J:$J,"Admin"),0)+IFERROR(SUMIFS(XPLog!$M:$M,XPLog!$B:$B,$A524,XPLog!$J:$J,"Seeding"),0)))</f>
        <v/>
      </c>
      <c r="F524" s="27">
        <f>IF($E524="","",LOOKUP($E524, XPBands!B$2:B$10, XPBands!A$2:A$10))</f>
        <v/>
      </c>
      <c r="G524" s="27">
        <f>IF($E524="","", VLOOKUP($F524, XPBands!A$2:G$10, 4, FALSE) + MIN(VLOOKUP($F524, XPBands!A$2:G$10, 5, FALSE) - VLOOKUP($F524, XPBands!A$2:G$10, 4, FALSE), FLOOR(( $E524 - VLOOKUP($F524, XPBands!A$2:G$10, 2, FALSE) ) / VLOOKUP($F524, XPBands!A$2:G$10, 7, FALSE),1)))</f>
        <v/>
      </c>
      <c r="H524" s="27">
        <f>IF($D524="","",VLOOKUP($D524,RoleTitles!$A:$E,3,FALSE))</f>
        <v/>
      </c>
      <c r="I524" s="27">
        <f>IF($D524="","",IF($C524="Greek",VLOOKUP($D524,RoleTitles!$A:$E,4,FALSE),IF($C524="Aesir",VLOOKUP($D524,RoleTitles!$A:$E,5,FALSE),VLOOKUP($D524,RoleTitles!$A:$E,3,FALSE))))</f>
        <v/>
      </c>
      <c r="J524" s="27">
        <f>IF($D524="","",IF($E524&gt;=VLOOKUP($D524,RoleTitles!$A:$B,2,FALSE),"Yes","No"))</f>
        <v/>
      </c>
      <c r="K524" s="27">
        <f>IF($D524="","",IF($D524="T1","T2",IF($D524="T2","T3",IF($D524="T3","T4",IF($D524="T4","T5",IF($D524="T5","T6",IF($D524="T6","T7",IF($D524="T7","T8",IF($D524="T8","T9","")))))))))</f>
        <v/>
      </c>
      <c r="L524" s="28">
        <f>IF($K524="","",MAX(0,VLOOKUP($K524,RoleTitles!$A:$B,2,FALSE)-$E524))</f>
        <v/>
      </c>
    </row>
    <row r="525">
      <c r="A525" s="24">
        <f>IFERROR(INDEX(CoachRoster!$A$2:$A$1000,ROW()-1),"")</f>
        <v/>
      </c>
      <c r="B525" s="27">
        <f>IF($A525="","",VLOOKUP($A525,CoachRoster!$A:$E,2,FALSE))</f>
        <v/>
      </c>
      <c r="C525" s="27">
        <f>IF($A525="","",VLOOKUP($A525,CoachRoster!$A:$E,3,FALSE))</f>
        <v/>
      </c>
      <c r="D525" s="27">
        <f>IF($A525="","",VLOOKUP($A525,CoachRoster!$A:$E,4,FALSE))</f>
        <v/>
      </c>
      <c r="E525" s="27">
        <f>IF($A525="","",MIN(Settings!$B$8,IFERROR(SUMIF(Weekly_Coaching!$B:$B,$A525,Weekly_Coaching!$D:$D),0)+IFERROR(SUMIF(Monthly_Edu!$B:$B,$A525,Monthly_Edu!$D:$D),0)+IFERROR(SUMIF(Monthly_Ops!$B:$B,$A525,Monthly_Ops!$D:$D),0)+IFERROR(SUMIF(Monthly_Mentor!$B:$B,$A525,Monthly_Mentor!$D:$D),0)+IFERROR(SUMIF(Quarterly_Impact!$B:$B,$A525,Quarterly_Impact!$D:$D),0)+IFERROR(SUMIFS(XPLog!$M:$M,XPLog!$B:$B,$A525,XPLog!$J:$J,"Admin"),0)+IFERROR(SUMIFS(XPLog!$M:$M,XPLog!$B:$B,$A525,XPLog!$J:$J,"Seeding"),0)))</f>
        <v/>
      </c>
      <c r="F525" s="27">
        <f>IF($E525="","",LOOKUP($E525, XPBands!B$2:B$10, XPBands!A$2:A$10))</f>
        <v/>
      </c>
      <c r="G525" s="27">
        <f>IF($E525="","", VLOOKUP($F525, XPBands!A$2:G$10, 4, FALSE) + MIN(VLOOKUP($F525, XPBands!A$2:G$10, 5, FALSE) - VLOOKUP($F525, XPBands!A$2:G$10, 4, FALSE), FLOOR(( $E525 - VLOOKUP($F525, XPBands!A$2:G$10, 2, FALSE) ) / VLOOKUP($F525, XPBands!A$2:G$10, 7, FALSE),1)))</f>
        <v/>
      </c>
      <c r="H525" s="27">
        <f>IF($D525="","",VLOOKUP($D525,RoleTitles!$A:$E,3,FALSE))</f>
        <v/>
      </c>
      <c r="I525" s="27">
        <f>IF($D525="","",IF($C525="Greek",VLOOKUP($D525,RoleTitles!$A:$E,4,FALSE),IF($C525="Aesir",VLOOKUP($D525,RoleTitles!$A:$E,5,FALSE),VLOOKUP($D525,RoleTitles!$A:$E,3,FALSE))))</f>
        <v/>
      </c>
      <c r="J525" s="27">
        <f>IF($D525="","",IF($E525&gt;=VLOOKUP($D525,RoleTitles!$A:$B,2,FALSE),"Yes","No"))</f>
        <v/>
      </c>
      <c r="K525" s="27">
        <f>IF($D525="","",IF($D525="T1","T2",IF($D525="T2","T3",IF($D525="T3","T4",IF($D525="T4","T5",IF($D525="T5","T6",IF($D525="T6","T7",IF($D525="T7","T8",IF($D525="T8","T9","")))))))))</f>
        <v/>
      </c>
      <c r="L525" s="28">
        <f>IF($K525="","",MAX(0,VLOOKUP($K525,RoleTitles!$A:$B,2,FALSE)-$E525))</f>
        <v/>
      </c>
    </row>
    <row r="526">
      <c r="A526" s="24">
        <f>IFERROR(INDEX(CoachRoster!$A$2:$A$1000,ROW()-1),"")</f>
        <v/>
      </c>
      <c r="B526" s="27">
        <f>IF($A526="","",VLOOKUP($A526,CoachRoster!$A:$E,2,FALSE))</f>
        <v/>
      </c>
      <c r="C526" s="27">
        <f>IF($A526="","",VLOOKUP($A526,CoachRoster!$A:$E,3,FALSE))</f>
        <v/>
      </c>
      <c r="D526" s="27">
        <f>IF($A526="","",VLOOKUP($A526,CoachRoster!$A:$E,4,FALSE))</f>
        <v/>
      </c>
      <c r="E526" s="27">
        <f>IF($A526="","",MIN(Settings!$B$8,IFERROR(SUMIF(Weekly_Coaching!$B:$B,$A526,Weekly_Coaching!$D:$D),0)+IFERROR(SUMIF(Monthly_Edu!$B:$B,$A526,Monthly_Edu!$D:$D),0)+IFERROR(SUMIF(Monthly_Ops!$B:$B,$A526,Monthly_Ops!$D:$D),0)+IFERROR(SUMIF(Monthly_Mentor!$B:$B,$A526,Monthly_Mentor!$D:$D),0)+IFERROR(SUMIF(Quarterly_Impact!$B:$B,$A526,Quarterly_Impact!$D:$D),0)+IFERROR(SUMIFS(XPLog!$M:$M,XPLog!$B:$B,$A526,XPLog!$J:$J,"Admin"),0)+IFERROR(SUMIFS(XPLog!$M:$M,XPLog!$B:$B,$A526,XPLog!$J:$J,"Seeding"),0)))</f>
        <v/>
      </c>
      <c r="F526" s="27">
        <f>IF($E526="","",LOOKUP($E526, XPBands!B$2:B$10, XPBands!A$2:A$10))</f>
        <v/>
      </c>
      <c r="G526" s="27">
        <f>IF($E526="","", VLOOKUP($F526, XPBands!A$2:G$10, 4, FALSE) + MIN(VLOOKUP($F526, XPBands!A$2:G$10, 5, FALSE) - VLOOKUP($F526, XPBands!A$2:G$10, 4, FALSE), FLOOR(( $E526 - VLOOKUP($F526, XPBands!A$2:G$10, 2, FALSE) ) / VLOOKUP($F526, XPBands!A$2:G$10, 7, FALSE),1)))</f>
        <v/>
      </c>
      <c r="H526" s="27">
        <f>IF($D526="","",VLOOKUP($D526,RoleTitles!$A:$E,3,FALSE))</f>
        <v/>
      </c>
      <c r="I526" s="27">
        <f>IF($D526="","",IF($C526="Greek",VLOOKUP($D526,RoleTitles!$A:$E,4,FALSE),IF($C526="Aesir",VLOOKUP($D526,RoleTitles!$A:$E,5,FALSE),VLOOKUP($D526,RoleTitles!$A:$E,3,FALSE))))</f>
        <v/>
      </c>
      <c r="J526" s="27">
        <f>IF($D526="","",IF($E526&gt;=VLOOKUP($D526,RoleTitles!$A:$B,2,FALSE),"Yes","No"))</f>
        <v/>
      </c>
      <c r="K526" s="27">
        <f>IF($D526="","",IF($D526="T1","T2",IF($D526="T2","T3",IF($D526="T3","T4",IF($D526="T4","T5",IF($D526="T5","T6",IF($D526="T6","T7",IF($D526="T7","T8",IF($D526="T8","T9","")))))))))</f>
        <v/>
      </c>
      <c r="L526" s="28">
        <f>IF($K526="","",MAX(0,VLOOKUP($K526,RoleTitles!$A:$B,2,FALSE)-$E526))</f>
        <v/>
      </c>
    </row>
    <row r="527">
      <c r="A527" s="24">
        <f>IFERROR(INDEX(CoachRoster!$A$2:$A$1000,ROW()-1),"")</f>
        <v/>
      </c>
      <c r="B527" s="27">
        <f>IF($A527="","",VLOOKUP($A527,CoachRoster!$A:$E,2,FALSE))</f>
        <v/>
      </c>
      <c r="C527" s="27">
        <f>IF($A527="","",VLOOKUP($A527,CoachRoster!$A:$E,3,FALSE))</f>
        <v/>
      </c>
      <c r="D527" s="27">
        <f>IF($A527="","",VLOOKUP($A527,CoachRoster!$A:$E,4,FALSE))</f>
        <v/>
      </c>
      <c r="E527" s="27">
        <f>IF($A527="","",MIN(Settings!$B$8,IFERROR(SUMIF(Weekly_Coaching!$B:$B,$A527,Weekly_Coaching!$D:$D),0)+IFERROR(SUMIF(Monthly_Edu!$B:$B,$A527,Monthly_Edu!$D:$D),0)+IFERROR(SUMIF(Monthly_Ops!$B:$B,$A527,Monthly_Ops!$D:$D),0)+IFERROR(SUMIF(Monthly_Mentor!$B:$B,$A527,Monthly_Mentor!$D:$D),0)+IFERROR(SUMIF(Quarterly_Impact!$B:$B,$A527,Quarterly_Impact!$D:$D),0)+IFERROR(SUMIFS(XPLog!$M:$M,XPLog!$B:$B,$A527,XPLog!$J:$J,"Admin"),0)+IFERROR(SUMIFS(XPLog!$M:$M,XPLog!$B:$B,$A527,XPLog!$J:$J,"Seeding"),0)))</f>
        <v/>
      </c>
      <c r="F527" s="27">
        <f>IF($E527="","",LOOKUP($E527, XPBands!B$2:B$10, XPBands!A$2:A$10))</f>
        <v/>
      </c>
      <c r="G527" s="27">
        <f>IF($E527="","", VLOOKUP($F527, XPBands!A$2:G$10, 4, FALSE) + MIN(VLOOKUP($F527, XPBands!A$2:G$10, 5, FALSE) - VLOOKUP($F527, XPBands!A$2:G$10, 4, FALSE), FLOOR(( $E527 - VLOOKUP($F527, XPBands!A$2:G$10, 2, FALSE) ) / VLOOKUP($F527, XPBands!A$2:G$10, 7, FALSE),1)))</f>
        <v/>
      </c>
      <c r="H527" s="27">
        <f>IF($D527="","",VLOOKUP($D527,RoleTitles!$A:$E,3,FALSE))</f>
        <v/>
      </c>
      <c r="I527" s="27">
        <f>IF($D527="","",IF($C527="Greek",VLOOKUP($D527,RoleTitles!$A:$E,4,FALSE),IF($C527="Aesir",VLOOKUP($D527,RoleTitles!$A:$E,5,FALSE),VLOOKUP($D527,RoleTitles!$A:$E,3,FALSE))))</f>
        <v/>
      </c>
      <c r="J527" s="27">
        <f>IF($D527="","",IF($E527&gt;=VLOOKUP($D527,RoleTitles!$A:$B,2,FALSE),"Yes","No"))</f>
        <v/>
      </c>
      <c r="K527" s="27">
        <f>IF($D527="","",IF($D527="T1","T2",IF($D527="T2","T3",IF($D527="T3","T4",IF($D527="T4","T5",IF($D527="T5","T6",IF($D527="T6","T7",IF($D527="T7","T8",IF($D527="T8","T9","")))))))))</f>
        <v/>
      </c>
      <c r="L527" s="28">
        <f>IF($K527="","",MAX(0,VLOOKUP($K527,RoleTitles!$A:$B,2,FALSE)-$E527))</f>
        <v/>
      </c>
    </row>
    <row r="528">
      <c r="A528" s="24">
        <f>IFERROR(INDEX(CoachRoster!$A$2:$A$1000,ROW()-1),"")</f>
        <v/>
      </c>
      <c r="B528" s="27">
        <f>IF($A528="","",VLOOKUP($A528,CoachRoster!$A:$E,2,FALSE))</f>
        <v/>
      </c>
      <c r="C528" s="27">
        <f>IF($A528="","",VLOOKUP($A528,CoachRoster!$A:$E,3,FALSE))</f>
        <v/>
      </c>
      <c r="D528" s="27">
        <f>IF($A528="","",VLOOKUP($A528,CoachRoster!$A:$E,4,FALSE))</f>
        <v/>
      </c>
      <c r="E528" s="27">
        <f>IF($A528="","",MIN(Settings!$B$8,IFERROR(SUMIF(Weekly_Coaching!$B:$B,$A528,Weekly_Coaching!$D:$D),0)+IFERROR(SUMIF(Monthly_Edu!$B:$B,$A528,Monthly_Edu!$D:$D),0)+IFERROR(SUMIF(Monthly_Ops!$B:$B,$A528,Monthly_Ops!$D:$D),0)+IFERROR(SUMIF(Monthly_Mentor!$B:$B,$A528,Monthly_Mentor!$D:$D),0)+IFERROR(SUMIF(Quarterly_Impact!$B:$B,$A528,Quarterly_Impact!$D:$D),0)+IFERROR(SUMIFS(XPLog!$M:$M,XPLog!$B:$B,$A528,XPLog!$J:$J,"Admin"),0)+IFERROR(SUMIFS(XPLog!$M:$M,XPLog!$B:$B,$A528,XPLog!$J:$J,"Seeding"),0)))</f>
        <v/>
      </c>
      <c r="F528" s="27">
        <f>IF($E528="","",LOOKUP($E528, XPBands!B$2:B$10, XPBands!A$2:A$10))</f>
        <v/>
      </c>
      <c r="G528" s="27">
        <f>IF($E528="","", VLOOKUP($F528, XPBands!A$2:G$10, 4, FALSE) + MIN(VLOOKUP($F528, XPBands!A$2:G$10, 5, FALSE) - VLOOKUP($F528, XPBands!A$2:G$10, 4, FALSE), FLOOR(( $E528 - VLOOKUP($F528, XPBands!A$2:G$10, 2, FALSE) ) / VLOOKUP($F528, XPBands!A$2:G$10, 7, FALSE),1)))</f>
        <v/>
      </c>
      <c r="H528" s="27">
        <f>IF($D528="","",VLOOKUP($D528,RoleTitles!$A:$E,3,FALSE))</f>
        <v/>
      </c>
      <c r="I528" s="27">
        <f>IF($D528="","",IF($C528="Greek",VLOOKUP($D528,RoleTitles!$A:$E,4,FALSE),IF($C528="Aesir",VLOOKUP($D528,RoleTitles!$A:$E,5,FALSE),VLOOKUP($D528,RoleTitles!$A:$E,3,FALSE))))</f>
        <v/>
      </c>
      <c r="J528" s="27">
        <f>IF($D528="","",IF($E528&gt;=VLOOKUP($D528,RoleTitles!$A:$B,2,FALSE),"Yes","No"))</f>
        <v/>
      </c>
      <c r="K528" s="27">
        <f>IF($D528="","",IF($D528="T1","T2",IF($D528="T2","T3",IF($D528="T3","T4",IF($D528="T4","T5",IF($D528="T5","T6",IF($D528="T6","T7",IF($D528="T7","T8",IF($D528="T8","T9","")))))))))</f>
        <v/>
      </c>
      <c r="L528" s="28">
        <f>IF($K528="","",MAX(0,VLOOKUP($K528,RoleTitles!$A:$B,2,FALSE)-$E528))</f>
        <v/>
      </c>
    </row>
    <row r="529">
      <c r="A529" s="24">
        <f>IFERROR(INDEX(CoachRoster!$A$2:$A$1000,ROW()-1),"")</f>
        <v/>
      </c>
      <c r="B529" s="27">
        <f>IF($A529="","",VLOOKUP($A529,CoachRoster!$A:$E,2,FALSE))</f>
        <v/>
      </c>
      <c r="C529" s="27">
        <f>IF($A529="","",VLOOKUP($A529,CoachRoster!$A:$E,3,FALSE))</f>
        <v/>
      </c>
      <c r="D529" s="27">
        <f>IF($A529="","",VLOOKUP($A529,CoachRoster!$A:$E,4,FALSE))</f>
        <v/>
      </c>
      <c r="E529" s="27">
        <f>IF($A529="","",MIN(Settings!$B$8,IFERROR(SUMIF(Weekly_Coaching!$B:$B,$A529,Weekly_Coaching!$D:$D),0)+IFERROR(SUMIF(Monthly_Edu!$B:$B,$A529,Monthly_Edu!$D:$D),0)+IFERROR(SUMIF(Monthly_Ops!$B:$B,$A529,Monthly_Ops!$D:$D),0)+IFERROR(SUMIF(Monthly_Mentor!$B:$B,$A529,Monthly_Mentor!$D:$D),0)+IFERROR(SUMIF(Quarterly_Impact!$B:$B,$A529,Quarterly_Impact!$D:$D),0)+IFERROR(SUMIFS(XPLog!$M:$M,XPLog!$B:$B,$A529,XPLog!$J:$J,"Admin"),0)+IFERROR(SUMIFS(XPLog!$M:$M,XPLog!$B:$B,$A529,XPLog!$J:$J,"Seeding"),0)))</f>
        <v/>
      </c>
      <c r="F529" s="27">
        <f>IF($E529="","",LOOKUP($E529, XPBands!B$2:B$10, XPBands!A$2:A$10))</f>
        <v/>
      </c>
      <c r="G529" s="27">
        <f>IF($E529="","", VLOOKUP($F529, XPBands!A$2:G$10, 4, FALSE) + MIN(VLOOKUP($F529, XPBands!A$2:G$10, 5, FALSE) - VLOOKUP($F529, XPBands!A$2:G$10, 4, FALSE), FLOOR(( $E529 - VLOOKUP($F529, XPBands!A$2:G$10, 2, FALSE) ) / VLOOKUP($F529, XPBands!A$2:G$10, 7, FALSE),1)))</f>
        <v/>
      </c>
      <c r="H529" s="27">
        <f>IF($D529="","",VLOOKUP($D529,RoleTitles!$A:$E,3,FALSE))</f>
        <v/>
      </c>
      <c r="I529" s="27">
        <f>IF($D529="","",IF($C529="Greek",VLOOKUP($D529,RoleTitles!$A:$E,4,FALSE),IF($C529="Aesir",VLOOKUP($D529,RoleTitles!$A:$E,5,FALSE),VLOOKUP($D529,RoleTitles!$A:$E,3,FALSE))))</f>
        <v/>
      </c>
      <c r="J529" s="27">
        <f>IF($D529="","",IF($E529&gt;=VLOOKUP($D529,RoleTitles!$A:$B,2,FALSE),"Yes","No"))</f>
        <v/>
      </c>
      <c r="K529" s="27">
        <f>IF($D529="","",IF($D529="T1","T2",IF($D529="T2","T3",IF($D529="T3","T4",IF($D529="T4","T5",IF($D529="T5","T6",IF($D529="T6","T7",IF($D529="T7","T8",IF($D529="T8","T9","")))))))))</f>
        <v/>
      </c>
      <c r="L529" s="28">
        <f>IF($K529="","",MAX(0,VLOOKUP($K529,RoleTitles!$A:$B,2,FALSE)-$E529))</f>
        <v/>
      </c>
    </row>
    <row r="530">
      <c r="A530" s="24">
        <f>IFERROR(INDEX(CoachRoster!$A$2:$A$1000,ROW()-1),"")</f>
        <v/>
      </c>
      <c r="B530" s="27">
        <f>IF($A530="","",VLOOKUP($A530,CoachRoster!$A:$E,2,FALSE))</f>
        <v/>
      </c>
      <c r="C530" s="27">
        <f>IF($A530="","",VLOOKUP($A530,CoachRoster!$A:$E,3,FALSE))</f>
        <v/>
      </c>
      <c r="D530" s="27">
        <f>IF($A530="","",VLOOKUP($A530,CoachRoster!$A:$E,4,FALSE))</f>
        <v/>
      </c>
      <c r="E530" s="27">
        <f>IF($A530="","",MIN(Settings!$B$8,IFERROR(SUMIF(Weekly_Coaching!$B:$B,$A530,Weekly_Coaching!$D:$D),0)+IFERROR(SUMIF(Monthly_Edu!$B:$B,$A530,Monthly_Edu!$D:$D),0)+IFERROR(SUMIF(Monthly_Ops!$B:$B,$A530,Monthly_Ops!$D:$D),0)+IFERROR(SUMIF(Monthly_Mentor!$B:$B,$A530,Monthly_Mentor!$D:$D),0)+IFERROR(SUMIF(Quarterly_Impact!$B:$B,$A530,Quarterly_Impact!$D:$D),0)+IFERROR(SUMIFS(XPLog!$M:$M,XPLog!$B:$B,$A530,XPLog!$J:$J,"Admin"),0)+IFERROR(SUMIFS(XPLog!$M:$M,XPLog!$B:$B,$A530,XPLog!$J:$J,"Seeding"),0)))</f>
        <v/>
      </c>
      <c r="F530" s="27">
        <f>IF($E530="","",LOOKUP($E530, XPBands!B$2:B$10, XPBands!A$2:A$10))</f>
        <v/>
      </c>
      <c r="G530" s="27">
        <f>IF($E530="","", VLOOKUP($F530, XPBands!A$2:G$10, 4, FALSE) + MIN(VLOOKUP($F530, XPBands!A$2:G$10, 5, FALSE) - VLOOKUP($F530, XPBands!A$2:G$10, 4, FALSE), FLOOR(( $E530 - VLOOKUP($F530, XPBands!A$2:G$10, 2, FALSE) ) / VLOOKUP($F530, XPBands!A$2:G$10, 7, FALSE),1)))</f>
        <v/>
      </c>
      <c r="H530" s="27">
        <f>IF($D530="","",VLOOKUP($D530,RoleTitles!$A:$E,3,FALSE))</f>
        <v/>
      </c>
      <c r="I530" s="27">
        <f>IF($D530="","",IF($C530="Greek",VLOOKUP($D530,RoleTitles!$A:$E,4,FALSE),IF($C530="Aesir",VLOOKUP($D530,RoleTitles!$A:$E,5,FALSE),VLOOKUP($D530,RoleTitles!$A:$E,3,FALSE))))</f>
        <v/>
      </c>
      <c r="J530" s="27">
        <f>IF($D530="","",IF($E530&gt;=VLOOKUP($D530,RoleTitles!$A:$B,2,FALSE),"Yes","No"))</f>
        <v/>
      </c>
      <c r="K530" s="27">
        <f>IF($D530="","",IF($D530="T1","T2",IF($D530="T2","T3",IF($D530="T3","T4",IF($D530="T4","T5",IF($D530="T5","T6",IF($D530="T6","T7",IF($D530="T7","T8",IF($D530="T8","T9","")))))))))</f>
        <v/>
      </c>
      <c r="L530" s="28">
        <f>IF($K530="","",MAX(0,VLOOKUP($K530,RoleTitles!$A:$B,2,FALSE)-$E530))</f>
        <v/>
      </c>
    </row>
    <row r="531">
      <c r="A531" s="24">
        <f>IFERROR(INDEX(CoachRoster!$A$2:$A$1000,ROW()-1),"")</f>
        <v/>
      </c>
      <c r="B531" s="27">
        <f>IF($A531="","",VLOOKUP($A531,CoachRoster!$A:$E,2,FALSE))</f>
        <v/>
      </c>
      <c r="C531" s="27">
        <f>IF($A531="","",VLOOKUP($A531,CoachRoster!$A:$E,3,FALSE))</f>
        <v/>
      </c>
      <c r="D531" s="27">
        <f>IF($A531="","",VLOOKUP($A531,CoachRoster!$A:$E,4,FALSE))</f>
        <v/>
      </c>
      <c r="E531" s="27">
        <f>IF($A531="","",MIN(Settings!$B$8,IFERROR(SUMIF(Weekly_Coaching!$B:$B,$A531,Weekly_Coaching!$D:$D),0)+IFERROR(SUMIF(Monthly_Edu!$B:$B,$A531,Monthly_Edu!$D:$D),0)+IFERROR(SUMIF(Monthly_Ops!$B:$B,$A531,Monthly_Ops!$D:$D),0)+IFERROR(SUMIF(Monthly_Mentor!$B:$B,$A531,Monthly_Mentor!$D:$D),0)+IFERROR(SUMIF(Quarterly_Impact!$B:$B,$A531,Quarterly_Impact!$D:$D),0)+IFERROR(SUMIFS(XPLog!$M:$M,XPLog!$B:$B,$A531,XPLog!$J:$J,"Admin"),0)+IFERROR(SUMIFS(XPLog!$M:$M,XPLog!$B:$B,$A531,XPLog!$J:$J,"Seeding"),0)))</f>
        <v/>
      </c>
      <c r="F531" s="27">
        <f>IF($E531="","",LOOKUP($E531, XPBands!B$2:B$10, XPBands!A$2:A$10))</f>
        <v/>
      </c>
      <c r="G531" s="27">
        <f>IF($E531="","", VLOOKUP($F531, XPBands!A$2:G$10, 4, FALSE) + MIN(VLOOKUP($F531, XPBands!A$2:G$10, 5, FALSE) - VLOOKUP($F531, XPBands!A$2:G$10, 4, FALSE), FLOOR(( $E531 - VLOOKUP($F531, XPBands!A$2:G$10, 2, FALSE) ) / VLOOKUP($F531, XPBands!A$2:G$10, 7, FALSE),1)))</f>
        <v/>
      </c>
      <c r="H531" s="27">
        <f>IF($D531="","",VLOOKUP($D531,RoleTitles!$A:$E,3,FALSE))</f>
        <v/>
      </c>
      <c r="I531" s="27">
        <f>IF($D531="","",IF($C531="Greek",VLOOKUP($D531,RoleTitles!$A:$E,4,FALSE),IF($C531="Aesir",VLOOKUP($D531,RoleTitles!$A:$E,5,FALSE),VLOOKUP($D531,RoleTitles!$A:$E,3,FALSE))))</f>
        <v/>
      </c>
      <c r="J531" s="27">
        <f>IF($D531="","",IF($E531&gt;=VLOOKUP($D531,RoleTitles!$A:$B,2,FALSE),"Yes","No"))</f>
        <v/>
      </c>
      <c r="K531" s="27">
        <f>IF($D531="","",IF($D531="T1","T2",IF($D531="T2","T3",IF($D531="T3","T4",IF($D531="T4","T5",IF($D531="T5","T6",IF($D531="T6","T7",IF($D531="T7","T8",IF($D531="T8","T9","")))))))))</f>
        <v/>
      </c>
      <c r="L531" s="28">
        <f>IF($K531="","",MAX(0,VLOOKUP($K531,RoleTitles!$A:$B,2,FALSE)-$E531))</f>
        <v/>
      </c>
    </row>
    <row r="532">
      <c r="A532" s="24">
        <f>IFERROR(INDEX(CoachRoster!$A$2:$A$1000,ROW()-1),"")</f>
        <v/>
      </c>
      <c r="B532" s="27">
        <f>IF($A532="","",VLOOKUP($A532,CoachRoster!$A:$E,2,FALSE))</f>
        <v/>
      </c>
      <c r="C532" s="27">
        <f>IF($A532="","",VLOOKUP($A532,CoachRoster!$A:$E,3,FALSE))</f>
        <v/>
      </c>
      <c r="D532" s="27">
        <f>IF($A532="","",VLOOKUP($A532,CoachRoster!$A:$E,4,FALSE))</f>
        <v/>
      </c>
      <c r="E532" s="27">
        <f>IF($A532="","",MIN(Settings!$B$8,IFERROR(SUMIF(Weekly_Coaching!$B:$B,$A532,Weekly_Coaching!$D:$D),0)+IFERROR(SUMIF(Monthly_Edu!$B:$B,$A532,Monthly_Edu!$D:$D),0)+IFERROR(SUMIF(Monthly_Ops!$B:$B,$A532,Monthly_Ops!$D:$D),0)+IFERROR(SUMIF(Monthly_Mentor!$B:$B,$A532,Monthly_Mentor!$D:$D),0)+IFERROR(SUMIF(Quarterly_Impact!$B:$B,$A532,Quarterly_Impact!$D:$D),0)+IFERROR(SUMIFS(XPLog!$M:$M,XPLog!$B:$B,$A532,XPLog!$J:$J,"Admin"),0)+IFERROR(SUMIFS(XPLog!$M:$M,XPLog!$B:$B,$A532,XPLog!$J:$J,"Seeding"),0)))</f>
        <v/>
      </c>
      <c r="F532" s="27">
        <f>IF($E532="","",LOOKUP($E532, XPBands!B$2:B$10, XPBands!A$2:A$10))</f>
        <v/>
      </c>
      <c r="G532" s="27">
        <f>IF($E532="","", VLOOKUP($F532, XPBands!A$2:G$10, 4, FALSE) + MIN(VLOOKUP($F532, XPBands!A$2:G$10, 5, FALSE) - VLOOKUP($F532, XPBands!A$2:G$10, 4, FALSE), FLOOR(( $E532 - VLOOKUP($F532, XPBands!A$2:G$10, 2, FALSE) ) / VLOOKUP($F532, XPBands!A$2:G$10, 7, FALSE),1)))</f>
        <v/>
      </c>
      <c r="H532" s="27">
        <f>IF($D532="","",VLOOKUP($D532,RoleTitles!$A:$E,3,FALSE))</f>
        <v/>
      </c>
      <c r="I532" s="27">
        <f>IF($D532="","",IF($C532="Greek",VLOOKUP($D532,RoleTitles!$A:$E,4,FALSE),IF($C532="Aesir",VLOOKUP($D532,RoleTitles!$A:$E,5,FALSE),VLOOKUP($D532,RoleTitles!$A:$E,3,FALSE))))</f>
        <v/>
      </c>
      <c r="J532" s="27">
        <f>IF($D532="","",IF($E532&gt;=VLOOKUP($D532,RoleTitles!$A:$B,2,FALSE),"Yes","No"))</f>
        <v/>
      </c>
      <c r="K532" s="27">
        <f>IF($D532="","",IF($D532="T1","T2",IF($D532="T2","T3",IF($D532="T3","T4",IF($D532="T4","T5",IF($D532="T5","T6",IF($D532="T6","T7",IF($D532="T7","T8",IF($D532="T8","T9","")))))))))</f>
        <v/>
      </c>
      <c r="L532" s="28">
        <f>IF($K532="","",MAX(0,VLOOKUP($K532,RoleTitles!$A:$B,2,FALSE)-$E532))</f>
        <v/>
      </c>
    </row>
    <row r="533">
      <c r="A533" s="24">
        <f>IFERROR(INDEX(CoachRoster!$A$2:$A$1000,ROW()-1),"")</f>
        <v/>
      </c>
      <c r="B533" s="27">
        <f>IF($A533="","",VLOOKUP($A533,CoachRoster!$A:$E,2,FALSE))</f>
        <v/>
      </c>
      <c r="C533" s="27">
        <f>IF($A533="","",VLOOKUP($A533,CoachRoster!$A:$E,3,FALSE))</f>
        <v/>
      </c>
      <c r="D533" s="27">
        <f>IF($A533="","",VLOOKUP($A533,CoachRoster!$A:$E,4,FALSE))</f>
        <v/>
      </c>
      <c r="E533" s="27">
        <f>IF($A533="","",MIN(Settings!$B$8,IFERROR(SUMIF(Weekly_Coaching!$B:$B,$A533,Weekly_Coaching!$D:$D),0)+IFERROR(SUMIF(Monthly_Edu!$B:$B,$A533,Monthly_Edu!$D:$D),0)+IFERROR(SUMIF(Monthly_Ops!$B:$B,$A533,Monthly_Ops!$D:$D),0)+IFERROR(SUMIF(Monthly_Mentor!$B:$B,$A533,Monthly_Mentor!$D:$D),0)+IFERROR(SUMIF(Quarterly_Impact!$B:$B,$A533,Quarterly_Impact!$D:$D),0)+IFERROR(SUMIFS(XPLog!$M:$M,XPLog!$B:$B,$A533,XPLog!$J:$J,"Admin"),0)+IFERROR(SUMIFS(XPLog!$M:$M,XPLog!$B:$B,$A533,XPLog!$J:$J,"Seeding"),0)))</f>
        <v/>
      </c>
      <c r="F533" s="27">
        <f>IF($E533="","",LOOKUP($E533, XPBands!B$2:B$10, XPBands!A$2:A$10))</f>
        <v/>
      </c>
      <c r="G533" s="27">
        <f>IF($E533="","", VLOOKUP($F533, XPBands!A$2:G$10, 4, FALSE) + MIN(VLOOKUP($F533, XPBands!A$2:G$10, 5, FALSE) - VLOOKUP($F533, XPBands!A$2:G$10, 4, FALSE), FLOOR(( $E533 - VLOOKUP($F533, XPBands!A$2:G$10, 2, FALSE) ) / VLOOKUP($F533, XPBands!A$2:G$10, 7, FALSE),1)))</f>
        <v/>
      </c>
      <c r="H533" s="27">
        <f>IF($D533="","",VLOOKUP($D533,RoleTitles!$A:$E,3,FALSE))</f>
        <v/>
      </c>
      <c r="I533" s="27">
        <f>IF($D533="","",IF($C533="Greek",VLOOKUP($D533,RoleTitles!$A:$E,4,FALSE),IF($C533="Aesir",VLOOKUP($D533,RoleTitles!$A:$E,5,FALSE),VLOOKUP($D533,RoleTitles!$A:$E,3,FALSE))))</f>
        <v/>
      </c>
      <c r="J533" s="27">
        <f>IF($D533="","",IF($E533&gt;=VLOOKUP($D533,RoleTitles!$A:$B,2,FALSE),"Yes","No"))</f>
        <v/>
      </c>
      <c r="K533" s="27">
        <f>IF($D533="","",IF($D533="T1","T2",IF($D533="T2","T3",IF($D533="T3","T4",IF($D533="T4","T5",IF($D533="T5","T6",IF($D533="T6","T7",IF($D533="T7","T8",IF($D533="T8","T9","")))))))))</f>
        <v/>
      </c>
      <c r="L533" s="28">
        <f>IF($K533="","",MAX(0,VLOOKUP($K533,RoleTitles!$A:$B,2,FALSE)-$E533))</f>
        <v/>
      </c>
    </row>
    <row r="534">
      <c r="A534" s="24">
        <f>IFERROR(INDEX(CoachRoster!$A$2:$A$1000,ROW()-1),"")</f>
        <v/>
      </c>
      <c r="B534" s="27">
        <f>IF($A534="","",VLOOKUP($A534,CoachRoster!$A:$E,2,FALSE))</f>
        <v/>
      </c>
      <c r="C534" s="27">
        <f>IF($A534="","",VLOOKUP($A534,CoachRoster!$A:$E,3,FALSE))</f>
        <v/>
      </c>
      <c r="D534" s="27">
        <f>IF($A534="","",VLOOKUP($A534,CoachRoster!$A:$E,4,FALSE))</f>
        <v/>
      </c>
      <c r="E534" s="27">
        <f>IF($A534="","",MIN(Settings!$B$8,IFERROR(SUMIF(Weekly_Coaching!$B:$B,$A534,Weekly_Coaching!$D:$D),0)+IFERROR(SUMIF(Monthly_Edu!$B:$B,$A534,Monthly_Edu!$D:$D),0)+IFERROR(SUMIF(Monthly_Ops!$B:$B,$A534,Monthly_Ops!$D:$D),0)+IFERROR(SUMIF(Monthly_Mentor!$B:$B,$A534,Monthly_Mentor!$D:$D),0)+IFERROR(SUMIF(Quarterly_Impact!$B:$B,$A534,Quarterly_Impact!$D:$D),0)+IFERROR(SUMIFS(XPLog!$M:$M,XPLog!$B:$B,$A534,XPLog!$J:$J,"Admin"),0)+IFERROR(SUMIFS(XPLog!$M:$M,XPLog!$B:$B,$A534,XPLog!$J:$J,"Seeding"),0)))</f>
        <v/>
      </c>
      <c r="F534" s="27">
        <f>IF($E534="","",LOOKUP($E534, XPBands!B$2:B$10, XPBands!A$2:A$10))</f>
        <v/>
      </c>
      <c r="G534" s="27">
        <f>IF($E534="","", VLOOKUP($F534, XPBands!A$2:G$10, 4, FALSE) + MIN(VLOOKUP($F534, XPBands!A$2:G$10, 5, FALSE) - VLOOKUP($F534, XPBands!A$2:G$10, 4, FALSE), FLOOR(( $E534 - VLOOKUP($F534, XPBands!A$2:G$10, 2, FALSE) ) / VLOOKUP($F534, XPBands!A$2:G$10, 7, FALSE),1)))</f>
        <v/>
      </c>
      <c r="H534" s="27">
        <f>IF($D534="","",VLOOKUP($D534,RoleTitles!$A:$E,3,FALSE))</f>
        <v/>
      </c>
      <c r="I534" s="27">
        <f>IF($D534="","",IF($C534="Greek",VLOOKUP($D534,RoleTitles!$A:$E,4,FALSE),IF($C534="Aesir",VLOOKUP($D534,RoleTitles!$A:$E,5,FALSE),VLOOKUP($D534,RoleTitles!$A:$E,3,FALSE))))</f>
        <v/>
      </c>
      <c r="J534" s="27">
        <f>IF($D534="","",IF($E534&gt;=VLOOKUP($D534,RoleTitles!$A:$B,2,FALSE),"Yes","No"))</f>
        <v/>
      </c>
      <c r="K534" s="27">
        <f>IF($D534="","",IF($D534="T1","T2",IF($D534="T2","T3",IF($D534="T3","T4",IF($D534="T4","T5",IF($D534="T5","T6",IF($D534="T6","T7",IF($D534="T7","T8",IF($D534="T8","T9","")))))))))</f>
        <v/>
      </c>
      <c r="L534" s="28">
        <f>IF($K534="","",MAX(0,VLOOKUP($K534,RoleTitles!$A:$B,2,FALSE)-$E534))</f>
        <v/>
      </c>
    </row>
    <row r="535">
      <c r="A535" s="24">
        <f>IFERROR(INDEX(CoachRoster!$A$2:$A$1000,ROW()-1),"")</f>
        <v/>
      </c>
      <c r="B535" s="27">
        <f>IF($A535="","",VLOOKUP($A535,CoachRoster!$A:$E,2,FALSE))</f>
        <v/>
      </c>
      <c r="C535" s="27">
        <f>IF($A535="","",VLOOKUP($A535,CoachRoster!$A:$E,3,FALSE))</f>
        <v/>
      </c>
      <c r="D535" s="27">
        <f>IF($A535="","",VLOOKUP($A535,CoachRoster!$A:$E,4,FALSE))</f>
        <v/>
      </c>
      <c r="E535" s="27">
        <f>IF($A535="","",MIN(Settings!$B$8,IFERROR(SUMIF(Weekly_Coaching!$B:$B,$A535,Weekly_Coaching!$D:$D),0)+IFERROR(SUMIF(Monthly_Edu!$B:$B,$A535,Monthly_Edu!$D:$D),0)+IFERROR(SUMIF(Monthly_Ops!$B:$B,$A535,Monthly_Ops!$D:$D),0)+IFERROR(SUMIF(Monthly_Mentor!$B:$B,$A535,Monthly_Mentor!$D:$D),0)+IFERROR(SUMIF(Quarterly_Impact!$B:$B,$A535,Quarterly_Impact!$D:$D),0)+IFERROR(SUMIFS(XPLog!$M:$M,XPLog!$B:$B,$A535,XPLog!$J:$J,"Admin"),0)+IFERROR(SUMIFS(XPLog!$M:$M,XPLog!$B:$B,$A535,XPLog!$J:$J,"Seeding"),0)))</f>
        <v/>
      </c>
      <c r="F535" s="27">
        <f>IF($E535="","",LOOKUP($E535, XPBands!B$2:B$10, XPBands!A$2:A$10))</f>
        <v/>
      </c>
      <c r="G535" s="27">
        <f>IF($E535="","", VLOOKUP($F535, XPBands!A$2:G$10, 4, FALSE) + MIN(VLOOKUP($F535, XPBands!A$2:G$10, 5, FALSE) - VLOOKUP($F535, XPBands!A$2:G$10, 4, FALSE), FLOOR(( $E535 - VLOOKUP($F535, XPBands!A$2:G$10, 2, FALSE) ) / VLOOKUP($F535, XPBands!A$2:G$10, 7, FALSE),1)))</f>
        <v/>
      </c>
      <c r="H535" s="27">
        <f>IF($D535="","",VLOOKUP($D535,RoleTitles!$A:$E,3,FALSE))</f>
        <v/>
      </c>
      <c r="I535" s="27">
        <f>IF($D535="","",IF($C535="Greek",VLOOKUP($D535,RoleTitles!$A:$E,4,FALSE),IF($C535="Aesir",VLOOKUP($D535,RoleTitles!$A:$E,5,FALSE),VLOOKUP($D535,RoleTitles!$A:$E,3,FALSE))))</f>
        <v/>
      </c>
      <c r="J535" s="27">
        <f>IF($D535="","",IF($E535&gt;=VLOOKUP($D535,RoleTitles!$A:$B,2,FALSE),"Yes","No"))</f>
        <v/>
      </c>
      <c r="K535" s="27">
        <f>IF($D535="","",IF($D535="T1","T2",IF($D535="T2","T3",IF($D535="T3","T4",IF($D535="T4","T5",IF($D535="T5","T6",IF($D535="T6","T7",IF($D535="T7","T8",IF($D535="T8","T9","")))))))))</f>
        <v/>
      </c>
      <c r="L535" s="28">
        <f>IF($K535="","",MAX(0,VLOOKUP($K535,RoleTitles!$A:$B,2,FALSE)-$E535))</f>
        <v/>
      </c>
    </row>
    <row r="536">
      <c r="A536" s="24">
        <f>IFERROR(INDEX(CoachRoster!$A$2:$A$1000,ROW()-1),"")</f>
        <v/>
      </c>
      <c r="B536" s="27">
        <f>IF($A536="","",VLOOKUP($A536,CoachRoster!$A:$E,2,FALSE))</f>
        <v/>
      </c>
      <c r="C536" s="27">
        <f>IF($A536="","",VLOOKUP($A536,CoachRoster!$A:$E,3,FALSE))</f>
        <v/>
      </c>
      <c r="D536" s="27">
        <f>IF($A536="","",VLOOKUP($A536,CoachRoster!$A:$E,4,FALSE))</f>
        <v/>
      </c>
      <c r="E536" s="27">
        <f>IF($A536="","",MIN(Settings!$B$8,IFERROR(SUMIF(Weekly_Coaching!$B:$B,$A536,Weekly_Coaching!$D:$D),0)+IFERROR(SUMIF(Monthly_Edu!$B:$B,$A536,Monthly_Edu!$D:$D),0)+IFERROR(SUMIF(Monthly_Ops!$B:$B,$A536,Monthly_Ops!$D:$D),0)+IFERROR(SUMIF(Monthly_Mentor!$B:$B,$A536,Monthly_Mentor!$D:$D),0)+IFERROR(SUMIF(Quarterly_Impact!$B:$B,$A536,Quarterly_Impact!$D:$D),0)+IFERROR(SUMIFS(XPLog!$M:$M,XPLog!$B:$B,$A536,XPLog!$J:$J,"Admin"),0)+IFERROR(SUMIFS(XPLog!$M:$M,XPLog!$B:$B,$A536,XPLog!$J:$J,"Seeding"),0)))</f>
        <v/>
      </c>
      <c r="F536" s="27">
        <f>IF($E536="","",LOOKUP($E536, XPBands!B$2:B$10, XPBands!A$2:A$10))</f>
        <v/>
      </c>
      <c r="G536" s="27">
        <f>IF($E536="","", VLOOKUP($F536, XPBands!A$2:G$10, 4, FALSE) + MIN(VLOOKUP($F536, XPBands!A$2:G$10, 5, FALSE) - VLOOKUP($F536, XPBands!A$2:G$10, 4, FALSE), FLOOR(( $E536 - VLOOKUP($F536, XPBands!A$2:G$10, 2, FALSE) ) / VLOOKUP($F536, XPBands!A$2:G$10, 7, FALSE),1)))</f>
        <v/>
      </c>
      <c r="H536" s="27">
        <f>IF($D536="","",VLOOKUP($D536,RoleTitles!$A:$E,3,FALSE))</f>
        <v/>
      </c>
      <c r="I536" s="27">
        <f>IF($D536="","",IF($C536="Greek",VLOOKUP($D536,RoleTitles!$A:$E,4,FALSE),IF($C536="Aesir",VLOOKUP($D536,RoleTitles!$A:$E,5,FALSE),VLOOKUP($D536,RoleTitles!$A:$E,3,FALSE))))</f>
        <v/>
      </c>
      <c r="J536" s="27">
        <f>IF($D536="","",IF($E536&gt;=VLOOKUP($D536,RoleTitles!$A:$B,2,FALSE),"Yes","No"))</f>
        <v/>
      </c>
      <c r="K536" s="27">
        <f>IF($D536="","",IF($D536="T1","T2",IF($D536="T2","T3",IF($D536="T3","T4",IF($D536="T4","T5",IF($D536="T5","T6",IF($D536="T6","T7",IF($D536="T7","T8",IF($D536="T8","T9","")))))))))</f>
        <v/>
      </c>
      <c r="L536" s="28">
        <f>IF($K536="","",MAX(0,VLOOKUP($K536,RoleTitles!$A:$B,2,FALSE)-$E536))</f>
        <v/>
      </c>
    </row>
    <row r="537">
      <c r="A537" s="24">
        <f>IFERROR(INDEX(CoachRoster!$A$2:$A$1000,ROW()-1),"")</f>
        <v/>
      </c>
      <c r="B537" s="27">
        <f>IF($A537="","",VLOOKUP($A537,CoachRoster!$A:$E,2,FALSE))</f>
        <v/>
      </c>
      <c r="C537" s="27">
        <f>IF($A537="","",VLOOKUP($A537,CoachRoster!$A:$E,3,FALSE))</f>
        <v/>
      </c>
      <c r="D537" s="27">
        <f>IF($A537="","",VLOOKUP($A537,CoachRoster!$A:$E,4,FALSE))</f>
        <v/>
      </c>
      <c r="E537" s="27">
        <f>IF($A537="","",MIN(Settings!$B$8,IFERROR(SUMIF(Weekly_Coaching!$B:$B,$A537,Weekly_Coaching!$D:$D),0)+IFERROR(SUMIF(Monthly_Edu!$B:$B,$A537,Monthly_Edu!$D:$D),0)+IFERROR(SUMIF(Monthly_Ops!$B:$B,$A537,Monthly_Ops!$D:$D),0)+IFERROR(SUMIF(Monthly_Mentor!$B:$B,$A537,Monthly_Mentor!$D:$D),0)+IFERROR(SUMIF(Quarterly_Impact!$B:$B,$A537,Quarterly_Impact!$D:$D),0)+IFERROR(SUMIFS(XPLog!$M:$M,XPLog!$B:$B,$A537,XPLog!$J:$J,"Admin"),0)+IFERROR(SUMIFS(XPLog!$M:$M,XPLog!$B:$B,$A537,XPLog!$J:$J,"Seeding"),0)))</f>
        <v/>
      </c>
      <c r="F537" s="27">
        <f>IF($E537="","",LOOKUP($E537, XPBands!B$2:B$10, XPBands!A$2:A$10))</f>
        <v/>
      </c>
      <c r="G537" s="27">
        <f>IF($E537="","", VLOOKUP($F537, XPBands!A$2:G$10, 4, FALSE) + MIN(VLOOKUP($F537, XPBands!A$2:G$10, 5, FALSE) - VLOOKUP($F537, XPBands!A$2:G$10, 4, FALSE), FLOOR(( $E537 - VLOOKUP($F537, XPBands!A$2:G$10, 2, FALSE) ) / VLOOKUP($F537, XPBands!A$2:G$10, 7, FALSE),1)))</f>
        <v/>
      </c>
      <c r="H537" s="27">
        <f>IF($D537="","",VLOOKUP($D537,RoleTitles!$A:$E,3,FALSE))</f>
        <v/>
      </c>
      <c r="I537" s="27">
        <f>IF($D537="","",IF($C537="Greek",VLOOKUP($D537,RoleTitles!$A:$E,4,FALSE),IF($C537="Aesir",VLOOKUP($D537,RoleTitles!$A:$E,5,FALSE),VLOOKUP($D537,RoleTitles!$A:$E,3,FALSE))))</f>
        <v/>
      </c>
      <c r="J537" s="27">
        <f>IF($D537="","",IF($E537&gt;=VLOOKUP($D537,RoleTitles!$A:$B,2,FALSE),"Yes","No"))</f>
        <v/>
      </c>
      <c r="K537" s="27">
        <f>IF($D537="","",IF($D537="T1","T2",IF($D537="T2","T3",IF($D537="T3","T4",IF($D537="T4","T5",IF($D537="T5","T6",IF($D537="T6","T7",IF($D537="T7","T8",IF($D537="T8","T9","")))))))))</f>
        <v/>
      </c>
      <c r="L537" s="28">
        <f>IF($K537="","",MAX(0,VLOOKUP($K537,RoleTitles!$A:$B,2,FALSE)-$E537))</f>
        <v/>
      </c>
    </row>
    <row r="538">
      <c r="A538" s="24">
        <f>IFERROR(INDEX(CoachRoster!$A$2:$A$1000,ROW()-1),"")</f>
        <v/>
      </c>
      <c r="B538" s="27">
        <f>IF($A538="","",VLOOKUP($A538,CoachRoster!$A:$E,2,FALSE))</f>
        <v/>
      </c>
      <c r="C538" s="27">
        <f>IF($A538="","",VLOOKUP($A538,CoachRoster!$A:$E,3,FALSE))</f>
        <v/>
      </c>
      <c r="D538" s="27">
        <f>IF($A538="","",VLOOKUP($A538,CoachRoster!$A:$E,4,FALSE))</f>
        <v/>
      </c>
      <c r="E538" s="27">
        <f>IF($A538="","",MIN(Settings!$B$8,IFERROR(SUMIF(Weekly_Coaching!$B:$B,$A538,Weekly_Coaching!$D:$D),0)+IFERROR(SUMIF(Monthly_Edu!$B:$B,$A538,Monthly_Edu!$D:$D),0)+IFERROR(SUMIF(Monthly_Ops!$B:$B,$A538,Monthly_Ops!$D:$D),0)+IFERROR(SUMIF(Monthly_Mentor!$B:$B,$A538,Monthly_Mentor!$D:$D),0)+IFERROR(SUMIF(Quarterly_Impact!$B:$B,$A538,Quarterly_Impact!$D:$D),0)+IFERROR(SUMIFS(XPLog!$M:$M,XPLog!$B:$B,$A538,XPLog!$J:$J,"Admin"),0)+IFERROR(SUMIFS(XPLog!$M:$M,XPLog!$B:$B,$A538,XPLog!$J:$J,"Seeding"),0)))</f>
        <v/>
      </c>
      <c r="F538" s="27">
        <f>IF($E538="","",LOOKUP($E538, XPBands!B$2:B$10, XPBands!A$2:A$10))</f>
        <v/>
      </c>
      <c r="G538" s="27">
        <f>IF($E538="","", VLOOKUP($F538, XPBands!A$2:G$10, 4, FALSE) + MIN(VLOOKUP($F538, XPBands!A$2:G$10, 5, FALSE) - VLOOKUP($F538, XPBands!A$2:G$10, 4, FALSE), FLOOR(( $E538 - VLOOKUP($F538, XPBands!A$2:G$10, 2, FALSE) ) / VLOOKUP($F538, XPBands!A$2:G$10, 7, FALSE),1)))</f>
        <v/>
      </c>
      <c r="H538" s="27">
        <f>IF($D538="","",VLOOKUP($D538,RoleTitles!$A:$E,3,FALSE))</f>
        <v/>
      </c>
      <c r="I538" s="27">
        <f>IF($D538="","",IF($C538="Greek",VLOOKUP($D538,RoleTitles!$A:$E,4,FALSE),IF($C538="Aesir",VLOOKUP($D538,RoleTitles!$A:$E,5,FALSE),VLOOKUP($D538,RoleTitles!$A:$E,3,FALSE))))</f>
        <v/>
      </c>
      <c r="J538" s="27">
        <f>IF($D538="","",IF($E538&gt;=VLOOKUP($D538,RoleTitles!$A:$B,2,FALSE),"Yes","No"))</f>
        <v/>
      </c>
      <c r="K538" s="27">
        <f>IF($D538="","",IF($D538="T1","T2",IF($D538="T2","T3",IF($D538="T3","T4",IF($D538="T4","T5",IF($D538="T5","T6",IF($D538="T6","T7",IF($D538="T7","T8",IF($D538="T8","T9","")))))))))</f>
        <v/>
      </c>
      <c r="L538" s="28">
        <f>IF($K538="","",MAX(0,VLOOKUP($K538,RoleTitles!$A:$B,2,FALSE)-$E538))</f>
        <v/>
      </c>
    </row>
    <row r="539">
      <c r="A539" s="24">
        <f>IFERROR(INDEX(CoachRoster!$A$2:$A$1000,ROW()-1),"")</f>
        <v/>
      </c>
      <c r="B539" s="27">
        <f>IF($A539="","",VLOOKUP($A539,CoachRoster!$A:$E,2,FALSE))</f>
        <v/>
      </c>
      <c r="C539" s="27">
        <f>IF($A539="","",VLOOKUP($A539,CoachRoster!$A:$E,3,FALSE))</f>
        <v/>
      </c>
      <c r="D539" s="27">
        <f>IF($A539="","",VLOOKUP($A539,CoachRoster!$A:$E,4,FALSE))</f>
        <v/>
      </c>
      <c r="E539" s="27">
        <f>IF($A539="","",MIN(Settings!$B$8,IFERROR(SUMIF(Weekly_Coaching!$B:$B,$A539,Weekly_Coaching!$D:$D),0)+IFERROR(SUMIF(Monthly_Edu!$B:$B,$A539,Monthly_Edu!$D:$D),0)+IFERROR(SUMIF(Monthly_Ops!$B:$B,$A539,Monthly_Ops!$D:$D),0)+IFERROR(SUMIF(Monthly_Mentor!$B:$B,$A539,Monthly_Mentor!$D:$D),0)+IFERROR(SUMIF(Quarterly_Impact!$B:$B,$A539,Quarterly_Impact!$D:$D),0)+IFERROR(SUMIFS(XPLog!$M:$M,XPLog!$B:$B,$A539,XPLog!$J:$J,"Admin"),0)+IFERROR(SUMIFS(XPLog!$M:$M,XPLog!$B:$B,$A539,XPLog!$J:$J,"Seeding"),0)))</f>
        <v/>
      </c>
      <c r="F539" s="27">
        <f>IF($E539="","",LOOKUP($E539, XPBands!B$2:B$10, XPBands!A$2:A$10))</f>
        <v/>
      </c>
      <c r="G539" s="27">
        <f>IF($E539="","", VLOOKUP($F539, XPBands!A$2:G$10, 4, FALSE) + MIN(VLOOKUP($F539, XPBands!A$2:G$10, 5, FALSE) - VLOOKUP($F539, XPBands!A$2:G$10, 4, FALSE), FLOOR(( $E539 - VLOOKUP($F539, XPBands!A$2:G$10, 2, FALSE) ) / VLOOKUP($F539, XPBands!A$2:G$10, 7, FALSE),1)))</f>
        <v/>
      </c>
      <c r="H539" s="27">
        <f>IF($D539="","",VLOOKUP($D539,RoleTitles!$A:$E,3,FALSE))</f>
        <v/>
      </c>
      <c r="I539" s="27">
        <f>IF($D539="","",IF($C539="Greek",VLOOKUP($D539,RoleTitles!$A:$E,4,FALSE),IF($C539="Aesir",VLOOKUP($D539,RoleTitles!$A:$E,5,FALSE),VLOOKUP($D539,RoleTitles!$A:$E,3,FALSE))))</f>
        <v/>
      </c>
      <c r="J539" s="27">
        <f>IF($D539="","",IF($E539&gt;=VLOOKUP($D539,RoleTitles!$A:$B,2,FALSE),"Yes","No"))</f>
        <v/>
      </c>
      <c r="K539" s="27">
        <f>IF($D539="","",IF($D539="T1","T2",IF($D539="T2","T3",IF($D539="T3","T4",IF($D539="T4","T5",IF($D539="T5","T6",IF($D539="T6","T7",IF($D539="T7","T8",IF($D539="T8","T9","")))))))))</f>
        <v/>
      </c>
      <c r="L539" s="28">
        <f>IF($K539="","",MAX(0,VLOOKUP($K539,RoleTitles!$A:$B,2,FALSE)-$E539))</f>
        <v/>
      </c>
    </row>
    <row r="540">
      <c r="A540" s="24">
        <f>IFERROR(INDEX(CoachRoster!$A$2:$A$1000,ROW()-1),"")</f>
        <v/>
      </c>
      <c r="B540" s="27">
        <f>IF($A540="","",VLOOKUP($A540,CoachRoster!$A:$E,2,FALSE))</f>
        <v/>
      </c>
      <c r="C540" s="27">
        <f>IF($A540="","",VLOOKUP($A540,CoachRoster!$A:$E,3,FALSE))</f>
        <v/>
      </c>
      <c r="D540" s="27">
        <f>IF($A540="","",VLOOKUP($A540,CoachRoster!$A:$E,4,FALSE))</f>
        <v/>
      </c>
      <c r="E540" s="27">
        <f>IF($A540="","",MIN(Settings!$B$8,IFERROR(SUMIF(Weekly_Coaching!$B:$B,$A540,Weekly_Coaching!$D:$D),0)+IFERROR(SUMIF(Monthly_Edu!$B:$B,$A540,Monthly_Edu!$D:$D),0)+IFERROR(SUMIF(Monthly_Ops!$B:$B,$A540,Monthly_Ops!$D:$D),0)+IFERROR(SUMIF(Monthly_Mentor!$B:$B,$A540,Monthly_Mentor!$D:$D),0)+IFERROR(SUMIF(Quarterly_Impact!$B:$B,$A540,Quarterly_Impact!$D:$D),0)+IFERROR(SUMIFS(XPLog!$M:$M,XPLog!$B:$B,$A540,XPLog!$J:$J,"Admin"),0)+IFERROR(SUMIFS(XPLog!$M:$M,XPLog!$B:$B,$A540,XPLog!$J:$J,"Seeding"),0)))</f>
        <v/>
      </c>
      <c r="F540" s="27">
        <f>IF($E540="","",LOOKUP($E540, XPBands!B$2:B$10, XPBands!A$2:A$10))</f>
        <v/>
      </c>
      <c r="G540" s="27">
        <f>IF($E540="","", VLOOKUP($F540, XPBands!A$2:G$10, 4, FALSE) + MIN(VLOOKUP($F540, XPBands!A$2:G$10, 5, FALSE) - VLOOKUP($F540, XPBands!A$2:G$10, 4, FALSE), FLOOR(( $E540 - VLOOKUP($F540, XPBands!A$2:G$10, 2, FALSE) ) / VLOOKUP($F540, XPBands!A$2:G$10, 7, FALSE),1)))</f>
        <v/>
      </c>
      <c r="H540" s="27">
        <f>IF($D540="","",VLOOKUP($D540,RoleTitles!$A:$E,3,FALSE))</f>
        <v/>
      </c>
      <c r="I540" s="27">
        <f>IF($D540="","",IF($C540="Greek",VLOOKUP($D540,RoleTitles!$A:$E,4,FALSE),IF($C540="Aesir",VLOOKUP($D540,RoleTitles!$A:$E,5,FALSE),VLOOKUP($D540,RoleTitles!$A:$E,3,FALSE))))</f>
        <v/>
      </c>
      <c r="J540" s="27">
        <f>IF($D540="","",IF($E540&gt;=VLOOKUP($D540,RoleTitles!$A:$B,2,FALSE),"Yes","No"))</f>
        <v/>
      </c>
      <c r="K540" s="27">
        <f>IF($D540="","",IF($D540="T1","T2",IF($D540="T2","T3",IF($D540="T3","T4",IF($D540="T4","T5",IF($D540="T5","T6",IF($D540="T6","T7",IF($D540="T7","T8",IF($D540="T8","T9","")))))))))</f>
        <v/>
      </c>
      <c r="L540" s="28">
        <f>IF($K540="","",MAX(0,VLOOKUP($K540,RoleTitles!$A:$B,2,FALSE)-$E540))</f>
        <v/>
      </c>
    </row>
    <row r="541">
      <c r="A541" s="24">
        <f>IFERROR(INDEX(CoachRoster!$A$2:$A$1000,ROW()-1),"")</f>
        <v/>
      </c>
      <c r="B541" s="27">
        <f>IF($A541="","",VLOOKUP($A541,CoachRoster!$A:$E,2,FALSE))</f>
        <v/>
      </c>
      <c r="C541" s="27">
        <f>IF($A541="","",VLOOKUP($A541,CoachRoster!$A:$E,3,FALSE))</f>
        <v/>
      </c>
      <c r="D541" s="27">
        <f>IF($A541="","",VLOOKUP($A541,CoachRoster!$A:$E,4,FALSE))</f>
        <v/>
      </c>
      <c r="E541" s="27">
        <f>IF($A541="","",MIN(Settings!$B$8,IFERROR(SUMIF(Weekly_Coaching!$B:$B,$A541,Weekly_Coaching!$D:$D),0)+IFERROR(SUMIF(Monthly_Edu!$B:$B,$A541,Monthly_Edu!$D:$D),0)+IFERROR(SUMIF(Monthly_Ops!$B:$B,$A541,Monthly_Ops!$D:$D),0)+IFERROR(SUMIF(Monthly_Mentor!$B:$B,$A541,Monthly_Mentor!$D:$D),0)+IFERROR(SUMIF(Quarterly_Impact!$B:$B,$A541,Quarterly_Impact!$D:$D),0)+IFERROR(SUMIFS(XPLog!$M:$M,XPLog!$B:$B,$A541,XPLog!$J:$J,"Admin"),0)+IFERROR(SUMIFS(XPLog!$M:$M,XPLog!$B:$B,$A541,XPLog!$J:$J,"Seeding"),0)))</f>
        <v/>
      </c>
      <c r="F541" s="27">
        <f>IF($E541="","",LOOKUP($E541, XPBands!B$2:B$10, XPBands!A$2:A$10))</f>
        <v/>
      </c>
      <c r="G541" s="27">
        <f>IF($E541="","", VLOOKUP($F541, XPBands!A$2:G$10, 4, FALSE) + MIN(VLOOKUP($F541, XPBands!A$2:G$10, 5, FALSE) - VLOOKUP($F541, XPBands!A$2:G$10, 4, FALSE), FLOOR(( $E541 - VLOOKUP($F541, XPBands!A$2:G$10, 2, FALSE) ) / VLOOKUP($F541, XPBands!A$2:G$10, 7, FALSE),1)))</f>
        <v/>
      </c>
      <c r="H541" s="27">
        <f>IF($D541="","",VLOOKUP($D541,RoleTitles!$A:$E,3,FALSE))</f>
        <v/>
      </c>
      <c r="I541" s="27">
        <f>IF($D541="","",IF($C541="Greek",VLOOKUP($D541,RoleTitles!$A:$E,4,FALSE),IF($C541="Aesir",VLOOKUP($D541,RoleTitles!$A:$E,5,FALSE),VLOOKUP($D541,RoleTitles!$A:$E,3,FALSE))))</f>
        <v/>
      </c>
      <c r="J541" s="27">
        <f>IF($D541="","",IF($E541&gt;=VLOOKUP($D541,RoleTitles!$A:$B,2,FALSE),"Yes","No"))</f>
        <v/>
      </c>
      <c r="K541" s="27">
        <f>IF($D541="","",IF($D541="T1","T2",IF($D541="T2","T3",IF($D541="T3","T4",IF($D541="T4","T5",IF($D541="T5","T6",IF($D541="T6","T7",IF($D541="T7","T8",IF($D541="T8","T9","")))))))))</f>
        <v/>
      </c>
      <c r="L541" s="28">
        <f>IF($K541="","",MAX(0,VLOOKUP($K541,RoleTitles!$A:$B,2,FALSE)-$E541))</f>
        <v/>
      </c>
    </row>
    <row r="542">
      <c r="A542" s="24">
        <f>IFERROR(INDEX(CoachRoster!$A$2:$A$1000,ROW()-1),"")</f>
        <v/>
      </c>
      <c r="B542" s="27">
        <f>IF($A542="","",VLOOKUP($A542,CoachRoster!$A:$E,2,FALSE))</f>
        <v/>
      </c>
      <c r="C542" s="27">
        <f>IF($A542="","",VLOOKUP($A542,CoachRoster!$A:$E,3,FALSE))</f>
        <v/>
      </c>
      <c r="D542" s="27">
        <f>IF($A542="","",VLOOKUP($A542,CoachRoster!$A:$E,4,FALSE))</f>
        <v/>
      </c>
      <c r="E542" s="27">
        <f>IF($A542="","",MIN(Settings!$B$8,IFERROR(SUMIF(Weekly_Coaching!$B:$B,$A542,Weekly_Coaching!$D:$D),0)+IFERROR(SUMIF(Monthly_Edu!$B:$B,$A542,Monthly_Edu!$D:$D),0)+IFERROR(SUMIF(Monthly_Ops!$B:$B,$A542,Monthly_Ops!$D:$D),0)+IFERROR(SUMIF(Monthly_Mentor!$B:$B,$A542,Monthly_Mentor!$D:$D),0)+IFERROR(SUMIF(Quarterly_Impact!$B:$B,$A542,Quarterly_Impact!$D:$D),0)+IFERROR(SUMIFS(XPLog!$M:$M,XPLog!$B:$B,$A542,XPLog!$J:$J,"Admin"),0)+IFERROR(SUMIFS(XPLog!$M:$M,XPLog!$B:$B,$A542,XPLog!$J:$J,"Seeding"),0)))</f>
        <v/>
      </c>
      <c r="F542" s="27">
        <f>IF($E542="","",LOOKUP($E542, XPBands!B$2:B$10, XPBands!A$2:A$10))</f>
        <v/>
      </c>
      <c r="G542" s="27">
        <f>IF($E542="","", VLOOKUP($F542, XPBands!A$2:G$10, 4, FALSE) + MIN(VLOOKUP($F542, XPBands!A$2:G$10, 5, FALSE) - VLOOKUP($F542, XPBands!A$2:G$10, 4, FALSE), FLOOR(( $E542 - VLOOKUP($F542, XPBands!A$2:G$10, 2, FALSE) ) / VLOOKUP($F542, XPBands!A$2:G$10, 7, FALSE),1)))</f>
        <v/>
      </c>
      <c r="H542" s="27">
        <f>IF($D542="","",VLOOKUP($D542,RoleTitles!$A:$E,3,FALSE))</f>
        <v/>
      </c>
      <c r="I542" s="27">
        <f>IF($D542="","",IF($C542="Greek",VLOOKUP($D542,RoleTitles!$A:$E,4,FALSE),IF($C542="Aesir",VLOOKUP($D542,RoleTitles!$A:$E,5,FALSE),VLOOKUP($D542,RoleTitles!$A:$E,3,FALSE))))</f>
        <v/>
      </c>
      <c r="J542" s="27">
        <f>IF($D542="","",IF($E542&gt;=VLOOKUP($D542,RoleTitles!$A:$B,2,FALSE),"Yes","No"))</f>
        <v/>
      </c>
      <c r="K542" s="27">
        <f>IF($D542="","",IF($D542="T1","T2",IF($D542="T2","T3",IF($D542="T3","T4",IF($D542="T4","T5",IF($D542="T5","T6",IF($D542="T6","T7",IF($D542="T7","T8",IF($D542="T8","T9","")))))))))</f>
        <v/>
      </c>
      <c r="L542" s="28">
        <f>IF($K542="","",MAX(0,VLOOKUP($K542,RoleTitles!$A:$B,2,FALSE)-$E542))</f>
        <v/>
      </c>
    </row>
    <row r="543">
      <c r="A543" s="24">
        <f>IFERROR(INDEX(CoachRoster!$A$2:$A$1000,ROW()-1),"")</f>
        <v/>
      </c>
      <c r="B543" s="27">
        <f>IF($A543="","",VLOOKUP($A543,CoachRoster!$A:$E,2,FALSE))</f>
        <v/>
      </c>
      <c r="C543" s="27">
        <f>IF($A543="","",VLOOKUP($A543,CoachRoster!$A:$E,3,FALSE))</f>
        <v/>
      </c>
      <c r="D543" s="27">
        <f>IF($A543="","",VLOOKUP($A543,CoachRoster!$A:$E,4,FALSE))</f>
        <v/>
      </c>
      <c r="E543" s="27">
        <f>IF($A543="","",MIN(Settings!$B$8,IFERROR(SUMIF(Weekly_Coaching!$B:$B,$A543,Weekly_Coaching!$D:$D),0)+IFERROR(SUMIF(Monthly_Edu!$B:$B,$A543,Monthly_Edu!$D:$D),0)+IFERROR(SUMIF(Monthly_Ops!$B:$B,$A543,Monthly_Ops!$D:$D),0)+IFERROR(SUMIF(Monthly_Mentor!$B:$B,$A543,Monthly_Mentor!$D:$D),0)+IFERROR(SUMIF(Quarterly_Impact!$B:$B,$A543,Quarterly_Impact!$D:$D),0)+IFERROR(SUMIFS(XPLog!$M:$M,XPLog!$B:$B,$A543,XPLog!$J:$J,"Admin"),0)+IFERROR(SUMIFS(XPLog!$M:$M,XPLog!$B:$B,$A543,XPLog!$J:$J,"Seeding"),0)))</f>
        <v/>
      </c>
      <c r="F543" s="27">
        <f>IF($E543="","",LOOKUP($E543, XPBands!B$2:B$10, XPBands!A$2:A$10))</f>
        <v/>
      </c>
      <c r="G543" s="27">
        <f>IF($E543="","", VLOOKUP($F543, XPBands!A$2:G$10, 4, FALSE) + MIN(VLOOKUP($F543, XPBands!A$2:G$10, 5, FALSE) - VLOOKUP($F543, XPBands!A$2:G$10, 4, FALSE), FLOOR(( $E543 - VLOOKUP($F543, XPBands!A$2:G$10, 2, FALSE) ) / VLOOKUP($F543, XPBands!A$2:G$10, 7, FALSE),1)))</f>
        <v/>
      </c>
      <c r="H543" s="27">
        <f>IF($D543="","",VLOOKUP($D543,RoleTitles!$A:$E,3,FALSE))</f>
        <v/>
      </c>
      <c r="I543" s="27">
        <f>IF($D543="","",IF($C543="Greek",VLOOKUP($D543,RoleTitles!$A:$E,4,FALSE),IF($C543="Aesir",VLOOKUP($D543,RoleTitles!$A:$E,5,FALSE),VLOOKUP($D543,RoleTitles!$A:$E,3,FALSE))))</f>
        <v/>
      </c>
      <c r="J543" s="27">
        <f>IF($D543="","",IF($E543&gt;=VLOOKUP($D543,RoleTitles!$A:$B,2,FALSE),"Yes","No"))</f>
        <v/>
      </c>
      <c r="K543" s="27">
        <f>IF($D543="","",IF($D543="T1","T2",IF($D543="T2","T3",IF($D543="T3","T4",IF($D543="T4","T5",IF($D543="T5","T6",IF($D543="T6","T7",IF($D543="T7","T8",IF($D543="T8","T9","")))))))))</f>
        <v/>
      </c>
      <c r="L543" s="28">
        <f>IF($K543="","",MAX(0,VLOOKUP($K543,RoleTitles!$A:$B,2,FALSE)-$E543))</f>
        <v/>
      </c>
    </row>
    <row r="544">
      <c r="A544" s="24">
        <f>IFERROR(INDEX(CoachRoster!$A$2:$A$1000,ROW()-1),"")</f>
        <v/>
      </c>
      <c r="B544" s="27">
        <f>IF($A544="","",VLOOKUP($A544,CoachRoster!$A:$E,2,FALSE))</f>
        <v/>
      </c>
      <c r="C544" s="27">
        <f>IF($A544="","",VLOOKUP($A544,CoachRoster!$A:$E,3,FALSE))</f>
        <v/>
      </c>
      <c r="D544" s="27">
        <f>IF($A544="","",VLOOKUP($A544,CoachRoster!$A:$E,4,FALSE))</f>
        <v/>
      </c>
      <c r="E544" s="27">
        <f>IF($A544="","",MIN(Settings!$B$8,IFERROR(SUMIF(Weekly_Coaching!$B:$B,$A544,Weekly_Coaching!$D:$D),0)+IFERROR(SUMIF(Monthly_Edu!$B:$B,$A544,Monthly_Edu!$D:$D),0)+IFERROR(SUMIF(Monthly_Ops!$B:$B,$A544,Monthly_Ops!$D:$D),0)+IFERROR(SUMIF(Monthly_Mentor!$B:$B,$A544,Monthly_Mentor!$D:$D),0)+IFERROR(SUMIF(Quarterly_Impact!$B:$B,$A544,Quarterly_Impact!$D:$D),0)+IFERROR(SUMIFS(XPLog!$M:$M,XPLog!$B:$B,$A544,XPLog!$J:$J,"Admin"),0)+IFERROR(SUMIFS(XPLog!$M:$M,XPLog!$B:$B,$A544,XPLog!$J:$J,"Seeding"),0)))</f>
        <v/>
      </c>
      <c r="F544" s="27">
        <f>IF($E544="","",LOOKUP($E544, XPBands!B$2:B$10, XPBands!A$2:A$10))</f>
        <v/>
      </c>
      <c r="G544" s="27">
        <f>IF($E544="","", VLOOKUP($F544, XPBands!A$2:G$10, 4, FALSE) + MIN(VLOOKUP($F544, XPBands!A$2:G$10, 5, FALSE) - VLOOKUP($F544, XPBands!A$2:G$10, 4, FALSE), FLOOR(( $E544 - VLOOKUP($F544, XPBands!A$2:G$10, 2, FALSE) ) / VLOOKUP($F544, XPBands!A$2:G$10, 7, FALSE),1)))</f>
        <v/>
      </c>
      <c r="H544" s="27">
        <f>IF($D544="","",VLOOKUP($D544,RoleTitles!$A:$E,3,FALSE))</f>
        <v/>
      </c>
      <c r="I544" s="27">
        <f>IF($D544="","",IF($C544="Greek",VLOOKUP($D544,RoleTitles!$A:$E,4,FALSE),IF($C544="Aesir",VLOOKUP($D544,RoleTitles!$A:$E,5,FALSE),VLOOKUP($D544,RoleTitles!$A:$E,3,FALSE))))</f>
        <v/>
      </c>
      <c r="J544" s="27">
        <f>IF($D544="","",IF($E544&gt;=VLOOKUP($D544,RoleTitles!$A:$B,2,FALSE),"Yes","No"))</f>
        <v/>
      </c>
      <c r="K544" s="27">
        <f>IF($D544="","",IF($D544="T1","T2",IF($D544="T2","T3",IF($D544="T3","T4",IF($D544="T4","T5",IF($D544="T5","T6",IF($D544="T6","T7",IF($D544="T7","T8",IF($D544="T8","T9","")))))))))</f>
        <v/>
      </c>
      <c r="L544" s="28">
        <f>IF($K544="","",MAX(0,VLOOKUP($K544,RoleTitles!$A:$B,2,FALSE)-$E544))</f>
        <v/>
      </c>
    </row>
    <row r="545">
      <c r="A545" s="24">
        <f>IFERROR(INDEX(CoachRoster!$A$2:$A$1000,ROW()-1),"")</f>
        <v/>
      </c>
      <c r="B545" s="27">
        <f>IF($A545="","",VLOOKUP($A545,CoachRoster!$A:$E,2,FALSE))</f>
        <v/>
      </c>
      <c r="C545" s="27">
        <f>IF($A545="","",VLOOKUP($A545,CoachRoster!$A:$E,3,FALSE))</f>
        <v/>
      </c>
      <c r="D545" s="27">
        <f>IF($A545="","",VLOOKUP($A545,CoachRoster!$A:$E,4,FALSE))</f>
        <v/>
      </c>
      <c r="E545" s="27">
        <f>IF($A545="","",MIN(Settings!$B$8,IFERROR(SUMIF(Weekly_Coaching!$B:$B,$A545,Weekly_Coaching!$D:$D),0)+IFERROR(SUMIF(Monthly_Edu!$B:$B,$A545,Monthly_Edu!$D:$D),0)+IFERROR(SUMIF(Monthly_Ops!$B:$B,$A545,Monthly_Ops!$D:$D),0)+IFERROR(SUMIF(Monthly_Mentor!$B:$B,$A545,Monthly_Mentor!$D:$D),0)+IFERROR(SUMIF(Quarterly_Impact!$B:$B,$A545,Quarterly_Impact!$D:$D),0)+IFERROR(SUMIFS(XPLog!$M:$M,XPLog!$B:$B,$A545,XPLog!$J:$J,"Admin"),0)+IFERROR(SUMIFS(XPLog!$M:$M,XPLog!$B:$B,$A545,XPLog!$J:$J,"Seeding"),0)))</f>
        <v/>
      </c>
      <c r="F545" s="27">
        <f>IF($E545="","",LOOKUP($E545, XPBands!B$2:B$10, XPBands!A$2:A$10))</f>
        <v/>
      </c>
      <c r="G545" s="27">
        <f>IF($E545="","", VLOOKUP($F545, XPBands!A$2:G$10, 4, FALSE) + MIN(VLOOKUP($F545, XPBands!A$2:G$10, 5, FALSE) - VLOOKUP($F545, XPBands!A$2:G$10, 4, FALSE), FLOOR(( $E545 - VLOOKUP($F545, XPBands!A$2:G$10, 2, FALSE) ) / VLOOKUP($F545, XPBands!A$2:G$10, 7, FALSE),1)))</f>
        <v/>
      </c>
      <c r="H545" s="27">
        <f>IF($D545="","",VLOOKUP($D545,RoleTitles!$A:$E,3,FALSE))</f>
        <v/>
      </c>
      <c r="I545" s="27">
        <f>IF($D545="","",IF($C545="Greek",VLOOKUP($D545,RoleTitles!$A:$E,4,FALSE),IF($C545="Aesir",VLOOKUP($D545,RoleTitles!$A:$E,5,FALSE),VLOOKUP($D545,RoleTitles!$A:$E,3,FALSE))))</f>
        <v/>
      </c>
      <c r="J545" s="27">
        <f>IF($D545="","",IF($E545&gt;=VLOOKUP($D545,RoleTitles!$A:$B,2,FALSE),"Yes","No"))</f>
        <v/>
      </c>
      <c r="K545" s="27">
        <f>IF($D545="","",IF($D545="T1","T2",IF($D545="T2","T3",IF($D545="T3","T4",IF($D545="T4","T5",IF($D545="T5","T6",IF($D545="T6","T7",IF($D545="T7","T8",IF($D545="T8","T9","")))))))))</f>
        <v/>
      </c>
      <c r="L545" s="28">
        <f>IF($K545="","",MAX(0,VLOOKUP($K545,RoleTitles!$A:$B,2,FALSE)-$E545))</f>
        <v/>
      </c>
    </row>
    <row r="546">
      <c r="A546" s="24">
        <f>IFERROR(INDEX(CoachRoster!$A$2:$A$1000,ROW()-1),"")</f>
        <v/>
      </c>
      <c r="B546" s="27">
        <f>IF($A546="","",VLOOKUP($A546,CoachRoster!$A:$E,2,FALSE))</f>
        <v/>
      </c>
      <c r="C546" s="27">
        <f>IF($A546="","",VLOOKUP($A546,CoachRoster!$A:$E,3,FALSE))</f>
        <v/>
      </c>
      <c r="D546" s="27">
        <f>IF($A546="","",VLOOKUP($A546,CoachRoster!$A:$E,4,FALSE))</f>
        <v/>
      </c>
      <c r="E546" s="27">
        <f>IF($A546="","",MIN(Settings!$B$8,IFERROR(SUMIF(Weekly_Coaching!$B:$B,$A546,Weekly_Coaching!$D:$D),0)+IFERROR(SUMIF(Monthly_Edu!$B:$B,$A546,Monthly_Edu!$D:$D),0)+IFERROR(SUMIF(Monthly_Ops!$B:$B,$A546,Monthly_Ops!$D:$D),0)+IFERROR(SUMIF(Monthly_Mentor!$B:$B,$A546,Monthly_Mentor!$D:$D),0)+IFERROR(SUMIF(Quarterly_Impact!$B:$B,$A546,Quarterly_Impact!$D:$D),0)+IFERROR(SUMIFS(XPLog!$M:$M,XPLog!$B:$B,$A546,XPLog!$J:$J,"Admin"),0)+IFERROR(SUMIFS(XPLog!$M:$M,XPLog!$B:$B,$A546,XPLog!$J:$J,"Seeding"),0)))</f>
        <v/>
      </c>
      <c r="F546" s="27">
        <f>IF($E546="","",LOOKUP($E546, XPBands!B$2:B$10, XPBands!A$2:A$10))</f>
        <v/>
      </c>
      <c r="G546" s="27">
        <f>IF($E546="","", VLOOKUP($F546, XPBands!A$2:G$10, 4, FALSE) + MIN(VLOOKUP($F546, XPBands!A$2:G$10, 5, FALSE) - VLOOKUP($F546, XPBands!A$2:G$10, 4, FALSE), FLOOR(( $E546 - VLOOKUP($F546, XPBands!A$2:G$10, 2, FALSE) ) / VLOOKUP($F546, XPBands!A$2:G$10, 7, FALSE),1)))</f>
        <v/>
      </c>
      <c r="H546" s="27">
        <f>IF($D546="","",VLOOKUP($D546,RoleTitles!$A:$E,3,FALSE))</f>
        <v/>
      </c>
      <c r="I546" s="27">
        <f>IF($D546="","",IF($C546="Greek",VLOOKUP($D546,RoleTitles!$A:$E,4,FALSE),IF($C546="Aesir",VLOOKUP($D546,RoleTitles!$A:$E,5,FALSE),VLOOKUP($D546,RoleTitles!$A:$E,3,FALSE))))</f>
        <v/>
      </c>
      <c r="J546" s="27">
        <f>IF($D546="","",IF($E546&gt;=VLOOKUP($D546,RoleTitles!$A:$B,2,FALSE),"Yes","No"))</f>
        <v/>
      </c>
      <c r="K546" s="27">
        <f>IF($D546="","",IF($D546="T1","T2",IF($D546="T2","T3",IF($D546="T3","T4",IF($D546="T4","T5",IF($D546="T5","T6",IF($D546="T6","T7",IF($D546="T7","T8",IF($D546="T8","T9","")))))))))</f>
        <v/>
      </c>
      <c r="L546" s="28">
        <f>IF($K546="","",MAX(0,VLOOKUP($K546,RoleTitles!$A:$B,2,FALSE)-$E546))</f>
        <v/>
      </c>
    </row>
    <row r="547">
      <c r="A547" s="24">
        <f>IFERROR(INDEX(CoachRoster!$A$2:$A$1000,ROW()-1),"")</f>
        <v/>
      </c>
      <c r="B547" s="27">
        <f>IF($A547="","",VLOOKUP($A547,CoachRoster!$A:$E,2,FALSE))</f>
        <v/>
      </c>
      <c r="C547" s="27">
        <f>IF($A547="","",VLOOKUP($A547,CoachRoster!$A:$E,3,FALSE))</f>
        <v/>
      </c>
      <c r="D547" s="27">
        <f>IF($A547="","",VLOOKUP($A547,CoachRoster!$A:$E,4,FALSE))</f>
        <v/>
      </c>
      <c r="E547" s="27">
        <f>IF($A547="","",MIN(Settings!$B$8,IFERROR(SUMIF(Weekly_Coaching!$B:$B,$A547,Weekly_Coaching!$D:$D),0)+IFERROR(SUMIF(Monthly_Edu!$B:$B,$A547,Monthly_Edu!$D:$D),0)+IFERROR(SUMIF(Monthly_Ops!$B:$B,$A547,Monthly_Ops!$D:$D),0)+IFERROR(SUMIF(Monthly_Mentor!$B:$B,$A547,Monthly_Mentor!$D:$D),0)+IFERROR(SUMIF(Quarterly_Impact!$B:$B,$A547,Quarterly_Impact!$D:$D),0)+IFERROR(SUMIFS(XPLog!$M:$M,XPLog!$B:$B,$A547,XPLog!$J:$J,"Admin"),0)+IFERROR(SUMIFS(XPLog!$M:$M,XPLog!$B:$B,$A547,XPLog!$J:$J,"Seeding"),0)))</f>
        <v/>
      </c>
      <c r="F547" s="27">
        <f>IF($E547="","",LOOKUP($E547, XPBands!B$2:B$10, XPBands!A$2:A$10))</f>
        <v/>
      </c>
      <c r="G547" s="27">
        <f>IF($E547="","", VLOOKUP($F547, XPBands!A$2:G$10, 4, FALSE) + MIN(VLOOKUP($F547, XPBands!A$2:G$10, 5, FALSE) - VLOOKUP($F547, XPBands!A$2:G$10, 4, FALSE), FLOOR(( $E547 - VLOOKUP($F547, XPBands!A$2:G$10, 2, FALSE) ) / VLOOKUP($F547, XPBands!A$2:G$10, 7, FALSE),1)))</f>
        <v/>
      </c>
      <c r="H547" s="27">
        <f>IF($D547="","",VLOOKUP($D547,RoleTitles!$A:$E,3,FALSE))</f>
        <v/>
      </c>
      <c r="I547" s="27">
        <f>IF($D547="","",IF($C547="Greek",VLOOKUP($D547,RoleTitles!$A:$E,4,FALSE),IF($C547="Aesir",VLOOKUP($D547,RoleTitles!$A:$E,5,FALSE),VLOOKUP($D547,RoleTitles!$A:$E,3,FALSE))))</f>
        <v/>
      </c>
      <c r="J547" s="27">
        <f>IF($D547="","",IF($E547&gt;=VLOOKUP($D547,RoleTitles!$A:$B,2,FALSE),"Yes","No"))</f>
        <v/>
      </c>
      <c r="K547" s="27">
        <f>IF($D547="","",IF($D547="T1","T2",IF($D547="T2","T3",IF($D547="T3","T4",IF($D547="T4","T5",IF($D547="T5","T6",IF($D547="T6","T7",IF($D547="T7","T8",IF($D547="T8","T9","")))))))))</f>
        <v/>
      </c>
      <c r="L547" s="28">
        <f>IF($K547="","",MAX(0,VLOOKUP($K547,RoleTitles!$A:$B,2,FALSE)-$E547))</f>
        <v/>
      </c>
    </row>
    <row r="548">
      <c r="A548" s="24">
        <f>IFERROR(INDEX(CoachRoster!$A$2:$A$1000,ROW()-1),"")</f>
        <v/>
      </c>
      <c r="B548" s="27">
        <f>IF($A548="","",VLOOKUP($A548,CoachRoster!$A:$E,2,FALSE))</f>
        <v/>
      </c>
      <c r="C548" s="27">
        <f>IF($A548="","",VLOOKUP($A548,CoachRoster!$A:$E,3,FALSE))</f>
        <v/>
      </c>
      <c r="D548" s="27">
        <f>IF($A548="","",VLOOKUP($A548,CoachRoster!$A:$E,4,FALSE))</f>
        <v/>
      </c>
      <c r="E548" s="27">
        <f>IF($A548="","",MIN(Settings!$B$8,IFERROR(SUMIF(Weekly_Coaching!$B:$B,$A548,Weekly_Coaching!$D:$D),0)+IFERROR(SUMIF(Monthly_Edu!$B:$B,$A548,Monthly_Edu!$D:$D),0)+IFERROR(SUMIF(Monthly_Ops!$B:$B,$A548,Monthly_Ops!$D:$D),0)+IFERROR(SUMIF(Monthly_Mentor!$B:$B,$A548,Monthly_Mentor!$D:$D),0)+IFERROR(SUMIF(Quarterly_Impact!$B:$B,$A548,Quarterly_Impact!$D:$D),0)+IFERROR(SUMIFS(XPLog!$M:$M,XPLog!$B:$B,$A548,XPLog!$J:$J,"Admin"),0)+IFERROR(SUMIFS(XPLog!$M:$M,XPLog!$B:$B,$A548,XPLog!$J:$J,"Seeding"),0)))</f>
        <v/>
      </c>
      <c r="F548" s="27">
        <f>IF($E548="","",LOOKUP($E548, XPBands!B$2:B$10, XPBands!A$2:A$10))</f>
        <v/>
      </c>
      <c r="G548" s="27">
        <f>IF($E548="","", VLOOKUP($F548, XPBands!A$2:G$10, 4, FALSE) + MIN(VLOOKUP($F548, XPBands!A$2:G$10, 5, FALSE) - VLOOKUP($F548, XPBands!A$2:G$10, 4, FALSE), FLOOR(( $E548 - VLOOKUP($F548, XPBands!A$2:G$10, 2, FALSE) ) / VLOOKUP($F548, XPBands!A$2:G$10, 7, FALSE),1)))</f>
        <v/>
      </c>
      <c r="H548" s="27">
        <f>IF($D548="","",VLOOKUP($D548,RoleTitles!$A:$E,3,FALSE))</f>
        <v/>
      </c>
      <c r="I548" s="27">
        <f>IF($D548="","",IF($C548="Greek",VLOOKUP($D548,RoleTitles!$A:$E,4,FALSE),IF($C548="Aesir",VLOOKUP($D548,RoleTitles!$A:$E,5,FALSE),VLOOKUP($D548,RoleTitles!$A:$E,3,FALSE))))</f>
        <v/>
      </c>
      <c r="J548" s="27">
        <f>IF($D548="","",IF($E548&gt;=VLOOKUP($D548,RoleTitles!$A:$B,2,FALSE),"Yes","No"))</f>
        <v/>
      </c>
      <c r="K548" s="27">
        <f>IF($D548="","",IF($D548="T1","T2",IF($D548="T2","T3",IF($D548="T3","T4",IF($D548="T4","T5",IF($D548="T5","T6",IF($D548="T6","T7",IF($D548="T7","T8",IF($D548="T8","T9","")))))))))</f>
        <v/>
      </c>
      <c r="L548" s="28">
        <f>IF($K548="","",MAX(0,VLOOKUP($K548,RoleTitles!$A:$B,2,FALSE)-$E548))</f>
        <v/>
      </c>
    </row>
    <row r="549">
      <c r="A549" s="24">
        <f>IFERROR(INDEX(CoachRoster!$A$2:$A$1000,ROW()-1),"")</f>
        <v/>
      </c>
      <c r="B549" s="27">
        <f>IF($A549="","",VLOOKUP($A549,CoachRoster!$A:$E,2,FALSE))</f>
        <v/>
      </c>
      <c r="C549" s="27">
        <f>IF($A549="","",VLOOKUP($A549,CoachRoster!$A:$E,3,FALSE))</f>
        <v/>
      </c>
      <c r="D549" s="27">
        <f>IF($A549="","",VLOOKUP($A549,CoachRoster!$A:$E,4,FALSE))</f>
        <v/>
      </c>
      <c r="E549" s="27">
        <f>IF($A549="","",MIN(Settings!$B$8,IFERROR(SUMIF(Weekly_Coaching!$B:$B,$A549,Weekly_Coaching!$D:$D),0)+IFERROR(SUMIF(Monthly_Edu!$B:$B,$A549,Monthly_Edu!$D:$D),0)+IFERROR(SUMIF(Monthly_Ops!$B:$B,$A549,Monthly_Ops!$D:$D),0)+IFERROR(SUMIF(Monthly_Mentor!$B:$B,$A549,Monthly_Mentor!$D:$D),0)+IFERROR(SUMIF(Quarterly_Impact!$B:$B,$A549,Quarterly_Impact!$D:$D),0)+IFERROR(SUMIFS(XPLog!$M:$M,XPLog!$B:$B,$A549,XPLog!$J:$J,"Admin"),0)+IFERROR(SUMIFS(XPLog!$M:$M,XPLog!$B:$B,$A549,XPLog!$J:$J,"Seeding"),0)))</f>
        <v/>
      </c>
      <c r="F549" s="27">
        <f>IF($E549="","",LOOKUP($E549, XPBands!B$2:B$10, XPBands!A$2:A$10))</f>
        <v/>
      </c>
      <c r="G549" s="27">
        <f>IF($E549="","", VLOOKUP($F549, XPBands!A$2:G$10, 4, FALSE) + MIN(VLOOKUP($F549, XPBands!A$2:G$10, 5, FALSE) - VLOOKUP($F549, XPBands!A$2:G$10, 4, FALSE), FLOOR(( $E549 - VLOOKUP($F549, XPBands!A$2:G$10, 2, FALSE) ) / VLOOKUP($F549, XPBands!A$2:G$10, 7, FALSE),1)))</f>
        <v/>
      </c>
      <c r="H549" s="27">
        <f>IF($D549="","",VLOOKUP($D549,RoleTitles!$A:$E,3,FALSE))</f>
        <v/>
      </c>
      <c r="I549" s="27">
        <f>IF($D549="","",IF($C549="Greek",VLOOKUP($D549,RoleTitles!$A:$E,4,FALSE),IF($C549="Aesir",VLOOKUP($D549,RoleTitles!$A:$E,5,FALSE),VLOOKUP($D549,RoleTitles!$A:$E,3,FALSE))))</f>
        <v/>
      </c>
      <c r="J549" s="27">
        <f>IF($D549="","",IF($E549&gt;=VLOOKUP($D549,RoleTitles!$A:$B,2,FALSE),"Yes","No"))</f>
        <v/>
      </c>
      <c r="K549" s="27">
        <f>IF($D549="","",IF($D549="T1","T2",IF($D549="T2","T3",IF($D549="T3","T4",IF($D549="T4","T5",IF($D549="T5","T6",IF($D549="T6","T7",IF($D549="T7","T8",IF($D549="T8","T9","")))))))))</f>
        <v/>
      </c>
      <c r="L549" s="28">
        <f>IF($K549="","",MAX(0,VLOOKUP($K549,RoleTitles!$A:$B,2,FALSE)-$E549))</f>
        <v/>
      </c>
    </row>
    <row r="550">
      <c r="A550" s="24">
        <f>IFERROR(INDEX(CoachRoster!$A$2:$A$1000,ROW()-1),"")</f>
        <v/>
      </c>
      <c r="B550" s="27">
        <f>IF($A550="","",VLOOKUP($A550,CoachRoster!$A:$E,2,FALSE))</f>
        <v/>
      </c>
      <c r="C550" s="27">
        <f>IF($A550="","",VLOOKUP($A550,CoachRoster!$A:$E,3,FALSE))</f>
        <v/>
      </c>
      <c r="D550" s="27">
        <f>IF($A550="","",VLOOKUP($A550,CoachRoster!$A:$E,4,FALSE))</f>
        <v/>
      </c>
      <c r="E550" s="27">
        <f>IF($A550="","",MIN(Settings!$B$8,IFERROR(SUMIF(Weekly_Coaching!$B:$B,$A550,Weekly_Coaching!$D:$D),0)+IFERROR(SUMIF(Monthly_Edu!$B:$B,$A550,Monthly_Edu!$D:$D),0)+IFERROR(SUMIF(Monthly_Ops!$B:$B,$A550,Monthly_Ops!$D:$D),0)+IFERROR(SUMIF(Monthly_Mentor!$B:$B,$A550,Monthly_Mentor!$D:$D),0)+IFERROR(SUMIF(Quarterly_Impact!$B:$B,$A550,Quarterly_Impact!$D:$D),0)+IFERROR(SUMIFS(XPLog!$M:$M,XPLog!$B:$B,$A550,XPLog!$J:$J,"Admin"),0)+IFERROR(SUMIFS(XPLog!$M:$M,XPLog!$B:$B,$A550,XPLog!$J:$J,"Seeding"),0)))</f>
        <v/>
      </c>
      <c r="F550" s="27">
        <f>IF($E550="","",LOOKUP($E550, XPBands!B$2:B$10, XPBands!A$2:A$10))</f>
        <v/>
      </c>
      <c r="G550" s="27">
        <f>IF($E550="","", VLOOKUP($F550, XPBands!A$2:G$10, 4, FALSE) + MIN(VLOOKUP($F550, XPBands!A$2:G$10, 5, FALSE) - VLOOKUP($F550, XPBands!A$2:G$10, 4, FALSE), FLOOR(( $E550 - VLOOKUP($F550, XPBands!A$2:G$10, 2, FALSE) ) / VLOOKUP($F550, XPBands!A$2:G$10, 7, FALSE),1)))</f>
        <v/>
      </c>
      <c r="H550" s="27">
        <f>IF($D550="","",VLOOKUP($D550,RoleTitles!$A:$E,3,FALSE))</f>
        <v/>
      </c>
      <c r="I550" s="27">
        <f>IF($D550="","",IF($C550="Greek",VLOOKUP($D550,RoleTitles!$A:$E,4,FALSE),IF($C550="Aesir",VLOOKUP($D550,RoleTitles!$A:$E,5,FALSE),VLOOKUP($D550,RoleTitles!$A:$E,3,FALSE))))</f>
        <v/>
      </c>
      <c r="J550" s="27">
        <f>IF($D550="","",IF($E550&gt;=VLOOKUP($D550,RoleTitles!$A:$B,2,FALSE),"Yes","No"))</f>
        <v/>
      </c>
      <c r="K550" s="27">
        <f>IF($D550="","",IF($D550="T1","T2",IF($D550="T2","T3",IF($D550="T3","T4",IF($D550="T4","T5",IF($D550="T5","T6",IF($D550="T6","T7",IF($D550="T7","T8",IF($D550="T8","T9","")))))))))</f>
        <v/>
      </c>
      <c r="L550" s="28">
        <f>IF($K550="","",MAX(0,VLOOKUP($K550,RoleTitles!$A:$B,2,FALSE)-$E550))</f>
        <v/>
      </c>
    </row>
    <row r="551">
      <c r="A551" s="24">
        <f>IFERROR(INDEX(CoachRoster!$A$2:$A$1000,ROW()-1),"")</f>
        <v/>
      </c>
      <c r="B551" s="27">
        <f>IF($A551="","",VLOOKUP($A551,CoachRoster!$A:$E,2,FALSE))</f>
        <v/>
      </c>
      <c r="C551" s="27">
        <f>IF($A551="","",VLOOKUP($A551,CoachRoster!$A:$E,3,FALSE))</f>
        <v/>
      </c>
      <c r="D551" s="27">
        <f>IF($A551="","",VLOOKUP($A551,CoachRoster!$A:$E,4,FALSE))</f>
        <v/>
      </c>
      <c r="E551" s="27">
        <f>IF($A551="","",MIN(Settings!$B$8,IFERROR(SUMIF(Weekly_Coaching!$B:$B,$A551,Weekly_Coaching!$D:$D),0)+IFERROR(SUMIF(Monthly_Edu!$B:$B,$A551,Monthly_Edu!$D:$D),0)+IFERROR(SUMIF(Monthly_Ops!$B:$B,$A551,Monthly_Ops!$D:$D),0)+IFERROR(SUMIF(Monthly_Mentor!$B:$B,$A551,Monthly_Mentor!$D:$D),0)+IFERROR(SUMIF(Quarterly_Impact!$B:$B,$A551,Quarterly_Impact!$D:$D),0)+IFERROR(SUMIFS(XPLog!$M:$M,XPLog!$B:$B,$A551,XPLog!$J:$J,"Admin"),0)+IFERROR(SUMIFS(XPLog!$M:$M,XPLog!$B:$B,$A551,XPLog!$J:$J,"Seeding"),0)))</f>
        <v/>
      </c>
      <c r="F551" s="27">
        <f>IF($E551="","",LOOKUP($E551, XPBands!B$2:B$10, XPBands!A$2:A$10))</f>
        <v/>
      </c>
      <c r="G551" s="27">
        <f>IF($E551="","", VLOOKUP($F551, XPBands!A$2:G$10, 4, FALSE) + MIN(VLOOKUP($F551, XPBands!A$2:G$10, 5, FALSE) - VLOOKUP($F551, XPBands!A$2:G$10, 4, FALSE), FLOOR(( $E551 - VLOOKUP($F551, XPBands!A$2:G$10, 2, FALSE) ) / VLOOKUP($F551, XPBands!A$2:G$10, 7, FALSE),1)))</f>
        <v/>
      </c>
      <c r="H551" s="27">
        <f>IF($D551="","",VLOOKUP($D551,RoleTitles!$A:$E,3,FALSE))</f>
        <v/>
      </c>
      <c r="I551" s="27">
        <f>IF($D551="","",IF($C551="Greek",VLOOKUP($D551,RoleTitles!$A:$E,4,FALSE),IF($C551="Aesir",VLOOKUP($D551,RoleTitles!$A:$E,5,FALSE),VLOOKUP($D551,RoleTitles!$A:$E,3,FALSE))))</f>
        <v/>
      </c>
      <c r="J551" s="27">
        <f>IF($D551="","",IF($E551&gt;=VLOOKUP($D551,RoleTitles!$A:$B,2,FALSE),"Yes","No"))</f>
        <v/>
      </c>
      <c r="K551" s="27">
        <f>IF($D551="","",IF($D551="T1","T2",IF($D551="T2","T3",IF($D551="T3","T4",IF($D551="T4","T5",IF($D551="T5","T6",IF($D551="T6","T7",IF($D551="T7","T8",IF($D551="T8","T9","")))))))))</f>
        <v/>
      </c>
      <c r="L551" s="28">
        <f>IF($K551="","",MAX(0,VLOOKUP($K551,RoleTitles!$A:$B,2,FALSE)-$E551))</f>
        <v/>
      </c>
    </row>
    <row r="552">
      <c r="A552" s="24">
        <f>IFERROR(INDEX(CoachRoster!$A$2:$A$1000,ROW()-1),"")</f>
        <v/>
      </c>
      <c r="B552" s="27">
        <f>IF($A552="","",VLOOKUP($A552,CoachRoster!$A:$E,2,FALSE))</f>
        <v/>
      </c>
      <c r="C552" s="27">
        <f>IF($A552="","",VLOOKUP($A552,CoachRoster!$A:$E,3,FALSE))</f>
        <v/>
      </c>
      <c r="D552" s="27">
        <f>IF($A552="","",VLOOKUP($A552,CoachRoster!$A:$E,4,FALSE))</f>
        <v/>
      </c>
      <c r="E552" s="27">
        <f>IF($A552="","",MIN(Settings!$B$8,IFERROR(SUMIF(Weekly_Coaching!$B:$B,$A552,Weekly_Coaching!$D:$D),0)+IFERROR(SUMIF(Monthly_Edu!$B:$B,$A552,Monthly_Edu!$D:$D),0)+IFERROR(SUMIF(Monthly_Ops!$B:$B,$A552,Monthly_Ops!$D:$D),0)+IFERROR(SUMIF(Monthly_Mentor!$B:$B,$A552,Monthly_Mentor!$D:$D),0)+IFERROR(SUMIF(Quarterly_Impact!$B:$B,$A552,Quarterly_Impact!$D:$D),0)+IFERROR(SUMIFS(XPLog!$M:$M,XPLog!$B:$B,$A552,XPLog!$J:$J,"Admin"),0)+IFERROR(SUMIFS(XPLog!$M:$M,XPLog!$B:$B,$A552,XPLog!$J:$J,"Seeding"),0)))</f>
        <v/>
      </c>
      <c r="F552" s="27">
        <f>IF($E552="","",LOOKUP($E552, XPBands!B$2:B$10, XPBands!A$2:A$10))</f>
        <v/>
      </c>
      <c r="G552" s="27">
        <f>IF($E552="","", VLOOKUP($F552, XPBands!A$2:G$10, 4, FALSE) + MIN(VLOOKUP($F552, XPBands!A$2:G$10, 5, FALSE) - VLOOKUP($F552, XPBands!A$2:G$10, 4, FALSE), FLOOR(( $E552 - VLOOKUP($F552, XPBands!A$2:G$10, 2, FALSE) ) / VLOOKUP($F552, XPBands!A$2:G$10, 7, FALSE),1)))</f>
        <v/>
      </c>
      <c r="H552" s="27">
        <f>IF($D552="","",VLOOKUP($D552,RoleTitles!$A:$E,3,FALSE))</f>
        <v/>
      </c>
      <c r="I552" s="27">
        <f>IF($D552="","",IF($C552="Greek",VLOOKUP($D552,RoleTitles!$A:$E,4,FALSE),IF($C552="Aesir",VLOOKUP($D552,RoleTitles!$A:$E,5,FALSE),VLOOKUP($D552,RoleTitles!$A:$E,3,FALSE))))</f>
        <v/>
      </c>
      <c r="J552" s="27">
        <f>IF($D552="","",IF($E552&gt;=VLOOKUP($D552,RoleTitles!$A:$B,2,FALSE),"Yes","No"))</f>
        <v/>
      </c>
      <c r="K552" s="27">
        <f>IF($D552="","",IF($D552="T1","T2",IF($D552="T2","T3",IF($D552="T3","T4",IF($D552="T4","T5",IF($D552="T5","T6",IF($D552="T6","T7",IF($D552="T7","T8",IF($D552="T8","T9","")))))))))</f>
        <v/>
      </c>
      <c r="L552" s="28">
        <f>IF($K552="","",MAX(0,VLOOKUP($K552,RoleTitles!$A:$B,2,FALSE)-$E552))</f>
        <v/>
      </c>
    </row>
    <row r="553">
      <c r="A553" s="24">
        <f>IFERROR(INDEX(CoachRoster!$A$2:$A$1000,ROW()-1),"")</f>
        <v/>
      </c>
      <c r="B553" s="27">
        <f>IF($A553="","",VLOOKUP($A553,CoachRoster!$A:$E,2,FALSE))</f>
        <v/>
      </c>
      <c r="C553" s="27">
        <f>IF($A553="","",VLOOKUP($A553,CoachRoster!$A:$E,3,FALSE))</f>
        <v/>
      </c>
      <c r="D553" s="27">
        <f>IF($A553="","",VLOOKUP($A553,CoachRoster!$A:$E,4,FALSE))</f>
        <v/>
      </c>
      <c r="E553" s="27">
        <f>IF($A553="","",MIN(Settings!$B$8,IFERROR(SUMIF(Weekly_Coaching!$B:$B,$A553,Weekly_Coaching!$D:$D),0)+IFERROR(SUMIF(Monthly_Edu!$B:$B,$A553,Monthly_Edu!$D:$D),0)+IFERROR(SUMIF(Monthly_Ops!$B:$B,$A553,Monthly_Ops!$D:$D),0)+IFERROR(SUMIF(Monthly_Mentor!$B:$B,$A553,Monthly_Mentor!$D:$D),0)+IFERROR(SUMIF(Quarterly_Impact!$B:$B,$A553,Quarterly_Impact!$D:$D),0)+IFERROR(SUMIFS(XPLog!$M:$M,XPLog!$B:$B,$A553,XPLog!$J:$J,"Admin"),0)+IFERROR(SUMIFS(XPLog!$M:$M,XPLog!$B:$B,$A553,XPLog!$J:$J,"Seeding"),0)))</f>
        <v/>
      </c>
      <c r="F553" s="27">
        <f>IF($E553="","",LOOKUP($E553, XPBands!B$2:B$10, XPBands!A$2:A$10))</f>
        <v/>
      </c>
      <c r="G553" s="27">
        <f>IF($E553="","", VLOOKUP($F553, XPBands!A$2:G$10, 4, FALSE) + MIN(VLOOKUP($F553, XPBands!A$2:G$10, 5, FALSE) - VLOOKUP($F553, XPBands!A$2:G$10, 4, FALSE), FLOOR(( $E553 - VLOOKUP($F553, XPBands!A$2:G$10, 2, FALSE) ) / VLOOKUP($F553, XPBands!A$2:G$10, 7, FALSE),1)))</f>
        <v/>
      </c>
      <c r="H553" s="27">
        <f>IF($D553="","",VLOOKUP($D553,RoleTitles!$A:$E,3,FALSE))</f>
        <v/>
      </c>
      <c r="I553" s="27">
        <f>IF($D553="","",IF($C553="Greek",VLOOKUP($D553,RoleTitles!$A:$E,4,FALSE),IF($C553="Aesir",VLOOKUP($D553,RoleTitles!$A:$E,5,FALSE),VLOOKUP($D553,RoleTitles!$A:$E,3,FALSE))))</f>
        <v/>
      </c>
      <c r="J553" s="27">
        <f>IF($D553="","",IF($E553&gt;=VLOOKUP($D553,RoleTitles!$A:$B,2,FALSE),"Yes","No"))</f>
        <v/>
      </c>
      <c r="K553" s="27">
        <f>IF($D553="","",IF($D553="T1","T2",IF($D553="T2","T3",IF($D553="T3","T4",IF($D553="T4","T5",IF($D553="T5","T6",IF($D553="T6","T7",IF($D553="T7","T8",IF($D553="T8","T9","")))))))))</f>
        <v/>
      </c>
      <c r="L553" s="28">
        <f>IF($K553="","",MAX(0,VLOOKUP($K553,RoleTitles!$A:$B,2,FALSE)-$E553))</f>
        <v/>
      </c>
    </row>
    <row r="554">
      <c r="A554" s="24">
        <f>IFERROR(INDEX(CoachRoster!$A$2:$A$1000,ROW()-1),"")</f>
        <v/>
      </c>
      <c r="B554" s="27">
        <f>IF($A554="","",VLOOKUP($A554,CoachRoster!$A:$E,2,FALSE))</f>
        <v/>
      </c>
      <c r="C554" s="27">
        <f>IF($A554="","",VLOOKUP($A554,CoachRoster!$A:$E,3,FALSE))</f>
        <v/>
      </c>
      <c r="D554" s="27">
        <f>IF($A554="","",VLOOKUP($A554,CoachRoster!$A:$E,4,FALSE))</f>
        <v/>
      </c>
      <c r="E554" s="27">
        <f>IF($A554="","",MIN(Settings!$B$8,IFERROR(SUMIF(Weekly_Coaching!$B:$B,$A554,Weekly_Coaching!$D:$D),0)+IFERROR(SUMIF(Monthly_Edu!$B:$B,$A554,Monthly_Edu!$D:$D),0)+IFERROR(SUMIF(Monthly_Ops!$B:$B,$A554,Monthly_Ops!$D:$D),0)+IFERROR(SUMIF(Monthly_Mentor!$B:$B,$A554,Monthly_Mentor!$D:$D),0)+IFERROR(SUMIF(Quarterly_Impact!$B:$B,$A554,Quarterly_Impact!$D:$D),0)+IFERROR(SUMIFS(XPLog!$M:$M,XPLog!$B:$B,$A554,XPLog!$J:$J,"Admin"),0)+IFERROR(SUMIFS(XPLog!$M:$M,XPLog!$B:$B,$A554,XPLog!$J:$J,"Seeding"),0)))</f>
        <v/>
      </c>
      <c r="F554" s="27">
        <f>IF($E554="","",LOOKUP($E554, XPBands!B$2:B$10, XPBands!A$2:A$10))</f>
        <v/>
      </c>
      <c r="G554" s="27">
        <f>IF($E554="","", VLOOKUP($F554, XPBands!A$2:G$10, 4, FALSE) + MIN(VLOOKUP($F554, XPBands!A$2:G$10, 5, FALSE) - VLOOKUP($F554, XPBands!A$2:G$10, 4, FALSE), FLOOR(( $E554 - VLOOKUP($F554, XPBands!A$2:G$10, 2, FALSE) ) / VLOOKUP($F554, XPBands!A$2:G$10, 7, FALSE),1)))</f>
        <v/>
      </c>
      <c r="H554" s="27">
        <f>IF($D554="","",VLOOKUP($D554,RoleTitles!$A:$E,3,FALSE))</f>
        <v/>
      </c>
      <c r="I554" s="27">
        <f>IF($D554="","",IF($C554="Greek",VLOOKUP($D554,RoleTitles!$A:$E,4,FALSE),IF($C554="Aesir",VLOOKUP($D554,RoleTitles!$A:$E,5,FALSE),VLOOKUP($D554,RoleTitles!$A:$E,3,FALSE))))</f>
        <v/>
      </c>
      <c r="J554" s="27">
        <f>IF($D554="","",IF($E554&gt;=VLOOKUP($D554,RoleTitles!$A:$B,2,FALSE),"Yes","No"))</f>
        <v/>
      </c>
      <c r="K554" s="27">
        <f>IF($D554="","",IF($D554="T1","T2",IF($D554="T2","T3",IF($D554="T3","T4",IF($D554="T4","T5",IF($D554="T5","T6",IF($D554="T6","T7",IF($D554="T7","T8",IF($D554="T8","T9","")))))))))</f>
        <v/>
      </c>
      <c r="L554" s="28">
        <f>IF($K554="","",MAX(0,VLOOKUP($K554,RoleTitles!$A:$B,2,FALSE)-$E554))</f>
        <v/>
      </c>
    </row>
    <row r="555">
      <c r="A555" s="24">
        <f>IFERROR(INDEX(CoachRoster!$A$2:$A$1000,ROW()-1),"")</f>
        <v/>
      </c>
      <c r="B555" s="27">
        <f>IF($A555="","",VLOOKUP($A555,CoachRoster!$A:$E,2,FALSE))</f>
        <v/>
      </c>
      <c r="C555" s="27">
        <f>IF($A555="","",VLOOKUP($A555,CoachRoster!$A:$E,3,FALSE))</f>
        <v/>
      </c>
      <c r="D555" s="27">
        <f>IF($A555="","",VLOOKUP($A555,CoachRoster!$A:$E,4,FALSE))</f>
        <v/>
      </c>
      <c r="E555" s="27">
        <f>IF($A555="","",MIN(Settings!$B$8,IFERROR(SUMIF(Weekly_Coaching!$B:$B,$A555,Weekly_Coaching!$D:$D),0)+IFERROR(SUMIF(Monthly_Edu!$B:$B,$A555,Monthly_Edu!$D:$D),0)+IFERROR(SUMIF(Monthly_Ops!$B:$B,$A555,Monthly_Ops!$D:$D),0)+IFERROR(SUMIF(Monthly_Mentor!$B:$B,$A555,Monthly_Mentor!$D:$D),0)+IFERROR(SUMIF(Quarterly_Impact!$B:$B,$A555,Quarterly_Impact!$D:$D),0)+IFERROR(SUMIFS(XPLog!$M:$M,XPLog!$B:$B,$A555,XPLog!$J:$J,"Admin"),0)+IFERROR(SUMIFS(XPLog!$M:$M,XPLog!$B:$B,$A555,XPLog!$J:$J,"Seeding"),0)))</f>
        <v/>
      </c>
      <c r="F555" s="27">
        <f>IF($E555="","",LOOKUP($E555, XPBands!B$2:B$10, XPBands!A$2:A$10))</f>
        <v/>
      </c>
      <c r="G555" s="27">
        <f>IF($E555="","", VLOOKUP($F555, XPBands!A$2:G$10, 4, FALSE) + MIN(VLOOKUP($F555, XPBands!A$2:G$10, 5, FALSE) - VLOOKUP($F555, XPBands!A$2:G$10, 4, FALSE), FLOOR(( $E555 - VLOOKUP($F555, XPBands!A$2:G$10, 2, FALSE) ) / VLOOKUP($F555, XPBands!A$2:G$10, 7, FALSE),1)))</f>
        <v/>
      </c>
      <c r="H555" s="27">
        <f>IF($D555="","",VLOOKUP($D555,RoleTitles!$A:$E,3,FALSE))</f>
        <v/>
      </c>
      <c r="I555" s="27">
        <f>IF($D555="","",IF($C555="Greek",VLOOKUP($D555,RoleTitles!$A:$E,4,FALSE),IF($C555="Aesir",VLOOKUP($D555,RoleTitles!$A:$E,5,FALSE),VLOOKUP($D555,RoleTitles!$A:$E,3,FALSE))))</f>
        <v/>
      </c>
      <c r="J555" s="27">
        <f>IF($D555="","",IF($E555&gt;=VLOOKUP($D555,RoleTitles!$A:$B,2,FALSE),"Yes","No"))</f>
        <v/>
      </c>
      <c r="K555" s="27">
        <f>IF($D555="","",IF($D555="T1","T2",IF($D555="T2","T3",IF($D555="T3","T4",IF($D555="T4","T5",IF($D555="T5","T6",IF($D555="T6","T7",IF($D555="T7","T8",IF($D555="T8","T9","")))))))))</f>
        <v/>
      </c>
      <c r="L555" s="28">
        <f>IF($K555="","",MAX(0,VLOOKUP($K555,RoleTitles!$A:$B,2,FALSE)-$E555))</f>
        <v/>
      </c>
    </row>
    <row r="556">
      <c r="A556" s="24">
        <f>IFERROR(INDEX(CoachRoster!$A$2:$A$1000,ROW()-1),"")</f>
        <v/>
      </c>
      <c r="B556" s="27">
        <f>IF($A556="","",VLOOKUP($A556,CoachRoster!$A:$E,2,FALSE))</f>
        <v/>
      </c>
      <c r="C556" s="27">
        <f>IF($A556="","",VLOOKUP($A556,CoachRoster!$A:$E,3,FALSE))</f>
        <v/>
      </c>
      <c r="D556" s="27">
        <f>IF($A556="","",VLOOKUP($A556,CoachRoster!$A:$E,4,FALSE))</f>
        <v/>
      </c>
      <c r="E556" s="27">
        <f>IF($A556="","",MIN(Settings!$B$8,IFERROR(SUMIF(Weekly_Coaching!$B:$B,$A556,Weekly_Coaching!$D:$D),0)+IFERROR(SUMIF(Monthly_Edu!$B:$B,$A556,Monthly_Edu!$D:$D),0)+IFERROR(SUMIF(Monthly_Ops!$B:$B,$A556,Monthly_Ops!$D:$D),0)+IFERROR(SUMIF(Monthly_Mentor!$B:$B,$A556,Monthly_Mentor!$D:$D),0)+IFERROR(SUMIF(Quarterly_Impact!$B:$B,$A556,Quarterly_Impact!$D:$D),0)+IFERROR(SUMIFS(XPLog!$M:$M,XPLog!$B:$B,$A556,XPLog!$J:$J,"Admin"),0)+IFERROR(SUMIFS(XPLog!$M:$M,XPLog!$B:$B,$A556,XPLog!$J:$J,"Seeding"),0)))</f>
        <v/>
      </c>
      <c r="F556" s="27">
        <f>IF($E556="","",LOOKUP($E556, XPBands!B$2:B$10, XPBands!A$2:A$10))</f>
        <v/>
      </c>
      <c r="G556" s="27">
        <f>IF($E556="","", VLOOKUP($F556, XPBands!A$2:G$10, 4, FALSE) + MIN(VLOOKUP($F556, XPBands!A$2:G$10, 5, FALSE) - VLOOKUP($F556, XPBands!A$2:G$10, 4, FALSE), FLOOR(( $E556 - VLOOKUP($F556, XPBands!A$2:G$10, 2, FALSE) ) / VLOOKUP($F556, XPBands!A$2:G$10, 7, FALSE),1)))</f>
        <v/>
      </c>
      <c r="H556" s="27">
        <f>IF($D556="","",VLOOKUP($D556,RoleTitles!$A:$E,3,FALSE))</f>
        <v/>
      </c>
      <c r="I556" s="27">
        <f>IF($D556="","",IF($C556="Greek",VLOOKUP($D556,RoleTitles!$A:$E,4,FALSE),IF($C556="Aesir",VLOOKUP($D556,RoleTitles!$A:$E,5,FALSE),VLOOKUP($D556,RoleTitles!$A:$E,3,FALSE))))</f>
        <v/>
      </c>
      <c r="J556" s="27">
        <f>IF($D556="","",IF($E556&gt;=VLOOKUP($D556,RoleTitles!$A:$B,2,FALSE),"Yes","No"))</f>
        <v/>
      </c>
      <c r="K556" s="27">
        <f>IF($D556="","",IF($D556="T1","T2",IF($D556="T2","T3",IF($D556="T3","T4",IF($D556="T4","T5",IF($D556="T5","T6",IF($D556="T6","T7",IF($D556="T7","T8",IF($D556="T8","T9","")))))))))</f>
        <v/>
      </c>
      <c r="L556" s="28">
        <f>IF($K556="","",MAX(0,VLOOKUP($K556,RoleTitles!$A:$B,2,FALSE)-$E556))</f>
        <v/>
      </c>
    </row>
    <row r="557">
      <c r="A557" s="24">
        <f>IFERROR(INDEX(CoachRoster!$A$2:$A$1000,ROW()-1),"")</f>
        <v/>
      </c>
      <c r="B557" s="27">
        <f>IF($A557="","",VLOOKUP($A557,CoachRoster!$A:$E,2,FALSE))</f>
        <v/>
      </c>
      <c r="C557" s="27">
        <f>IF($A557="","",VLOOKUP($A557,CoachRoster!$A:$E,3,FALSE))</f>
        <v/>
      </c>
      <c r="D557" s="27">
        <f>IF($A557="","",VLOOKUP($A557,CoachRoster!$A:$E,4,FALSE))</f>
        <v/>
      </c>
      <c r="E557" s="27">
        <f>IF($A557="","",MIN(Settings!$B$8,IFERROR(SUMIF(Weekly_Coaching!$B:$B,$A557,Weekly_Coaching!$D:$D),0)+IFERROR(SUMIF(Monthly_Edu!$B:$B,$A557,Monthly_Edu!$D:$D),0)+IFERROR(SUMIF(Monthly_Ops!$B:$B,$A557,Monthly_Ops!$D:$D),0)+IFERROR(SUMIF(Monthly_Mentor!$B:$B,$A557,Monthly_Mentor!$D:$D),0)+IFERROR(SUMIF(Quarterly_Impact!$B:$B,$A557,Quarterly_Impact!$D:$D),0)+IFERROR(SUMIFS(XPLog!$M:$M,XPLog!$B:$B,$A557,XPLog!$J:$J,"Admin"),0)+IFERROR(SUMIFS(XPLog!$M:$M,XPLog!$B:$B,$A557,XPLog!$J:$J,"Seeding"),0)))</f>
        <v/>
      </c>
      <c r="F557" s="27">
        <f>IF($E557="","",LOOKUP($E557, XPBands!B$2:B$10, XPBands!A$2:A$10))</f>
        <v/>
      </c>
      <c r="G557" s="27">
        <f>IF($E557="","", VLOOKUP($F557, XPBands!A$2:G$10, 4, FALSE) + MIN(VLOOKUP($F557, XPBands!A$2:G$10, 5, FALSE) - VLOOKUP($F557, XPBands!A$2:G$10, 4, FALSE), FLOOR(( $E557 - VLOOKUP($F557, XPBands!A$2:G$10, 2, FALSE) ) / VLOOKUP($F557, XPBands!A$2:G$10, 7, FALSE),1)))</f>
        <v/>
      </c>
      <c r="H557" s="27">
        <f>IF($D557="","",VLOOKUP($D557,RoleTitles!$A:$E,3,FALSE))</f>
        <v/>
      </c>
      <c r="I557" s="27">
        <f>IF($D557="","",IF($C557="Greek",VLOOKUP($D557,RoleTitles!$A:$E,4,FALSE),IF($C557="Aesir",VLOOKUP($D557,RoleTitles!$A:$E,5,FALSE),VLOOKUP($D557,RoleTitles!$A:$E,3,FALSE))))</f>
        <v/>
      </c>
      <c r="J557" s="27">
        <f>IF($D557="","",IF($E557&gt;=VLOOKUP($D557,RoleTitles!$A:$B,2,FALSE),"Yes","No"))</f>
        <v/>
      </c>
      <c r="K557" s="27">
        <f>IF($D557="","",IF($D557="T1","T2",IF($D557="T2","T3",IF($D557="T3","T4",IF($D557="T4","T5",IF($D557="T5","T6",IF($D557="T6","T7",IF($D557="T7","T8",IF($D557="T8","T9","")))))))))</f>
        <v/>
      </c>
      <c r="L557" s="28">
        <f>IF($K557="","",MAX(0,VLOOKUP($K557,RoleTitles!$A:$B,2,FALSE)-$E557))</f>
        <v/>
      </c>
    </row>
    <row r="558">
      <c r="A558" s="24">
        <f>IFERROR(INDEX(CoachRoster!$A$2:$A$1000,ROW()-1),"")</f>
        <v/>
      </c>
      <c r="B558" s="27">
        <f>IF($A558="","",VLOOKUP($A558,CoachRoster!$A:$E,2,FALSE))</f>
        <v/>
      </c>
      <c r="C558" s="27">
        <f>IF($A558="","",VLOOKUP($A558,CoachRoster!$A:$E,3,FALSE))</f>
        <v/>
      </c>
      <c r="D558" s="27">
        <f>IF($A558="","",VLOOKUP($A558,CoachRoster!$A:$E,4,FALSE))</f>
        <v/>
      </c>
      <c r="E558" s="27">
        <f>IF($A558="","",MIN(Settings!$B$8,IFERROR(SUMIF(Weekly_Coaching!$B:$B,$A558,Weekly_Coaching!$D:$D),0)+IFERROR(SUMIF(Monthly_Edu!$B:$B,$A558,Monthly_Edu!$D:$D),0)+IFERROR(SUMIF(Monthly_Ops!$B:$B,$A558,Monthly_Ops!$D:$D),0)+IFERROR(SUMIF(Monthly_Mentor!$B:$B,$A558,Monthly_Mentor!$D:$D),0)+IFERROR(SUMIF(Quarterly_Impact!$B:$B,$A558,Quarterly_Impact!$D:$D),0)+IFERROR(SUMIFS(XPLog!$M:$M,XPLog!$B:$B,$A558,XPLog!$J:$J,"Admin"),0)+IFERROR(SUMIFS(XPLog!$M:$M,XPLog!$B:$B,$A558,XPLog!$J:$J,"Seeding"),0)))</f>
        <v/>
      </c>
      <c r="F558" s="27">
        <f>IF($E558="","",LOOKUP($E558, XPBands!B$2:B$10, XPBands!A$2:A$10))</f>
        <v/>
      </c>
      <c r="G558" s="27">
        <f>IF($E558="","", VLOOKUP($F558, XPBands!A$2:G$10, 4, FALSE) + MIN(VLOOKUP($F558, XPBands!A$2:G$10, 5, FALSE) - VLOOKUP($F558, XPBands!A$2:G$10, 4, FALSE), FLOOR(( $E558 - VLOOKUP($F558, XPBands!A$2:G$10, 2, FALSE) ) / VLOOKUP($F558, XPBands!A$2:G$10, 7, FALSE),1)))</f>
        <v/>
      </c>
      <c r="H558" s="27">
        <f>IF($D558="","",VLOOKUP($D558,RoleTitles!$A:$E,3,FALSE))</f>
        <v/>
      </c>
      <c r="I558" s="27">
        <f>IF($D558="","",IF($C558="Greek",VLOOKUP($D558,RoleTitles!$A:$E,4,FALSE),IF($C558="Aesir",VLOOKUP($D558,RoleTitles!$A:$E,5,FALSE),VLOOKUP($D558,RoleTitles!$A:$E,3,FALSE))))</f>
        <v/>
      </c>
      <c r="J558" s="27">
        <f>IF($D558="","",IF($E558&gt;=VLOOKUP($D558,RoleTitles!$A:$B,2,FALSE),"Yes","No"))</f>
        <v/>
      </c>
      <c r="K558" s="27">
        <f>IF($D558="","",IF($D558="T1","T2",IF($D558="T2","T3",IF($D558="T3","T4",IF($D558="T4","T5",IF($D558="T5","T6",IF($D558="T6","T7",IF($D558="T7","T8",IF($D558="T8","T9","")))))))))</f>
        <v/>
      </c>
      <c r="L558" s="28">
        <f>IF($K558="","",MAX(0,VLOOKUP($K558,RoleTitles!$A:$B,2,FALSE)-$E558))</f>
        <v/>
      </c>
    </row>
    <row r="559">
      <c r="A559" s="24">
        <f>IFERROR(INDEX(CoachRoster!$A$2:$A$1000,ROW()-1),"")</f>
        <v/>
      </c>
      <c r="B559" s="27">
        <f>IF($A559="","",VLOOKUP($A559,CoachRoster!$A:$E,2,FALSE))</f>
        <v/>
      </c>
      <c r="C559" s="27">
        <f>IF($A559="","",VLOOKUP($A559,CoachRoster!$A:$E,3,FALSE))</f>
        <v/>
      </c>
      <c r="D559" s="27">
        <f>IF($A559="","",VLOOKUP($A559,CoachRoster!$A:$E,4,FALSE))</f>
        <v/>
      </c>
      <c r="E559" s="27">
        <f>IF($A559="","",MIN(Settings!$B$8,IFERROR(SUMIF(Weekly_Coaching!$B:$B,$A559,Weekly_Coaching!$D:$D),0)+IFERROR(SUMIF(Monthly_Edu!$B:$B,$A559,Monthly_Edu!$D:$D),0)+IFERROR(SUMIF(Monthly_Ops!$B:$B,$A559,Monthly_Ops!$D:$D),0)+IFERROR(SUMIF(Monthly_Mentor!$B:$B,$A559,Monthly_Mentor!$D:$D),0)+IFERROR(SUMIF(Quarterly_Impact!$B:$B,$A559,Quarterly_Impact!$D:$D),0)+IFERROR(SUMIFS(XPLog!$M:$M,XPLog!$B:$B,$A559,XPLog!$J:$J,"Admin"),0)+IFERROR(SUMIFS(XPLog!$M:$M,XPLog!$B:$B,$A559,XPLog!$J:$J,"Seeding"),0)))</f>
        <v/>
      </c>
      <c r="F559" s="27">
        <f>IF($E559="","",LOOKUP($E559, XPBands!B$2:B$10, XPBands!A$2:A$10))</f>
        <v/>
      </c>
      <c r="G559" s="27">
        <f>IF($E559="","", VLOOKUP($F559, XPBands!A$2:G$10, 4, FALSE) + MIN(VLOOKUP($F559, XPBands!A$2:G$10, 5, FALSE) - VLOOKUP($F559, XPBands!A$2:G$10, 4, FALSE), FLOOR(( $E559 - VLOOKUP($F559, XPBands!A$2:G$10, 2, FALSE) ) / VLOOKUP($F559, XPBands!A$2:G$10, 7, FALSE),1)))</f>
        <v/>
      </c>
      <c r="H559" s="27">
        <f>IF($D559="","",VLOOKUP($D559,RoleTitles!$A:$E,3,FALSE))</f>
        <v/>
      </c>
      <c r="I559" s="27">
        <f>IF($D559="","",IF($C559="Greek",VLOOKUP($D559,RoleTitles!$A:$E,4,FALSE),IF($C559="Aesir",VLOOKUP($D559,RoleTitles!$A:$E,5,FALSE),VLOOKUP($D559,RoleTitles!$A:$E,3,FALSE))))</f>
        <v/>
      </c>
      <c r="J559" s="27">
        <f>IF($D559="","",IF($E559&gt;=VLOOKUP($D559,RoleTitles!$A:$B,2,FALSE),"Yes","No"))</f>
        <v/>
      </c>
      <c r="K559" s="27">
        <f>IF($D559="","",IF($D559="T1","T2",IF($D559="T2","T3",IF($D559="T3","T4",IF($D559="T4","T5",IF($D559="T5","T6",IF($D559="T6","T7",IF($D559="T7","T8",IF($D559="T8","T9","")))))))))</f>
        <v/>
      </c>
      <c r="L559" s="28">
        <f>IF($K559="","",MAX(0,VLOOKUP($K559,RoleTitles!$A:$B,2,FALSE)-$E559))</f>
        <v/>
      </c>
    </row>
    <row r="560">
      <c r="A560" s="24">
        <f>IFERROR(INDEX(CoachRoster!$A$2:$A$1000,ROW()-1),"")</f>
        <v/>
      </c>
      <c r="B560" s="27">
        <f>IF($A560="","",VLOOKUP($A560,CoachRoster!$A:$E,2,FALSE))</f>
        <v/>
      </c>
      <c r="C560" s="27">
        <f>IF($A560="","",VLOOKUP($A560,CoachRoster!$A:$E,3,FALSE))</f>
        <v/>
      </c>
      <c r="D560" s="27">
        <f>IF($A560="","",VLOOKUP($A560,CoachRoster!$A:$E,4,FALSE))</f>
        <v/>
      </c>
      <c r="E560" s="27">
        <f>IF($A560="","",MIN(Settings!$B$8,IFERROR(SUMIF(Weekly_Coaching!$B:$B,$A560,Weekly_Coaching!$D:$D),0)+IFERROR(SUMIF(Monthly_Edu!$B:$B,$A560,Monthly_Edu!$D:$D),0)+IFERROR(SUMIF(Monthly_Ops!$B:$B,$A560,Monthly_Ops!$D:$D),0)+IFERROR(SUMIF(Monthly_Mentor!$B:$B,$A560,Monthly_Mentor!$D:$D),0)+IFERROR(SUMIF(Quarterly_Impact!$B:$B,$A560,Quarterly_Impact!$D:$D),0)+IFERROR(SUMIFS(XPLog!$M:$M,XPLog!$B:$B,$A560,XPLog!$J:$J,"Admin"),0)+IFERROR(SUMIFS(XPLog!$M:$M,XPLog!$B:$B,$A560,XPLog!$J:$J,"Seeding"),0)))</f>
        <v/>
      </c>
      <c r="F560" s="27">
        <f>IF($E560="","",LOOKUP($E560, XPBands!B$2:B$10, XPBands!A$2:A$10))</f>
        <v/>
      </c>
      <c r="G560" s="27">
        <f>IF($E560="","", VLOOKUP($F560, XPBands!A$2:G$10, 4, FALSE) + MIN(VLOOKUP($F560, XPBands!A$2:G$10, 5, FALSE) - VLOOKUP($F560, XPBands!A$2:G$10, 4, FALSE), FLOOR(( $E560 - VLOOKUP($F560, XPBands!A$2:G$10, 2, FALSE) ) / VLOOKUP($F560, XPBands!A$2:G$10, 7, FALSE),1)))</f>
        <v/>
      </c>
      <c r="H560" s="27">
        <f>IF($D560="","",VLOOKUP($D560,RoleTitles!$A:$E,3,FALSE))</f>
        <v/>
      </c>
      <c r="I560" s="27">
        <f>IF($D560="","",IF($C560="Greek",VLOOKUP($D560,RoleTitles!$A:$E,4,FALSE),IF($C560="Aesir",VLOOKUP($D560,RoleTitles!$A:$E,5,FALSE),VLOOKUP($D560,RoleTitles!$A:$E,3,FALSE))))</f>
        <v/>
      </c>
      <c r="J560" s="27">
        <f>IF($D560="","",IF($E560&gt;=VLOOKUP($D560,RoleTitles!$A:$B,2,FALSE),"Yes","No"))</f>
        <v/>
      </c>
      <c r="K560" s="27">
        <f>IF($D560="","",IF($D560="T1","T2",IF($D560="T2","T3",IF($D560="T3","T4",IF($D560="T4","T5",IF($D560="T5","T6",IF($D560="T6","T7",IF($D560="T7","T8",IF($D560="T8","T9","")))))))))</f>
        <v/>
      </c>
      <c r="L560" s="28">
        <f>IF($K560="","",MAX(0,VLOOKUP($K560,RoleTitles!$A:$B,2,FALSE)-$E560))</f>
        <v/>
      </c>
    </row>
    <row r="561">
      <c r="A561" s="24">
        <f>IFERROR(INDEX(CoachRoster!$A$2:$A$1000,ROW()-1),"")</f>
        <v/>
      </c>
      <c r="B561" s="27">
        <f>IF($A561="","",VLOOKUP($A561,CoachRoster!$A:$E,2,FALSE))</f>
        <v/>
      </c>
      <c r="C561" s="27">
        <f>IF($A561="","",VLOOKUP($A561,CoachRoster!$A:$E,3,FALSE))</f>
        <v/>
      </c>
      <c r="D561" s="27">
        <f>IF($A561="","",VLOOKUP($A561,CoachRoster!$A:$E,4,FALSE))</f>
        <v/>
      </c>
      <c r="E561" s="27">
        <f>IF($A561="","",MIN(Settings!$B$8,IFERROR(SUMIF(Weekly_Coaching!$B:$B,$A561,Weekly_Coaching!$D:$D),0)+IFERROR(SUMIF(Monthly_Edu!$B:$B,$A561,Monthly_Edu!$D:$D),0)+IFERROR(SUMIF(Monthly_Ops!$B:$B,$A561,Monthly_Ops!$D:$D),0)+IFERROR(SUMIF(Monthly_Mentor!$B:$B,$A561,Monthly_Mentor!$D:$D),0)+IFERROR(SUMIF(Quarterly_Impact!$B:$B,$A561,Quarterly_Impact!$D:$D),0)+IFERROR(SUMIFS(XPLog!$M:$M,XPLog!$B:$B,$A561,XPLog!$J:$J,"Admin"),0)+IFERROR(SUMIFS(XPLog!$M:$M,XPLog!$B:$B,$A561,XPLog!$J:$J,"Seeding"),0)))</f>
        <v/>
      </c>
      <c r="F561" s="27">
        <f>IF($E561="","",LOOKUP($E561, XPBands!B$2:B$10, XPBands!A$2:A$10))</f>
        <v/>
      </c>
      <c r="G561" s="27">
        <f>IF($E561="","", VLOOKUP($F561, XPBands!A$2:G$10, 4, FALSE) + MIN(VLOOKUP($F561, XPBands!A$2:G$10, 5, FALSE) - VLOOKUP($F561, XPBands!A$2:G$10, 4, FALSE), FLOOR(( $E561 - VLOOKUP($F561, XPBands!A$2:G$10, 2, FALSE) ) / VLOOKUP($F561, XPBands!A$2:G$10, 7, FALSE),1)))</f>
        <v/>
      </c>
      <c r="H561" s="27">
        <f>IF($D561="","",VLOOKUP($D561,RoleTitles!$A:$E,3,FALSE))</f>
        <v/>
      </c>
      <c r="I561" s="27">
        <f>IF($D561="","",IF($C561="Greek",VLOOKUP($D561,RoleTitles!$A:$E,4,FALSE),IF($C561="Aesir",VLOOKUP($D561,RoleTitles!$A:$E,5,FALSE),VLOOKUP($D561,RoleTitles!$A:$E,3,FALSE))))</f>
        <v/>
      </c>
      <c r="J561" s="27">
        <f>IF($D561="","",IF($E561&gt;=VLOOKUP($D561,RoleTitles!$A:$B,2,FALSE),"Yes","No"))</f>
        <v/>
      </c>
      <c r="K561" s="27">
        <f>IF($D561="","",IF($D561="T1","T2",IF($D561="T2","T3",IF($D561="T3","T4",IF($D561="T4","T5",IF($D561="T5","T6",IF($D561="T6","T7",IF($D561="T7","T8",IF($D561="T8","T9","")))))))))</f>
        <v/>
      </c>
      <c r="L561" s="28">
        <f>IF($K561="","",MAX(0,VLOOKUP($K561,RoleTitles!$A:$B,2,FALSE)-$E561))</f>
        <v/>
      </c>
    </row>
    <row r="562">
      <c r="A562" s="24">
        <f>IFERROR(INDEX(CoachRoster!$A$2:$A$1000,ROW()-1),"")</f>
        <v/>
      </c>
      <c r="B562" s="27">
        <f>IF($A562="","",VLOOKUP($A562,CoachRoster!$A:$E,2,FALSE))</f>
        <v/>
      </c>
      <c r="C562" s="27">
        <f>IF($A562="","",VLOOKUP($A562,CoachRoster!$A:$E,3,FALSE))</f>
        <v/>
      </c>
      <c r="D562" s="27">
        <f>IF($A562="","",VLOOKUP($A562,CoachRoster!$A:$E,4,FALSE))</f>
        <v/>
      </c>
      <c r="E562" s="27">
        <f>IF($A562="","",MIN(Settings!$B$8,IFERROR(SUMIF(Weekly_Coaching!$B:$B,$A562,Weekly_Coaching!$D:$D),0)+IFERROR(SUMIF(Monthly_Edu!$B:$B,$A562,Monthly_Edu!$D:$D),0)+IFERROR(SUMIF(Monthly_Ops!$B:$B,$A562,Monthly_Ops!$D:$D),0)+IFERROR(SUMIF(Monthly_Mentor!$B:$B,$A562,Monthly_Mentor!$D:$D),0)+IFERROR(SUMIF(Quarterly_Impact!$B:$B,$A562,Quarterly_Impact!$D:$D),0)+IFERROR(SUMIFS(XPLog!$M:$M,XPLog!$B:$B,$A562,XPLog!$J:$J,"Admin"),0)+IFERROR(SUMIFS(XPLog!$M:$M,XPLog!$B:$B,$A562,XPLog!$J:$J,"Seeding"),0)))</f>
        <v/>
      </c>
      <c r="F562" s="27">
        <f>IF($E562="","",LOOKUP($E562, XPBands!B$2:B$10, XPBands!A$2:A$10))</f>
        <v/>
      </c>
      <c r="G562" s="27">
        <f>IF($E562="","", VLOOKUP($F562, XPBands!A$2:G$10, 4, FALSE) + MIN(VLOOKUP($F562, XPBands!A$2:G$10, 5, FALSE) - VLOOKUP($F562, XPBands!A$2:G$10, 4, FALSE), FLOOR(( $E562 - VLOOKUP($F562, XPBands!A$2:G$10, 2, FALSE) ) / VLOOKUP($F562, XPBands!A$2:G$10, 7, FALSE),1)))</f>
        <v/>
      </c>
      <c r="H562" s="27">
        <f>IF($D562="","",VLOOKUP($D562,RoleTitles!$A:$E,3,FALSE))</f>
        <v/>
      </c>
      <c r="I562" s="27">
        <f>IF($D562="","",IF($C562="Greek",VLOOKUP($D562,RoleTitles!$A:$E,4,FALSE),IF($C562="Aesir",VLOOKUP($D562,RoleTitles!$A:$E,5,FALSE),VLOOKUP($D562,RoleTitles!$A:$E,3,FALSE))))</f>
        <v/>
      </c>
      <c r="J562" s="27">
        <f>IF($D562="","",IF($E562&gt;=VLOOKUP($D562,RoleTitles!$A:$B,2,FALSE),"Yes","No"))</f>
        <v/>
      </c>
      <c r="K562" s="27">
        <f>IF($D562="","",IF($D562="T1","T2",IF($D562="T2","T3",IF($D562="T3","T4",IF($D562="T4","T5",IF($D562="T5","T6",IF($D562="T6","T7",IF($D562="T7","T8",IF($D562="T8","T9","")))))))))</f>
        <v/>
      </c>
      <c r="L562" s="28">
        <f>IF($K562="","",MAX(0,VLOOKUP($K562,RoleTitles!$A:$B,2,FALSE)-$E562))</f>
        <v/>
      </c>
    </row>
    <row r="563">
      <c r="A563" s="24">
        <f>IFERROR(INDEX(CoachRoster!$A$2:$A$1000,ROW()-1),"")</f>
        <v/>
      </c>
      <c r="B563" s="27">
        <f>IF($A563="","",VLOOKUP($A563,CoachRoster!$A:$E,2,FALSE))</f>
        <v/>
      </c>
      <c r="C563" s="27">
        <f>IF($A563="","",VLOOKUP($A563,CoachRoster!$A:$E,3,FALSE))</f>
        <v/>
      </c>
      <c r="D563" s="27">
        <f>IF($A563="","",VLOOKUP($A563,CoachRoster!$A:$E,4,FALSE))</f>
        <v/>
      </c>
      <c r="E563" s="27">
        <f>IF($A563="","",MIN(Settings!$B$8,IFERROR(SUMIF(Weekly_Coaching!$B:$B,$A563,Weekly_Coaching!$D:$D),0)+IFERROR(SUMIF(Monthly_Edu!$B:$B,$A563,Monthly_Edu!$D:$D),0)+IFERROR(SUMIF(Monthly_Ops!$B:$B,$A563,Monthly_Ops!$D:$D),0)+IFERROR(SUMIF(Monthly_Mentor!$B:$B,$A563,Monthly_Mentor!$D:$D),0)+IFERROR(SUMIF(Quarterly_Impact!$B:$B,$A563,Quarterly_Impact!$D:$D),0)+IFERROR(SUMIFS(XPLog!$M:$M,XPLog!$B:$B,$A563,XPLog!$J:$J,"Admin"),0)+IFERROR(SUMIFS(XPLog!$M:$M,XPLog!$B:$B,$A563,XPLog!$J:$J,"Seeding"),0)))</f>
        <v/>
      </c>
      <c r="F563" s="27">
        <f>IF($E563="","",LOOKUP($E563, XPBands!B$2:B$10, XPBands!A$2:A$10))</f>
        <v/>
      </c>
      <c r="G563" s="27">
        <f>IF($E563="","", VLOOKUP($F563, XPBands!A$2:G$10, 4, FALSE) + MIN(VLOOKUP($F563, XPBands!A$2:G$10, 5, FALSE) - VLOOKUP($F563, XPBands!A$2:G$10, 4, FALSE), FLOOR(( $E563 - VLOOKUP($F563, XPBands!A$2:G$10, 2, FALSE) ) / VLOOKUP($F563, XPBands!A$2:G$10, 7, FALSE),1)))</f>
        <v/>
      </c>
      <c r="H563" s="27">
        <f>IF($D563="","",VLOOKUP($D563,RoleTitles!$A:$E,3,FALSE))</f>
        <v/>
      </c>
      <c r="I563" s="27">
        <f>IF($D563="","",IF($C563="Greek",VLOOKUP($D563,RoleTitles!$A:$E,4,FALSE),IF($C563="Aesir",VLOOKUP($D563,RoleTitles!$A:$E,5,FALSE),VLOOKUP($D563,RoleTitles!$A:$E,3,FALSE))))</f>
        <v/>
      </c>
      <c r="J563" s="27">
        <f>IF($D563="","",IF($E563&gt;=VLOOKUP($D563,RoleTitles!$A:$B,2,FALSE),"Yes","No"))</f>
        <v/>
      </c>
      <c r="K563" s="27">
        <f>IF($D563="","",IF($D563="T1","T2",IF($D563="T2","T3",IF($D563="T3","T4",IF($D563="T4","T5",IF($D563="T5","T6",IF($D563="T6","T7",IF($D563="T7","T8",IF($D563="T8","T9","")))))))))</f>
        <v/>
      </c>
      <c r="L563" s="28">
        <f>IF($K563="","",MAX(0,VLOOKUP($K563,RoleTitles!$A:$B,2,FALSE)-$E563))</f>
        <v/>
      </c>
    </row>
    <row r="564">
      <c r="A564" s="24">
        <f>IFERROR(INDEX(CoachRoster!$A$2:$A$1000,ROW()-1),"")</f>
        <v/>
      </c>
      <c r="B564" s="27">
        <f>IF($A564="","",VLOOKUP($A564,CoachRoster!$A:$E,2,FALSE))</f>
        <v/>
      </c>
      <c r="C564" s="27">
        <f>IF($A564="","",VLOOKUP($A564,CoachRoster!$A:$E,3,FALSE))</f>
        <v/>
      </c>
      <c r="D564" s="27">
        <f>IF($A564="","",VLOOKUP($A564,CoachRoster!$A:$E,4,FALSE))</f>
        <v/>
      </c>
      <c r="E564" s="27">
        <f>IF($A564="","",MIN(Settings!$B$8,IFERROR(SUMIF(Weekly_Coaching!$B:$B,$A564,Weekly_Coaching!$D:$D),0)+IFERROR(SUMIF(Monthly_Edu!$B:$B,$A564,Monthly_Edu!$D:$D),0)+IFERROR(SUMIF(Monthly_Ops!$B:$B,$A564,Monthly_Ops!$D:$D),0)+IFERROR(SUMIF(Monthly_Mentor!$B:$B,$A564,Monthly_Mentor!$D:$D),0)+IFERROR(SUMIF(Quarterly_Impact!$B:$B,$A564,Quarterly_Impact!$D:$D),0)+IFERROR(SUMIFS(XPLog!$M:$M,XPLog!$B:$B,$A564,XPLog!$J:$J,"Admin"),0)+IFERROR(SUMIFS(XPLog!$M:$M,XPLog!$B:$B,$A564,XPLog!$J:$J,"Seeding"),0)))</f>
        <v/>
      </c>
      <c r="F564" s="27">
        <f>IF($E564="","",LOOKUP($E564, XPBands!B$2:B$10, XPBands!A$2:A$10))</f>
        <v/>
      </c>
      <c r="G564" s="27">
        <f>IF($E564="","", VLOOKUP($F564, XPBands!A$2:G$10, 4, FALSE) + MIN(VLOOKUP($F564, XPBands!A$2:G$10, 5, FALSE) - VLOOKUP($F564, XPBands!A$2:G$10, 4, FALSE), FLOOR(( $E564 - VLOOKUP($F564, XPBands!A$2:G$10, 2, FALSE) ) / VLOOKUP($F564, XPBands!A$2:G$10, 7, FALSE),1)))</f>
        <v/>
      </c>
      <c r="H564" s="27">
        <f>IF($D564="","",VLOOKUP($D564,RoleTitles!$A:$E,3,FALSE))</f>
        <v/>
      </c>
      <c r="I564" s="27">
        <f>IF($D564="","",IF($C564="Greek",VLOOKUP($D564,RoleTitles!$A:$E,4,FALSE),IF($C564="Aesir",VLOOKUP($D564,RoleTitles!$A:$E,5,FALSE),VLOOKUP($D564,RoleTitles!$A:$E,3,FALSE))))</f>
        <v/>
      </c>
      <c r="J564" s="27">
        <f>IF($D564="","",IF($E564&gt;=VLOOKUP($D564,RoleTitles!$A:$B,2,FALSE),"Yes","No"))</f>
        <v/>
      </c>
      <c r="K564" s="27">
        <f>IF($D564="","",IF($D564="T1","T2",IF($D564="T2","T3",IF($D564="T3","T4",IF($D564="T4","T5",IF($D564="T5","T6",IF($D564="T6","T7",IF($D564="T7","T8",IF($D564="T8","T9","")))))))))</f>
        <v/>
      </c>
      <c r="L564" s="28">
        <f>IF($K564="","",MAX(0,VLOOKUP($K564,RoleTitles!$A:$B,2,FALSE)-$E564))</f>
        <v/>
      </c>
    </row>
    <row r="565">
      <c r="A565" s="24">
        <f>IFERROR(INDEX(CoachRoster!$A$2:$A$1000,ROW()-1),"")</f>
        <v/>
      </c>
      <c r="B565" s="27">
        <f>IF($A565="","",VLOOKUP($A565,CoachRoster!$A:$E,2,FALSE))</f>
        <v/>
      </c>
      <c r="C565" s="27">
        <f>IF($A565="","",VLOOKUP($A565,CoachRoster!$A:$E,3,FALSE))</f>
        <v/>
      </c>
      <c r="D565" s="27">
        <f>IF($A565="","",VLOOKUP($A565,CoachRoster!$A:$E,4,FALSE))</f>
        <v/>
      </c>
      <c r="E565" s="27">
        <f>IF($A565="","",MIN(Settings!$B$8,IFERROR(SUMIF(Weekly_Coaching!$B:$B,$A565,Weekly_Coaching!$D:$D),0)+IFERROR(SUMIF(Monthly_Edu!$B:$B,$A565,Monthly_Edu!$D:$D),0)+IFERROR(SUMIF(Monthly_Ops!$B:$B,$A565,Monthly_Ops!$D:$D),0)+IFERROR(SUMIF(Monthly_Mentor!$B:$B,$A565,Monthly_Mentor!$D:$D),0)+IFERROR(SUMIF(Quarterly_Impact!$B:$B,$A565,Quarterly_Impact!$D:$D),0)+IFERROR(SUMIFS(XPLog!$M:$M,XPLog!$B:$B,$A565,XPLog!$J:$J,"Admin"),0)+IFERROR(SUMIFS(XPLog!$M:$M,XPLog!$B:$B,$A565,XPLog!$J:$J,"Seeding"),0)))</f>
        <v/>
      </c>
      <c r="F565" s="27">
        <f>IF($E565="","",LOOKUP($E565, XPBands!B$2:B$10, XPBands!A$2:A$10))</f>
        <v/>
      </c>
      <c r="G565" s="27">
        <f>IF($E565="","", VLOOKUP($F565, XPBands!A$2:G$10, 4, FALSE) + MIN(VLOOKUP($F565, XPBands!A$2:G$10, 5, FALSE) - VLOOKUP($F565, XPBands!A$2:G$10, 4, FALSE), FLOOR(( $E565 - VLOOKUP($F565, XPBands!A$2:G$10, 2, FALSE) ) / VLOOKUP($F565, XPBands!A$2:G$10, 7, FALSE),1)))</f>
        <v/>
      </c>
      <c r="H565" s="27">
        <f>IF($D565="","",VLOOKUP($D565,RoleTitles!$A:$E,3,FALSE))</f>
        <v/>
      </c>
      <c r="I565" s="27">
        <f>IF($D565="","",IF($C565="Greek",VLOOKUP($D565,RoleTitles!$A:$E,4,FALSE),IF($C565="Aesir",VLOOKUP($D565,RoleTitles!$A:$E,5,FALSE),VLOOKUP($D565,RoleTitles!$A:$E,3,FALSE))))</f>
        <v/>
      </c>
      <c r="J565" s="27">
        <f>IF($D565="","",IF($E565&gt;=VLOOKUP($D565,RoleTitles!$A:$B,2,FALSE),"Yes","No"))</f>
        <v/>
      </c>
      <c r="K565" s="27">
        <f>IF($D565="","",IF($D565="T1","T2",IF($D565="T2","T3",IF($D565="T3","T4",IF($D565="T4","T5",IF($D565="T5","T6",IF($D565="T6","T7",IF($D565="T7","T8",IF($D565="T8","T9","")))))))))</f>
        <v/>
      </c>
      <c r="L565" s="28">
        <f>IF($K565="","",MAX(0,VLOOKUP($K565,RoleTitles!$A:$B,2,FALSE)-$E565))</f>
        <v/>
      </c>
    </row>
    <row r="566">
      <c r="A566" s="24">
        <f>IFERROR(INDEX(CoachRoster!$A$2:$A$1000,ROW()-1),"")</f>
        <v/>
      </c>
      <c r="B566" s="27">
        <f>IF($A566="","",VLOOKUP($A566,CoachRoster!$A:$E,2,FALSE))</f>
        <v/>
      </c>
      <c r="C566" s="27">
        <f>IF($A566="","",VLOOKUP($A566,CoachRoster!$A:$E,3,FALSE))</f>
        <v/>
      </c>
      <c r="D566" s="27">
        <f>IF($A566="","",VLOOKUP($A566,CoachRoster!$A:$E,4,FALSE))</f>
        <v/>
      </c>
      <c r="E566" s="27">
        <f>IF($A566="","",MIN(Settings!$B$8,IFERROR(SUMIF(Weekly_Coaching!$B:$B,$A566,Weekly_Coaching!$D:$D),0)+IFERROR(SUMIF(Monthly_Edu!$B:$B,$A566,Monthly_Edu!$D:$D),0)+IFERROR(SUMIF(Monthly_Ops!$B:$B,$A566,Monthly_Ops!$D:$D),0)+IFERROR(SUMIF(Monthly_Mentor!$B:$B,$A566,Monthly_Mentor!$D:$D),0)+IFERROR(SUMIF(Quarterly_Impact!$B:$B,$A566,Quarterly_Impact!$D:$D),0)+IFERROR(SUMIFS(XPLog!$M:$M,XPLog!$B:$B,$A566,XPLog!$J:$J,"Admin"),0)+IFERROR(SUMIFS(XPLog!$M:$M,XPLog!$B:$B,$A566,XPLog!$J:$J,"Seeding"),0)))</f>
        <v/>
      </c>
      <c r="F566" s="27">
        <f>IF($E566="","",LOOKUP($E566, XPBands!B$2:B$10, XPBands!A$2:A$10))</f>
        <v/>
      </c>
      <c r="G566" s="27">
        <f>IF($E566="","", VLOOKUP($F566, XPBands!A$2:G$10, 4, FALSE) + MIN(VLOOKUP($F566, XPBands!A$2:G$10, 5, FALSE) - VLOOKUP($F566, XPBands!A$2:G$10, 4, FALSE), FLOOR(( $E566 - VLOOKUP($F566, XPBands!A$2:G$10, 2, FALSE) ) / VLOOKUP($F566, XPBands!A$2:G$10, 7, FALSE),1)))</f>
        <v/>
      </c>
      <c r="H566" s="27">
        <f>IF($D566="","",VLOOKUP($D566,RoleTitles!$A:$E,3,FALSE))</f>
        <v/>
      </c>
      <c r="I566" s="27">
        <f>IF($D566="","",IF($C566="Greek",VLOOKUP($D566,RoleTitles!$A:$E,4,FALSE),IF($C566="Aesir",VLOOKUP($D566,RoleTitles!$A:$E,5,FALSE),VLOOKUP($D566,RoleTitles!$A:$E,3,FALSE))))</f>
        <v/>
      </c>
      <c r="J566" s="27">
        <f>IF($D566="","",IF($E566&gt;=VLOOKUP($D566,RoleTitles!$A:$B,2,FALSE),"Yes","No"))</f>
        <v/>
      </c>
      <c r="K566" s="27">
        <f>IF($D566="","",IF($D566="T1","T2",IF($D566="T2","T3",IF($D566="T3","T4",IF($D566="T4","T5",IF($D566="T5","T6",IF($D566="T6","T7",IF($D566="T7","T8",IF($D566="T8","T9","")))))))))</f>
        <v/>
      </c>
      <c r="L566" s="28">
        <f>IF($K566="","",MAX(0,VLOOKUP($K566,RoleTitles!$A:$B,2,FALSE)-$E566))</f>
        <v/>
      </c>
    </row>
    <row r="567">
      <c r="A567" s="24">
        <f>IFERROR(INDEX(CoachRoster!$A$2:$A$1000,ROW()-1),"")</f>
        <v/>
      </c>
      <c r="B567" s="27">
        <f>IF($A567="","",VLOOKUP($A567,CoachRoster!$A:$E,2,FALSE))</f>
        <v/>
      </c>
      <c r="C567" s="27">
        <f>IF($A567="","",VLOOKUP($A567,CoachRoster!$A:$E,3,FALSE))</f>
        <v/>
      </c>
      <c r="D567" s="27">
        <f>IF($A567="","",VLOOKUP($A567,CoachRoster!$A:$E,4,FALSE))</f>
        <v/>
      </c>
      <c r="E567" s="27">
        <f>IF($A567="","",MIN(Settings!$B$8,IFERROR(SUMIF(Weekly_Coaching!$B:$B,$A567,Weekly_Coaching!$D:$D),0)+IFERROR(SUMIF(Monthly_Edu!$B:$B,$A567,Monthly_Edu!$D:$D),0)+IFERROR(SUMIF(Monthly_Ops!$B:$B,$A567,Monthly_Ops!$D:$D),0)+IFERROR(SUMIF(Monthly_Mentor!$B:$B,$A567,Monthly_Mentor!$D:$D),0)+IFERROR(SUMIF(Quarterly_Impact!$B:$B,$A567,Quarterly_Impact!$D:$D),0)+IFERROR(SUMIFS(XPLog!$M:$M,XPLog!$B:$B,$A567,XPLog!$J:$J,"Admin"),0)+IFERROR(SUMIFS(XPLog!$M:$M,XPLog!$B:$B,$A567,XPLog!$J:$J,"Seeding"),0)))</f>
        <v/>
      </c>
      <c r="F567" s="27">
        <f>IF($E567="","",LOOKUP($E567, XPBands!B$2:B$10, XPBands!A$2:A$10))</f>
        <v/>
      </c>
      <c r="G567" s="27">
        <f>IF($E567="","", VLOOKUP($F567, XPBands!A$2:G$10, 4, FALSE) + MIN(VLOOKUP($F567, XPBands!A$2:G$10, 5, FALSE) - VLOOKUP($F567, XPBands!A$2:G$10, 4, FALSE), FLOOR(( $E567 - VLOOKUP($F567, XPBands!A$2:G$10, 2, FALSE) ) / VLOOKUP($F567, XPBands!A$2:G$10, 7, FALSE),1)))</f>
        <v/>
      </c>
      <c r="H567" s="27">
        <f>IF($D567="","",VLOOKUP($D567,RoleTitles!$A:$E,3,FALSE))</f>
        <v/>
      </c>
      <c r="I567" s="27">
        <f>IF($D567="","",IF($C567="Greek",VLOOKUP($D567,RoleTitles!$A:$E,4,FALSE),IF($C567="Aesir",VLOOKUP($D567,RoleTitles!$A:$E,5,FALSE),VLOOKUP($D567,RoleTitles!$A:$E,3,FALSE))))</f>
        <v/>
      </c>
      <c r="J567" s="27">
        <f>IF($D567="","",IF($E567&gt;=VLOOKUP($D567,RoleTitles!$A:$B,2,FALSE),"Yes","No"))</f>
        <v/>
      </c>
      <c r="K567" s="27">
        <f>IF($D567="","",IF($D567="T1","T2",IF($D567="T2","T3",IF($D567="T3","T4",IF($D567="T4","T5",IF($D567="T5","T6",IF($D567="T6","T7",IF($D567="T7","T8",IF($D567="T8","T9","")))))))))</f>
        <v/>
      </c>
      <c r="L567" s="28">
        <f>IF($K567="","",MAX(0,VLOOKUP($K567,RoleTitles!$A:$B,2,FALSE)-$E567))</f>
        <v/>
      </c>
    </row>
    <row r="568">
      <c r="A568" s="24">
        <f>IFERROR(INDEX(CoachRoster!$A$2:$A$1000,ROW()-1),"")</f>
        <v/>
      </c>
      <c r="B568" s="27">
        <f>IF($A568="","",VLOOKUP($A568,CoachRoster!$A:$E,2,FALSE))</f>
        <v/>
      </c>
      <c r="C568" s="27">
        <f>IF($A568="","",VLOOKUP($A568,CoachRoster!$A:$E,3,FALSE))</f>
        <v/>
      </c>
      <c r="D568" s="27">
        <f>IF($A568="","",VLOOKUP($A568,CoachRoster!$A:$E,4,FALSE))</f>
        <v/>
      </c>
      <c r="E568" s="27">
        <f>IF($A568="","",MIN(Settings!$B$8,IFERROR(SUMIF(Weekly_Coaching!$B:$B,$A568,Weekly_Coaching!$D:$D),0)+IFERROR(SUMIF(Monthly_Edu!$B:$B,$A568,Monthly_Edu!$D:$D),0)+IFERROR(SUMIF(Monthly_Ops!$B:$B,$A568,Monthly_Ops!$D:$D),0)+IFERROR(SUMIF(Monthly_Mentor!$B:$B,$A568,Monthly_Mentor!$D:$D),0)+IFERROR(SUMIF(Quarterly_Impact!$B:$B,$A568,Quarterly_Impact!$D:$D),0)+IFERROR(SUMIFS(XPLog!$M:$M,XPLog!$B:$B,$A568,XPLog!$J:$J,"Admin"),0)+IFERROR(SUMIFS(XPLog!$M:$M,XPLog!$B:$B,$A568,XPLog!$J:$J,"Seeding"),0)))</f>
        <v/>
      </c>
      <c r="F568" s="27">
        <f>IF($E568="","",LOOKUP($E568, XPBands!B$2:B$10, XPBands!A$2:A$10))</f>
        <v/>
      </c>
      <c r="G568" s="27">
        <f>IF($E568="","", VLOOKUP($F568, XPBands!A$2:G$10, 4, FALSE) + MIN(VLOOKUP($F568, XPBands!A$2:G$10, 5, FALSE) - VLOOKUP($F568, XPBands!A$2:G$10, 4, FALSE), FLOOR(( $E568 - VLOOKUP($F568, XPBands!A$2:G$10, 2, FALSE) ) / VLOOKUP($F568, XPBands!A$2:G$10, 7, FALSE),1)))</f>
        <v/>
      </c>
      <c r="H568" s="27">
        <f>IF($D568="","",VLOOKUP($D568,RoleTitles!$A:$E,3,FALSE))</f>
        <v/>
      </c>
      <c r="I568" s="27">
        <f>IF($D568="","",IF($C568="Greek",VLOOKUP($D568,RoleTitles!$A:$E,4,FALSE),IF($C568="Aesir",VLOOKUP($D568,RoleTitles!$A:$E,5,FALSE),VLOOKUP($D568,RoleTitles!$A:$E,3,FALSE))))</f>
        <v/>
      </c>
      <c r="J568" s="27">
        <f>IF($D568="","",IF($E568&gt;=VLOOKUP($D568,RoleTitles!$A:$B,2,FALSE),"Yes","No"))</f>
        <v/>
      </c>
      <c r="K568" s="27">
        <f>IF($D568="","",IF($D568="T1","T2",IF($D568="T2","T3",IF($D568="T3","T4",IF($D568="T4","T5",IF($D568="T5","T6",IF($D568="T6","T7",IF($D568="T7","T8",IF($D568="T8","T9","")))))))))</f>
        <v/>
      </c>
      <c r="L568" s="28">
        <f>IF($K568="","",MAX(0,VLOOKUP($K568,RoleTitles!$A:$B,2,FALSE)-$E568))</f>
        <v/>
      </c>
    </row>
    <row r="569">
      <c r="A569" s="24">
        <f>IFERROR(INDEX(CoachRoster!$A$2:$A$1000,ROW()-1),"")</f>
        <v/>
      </c>
      <c r="B569" s="27">
        <f>IF($A569="","",VLOOKUP($A569,CoachRoster!$A:$E,2,FALSE))</f>
        <v/>
      </c>
      <c r="C569" s="27">
        <f>IF($A569="","",VLOOKUP($A569,CoachRoster!$A:$E,3,FALSE))</f>
        <v/>
      </c>
      <c r="D569" s="27">
        <f>IF($A569="","",VLOOKUP($A569,CoachRoster!$A:$E,4,FALSE))</f>
        <v/>
      </c>
      <c r="E569" s="27">
        <f>IF($A569="","",MIN(Settings!$B$8,IFERROR(SUMIF(Weekly_Coaching!$B:$B,$A569,Weekly_Coaching!$D:$D),0)+IFERROR(SUMIF(Monthly_Edu!$B:$B,$A569,Monthly_Edu!$D:$D),0)+IFERROR(SUMIF(Monthly_Ops!$B:$B,$A569,Monthly_Ops!$D:$D),0)+IFERROR(SUMIF(Monthly_Mentor!$B:$B,$A569,Monthly_Mentor!$D:$D),0)+IFERROR(SUMIF(Quarterly_Impact!$B:$B,$A569,Quarterly_Impact!$D:$D),0)+IFERROR(SUMIFS(XPLog!$M:$M,XPLog!$B:$B,$A569,XPLog!$J:$J,"Admin"),0)+IFERROR(SUMIFS(XPLog!$M:$M,XPLog!$B:$B,$A569,XPLog!$J:$J,"Seeding"),0)))</f>
        <v/>
      </c>
      <c r="F569" s="27">
        <f>IF($E569="","",LOOKUP($E569, XPBands!B$2:B$10, XPBands!A$2:A$10))</f>
        <v/>
      </c>
      <c r="G569" s="27">
        <f>IF($E569="","", VLOOKUP($F569, XPBands!A$2:G$10, 4, FALSE) + MIN(VLOOKUP($F569, XPBands!A$2:G$10, 5, FALSE) - VLOOKUP($F569, XPBands!A$2:G$10, 4, FALSE), FLOOR(( $E569 - VLOOKUP($F569, XPBands!A$2:G$10, 2, FALSE) ) / VLOOKUP($F569, XPBands!A$2:G$10, 7, FALSE),1)))</f>
        <v/>
      </c>
      <c r="H569" s="27">
        <f>IF($D569="","",VLOOKUP($D569,RoleTitles!$A:$E,3,FALSE))</f>
        <v/>
      </c>
      <c r="I569" s="27">
        <f>IF($D569="","",IF($C569="Greek",VLOOKUP($D569,RoleTitles!$A:$E,4,FALSE),IF($C569="Aesir",VLOOKUP($D569,RoleTitles!$A:$E,5,FALSE),VLOOKUP($D569,RoleTitles!$A:$E,3,FALSE))))</f>
        <v/>
      </c>
      <c r="J569" s="27">
        <f>IF($D569="","",IF($E569&gt;=VLOOKUP($D569,RoleTitles!$A:$B,2,FALSE),"Yes","No"))</f>
        <v/>
      </c>
      <c r="K569" s="27">
        <f>IF($D569="","",IF($D569="T1","T2",IF($D569="T2","T3",IF($D569="T3","T4",IF($D569="T4","T5",IF($D569="T5","T6",IF($D569="T6","T7",IF($D569="T7","T8",IF($D569="T8","T9","")))))))))</f>
        <v/>
      </c>
      <c r="L569" s="28">
        <f>IF($K569="","",MAX(0,VLOOKUP($K569,RoleTitles!$A:$B,2,FALSE)-$E569))</f>
        <v/>
      </c>
    </row>
    <row r="570">
      <c r="A570" s="24">
        <f>IFERROR(INDEX(CoachRoster!$A$2:$A$1000,ROW()-1),"")</f>
        <v/>
      </c>
      <c r="B570" s="27">
        <f>IF($A570="","",VLOOKUP($A570,CoachRoster!$A:$E,2,FALSE))</f>
        <v/>
      </c>
      <c r="C570" s="27">
        <f>IF($A570="","",VLOOKUP($A570,CoachRoster!$A:$E,3,FALSE))</f>
        <v/>
      </c>
      <c r="D570" s="27">
        <f>IF($A570="","",VLOOKUP($A570,CoachRoster!$A:$E,4,FALSE))</f>
        <v/>
      </c>
      <c r="E570" s="27">
        <f>IF($A570="","",MIN(Settings!$B$8,IFERROR(SUMIF(Weekly_Coaching!$B:$B,$A570,Weekly_Coaching!$D:$D),0)+IFERROR(SUMIF(Monthly_Edu!$B:$B,$A570,Monthly_Edu!$D:$D),0)+IFERROR(SUMIF(Monthly_Ops!$B:$B,$A570,Monthly_Ops!$D:$D),0)+IFERROR(SUMIF(Monthly_Mentor!$B:$B,$A570,Monthly_Mentor!$D:$D),0)+IFERROR(SUMIF(Quarterly_Impact!$B:$B,$A570,Quarterly_Impact!$D:$D),0)+IFERROR(SUMIFS(XPLog!$M:$M,XPLog!$B:$B,$A570,XPLog!$J:$J,"Admin"),0)+IFERROR(SUMIFS(XPLog!$M:$M,XPLog!$B:$B,$A570,XPLog!$J:$J,"Seeding"),0)))</f>
        <v/>
      </c>
      <c r="F570" s="27">
        <f>IF($E570="","",LOOKUP($E570, XPBands!B$2:B$10, XPBands!A$2:A$10))</f>
        <v/>
      </c>
      <c r="G570" s="27">
        <f>IF($E570="","", VLOOKUP($F570, XPBands!A$2:G$10, 4, FALSE) + MIN(VLOOKUP($F570, XPBands!A$2:G$10, 5, FALSE) - VLOOKUP($F570, XPBands!A$2:G$10, 4, FALSE), FLOOR(( $E570 - VLOOKUP($F570, XPBands!A$2:G$10, 2, FALSE) ) / VLOOKUP($F570, XPBands!A$2:G$10, 7, FALSE),1)))</f>
        <v/>
      </c>
      <c r="H570" s="27">
        <f>IF($D570="","",VLOOKUP($D570,RoleTitles!$A:$E,3,FALSE))</f>
        <v/>
      </c>
      <c r="I570" s="27">
        <f>IF($D570="","",IF($C570="Greek",VLOOKUP($D570,RoleTitles!$A:$E,4,FALSE),IF($C570="Aesir",VLOOKUP($D570,RoleTitles!$A:$E,5,FALSE),VLOOKUP($D570,RoleTitles!$A:$E,3,FALSE))))</f>
        <v/>
      </c>
      <c r="J570" s="27">
        <f>IF($D570="","",IF($E570&gt;=VLOOKUP($D570,RoleTitles!$A:$B,2,FALSE),"Yes","No"))</f>
        <v/>
      </c>
      <c r="K570" s="27">
        <f>IF($D570="","",IF($D570="T1","T2",IF($D570="T2","T3",IF($D570="T3","T4",IF($D570="T4","T5",IF($D570="T5","T6",IF($D570="T6","T7",IF($D570="T7","T8",IF($D570="T8","T9","")))))))))</f>
        <v/>
      </c>
      <c r="L570" s="28">
        <f>IF($K570="","",MAX(0,VLOOKUP($K570,RoleTitles!$A:$B,2,FALSE)-$E570))</f>
        <v/>
      </c>
    </row>
    <row r="571">
      <c r="A571" s="24">
        <f>IFERROR(INDEX(CoachRoster!$A$2:$A$1000,ROW()-1),"")</f>
        <v/>
      </c>
      <c r="B571" s="27">
        <f>IF($A571="","",VLOOKUP($A571,CoachRoster!$A:$E,2,FALSE))</f>
        <v/>
      </c>
      <c r="C571" s="27">
        <f>IF($A571="","",VLOOKUP($A571,CoachRoster!$A:$E,3,FALSE))</f>
        <v/>
      </c>
      <c r="D571" s="27">
        <f>IF($A571="","",VLOOKUP($A571,CoachRoster!$A:$E,4,FALSE))</f>
        <v/>
      </c>
      <c r="E571" s="27">
        <f>IF($A571="","",MIN(Settings!$B$8,IFERROR(SUMIF(Weekly_Coaching!$B:$B,$A571,Weekly_Coaching!$D:$D),0)+IFERROR(SUMIF(Monthly_Edu!$B:$B,$A571,Monthly_Edu!$D:$D),0)+IFERROR(SUMIF(Monthly_Ops!$B:$B,$A571,Monthly_Ops!$D:$D),0)+IFERROR(SUMIF(Monthly_Mentor!$B:$B,$A571,Monthly_Mentor!$D:$D),0)+IFERROR(SUMIF(Quarterly_Impact!$B:$B,$A571,Quarterly_Impact!$D:$D),0)+IFERROR(SUMIFS(XPLog!$M:$M,XPLog!$B:$B,$A571,XPLog!$J:$J,"Admin"),0)+IFERROR(SUMIFS(XPLog!$M:$M,XPLog!$B:$B,$A571,XPLog!$J:$J,"Seeding"),0)))</f>
        <v/>
      </c>
      <c r="F571" s="27">
        <f>IF($E571="","",LOOKUP($E571, XPBands!B$2:B$10, XPBands!A$2:A$10))</f>
        <v/>
      </c>
      <c r="G571" s="27">
        <f>IF($E571="","", VLOOKUP($F571, XPBands!A$2:G$10, 4, FALSE) + MIN(VLOOKUP($F571, XPBands!A$2:G$10, 5, FALSE) - VLOOKUP($F571, XPBands!A$2:G$10, 4, FALSE), FLOOR(( $E571 - VLOOKUP($F571, XPBands!A$2:G$10, 2, FALSE) ) / VLOOKUP($F571, XPBands!A$2:G$10, 7, FALSE),1)))</f>
        <v/>
      </c>
      <c r="H571" s="27">
        <f>IF($D571="","",VLOOKUP($D571,RoleTitles!$A:$E,3,FALSE))</f>
        <v/>
      </c>
      <c r="I571" s="27">
        <f>IF($D571="","",IF($C571="Greek",VLOOKUP($D571,RoleTitles!$A:$E,4,FALSE),IF($C571="Aesir",VLOOKUP($D571,RoleTitles!$A:$E,5,FALSE),VLOOKUP($D571,RoleTitles!$A:$E,3,FALSE))))</f>
        <v/>
      </c>
      <c r="J571" s="27">
        <f>IF($D571="","",IF($E571&gt;=VLOOKUP($D571,RoleTitles!$A:$B,2,FALSE),"Yes","No"))</f>
        <v/>
      </c>
      <c r="K571" s="27">
        <f>IF($D571="","",IF($D571="T1","T2",IF($D571="T2","T3",IF($D571="T3","T4",IF($D571="T4","T5",IF($D571="T5","T6",IF($D571="T6","T7",IF($D571="T7","T8",IF($D571="T8","T9","")))))))))</f>
        <v/>
      </c>
      <c r="L571" s="28">
        <f>IF($K571="","",MAX(0,VLOOKUP($K571,RoleTitles!$A:$B,2,FALSE)-$E571))</f>
        <v/>
      </c>
    </row>
    <row r="572">
      <c r="A572" s="24">
        <f>IFERROR(INDEX(CoachRoster!$A$2:$A$1000,ROW()-1),"")</f>
        <v/>
      </c>
      <c r="B572" s="27">
        <f>IF($A572="","",VLOOKUP($A572,CoachRoster!$A:$E,2,FALSE))</f>
        <v/>
      </c>
      <c r="C572" s="27">
        <f>IF($A572="","",VLOOKUP($A572,CoachRoster!$A:$E,3,FALSE))</f>
        <v/>
      </c>
      <c r="D572" s="27">
        <f>IF($A572="","",VLOOKUP($A572,CoachRoster!$A:$E,4,FALSE))</f>
        <v/>
      </c>
      <c r="E572" s="27">
        <f>IF($A572="","",MIN(Settings!$B$8,IFERROR(SUMIF(Weekly_Coaching!$B:$B,$A572,Weekly_Coaching!$D:$D),0)+IFERROR(SUMIF(Monthly_Edu!$B:$B,$A572,Monthly_Edu!$D:$D),0)+IFERROR(SUMIF(Monthly_Ops!$B:$B,$A572,Monthly_Ops!$D:$D),0)+IFERROR(SUMIF(Monthly_Mentor!$B:$B,$A572,Monthly_Mentor!$D:$D),0)+IFERROR(SUMIF(Quarterly_Impact!$B:$B,$A572,Quarterly_Impact!$D:$D),0)+IFERROR(SUMIFS(XPLog!$M:$M,XPLog!$B:$B,$A572,XPLog!$J:$J,"Admin"),0)+IFERROR(SUMIFS(XPLog!$M:$M,XPLog!$B:$B,$A572,XPLog!$J:$J,"Seeding"),0)))</f>
        <v/>
      </c>
      <c r="F572" s="27">
        <f>IF($E572="","",LOOKUP($E572, XPBands!B$2:B$10, XPBands!A$2:A$10))</f>
        <v/>
      </c>
      <c r="G572" s="27">
        <f>IF($E572="","", VLOOKUP($F572, XPBands!A$2:G$10, 4, FALSE) + MIN(VLOOKUP($F572, XPBands!A$2:G$10, 5, FALSE) - VLOOKUP($F572, XPBands!A$2:G$10, 4, FALSE), FLOOR(( $E572 - VLOOKUP($F572, XPBands!A$2:G$10, 2, FALSE) ) / VLOOKUP($F572, XPBands!A$2:G$10, 7, FALSE),1)))</f>
        <v/>
      </c>
      <c r="H572" s="27">
        <f>IF($D572="","",VLOOKUP($D572,RoleTitles!$A:$E,3,FALSE))</f>
        <v/>
      </c>
      <c r="I572" s="27">
        <f>IF($D572="","",IF($C572="Greek",VLOOKUP($D572,RoleTitles!$A:$E,4,FALSE),IF($C572="Aesir",VLOOKUP($D572,RoleTitles!$A:$E,5,FALSE),VLOOKUP($D572,RoleTitles!$A:$E,3,FALSE))))</f>
        <v/>
      </c>
      <c r="J572" s="27">
        <f>IF($D572="","",IF($E572&gt;=VLOOKUP($D572,RoleTitles!$A:$B,2,FALSE),"Yes","No"))</f>
        <v/>
      </c>
      <c r="K572" s="27">
        <f>IF($D572="","",IF($D572="T1","T2",IF($D572="T2","T3",IF($D572="T3","T4",IF($D572="T4","T5",IF($D572="T5","T6",IF($D572="T6","T7",IF($D572="T7","T8",IF($D572="T8","T9","")))))))))</f>
        <v/>
      </c>
      <c r="L572" s="28">
        <f>IF($K572="","",MAX(0,VLOOKUP($K572,RoleTitles!$A:$B,2,FALSE)-$E572))</f>
        <v/>
      </c>
    </row>
    <row r="573">
      <c r="A573" s="24">
        <f>IFERROR(INDEX(CoachRoster!$A$2:$A$1000,ROW()-1),"")</f>
        <v/>
      </c>
      <c r="B573" s="27">
        <f>IF($A573="","",VLOOKUP($A573,CoachRoster!$A:$E,2,FALSE))</f>
        <v/>
      </c>
      <c r="C573" s="27">
        <f>IF($A573="","",VLOOKUP($A573,CoachRoster!$A:$E,3,FALSE))</f>
        <v/>
      </c>
      <c r="D573" s="27">
        <f>IF($A573="","",VLOOKUP($A573,CoachRoster!$A:$E,4,FALSE))</f>
        <v/>
      </c>
      <c r="E573" s="27">
        <f>IF($A573="","",MIN(Settings!$B$8,IFERROR(SUMIF(Weekly_Coaching!$B:$B,$A573,Weekly_Coaching!$D:$D),0)+IFERROR(SUMIF(Monthly_Edu!$B:$B,$A573,Monthly_Edu!$D:$D),0)+IFERROR(SUMIF(Monthly_Ops!$B:$B,$A573,Monthly_Ops!$D:$D),0)+IFERROR(SUMIF(Monthly_Mentor!$B:$B,$A573,Monthly_Mentor!$D:$D),0)+IFERROR(SUMIF(Quarterly_Impact!$B:$B,$A573,Quarterly_Impact!$D:$D),0)+IFERROR(SUMIFS(XPLog!$M:$M,XPLog!$B:$B,$A573,XPLog!$J:$J,"Admin"),0)+IFERROR(SUMIFS(XPLog!$M:$M,XPLog!$B:$B,$A573,XPLog!$J:$J,"Seeding"),0)))</f>
        <v/>
      </c>
      <c r="F573" s="27">
        <f>IF($E573="","",LOOKUP($E573, XPBands!B$2:B$10, XPBands!A$2:A$10))</f>
        <v/>
      </c>
      <c r="G573" s="27">
        <f>IF($E573="","", VLOOKUP($F573, XPBands!A$2:G$10, 4, FALSE) + MIN(VLOOKUP($F573, XPBands!A$2:G$10, 5, FALSE) - VLOOKUP($F573, XPBands!A$2:G$10, 4, FALSE), FLOOR(( $E573 - VLOOKUP($F573, XPBands!A$2:G$10, 2, FALSE) ) / VLOOKUP($F573, XPBands!A$2:G$10, 7, FALSE),1)))</f>
        <v/>
      </c>
      <c r="H573" s="27">
        <f>IF($D573="","",VLOOKUP($D573,RoleTitles!$A:$E,3,FALSE))</f>
        <v/>
      </c>
      <c r="I573" s="27">
        <f>IF($D573="","",IF($C573="Greek",VLOOKUP($D573,RoleTitles!$A:$E,4,FALSE),IF($C573="Aesir",VLOOKUP($D573,RoleTitles!$A:$E,5,FALSE),VLOOKUP($D573,RoleTitles!$A:$E,3,FALSE))))</f>
        <v/>
      </c>
      <c r="J573" s="27">
        <f>IF($D573="","",IF($E573&gt;=VLOOKUP($D573,RoleTitles!$A:$B,2,FALSE),"Yes","No"))</f>
        <v/>
      </c>
      <c r="K573" s="27">
        <f>IF($D573="","",IF($D573="T1","T2",IF($D573="T2","T3",IF($D573="T3","T4",IF($D573="T4","T5",IF($D573="T5","T6",IF($D573="T6","T7",IF($D573="T7","T8",IF($D573="T8","T9","")))))))))</f>
        <v/>
      </c>
      <c r="L573" s="28">
        <f>IF($K573="","",MAX(0,VLOOKUP($K573,RoleTitles!$A:$B,2,FALSE)-$E573))</f>
        <v/>
      </c>
    </row>
    <row r="574">
      <c r="A574" s="24">
        <f>IFERROR(INDEX(CoachRoster!$A$2:$A$1000,ROW()-1),"")</f>
        <v/>
      </c>
      <c r="B574" s="27">
        <f>IF($A574="","",VLOOKUP($A574,CoachRoster!$A:$E,2,FALSE))</f>
        <v/>
      </c>
      <c r="C574" s="27">
        <f>IF($A574="","",VLOOKUP($A574,CoachRoster!$A:$E,3,FALSE))</f>
        <v/>
      </c>
      <c r="D574" s="27">
        <f>IF($A574="","",VLOOKUP($A574,CoachRoster!$A:$E,4,FALSE))</f>
        <v/>
      </c>
      <c r="E574" s="27">
        <f>IF($A574="","",MIN(Settings!$B$8,IFERROR(SUMIF(Weekly_Coaching!$B:$B,$A574,Weekly_Coaching!$D:$D),0)+IFERROR(SUMIF(Monthly_Edu!$B:$B,$A574,Monthly_Edu!$D:$D),0)+IFERROR(SUMIF(Monthly_Ops!$B:$B,$A574,Monthly_Ops!$D:$D),0)+IFERROR(SUMIF(Monthly_Mentor!$B:$B,$A574,Monthly_Mentor!$D:$D),0)+IFERROR(SUMIF(Quarterly_Impact!$B:$B,$A574,Quarterly_Impact!$D:$D),0)+IFERROR(SUMIFS(XPLog!$M:$M,XPLog!$B:$B,$A574,XPLog!$J:$J,"Admin"),0)+IFERROR(SUMIFS(XPLog!$M:$M,XPLog!$B:$B,$A574,XPLog!$J:$J,"Seeding"),0)))</f>
        <v/>
      </c>
      <c r="F574" s="27">
        <f>IF($E574="","",LOOKUP($E574, XPBands!B$2:B$10, XPBands!A$2:A$10))</f>
        <v/>
      </c>
      <c r="G574" s="27">
        <f>IF($E574="","", VLOOKUP($F574, XPBands!A$2:G$10, 4, FALSE) + MIN(VLOOKUP($F574, XPBands!A$2:G$10, 5, FALSE) - VLOOKUP($F574, XPBands!A$2:G$10, 4, FALSE), FLOOR(( $E574 - VLOOKUP($F574, XPBands!A$2:G$10, 2, FALSE) ) / VLOOKUP($F574, XPBands!A$2:G$10, 7, FALSE),1)))</f>
        <v/>
      </c>
      <c r="H574" s="27">
        <f>IF($D574="","",VLOOKUP($D574,RoleTitles!$A:$E,3,FALSE))</f>
        <v/>
      </c>
      <c r="I574" s="27">
        <f>IF($D574="","",IF($C574="Greek",VLOOKUP($D574,RoleTitles!$A:$E,4,FALSE),IF($C574="Aesir",VLOOKUP($D574,RoleTitles!$A:$E,5,FALSE),VLOOKUP($D574,RoleTitles!$A:$E,3,FALSE))))</f>
        <v/>
      </c>
      <c r="J574" s="27">
        <f>IF($D574="","",IF($E574&gt;=VLOOKUP($D574,RoleTitles!$A:$B,2,FALSE),"Yes","No"))</f>
        <v/>
      </c>
      <c r="K574" s="27">
        <f>IF($D574="","",IF($D574="T1","T2",IF($D574="T2","T3",IF($D574="T3","T4",IF($D574="T4","T5",IF($D574="T5","T6",IF($D574="T6","T7",IF($D574="T7","T8",IF($D574="T8","T9","")))))))))</f>
        <v/>
      </c>
      <c r="L574" s="28">
        <f>IF($K574="","",MAX(0,VLOOKUP($K574,RoleTitles!$A:$B,2,FALSE)-$E574))</f>
        <v/>
      </c>
    </row>
    <row r="575">
      <c r="A575" s="24">
        <f>IFERROR(INDEX(CoachRoster!$A$2:$A$1000,ROW()-1),"")</f>
        <v/>
      </c>
      <c r="B575" s="27">
        <f>IF($A575="","",VLOOKUP($A575,CoachRoster!$A:$E,2,FALSE))</f>
        <v/>
      </c>
      <c r="C575" s="27">
        <f>IF($A575="","",VLOOKUP($A575,CoachRoster!$A:$E,3,FALSE))</f>
        <v/>
      </c>
      <c r="D575" s="27">
        <f>IF($A575="","",VLOOKUP($A575,CoachRoster!$A:$E,4,FALSE))</f>
        <v/>
      </c>
      <c r="E575" s="27">
        <f>IF($A575="","",MIN(Settings!$B$8,IFERROR(SUMIF(Weekly_Coaching!$B:$B,$A575,Weekly_Coaching!$D:$D),0)+IFERROR(SUMIF(Monthly_Edu!$B:$B,$A575,Monthly_Edu!$D:$D),0)+IFERROR(SUMIF(Monthly_Ops!$B:$B,$A575,Monthly_Ops!$D:$D),0)+IFERROR(SUMIF(Monthly_Mentor!$B:$B,$A575,Monthly_Mentor!$D:$D),0)+IFERROR(SUMIF(Quarterly_Impact!$B:$B,$A575,Quarterly_Impact!$D:$D),0)+IFERROR(SUMIFS(XPLog!$M:$M,XPLog!$B:$B,$A575,XPLog!$J:$J,"Admin"),0)+IFERROR(SUMIFS(XPLog!$M:$M,XPLog!$B:$B,$A575,XPLog!$J:$J,"Seeding"),0)))</f>
        <v/>
      </c>
      <c r="F575" s="27">
        <f>IF($E575="","",LOOKUP($E575, XPBands!B$2:B$10, XPBands!A$2:A$10))</f>
        <v/>
      </c>
      <c r="G575" s="27">
        <f>IF($E575="","", VLOOKUP($F575, XPBands!A$2:G$10, 4, FALSE) + MIN(VLOOKUP($F575, XPBands!A$2:G$10, 5, FALSE) - VLOOKUP($F575, XPBands!A$2:G$10, 4, FALSE), FLOOR(( $E575 - VLOOKUP($F575, XPBands!A$2:G$10, 2, FALSE) ) / VLOOKUP($F575, XPBands!A$2:G$10, 7, FALSE),1)))</f>
        <v/>
      </c>
      <c r="H575" s="27">
        <f>IF($D575="","",VLOOKUP($D575,RoleTitles!$A:$E,3,FALSE))</f>
        <v/>
      </c>
      <c r="I575" s="27">
        <f>IF($D575="","",IF($C575="Greek",VLOOKUP($D575,RoleTitles!$A:$E,4,FALSE),IF($C575="Aesir",VLOOKUP($D575,RoleTitles!$A:$E,5,FALSE),VLOOKUP($D575,RoleTitles!$A:$E,3,FALSE))))</f>
        <v/>
      </c>
      <c r="J575" s="27">
        <f>IF($D575="","",IF($E575&gt;=VLOOKUP($D575,RoleTitles!$A:$B,2,FALSE),"Yes","No"))</f>
        <v/>
      </c>
      <c r="K575" s="27">
        <f>IF($D575="","",IF($D575="T1","T2",IF($D575="T2","T3",IF($D575="T3","T4",IF($D575="T4","T5",IF($D575="T5","T6",IF($D575="T6","T7",IF($D575="T7","T8",IF($D575="T8","T9","")))))))))</f>
        <v/>
      </c>
      <c r="L575" s="28">
        <f>IF($K575="","",MAX(0,VLOOKUP($K575,RoleTitles!$A:$B,2,FALSE)-$E575))</f>
        <v/>
      </c>
    </row>
    <row r="576">
      <c r="A576" s="24">
        <f>IFERROR(INDEX(CoachRoster!$A$2:$A$1000,ROW()-1),"")</f>
        <v/>
      </c>
      <c r="B576" s="27">
        <f>IF($A576="","",VLOOKUP($A576,CoachRoster!$A:$E,2,FALSE))</f>
        <v/>
      </c>
      <c r="C576" s="27">
        <f>IF($A576="","",VLOOKUP($A576,CoachRoster!$A:$E,3,FALSE))</f>
        <v/>
      </c>
      <c r="D576" s="27">
        <f>IF($A576="","",VLOOKUP($A576,CoachRoster!$A:$E,4,FALSE))</f>
        <v/>
      </c>
      <c r="E576" s="27">
        <f>IF($A576="","",MIN(Settings!$B$8,IFERROR(SUMIF(Weekly_Coaching!$B:$B,$A576,Weekly_Coaching!$D:$D),0)+IFERROR(SUMIF(Monthly_Edu!$B:$B,$A576,Monthly_Edu!$D:$D),0)+IFERROR(SUMIF(Monthly_Ops!$B:$B,$A576,Monthly_Ops!$D:$D),0)+IFERROR(SUMIF(Monthly_Mentor!$B:$B,$A576,Monthly_Mentor!$D:$D),0)+IFERROR(SUMIF(Quarterly_Impact!$B:$B,$A576,Quarterly_Impact!$D:$D),0)+IFERROR(SUMIFS(XPLog!$M:$M,XPLog!$B:$B,$A576,XPLog!$J:$J,"Admin"),0)+IFERROR(SUMIFS(XPLog!$M:$M,XPLog!$B:$B,$A576,XPLog!$J:$J,"Seeding"),0)))</f>
        <v/>
      </c>
      <c r="F576" s="27">
        <f>IF($E576="","",LOOKUP($E576, XPBands!B$2:B$10, XPBands!A$2:A$10))</f>
        <v/>
      </c>
      <c r="G576" s="27">
        <f>IF($E576="","", VLOOKUP($F576, XPBands!A$2:G$10, 4, FALSE) + MIN(VLOOKUP($F576, XPBands!A$2:G$10, 5, FALSE) - VLOOKUP($F576, XPBands!A$2:G$10, 4, FALSE), FLOOR(( $E576 - VLOOKUP($F576, XPBands!A$2:G$10, 2, FALSE) ) / VLOOKUP($F576, XPBands!A$2:G$10, 7, FALSE),1)))</f>
        <v/>
      </c>
      <c r="H576" s="27">
        <f>IF($D576="","",VLOOKUP($D576,RoleTitles!$A:$E,3,FALSE))</f>
        <v/>
      </c>
      <c r="I576" s="27">
        <f>IF($D576="","",IF($C576="Greek",VLOOKUP($D576,RoleTitles!$A:$E,4,FALSE),IF($C576="Aesir",VLOOKUP($D576,RoleTitles!$A:$E,5,FALSE),VLOOKUP($D576,RoleTitles!$A:$E,3,FALSE))))</f>
        <v/>
      </c>
      <c r="J576" s="27">
        <f>IF($D576="","",IF($E576&gt;=VLOOKUP($D576,RoleTitles!$A:$B,2,FALSE),"Yes","No"))</f>
        <v/>
      </c>
      <c r="K576" s="27">
        <f>IF($D576="","",IF($D576="T1","T2",IF($D576="T2","T3",IF($D576="T3","T4",IF($D576="T4","T5",IF($D576="T5","T6",IF($D576="T6","T7",IF($D576="T7","T8",IF($D576="T8","T9","")))))))))</f>
        <v/>
      </c>
      <c r="L576" s="28">
        <f>IF($K576="","",MAX(0,VLOOKUP($K576,RoleTitles!$A:$B,2,FALSE)-$E576))</f>
        <v/>
      </c>
    </row>
    <row r="577">
      <c r="A577" s="24">
        <f>IFERROR(INDEX(CoachRoster!$A$2:$A$1000,ROW()-1),"")</f>
        <v/>
      </c>
      <c r="B577" s="27">
        <f>IF($A577="","",VLOOKUP($A577,CoachRoster!$A:$E,2,FALSE))</f>
        <v/>
      </c>
      <c r="C577" s="27">
        <f>IF($A577="","",VLOOKUP($A577,CoachRoster!$A:$E,3,FALSE))</f>
        <v/>
      </c>
      <c r="D577" s="27">
        <f>IF($A577="","",VLOOKUP($A577,CoachRoster!$A:$E,4,FALSE))</f>
        <v/>
      </c>
      <c r="E577" s="27">
        <f>IF($A577="","",MIN(Settings!$B$8,IFERROR(SUMIF(Weekly_Coaching!$B:$B,$A577,Weekly_Coaching!$D:$D),0)+IFERROR(SUMIF(Monthly_Edu!$B:$B,$A577,Monthly_Edu!$D:$D),0)+IFERROR(SUMIF(Monthly_Ops!$B:$B,$A577,Monthly_Ops!$D:$D),0)+IFERROR(SUMIF(Monthly_Mentor!$B:$B,$A577,Monthly_Mentor!$D:$D),0)+IFERROR(SUMIF(Quarterly_Impact!$B:$B,$A577,Quarterly_Impact!$D:$D),0)+IFERROR(SUMIFS(XPLog!$M:$M,XPLog!$B:$B,$A577,XPLog!$J:$J,"Admin"),0)+IFERROR(SUMIFS(XPLog!$M:$M,XPLog!$B:$B,$A577,XPLog!$J:$J,"Seeding"),0)))</f>
        <v/>
      </c>
      <c r="F577" s="27">
        <f>IF($E577="","",LOOKUP($E577, XPBands!B$2:B$10, XPBands!A$2:A$10))</f>
        <v/>
      </c>
      <c r="G577" s="27">
        <f>IF($E577="","", VLOOKUP($F577, XPBands!A$2:G$10, 4, FALSE) + MIN(VLOOKUP($F577, XPBands!A$2:G$10, 5, FALSE) - VLOOKUP($F577, XPBands!A$2:G$10, 4, FALSE), FLOOR(( $E577 - VLOOKUP($F577, XPBands!A$2:G$10, 2, FALSE) ) / VLOOKUP($F577, XPBands!A$2:G$10, 7, FALSE),1)))</f>
        <v/>
      </c>
      <c r="H577" s="27">
        <f>IF($D577="","",VLOOKUP($D577,RoleTitles!$A:$E,3,FALSE))</f>
        <v/>
      </c>
      <c r="I577" s="27">
        <f>IF($D577="","",IF($C577="Greek",VLOOKUP($D577,RoleTitles!$A:$E,4,FALSE),IF($C577="Aesir",VLOOKUP($D577,RoleTitles!$A:$E,5,FALSE),VLOOKUP($D577,RoleTitles!$A:$E,3,FALSE))))</f>
        <v/>
      </c>
      <c r="J577" s="27">
        <f>IF($D577="","",IF($E577&gt;=VLOOKUP($D577,RoleTitles!$A:$B,2,FALSE),"Yes","No"))</f>
        <v/>
      </c>
      <c r="K577" s="27">
        <f>IF($D577="","",IF($D577="T1","T2",IF($D577="T2","T3",IF($D577="T3","T4",IF($D577="T4","T5",IF($D577="T5","T6",IF($D577="T6","T7",IF($D577="T7","T8",IF($D577="T8","T9","")))))))))</f>
        <v/>
      </c>
      <c r="L577" s="28">
        <f>IF($K577="","",MAX(0,VLOOKUP($K577,RoleTitles!$A:$B,2,FALSE)-$E577))</f>
        <v/>
      </c>
    </row>
    <row r="578">
      <c r="A578" s="24">
        <f>IFERROR(INDEX(CoachRoster!$A$2:$A$1000,ROW()-1),"")</f>
        <v/>
      </c>
      <c r="B578" s="27">
        <f>IF($A578="","",VLOOKUP($A578,CoachRoster!$A:$E,2,FALSE))</f>
        <v/>
      </c>
      <c r="C578" s="27">
        <f>IF($A578="","",VLOOKUP($A578,CoachRoster!$A:$E,3,FALSE))</f>
        <v/>
      </c>
      <c r="D578" s="27">
        <f>IF($A578="","",VLOOKUP($A578,CoachRoster!$A:$E,4,FALSE))</f>
        <v/>
      </c>
      <c r="E578" s="27">
        <f>IF($A578="","",MIN(Settings!$B$8,IFERROR(SUMIF(Weekly_Coaching!$B:$B,$A578,Weekly_Coaching!$D:$D),0)+IFERROR(SUMIF(Monthly_Edu!$B:$B,$A578,Monthly_Edu!$D:$D),0)+IFERROR(SUMIF(Monthly_Ops!$B:$B,$A578,Monthly_Ops!$D:$D),0)+IFERROR(SUMIF(Monthly_Mentor!$B:$B,$A578,Monthly_Mentor!$D:$D),0)+IFERROR(SUMIF(Quarterly_Impact!$B:$B,$A578,Quarterly_Impact!$D:$D),0)+IFERROR(SUMIFS(XPLog!$M:$M,XPLog!$B:$B,$A578,XPLog!$J:$J,"Admin"),0)+IFERROR(SUMIFS(XPLog!$M:$M,XPLog!$B:$B,$A578,XPLog!$J:$J,"Seeding"),0)))</f>
        <v/>
      </c>
      <c r="F578" s="27">
        <f>IF($E578="","",LOOKUP($E578, XPBands!B$2:B$10, XPBands!A$2:A$10))</f>
        <v/>
      </c>
      <c r="G578" s="27">
        <f>IF($E578="","", VLOOKUP($F578, XPBands!A$2:G$10, 4, FALSE) + MIN(VLOOKUP($F578, XPBands!A$2:G$10, 5, FALSE) - VLOOKUP($F578, XPBands!A$2:G$10, 4, FALSE), FLOOR(( $E578 - VLOOKUP($F578, XPBands!A$2:G$10, 2, FALSE) ) / VLOOKUP($F578, XPBands!A$2:G$10, 7, FALSE),1)))</f>
        <v/>
      </c>
      <c r="H578" s="27">
        <f>IF($D578="","",VLOOKUP($D578,RoleTitles!$A:$E,3,FALSE))</f>
        <v/>
      </c>
      <c r="I578" s="27">
        <f>IF($D578="","",IF($C578="Greek",VLOOKUP($D578,RoleTitles!$A:$E,4,FALSE),IF($C578="Aesir",VLOOKUP($D578,RoleTitles!$A:$E,5,FALSE),VLOOKUP($D578,RoleTitles!$A:$E,3,FALSE))))</f>
        <v/>
      </c>
      <c r="J578" s="27">
        <f>IF($D578="","",IF($E578&gt;=VLOOKUP($D578,RoleTitles!$A:$B,2,FALSE),"Yes","No"))</f>
        <v/>
      </c>
      <c r="K578" s="27">
        <f>IF($D578="","",IF($D578="T1","T2",IF($D578="T2","T3",IF($D578="T3","T4",IF($D578="T4","T5",IF($D578="T5","T6",IF($D578="T6","T7",IF($D578="T7","T8",IF($D578="T8","T9","")))))))))</f>
        <v/>
      </c>
      <c r="L578" s="28">
        <f>IF($K578="","",MAX(0,VLOOKUP($K578,RoleTitles!$A:$B,2,FALSE)-$E578))</f>
        <v/>
      </c>
    </row>
    <row r="579">
      <c r="A579" s="24">
        <f>IFERROR(INDEX(CoachRoster!$A$2:$A$1000,ROW()-1),"")</f>
        <v/>
      </c>
      <c r="B579" s="27">
        <f>IF($A579="","",VLOOKUP($A579,CoachRoster!$A:$E,2,FALSE))</f>
        <v/>
      </c>
      <c r="C579" s="27">
        <f>IF($A579="","",VLOOKUP($A579,CoachRoster!$A:$E,3,FALSE))</f>
        <v/>
      </c>
      <c r="D579" s="27">
        <f>IF($A579="","",VLOOKUP($A579,CoachRoster!$A:$E,4,FALSE))</f>
        <v/>
      </c>
      <c r="E579" s="27">
        <f>IF($A579="","",MIN(Settings!$B$8,IFERROR(SUMIF(Weekly_Coaching!$B:$B,$A579,Weekly_Coaching!$D:$D),0)+IFERROR(SUMIF(Monthly_Edu!$B:$B,$A579,Monthly_Edu!$D:$D),0)+IFERROR(SUMIF(Monthly_Ops!$B:$B,$A579,Monthly_Ops!$D:$D),0)+IFERROR(SUMIF(Monthly_Mentor!$B:$B,$A579,Monthly_Mentor!$D:$D),0)+IFERROR(SUMIF(Quarterly_Impact!$B:$B,$A579,Quarterly_Impact!$D:$D),0)+IFERROR(SUMIFS(XPLog!$M:$M,XPLog!$B:$B,$A579,XPLog!$J:$J,"Admin"),0)+IFERROR(SUMIFS(XPLog!$M:$M,XPLog!$B:$B,$A579,XPLog!$J:$J,"Seeding"),0)))</f>
        <v/>
      </c>
      <c r="F579" s="27">
        <f>IF($E579="","",LOOKUP($E579, XPBands!B$2:B$10, XPBands!A$2:A$10))</f>
        <v/>
      </c>
      <c r="G579" s="27">
        <f>IF($E579="","", VLOOKUP($F579, XPBands!A$2:G$10, 4, FALSE) + MIN(VLOOKUP($F579, XPBands!A$2:G$10, 5, FALSE) - VLOOKUP($F579, XPBands!A$2:G$10, 4, FALSE), FLOOR(( $E579 - VLOOKUP($F579, XPBands!A$2:G$10, 2, FALSE) ) / VLOOKUP($F579, XPBands!A$2:G$10, 7, FALSE),1)))</f>
        <v/>
      </c>
      <c r="H579" s="27">
        <f>IF($D579="","",VLOOKUP($D579,RoleTitles!$A:$E,3,FALSE))</f>
        <v/>
      </c>
      <c r="I579" s="27">
        <f>IF($D579="","",IF($C579="Greek",VLOOKUP($D579,RoleTitles!$A:$E,4,FALSE),IF($C579="Aesir",VLOOKUP($D579,RoleTitles!$A:$E,5,FALSE),VLOOKUP($D579,RoleTitles!$A:$E,3,FALSE))))</f>
        <v/>
      </c>
      <c r="J579" s="27">
        <f>IF($D579="","",IF($E579&gt;=VLOOKUP($D579,RoleTitles!$A:$B,2,FALSE),"Yes","No"))</f>
        <v/>
      </c>
      <c r="K579" s="27">
        <f>IF($D579="","",IF($D579="T1","T2",IF($D579="T2","T3",IF($D579="T3","T4",IF($D579="T4","T5",IF($D579="T5","T6",IF($D579="T6","T7",IF($D579="T7","T8",IF($D579="T8","T9","")))))))))</f>
        <v/>
      </c>
      <c r="L579" s="28">
        <f>IF($K579="","",MAX(0,VLOOKUP($K579,RoleTitles!$A:$B,2,FALSE)-$E579))</f>
        <v/>
      </c>
    </row>
    <row r="580">
      <c r="A580" s="24">
        <f>IFERROR(INDEX(CoachRoster!$A$2:$A$1000,ROW()-1),"")</f>
        <v/>
      </c>
      <c r="B580" s="27">
        <f>IF($A580="","",VLOOKUP($A580,CoachRoster!$A:$E,2,FALSE))</f>
        <v/>
      </c>
      <c r="C580" s="27">
        <f>IF($A580="","",VLOOKUP($A580,CoachRoster!$A:$E,3,FALSE))</f>
        <v/>
      </c>
      <c r="D580" s="27">
        <f>IF($A580="","",VLOOKUP($A580,CoachRoster!$A:$E,4,FALSE))</f>
        <v/>
      </c>
      <c r="E580" s="27">
        <f>IF($A580="","",MIN(Settings!$B$8,IFERROR(SUMIF(Weekly_Coaching!$B:$B,$A580,Weekly_Coaching!$D:$D),0)+IFERROR(SUMIF(Monthly_Edu!$B:$B,$A580,Monthly_Edu!$D:$D),0)+IFERROR(SUMIF(Monthly_Ops!$B:$B,$A580,Monthly_Ops!$D:$D),0)+IFERROR(SUMIF(Monthly_Mentor!$B:$B,$A580,Monthly_Mentor!$D:$D),0)+IFERROR(SUMIF(Quarterly_Impact!$B:$B,$A580,Quarterly_Impact!$D:$D),0)+IFERROR(SUMIFS(XPLog!$M:$M,XPLog!$B:$B,$A580,XPLog!$J:$J,"Admin"),0)+IFERROR(SUMIFS(XPLog!$M:$M,XPLog!$B:$B,$A580,XPLog!$J:$J,"Seeding"),0)))</f>
        <v/>
      </c>
      <c r="F580" s="27">
        <f>IF($E580="","",LOOKUP($E580, XPBands!B$2:B$10, XPBands!A$2:A$10))</f>
        <v/>
      </c>
      <c r="G580" s="27">
        <f>IF($E580="","", VLOOKUP($F580, XPBands!A$2:G$10, 4, FALSE) + MIN(VLOOKUP($F580, XPBands!A$2:G$10, 5, FALSE) - VLOOKUP($F580, XPBands!A$2:G$10, 4, FALSE), FLOOR(( $E580 - VLOOKUP($F580, XPBands!A$2:G$10, 2, FALSE) ) / VLOOKUP($F580, XPBands!A$2:G$10, 7, FALSE),1)))</f>
        <v/>
      </c>
      <c r="H580" s="27">
        <f>IF($D580="","",VLOOKUP($D580,RoleTitles!$A:$E,3,FALSE))</f>
        <v/>
      </c>
      <c r="I580" s="27">
        <f>IF($D580="","",IF($C580="Greek",VLOOKUP($D580,RoleTitles!$A:$E,4,FALSE),IF($C580="Aesir",VLOOKUP($D580,RoleTitles!$A:$E,5,FALSE),VLOOKUP($D580,RoleTitles!$A:$E,3,FALSE))))</f>
        <v/>
      </c>
      <c r="J580" s="27">
        <f>IF($D580="","",IF($E580&gt;=VLOOKUP($D580,RoleTitles!$A:$B,2,FALSE),"Yes","No"))</f>
        <v/>
      </c>
      <c r="K580" s="27">
        <f>IF($D580="","",IF($D580="T1","T2",IF($D580="T2","T3",IF($D580="T3","T4",IF($D580="T4","T5",IF($D580="T5","T6",IF($D580="T6","T7",IF($D580="T7","T8",IF($D580="T8","T9","")))))))))</f>
        <v/>
      </c>
      <c r="L580" s="28">
        <f>IF($K580="","",MAX(0,VLOOKUP($K580,RoleTitles!$A:$B,2,FALSE)-$E580))</f>
        <v/>
      </c>
    </row>
    <row r="581">
      <c r="A581" s="24">
        <f>IFERROR(INDEX(CoachRoster!$A$2:$A$1000,ROW()-1),"")</f>
        <v/>
      </c>
      <c r="B581" s="27">
        <f>IF($A581="","",VLOOKUP($A581,CoachRoster!$A:$E,2,FALSE))</f>
        <v/>
      </c>
      <c r="C581" s="27">
        <f>IF($A581="","",VLOOKUP($A581,CoachRoster!$A:$E,3,FALSE))</f>
        <v/>
      </c>
      <c r="D581" s="27">
        <f>IF($A581="","",VLOOKUP($A581,CoachRoster!$A:$E,4,FALSE))</f>
        <v/>
      </c>
      <c r="E581" s="27">
        <f>IF($A581="","",MIN(Settings!$B$8,IFERROR(SUMIF(Weekly_Coaching!$B:$B,$A581,Weekly_Coaching!$D:$D),0)+IFERROR(SUMIF(Monthly_Edu!$B:$B,$A581,Monthly_Edu!$D:$D),0)+IFERROR(SUMIF(Monthly_Ops!$B:$B,$A581,Monthly_Ops!$D:$D),0)+IFERROR(SUMIF(Monthly_Mentor!$B:$B,$A581,Monthly_Mentor!$D:$D),0)+IFERROR(SUMIF(Quarterly_Impact!$B:$B,$A581,Quarterly_Impact!$D:$D),0)+IFERROR(SUMIFS(XPLog!$M:$M,XPLog!$B:$B,$A581,XPLog!$J:$J,"Admin"),0)+IFERROR(SUMIFS(XPLog!$M:$M,XPLog!$B:$B,$A581,XPLog!$J:$J,"Seeding"),0)))</f>
        <v/>
      </c>
      <c r="F581" s="27">
        <f>IF($E581="","",LOOKUP($E581, XPBands!B$2:B$10, XPBands!A$2:A$10))</f>
        <v/>
      </c>
      <c r="G581" s="27">
        <f>IF($E581="","", VLOOKUP($F581, XPBands!A$2:G$10, 4, FALSE) + MIN(VLOOKUP($F581, XPBands!A$2:G$10, 5, FALSE) - VLOOKUP($F581, XPBands!A$2:G$10, 4, FALSE), FLOOR(( $E581 - VLOOKUP($F581, XPBands!A$2:G$10, 2, FALSE) ) / VLOOKUP($F581, XPBands!A$2:G$10, 7, FALSE),1)))</f>
        <v/>
      </c>
      <c r="H581" s="27">
        <f>IF($D581="","",VLOOKUP($D581,RoleTitles!$A:$E,3,FALSE))</f>
        <v/>
      </c>
      <c r="I581" s="27">
        <f>IF($D581="","",IF($C581="Greek",VLOOKUP($D581,RoleTitles!$A:$E,4,FALSE),IF($C581="Aesir",VLOOKUP($D581,RoleTitles!$A:$E,5,FALSE),VLOOKUP($D581,RoleTitles!$A:$E,3,FALSE))))</f>
        <v/>
      </c>
      <c r="J581" s="27">
        <f>IF($D581="","",IF($E581&gt;=VLOOKUP($D581,RoleTitles!$A:$B,2,FALSE),"Yes","No"))</f>
        <v/>
      </c>
      <c r="K581" s="27">
        <f>IF($D581="","",IF($D581="T1","T2",IF($D581="T2","T3",IF($D581="T3","T4",IF($D581="T4","T5",IF($D581="T5","T6",IF($D581="T6","T7",IF($D581="T7","T8",IF($D581="T8","T9","")))))))))</f>
        <v/>
      </c>
      <c r="L581" s="28">
        <f>IF($K581="","",MAX(0,VLOOKUP($K581,RoleTitles!$A:$B,2,FALSE)-$E581))</f>
        <v/>
      </c>
    </row>
    <row r="582">
      <c r="A582" s="24">
        <f>IFERROR(INDEX(CoachRoster!$A$2:$A$1000,ROW()-1),"")</f>
        <v/>
      </c>
      <c r="B582" s="27">
        <f>IF($A582="","",VLOOKUP($A582,CoachRoster!$A:$E,2,FALSE))</f>
        <v/>
      </c>
      <c r="C582" s="27">
        <f>IF($A582="","",VLOOKUP($A582,CoachRoster!$A:$E,3,FALSE))</f>
        <v/>
      </c>
      <c r="D582" s="27">
        <f>IF($A582="","",VLOOKUP($A582,CoachRoster!$A:$E,4,FALSE))</f>
        <v/>
      </c>
      <c r="E582" s="27">
        <f>IF($A582="","",MIN(Settings!$B$8,IFERROR(SUMIF(Weekly_Coaching!$B:$B,$A582,Weekly_Coaching!$D:$D),0)+IFERROR(SUMIF(Monthly_Edu!$B:$B,$A582,Monthly_Edu!$D:$D),0)+IFERROR(SUMIF(Monthly_Ops!$B:$B,$A582,Monthly_Ops!$D:$D),0)+IFERROR(SUMIF(Monthly_Mentor!$B:$B,$A582,Monthly_Mentor!$D:$D),0)+IFERROR(SUMIF(Quarterly_Impact!$B:$B,$A582,Quarterly_Impact!$D:$D),0)+IFERROR(SUMIFS(XPLog!$M:$M,XPLog!$B:$B,$A582,XPLog!$J:$J,"Admin"),0)+IFERROR(SUMIFS(XPLog!$M:$M,XPLog!$B:$B,$A582,XPLog!$J:$J,"Seeding"),0)))</f>
        <v/>
      </c>
      <c r="F582" s="27">
        <f>IF($E582="","",LOOKUP($E582, XPBands!B$2:B$10, XPBands!A$2:A$10))</f>
        <v/>
      </c>
      <c r="G582" s="27">
        <f>IF($E582="","", VLOOKUP($F582, XPBands!A$2:G$10, 4, FALSE) + MIN(VLOOKUP($F582, XPBands!A$2:G$10, 5, FALSE) - VLOOKUP($F582, XPBands!A$2:G$10, 4, FALSE), FLOOR(( $E582 - VLOOKUP($F582, XPBands!A$2:G$10, 2, FALSE) ) / VLOOKUP($F582, XPBands!A$2:G$10, 7, FALSE),1)))</f>
        <v/>
      </c>
      <c r="H582" s="27">
        <f>IF($D582="","",VLOOKUP($D582,RoleTitles!$A:$E,3,FALSE))</f>
        <v/>
      </c>
      <c r="I582" s="27">
        <f>IF($D582="","",IF($C582="Greek",VLOOKUP($D582,RoleTitles!$A:$E,4,FALSE),IF($C582="Aesir",VLOOKUP($D582,RoleTitles!$A:$E,5,FALSE),VLOOKUP($D582,RoleTitles!$A:$E,3,FALSE))))</f>
        <v/>
      </c>
      <c r="J582" s="27">
        <f>IF($D582="","",IF($E582&gt;=VLOOKUP($D582,RoleTitles!$A:$B,2,FALSE),"Yes","No"))</f>
        <v/>
      </c>
      <c r="K582" s="27">
        <f>IF($D582="","",IF($D582="T1","T2",IF($D582="T2","T3",IF($D582="T3","T4",IF($D582="T4","T5",IF($D582="T5","T6",IF($D582="T6","T7",IF($D582="T7","T8",IF($D582="T8","T9","")))))))))</f>
        <v/>
      </c>
      <c r="L582" s="28">
        <f>IF($K582="","",MAX(0,VLOOKUP($K582,RoleTitles!$A:$B,2,FALSE)-$E582))</f>
        <v/>
      </c>
    </row>
    <row r="583">
      <c r="A583" s="24">
        <f>IFERROR(INDEX(CoachRoster!$A$2:$A$1000,ROW()-1),"")</f>
        <v/>
      </c>
      <c r="B583" s="27">
        <f>IF($A583="","",VLOOKUP($A583,CoachRoster!$A:$E,2,FALSE))</f>
        <v/>
      </c>
      <c r="C583" s="27">
        <f>IF($A583="","",VLOOKUP($A583,CoachRoster!$A:$E,3,FALSE))</f>
        <v/>
      </c>
      <c r="D583" s="27">
        <f>IF($A583="","",VLOOKUP($A583,CoachRoster!$A:$E,4,FALSE))</f>
        <v/>
      </c>
      <c r="E583" s="27">
        <f>IF($A583="","",MIN(Settings!$B$8,IFERROR(SUMIF(Weekly_Coaching!$B:$B,$A583,Weekly_Coaching!$D:$D),0)+IFERROR(SUMIF(Monthly_Edu!$B:$B,$A583,Monthly_Edu!$D:$D),0)+IFERROR(SUMIF(Monthly_Ops!$B:$B,$A583,Monthly_Ops!$D:$D),0)+IFERROR(SUMIF(Monthly_Mentor!$B:$B,$A583,Monthly_Mentor!$D:$D),0)+IFERROR(SUMIF(Quarterly_Impact!$B:$B,$A583,Quarterly_Impact!$D:$D),0)+IFERROR(SUMIFS(XPLog!$M:$M,XPLog!$B:$B,$A583,XPLog!$J:$J,"Admin"),0)+IFERROR(SUMIFS(XPLog!$M:$M,XPLog!$B:$B,$A583,XPLog!$J:$J,"Seeding"),0)))</f>
        <v/>
      </c>
      <c r="F583" s="27">
        <f>IF($E583="","",LOOKUP($E583, XPBands!B$2:B$10, XPBands!A$2:A$10))</f>
        <v/>
      </c>
      <c r="G583" s="27">
        <f>IF($E583="","", VLOOKUP($F583, XPBands!A$2:G$10, 4, FALSE) + MIN(VLOOKUP($F583, XPBands!A$2:G$10, 5, FALSE) - VLOOKUP($F583, XPBands!A$2:G$10, 4, FALSE), FLOOR(( $E583 - VLOOKUP($F583, XPBands!A$2:G$10, 2, FALSE) ) / VLOOKUP($F583, XPBands!A$2:G$10, 7, FALSE),1)))</f>
        <v/>
      </c>
      <c r="H583" s="27">
        <f>IF($D583="","",VLOOKUP($D583,RoleTitles!$A:$E,3,FALSE))</f>
        <v/>
      </c>
      <c r="I583" s="27">
        <f>IF($D583="","",IF($C583="Greek",VLOOKUP($D583,RoleTitles!$A:$E,4,FALSE),IF($C583="Aesir",VLOOKUP($D583,RoleTitles!$A:$E,5,FALSE),VLOOKUP($D583,RoleTitles!$A:$E,3,FALSE))))</f>
        <v/>
      </c>
      <c r="J583" s="27">
        <f>IF($D583="","",IF($E583&gt;=VLOOKUP($D583,RoleTitles!$A:$B,2,FALSE),"Yes","No"))</f>
        <v/>
      </c>
      <c r="K583" s="27">
        <f>IF($D583="","",IF($D583="T1","T2",IF($D583="T2","T3",IF($D583="T3","T4",IF($D583="T4","T5",IF($D583="T5","T6",IF($D583="T6","T7",IF($D583="T7","T8",IF($D583="T8","T9","")))))))))</f>
        <v/>
      </c>
      <c r="L583" s="28">
        <f>IF($K583="","",MAX(0,VLOOKUP($K583,RoleTitles!$A:$B,2,FALSE)-$E583))</f>
        <v/>
      </c>
    </row>
    <row r="584">
      <c r="A584" s="24">
        <f>IFERROR(INDEX(CoachRoster!$A$2:$A$1000,ROW()-1),"")</f>
        <v/>
      </c>
      <c r="B584" s="27">
        <f>IF($A584="","",VLOOKUP($A584,CoachRoster!$A:$E,2,FALSE))</f>
        <v/>
      </c>
      <c r="C584" s="27">
        <f>IF($A584="","",VLOOKUP($A584,CoachRoster!$A:$E,3,FALSE))</f>
        <v/>
      </c>
      <c r="D584" s="27">
        <f>IF($A584="","",VLOOKUP($A584,CoachRoster!$A:$E,4,FALSE))</f>
        <v/>
      </c>
      <c r="E584" s="27">
        <f>IF($A584="","",MIN(Settings!$B$8,IFERROR(SUMIF(Weekly_Coaching!$B:$B,$A584,Weekly_Coaching!$D:$D),0)+IFERROR(SUMIF(Monthly_Edu!$B:$B,$A584,Monthly_Edu!$D:$D),0)+IFERROR(SUMIF(Monthly_Ops!$B:$B,$A584,Monthly_Ops!$D:$D),0)+IFERROR(SUMIF(Monthly_Mentor!$B:$B,$A584,Monthly_Mentor!$D:$D),0)+IFERROR(SUMIF(Quarterly_Impact!$B:$B,$A584,Quarterly_Impact!$D:$D),0)+IFERROR(SUMIFS(XPLog!$M:$M,XPLog!$B:$B,$A584,XPLog!$J:$J,"Admin"),0)+IFERROR(SUMIFS(XPLog!$M:$M,XPLog!$B:$B,$A584,XPLog!$J:$J,"Seeding"),0)))</f>
        <v/>
      </c>
      <c r="F584" s="27">
        <f>IF($E584="","",LOOKUP($E584, XPBands!B$2:B$10, XPBands!A$2:A$10))</f>
        <v/>
      </c>
      <c r="G584" s="27">
        <f>IF($E584="","", VLOOKUP($F584, XPBands!A$2:G$10, 4, FALSE) + MIN(VLOOKUP($F584, XPBands!A$2:G$10, 5, FALSE) - VLOOKUP($F584, XPBands!A$2:G$10, 4, FALSE), FLOOR(( $E584 - VLOOKUP($F584, XPBands!A$2:G$10, 2, FALSE) ) / VLOOKUP($F584, XPBands!A$2:G$10, 7, FALSE),1)))</f>
        <v/>
      </c>
      <c r="H584" s="27">
        <f>IF($D584="","",VLOOKUP($D584,RoleTitles!$A:$E,3,FALSE))</f>
        <v/>
      </c>
      <c r="I584" s="27">
        <f>IF($D584="","",IF($C584="Greek",VLOOKUP($D584,RoleTitles!$A:$E,4,FALSE),IF($C584="Aesir",VLOOKUP($D584,RoleTitles!$A:$E,5,FALSE),VLOOKUP($D584,RoleTitles!$A:$E,3,FALSE))))</f>
        <v/>
      </c>
      <c r="J584" s="27">
        <f>IF($D584="","",IF($E584&gt;=VLOOKUP($D584,RoleTitles!$A:$B,2,FALSE),"Yes","No"))</f>
        <v/>
      </c>
      <c r="K584" s="27">
        <f>IF($D584="","",IF($D584="T1","T2",IF($D584="T2","T3",IF($D584="T3","T4",IF($D584="T4","T5",IF($D584="T5","T6",IF($D584="T6","T7",IF($D584="T7","T8",IF($D584="T8","T9","")))))))))</f>
        <v/>
      </c>
      <c r="L584" s="28">
        <f>IF($K584="","",MAX(0,VLOOKUP($K584,RoleTitles!$A:$B,2,FALSE)-$E584))</f>
        <v/>
      </c>
    </row>
    <row r="585">
      <c r="A585" s="24">
        <f>IFERROR(INDEX(CoachRoster!$A$2:$A$1000,ROW()-1),"")</f>
        <v/>
      </c>
      <c r="B585" s="27">
        <f>IF($A585="","",VLOOKUP($A585,CoachRoster!$A:$E,2,FALSE))</f>
        <v/>
      </c>
      <c r="C585" s="27">
        <f>IF($A585="","",VLOOKUP($A585,CoachRoster!$A:$E,3,FALSE))</f>
        <v/>
      </c>
      <c r="D585" s="27">
        <f>IF($A585="","",VLOOKUP($A585,CoachRoster!$A:$E,4,FALSE))</f>
        <v/>
      </c>
      <c r="E585" s="27">
        <f>IF($A585="","",MIN(Settings!$B$8,IFERROR(SUMIF(Weekly_Coaching!$B:$B,$A585,Weekly_Coaching!$D:$D),0)+IFERROR(SUMIF(Monthly_Edu!$B:$B,$A585,Monthly_Edu!$D:$D),0)+IFERROR(SUMIF(Monthly_Ops!$B:$B,$A585,Monthly_Ops!$D:$D),0)+IFERROR(SUMIF(Monthly_Mentor!$B:$B,$A585,Monthly_Mentor!$D:$D),0)+IFERROR(SUMIF(Quarterly_Impact!$B:$B,$A585,Quarterly_Impact!$D:$D),0)+IFERROR(SUMIFS(XPLog!$M:$M,XPLog!$B:$B,$A585,XPLog!$J:$J,"Admin"),0)+IFERROR(SUMIFS(XPLog!$M:$M,XPLog!$B:$B,$A585,XPLog!$J:$J,"Seeding"),0)))</f>
        <v/>
      </c>
      <c r="F585" s="27">
        <f>IF($E585="","",LOOKUP($E585, XPBands!B$2:B$10, XPBands!A$2:A$10))</f>
        <v/>
      </c>
      <c r="G585" s="27">
        <f>IF($E585="","", VLOOKUP($F585, XPBands!A$2:G$10, 4, FALSE) + MIN(VLOOKUP($F585, XPBands!A$2:G$10, 5, FALSE) - VLOOKUP($F585, XPBands!A$2:G$10, 4, FALSE), FLOOR(( $E585 - VLOOKUP($F585, XPBands!A$2:G$10, 2, FALSE) ) / VLOOKUP($F585, XPBands!A$2:G$10, 7, FALSE),1)))</f>
        <v/>
      </c>
      <c r="H585" s="27">
        <f>IF($D585="","",VLOOKUP($D585,RoleTitles!$A:$E,3,FALSE))</f>
        <v/>
      </c>
      <c r="I585" s="27">
        <f>IF($D585="","",IF($C585="Greek",VLOOKUP($D585,RoleTitles!$A:$E,4,FALSE),IF($C585="Aesir",VLOOKUP($D585,RoleTitles!$A:$E,5,FALSE),VLOOKUP($D585,RoleTitles!$A:$E,3,FALSE))))</f>
        <v/>
      </c>
      <c r="J585" s="27">
        <f>IF($D585="","",IF($E585&gt;=VLOOKUP($D585,RoleTitles!$A:$B,2,FALSE),"Yes","No"))</f>
        <v/>
      </c>
      <c r="K585" s="27">
        <f>IF($D585="","",IF($D585="T1","T2",IF($D585="T2","T3",IF($D585="T3","T4",IF($D585="T4","T5",IF($D585="T5","T6",IF($D585="T6","T7",IF($D585="T7","T8",IF($D585="T8","T9","")))))))))</f>
        <v/>
      </c>
      <c r="L585" s="28">
        <f>IF($K585="","",MAX(0,VLOOKUP($K585,RoleTitles!$A:$B,2,FALSE)-$E585))</f>
        <v/>
      </c>
    </row>
    <row r="586">
      <c r="A586" s="24">
        <f>IFERROR(INDEX(CoachRoster!$A$2:$A$1000,ROW()-1),"")</f>
        <v/>
      </c>
      <c r="B586" s="27">
        <f>IF($A586="","",VLOOKUP($A586,CoachRoster!$A:$E,2,FALSE))</f>
        <v/>
      </c>
      <c r="C586" s="27">
        <f>IF($A586="","",VLOOKUP($A586,CoachRoster!$A:$E,3,FALSE))</f>
        <v/>
      </c>
      <c r="D586" s="27">
        <f>IF($A586="","",VLOOKUP($A586,CoachRoster!$A:$E,4,FALSE))</f>
        <v/>
      </c>
      <c r="E586" s="27">
        <f>IF($A586="","",MIN(Settings!$B$8,IFERROR(SUMIF(Weekly_Coaching!$B:$B,$A586,Weekly_Coaching!$D:$D),0)+IFERROR(SUMIF(Monthly_Edu!$B:$B,$A586,Monthly_Edu!$D:$D),0)+IFERROR(SUMIF(Monthly_Ops!$B:$B,$A586,Monthly_Ops!$D:$D),0)+IFERROR(SUMIF(Monthly_Mentor!$B:$B,$A586,Monthly_Mentor!$D:$D),0)+IFERROR(SUMIF(Quarterly_Impact!$B:$B,$A586,Quarterly_Impact!$D:$D),0)+IFERROR(SUMIFS(XPLog!$M:$M,XPLog!$B:$B,$A586,XPLog!$J:$J,"Admin"),0)+IFERROR(SUMIFS(XPLog!$M:$M,XPLog!$B:$B,$A586,XPLog!$J:$J,"Seeding"),0)))</f>
        <v/>
      </c>
      <c r="F586" s="27">
        <f>IF($E586="","",LOOKUP($E586, XPBands!B$2:B$10, XPBands!A$2:A$10))</f>
        <v/>
      </c>
      <c r="G586" s="27">
        <f>IF($E586="","", VLOOKUP($F586, XPBands!A$2:G$10, 4, FALSE) + MIN(VLOOKUP($F586, XPBands!A$2:G$10, 5, FALSE) - VLOOKUP($F586, XPBands!A$2:G$10, 4, FALSE), FLOOR(( $E586 - VLOOKUP($F586, XPBands!A$2:G$10, 2, FALSE) ) / VLOOKUP($F586, XPBands!A$2:G$10, 7, FALSE),1)))</f>
        <v/>
      </c>
      <c r="H586" s="27">
        <f>IF($D586="","",VLOOKUP($D586,RoleTitles!$A:$E,3,FALSE))</f>
        <v/>
      </c>
      <c r="I586" s="27">
        <f>IF($D586="","",IF($C586="Greek",VLOOKUP($D586,RoleTitles!$A:$E,4,FALSE),IF($C586="Aesir",VLOOKUP($D586,RoleTitles!$A:$E,5,FALSE),VLOOKUP($D586,RoleTitles!$A:$E,3,FALSE))))</f>
        <v/>
      </c>
      <c r="J586" s="27">
        <f>IF($D586="","",IF($E586&gt;=VLOOKUP($D586,RoleTitles!$A:$B,2,FALSE),"Yes","No"))</f>
        <v/>
      </c>
      <c r="K586" s="27">
        <f>IF($D586="","",IF($D586="T1","T2",IF($D586="T2","T3",IF($D586="T3","T4",IF($D586="T4","T5",IF($D586="T5","T6",IF($D586="T6","T7",IF($D586="T7","T8",IF($D586="T8","T9","")))))))))</f>
        <v/>
      </c>
      <c r="L586" s="28">
        <f>IF($K586="","",MAX(0,VLOOKUP($K586,RoleTitles!$A:$B,2,FALSE)-$E586))</f>
        <v/>
      </c>
    </row>
    <row r="587">
      <c r="A587" s="24">
        <f>IFERROR(INDEX(CoachRoster!$A$2:$A$1000,ROW()-1),"")</f>
        <v/>
      </c>
      <c r="B587" s="27">
        <f>IF($A587="","",VLOOKUP($A587,CoachRoster!$A:$E,2,FALSE))</f>
        <v/>
      </c>
      <c r="C587" s="27">
        <f>IF($A587="","",VLOOKUP($A587,CoachRoster!$A:$E,3,FALSE))</f>
        <v/>
      </c>
      <c r="D587" s="27">
        <f>IF($A587="","",VLOOKUP($A587,CoachRoster!$A:$E,4,FALSE))</f>
        <v/>
      </c>
      <c r="E587" s="27">
        <f>IF($A587="","",MIN(Settings!$B$8,IFERROR(SUMIF(Weekly_Coaching!$B:$B,$A587,Weekly_Coaching!$D:$D),0)+IFERROR(SUMIF(Monthly_Edu!$B:$B,$A587,Monthly_Edu!$D:$D),0)+IFERROR(SUMIF(Monthly_Ops!$B:$B,$A587,Monthly_Ops!$D:$D),0)+IFERROR(SUMIF(Monthly_Mentor!$B:$B,$A587,Monthly_Mentor!$D:$D),0)+IFERROR(SUMIF(Quarterly_Impact!$B:$B,$A587,Quarterly_Impact!$D:$D),0)+IFERROR(SUMIFS(XPLog!$M:$M,XPLog!$B:$B,$A587,XPLog!$J:$J,"Admin"),0)+IFERROR(SUMIFS(XPLog!$M:$M,XPLog!$B:$B,$A587,XPLog!$J:$J,"Seeding"),0)))</f>
        <v/>
      </c>
      <c r="F587" s="27">
        <f>IF($E587="","",LOOKUP($E587, XPBands!B$2:B$10, XPBands!A$2:A$10))</f>
        <v/>
      </c>
      <c r="G587" s="27">
        <f>IF($E587="","", VLOOKUP($F587, XPBands!A$2:G$10, 4, FALSE) + MIN(VLOOKUP($F587, XPBands!A$2:G$10, 5, FALSE) - VLOOKUP($F587, XPBands!A$2:G$10, 4, FALSE), FLOOR(( $E587 - VLOOKUP($F587, XPBands!A$2:G$10, 2, FALSE) ) / VLOOKUP($F587, XPBands!A$2:G$10, 7, FALSE),1)))</f>
        <v/>
      </c>
      <c r="H587" s="27">
        <f>IF($D587="","",VLOOKUP($D587,RoleTitles!$A:$E,3,FALSE))</f>
        <v/>
      </c>
      <c r="I587" s="27">
        <f>IF($D587="","",IF($C587="Greek",VLOOKUP($D587,RoleTitles!$A:$E,4,FALSE),IF($C587="Aesir",VLOOKUP($D587,RoleTitles!$A:$E,5,FALSE),VLOOKUP($D587,RoleTitles!$A:$E,3,FALSE))))</f>
        <v/>
      </c>
      <c r="J587" s="27">
        <f>IF($D587="","",IF($E587&gt;=VLOOKUP($D587,RoleTitles!$A:$B,2,FALSE),"Yes","No"))</f>
        <v/>
      </c>
      <c r="K587" s="27">
        <f>IF($D587="","",IF($D587="T1","T2",IF($D587="T2","T3",IF($D587="T3","T4",IF($D587="T4","T5",IF($D587="T5","T6",IF($D587="T6","T7",IF($D587="T7","T8",IF($D587="T8","T9","")))))))))</f>
        <v/>
      </c>
      <c r="L587" s="28">
        <f>IF($K587="","",MAX(0,VLOOKUP($K587,RoleTitles!$A:$B,2,FALSE)-$E587))</f>
        <v/>
      </c>
    </row>
    <row r="588">
      <c r="A588" s="24">
        <f>IFERROR(INDEX(CoachRoster!$A$2:$A$1000,ROW()-1),"")</f>
        <v/>
      </c>
      <c r="B588" s="27">
        <f>IF($A588="","",VLOOKUP($A588,CoachRoster!$A:$E,2,FALSE))</f>
        <v/>
      </c>
      <c r="C588" s="27">
        <f>IF($A588="","",VLOOKUP($A588,CoachRoster!$A:$E,3,FALSE))</f>
        <v/>
      </c>
      <c r="D588" s="27">
        <f>IF($A588="","",VLOOKUP($A588,CoachRoster!$A:$E,4,FALSE))</f>
        <v/>
      </c>
      <c r="E588" s="27">
        <f>IF($A588="","",MIN(Settings!$B$8,IFERROR(SUMIF(Weekly_Coaching!$B:$B,$A588,Weekly_Coaching!$D:$D),0)+IFERROR(SUMIF(Monthly_Edu!$B:$B,$A588,Monthly_Edu!$D:$D),0)+IFERROR(SUMIF(Monthly_Ops!$B:$B,$A588,Monthly_Ops!$D:$D),0)+IFERROR(SUMIF(Monthly_Mentor!$B:$B,$A588,Monthly_Mentor!$D:$D),0)+IFERROR(SUMIF(Quarterly_Impact!$B:$B,$A588,Quarterly_Impact!$D:$D),0)+IFERROR(SUMIFS(XPLog!$M:$M,XPLog!$B:$B,$A588,XPLog!$J:$J,"Admin"),0)+IFERROR(SUMIFS(XPLog!$M:$M,XPLog!$B:$B,$A588,XPLog!$J:$J,"Seeding"),0)))</f>
        <v/>
      </c>
      <c r="F588" s="27">
        <f>IF($E588="","",LOOKUP($E588, XPBands!B$2:B$10, XPBands!A$2:A$10))</f>
        <v/>
      </c>
      <c r="G588" s="27">
        <f>IF($E588="","", VLOOKUP($F588, XPBands!A$2:G$10, 4, FALSE) + MIN(VLOOKUP($F588, XPBands!A$2:G$10, 5, FALSE) - VLOOKUP($F588, XPBands!A$2:G$10, 4, FALSE), FLOOR(( $E588 - VLOOKUP($F588, XPBands!A$2:G$10, 2, FALSE) ) / VLOOKUP($F588, XPBands!A$2:G$10, 7, FALSE),1)))</f>
        <v/>
      </c>
      <c r="H588" s="27">
        <f>IF($D588="","",VLOOKUP($D588,RoleTitles!$A:$E,3,FALSE))</f>
        <v/>
      </c>
      <c r="I588" s="27">
        <f>IF($D588="","",IF($C588="Greek",VLOOKUP($D588,RoleTitles!$A:$E,4,FALSE),IF($C588="Aesir",VLOOKUP($D588,RoleTitles!$A:$E,5,FALSE),VLOOKUP($D588,RoleTitles!$A:$E,3,FALSE))))</f>
        <v/>
      </c>
      <c r="J588" s="27">
        <f>IF($D588="","",IF($E588&gt;=VLOOKUP($D588,RoleTitles!$A:$B,2,FALSE),"Yes","No"))</f>
        <v/>
      </c>
      <c r="K588" s="27">
        <f>IF($D588="","",IF($D588="T1","T2",IF($D588="T2","T3",IF($D588="T3","T4",IF($D588="T4","T5",IF($D588="T5","T6",IF($D588="T6","T7",IF($D588="T7","T8",IF($D588="T8","T9","")))))))))</f>
        <v/>
      </c>
      <c r="L588" s="28">
        <f>IF($K588="","",MAX(0,VLOOKUP($K588,RoleTitles!$A:$B,2,FALSE)-$E588))</f>
        <v/>
      </c>
    </row>
    <row r="589">
      <c r="A589" s="24">
        <f>IFERROR(INDEX(CoachRoster!$A$2:$A$1000,ROW()-1),"")</f>
        <v/>
      </c>
      <c r="B589" s="27">
        <f>IF($A589="","",VLOOKUP($A589,CoachRoster!$A:$E,2,FALSE))</f>
        <v/>
      </c>
      <c r="C589" s="27">
        <f>IF($A589="","",VLOOKUP($A589,CoachRoster!$A:$E,3,FALSE))</f>
        <v/>
      </c>
      <c r="D589" s="27">
        <f>IF($A589="","",VLOOKUP($A589,CoachRoster!$A:$E,4,FALSE))</f>
        <v/>
      </c>
      <c r="E589" s="27">
        <f>IF($A589="","",MIN(Settings!$B$8,IFERROR(SUMIF(Weekly_Coaching!$B:$B,$A589,Weekly_Coaching!$D:$D),0)+IFERROR(SUMIF(Monthly_Edu!$B:$B,$A589,Monthly_Edu!$D:$D),0)+IFERROR(SUMIF(Monthly_Ops!$B:$B,$A589,Monthly_Ops!$D:$D),0)+IFERROR(SUMIF(Monthly_Mentor!$B:$B,$A589,Monthly_Mentor!$D:$D),0)+IFERROR(SUMIF(Quarterly_Impact!$B:$B,$A589,Quarterly_Impact!$D:$D),0)+IFERROR(SUMIFS(XPLog!$M:$M,XPLog!$B:$B,$A589,XPLog!$J:$J,"Admin"),0)+IFERROR(SUMIFS(XPLog!$M:$M,XPLog!$B:$B,$A589,XPLog!$J:$J,"Seeding"),0)))</f>
        <v/>
      </c>
      <c r="F589" s="27">
        <f>IF($E589="","",LOOKUP($E589, XPBands!B$2:B$10, XPBands!A$2:A$10))</f>
        <v/>
      </c>
      <c r="G589" s="27">
        <f>IF($E589="","", VLOOKUP($F589, XPBands!A$2:G$10, 4, FALSE) + MIN(VLOOKUP($F589, XPBands!A$2:G$10, 5, FALSE) - VLOOKUP($F589, XPBands!A$2:G$10, 4, FALSE), FLOOR(( $E589 - VLOOKUP($F589, XPBands!A$2:G$10, 2, FALSE) ) / VLOOKUP($F589, XPBands!A$2:G$10, 7, FALSE),1)))</f>
        <v/>
      </c>
      <c r="H589" s="27">
        <f>IF($D589="","",VLOOKUP($D589,RoleTitles!$A:$E,3,FALSE))</f>
        <v/>
      </c>
      <c r="I589" s="27">
        <f>IF($D589="","",IF($C589="Greek",VLOOKUP($D589,RoleTitles!$A:$E,4,FALSE),IF($C589="Aesir",VLOOKUP($D589,RoleTitles!$A:$E,5,FALSE),VLOOKUP($D589,RoleTitles!$A:$E,3,FALSE))))</f>
        <v/>
      </c>
      <c r="J589" s="27">
        <f>IF($D589="","",IF($E589&gt;=VLOOKUP($D589,RoleTitles!$A:$B,2,FALSE),"Yes","No"))</f>
        <v/>
      </c>
      <c r="K589" s="27">
        <f>IF($D589="","",IF($D589="T1","T2",IF($D589="T2","T3",IF($D589="T3","T4",IF($D589="T4","T5",IF($D589="T5","T6",IF($D589="T6","T7",IF($D589="T7","T8",IF($D589="T8","T9","")))))))))</f>
        <v/>
      </c>
      <c r="L589" s="28">
        <f>IF($K589="","",MAX(0,VLOOKUP($K589,RoleTitles!$A:$B,2,FALSE)-$E589))</f>
        <v/>
      </c>
    </row>
    <row r="590">
      <c r="A590" s="24">
        <f>IFERROR(INDEX(CoachRoster!$A$2:$A$1000,ROW()-1),"")</f>
        <v/>
      </c>
      <c r="B590" s="27">
        <f>IF($A590="","",VLOOKUP($A590,CoachRoster!$A:$E,2,FALSE))</f>
        <v/>
      </c>
      <c r="C590" s="27">
        <f>IF($A590="","",VLOOKUP($A590,CoachRoster!$A:$E,3,FALSE))</f>
        <v/>
      </c>
      <c r="D590" s="27">
        <f>IF($A590="","",VLOOKUP($A590,CoachRoster!$A:$E,4,FALSE))</f>
        <v/>
      </c>
      <c r="E590" s="27">
        <f>IF($A590="","",MIN(Settings!$B$8,IFERROR(SUMIF(Weekly_Coaching!$B:$B,$A590,Weekly_Coaching!$D:$D),0)+IFERROR(SUMIF(Monthly_Edu!$B:$B,$A590,Monthly_Edu!$D:$D),0)+IFERROR(SUMIF(Monthly_Ops!$B:$B,$A590,Monthly_Ops!$D:$D),0)+IFERROR(SUMIF(Monthly_Mentor!$B:$B,$A590,Monthly_Mentor!$D:$D),0)+IFERROR(SUMIF(Quarterly_Impact!$B:$B,$A590,Quarterly_Impact!$D:$D),0)+IFERROR(SUMIFS(XPLog!$M:$M,XPLog!$B:$B,$A590,XPLog!$J:$J,"Admin"),0)+IFERROR(SUMIFS(XPLog!$M:$M,XPLog!$B:$B,$A590,XPLog!$J:$J,"Seeding"),0)))</f>
        <v/>
      </c>
      <c r="F590" s="27">
        <f>IF($E590="","",LOOKUP($E590, XPBands!B$2:B$10, XPBands!A$2:A$10))</f>
        <v/>
      </c>
      <c r="G590" s="27">
        <f>IF($E590="","", VLOOKUP($F590, XPBands!A$2:G$10, 4, FALSE) + MIN(VLOOKUP($F590, XPBands!A$2:G$10, 5, FALSE) - VLOOKUP($F590, XPBands!A$2:G$10, 4, FALSE), FLOOR(( $E590 - VLOOKUP($F590, XPBands!A$2:G$10, 2, FALSE) ) / VLOOKUP($F590, XPBands!A$2:G$10, 7, FALSE),1)))</f>
        <v/>
      </c>
      <c r="H590" s="27">
        <f>IF($D590="","",VLOOKUP($D590,RoleTitles!$A:$E,3,FALSE))</f>
        <v/>
      </c>
      <c r="I590" s="27">
        <f>IF($D590="","",IF($C590="Greek",VLOOKUP($D590,RoleTitles!$A:$E,4,FALSE),IF($C590="Aesir",VLOOKUP($D590,RoleTitles!$A:$E,5,FALSE),VLOOKUP($D590,RoleTitles!$A:$E,3,FALSE))))</f>
        <v/>
      </c>
      <c r="J590" s="27">
        <f>IF($D590="","",IF($E590&gt;=VLOOKUP($D590,RoleTitles!$A:$B,2,FALSE),"Yes","No"))</f>
        <v/>
      </c>
      <c r="K590" s="27">
        <f>IF($D590="","",IF($D590="T1","T2",IF($D590="T2","T3",IF($D590="T3","T4",IF($D590="T4","T5",IF($D590="T5","T6",IF($D590="T6","T7",IF($D590="T7","T8",IF($D590="T8","T9","")))))))))</f>
        <v/>
      </c>
      <c r="L590" s="28">
        <f>IF($K590="","",MAX(0,VLOOKUP($K590,RoleTitles!$A:$B,2,FALSE)-$E590))</f>
        <v/>
      </c>
    </row>
    <row r="591">
      <c r="A591" s="24">
        <f>IFERROR(INDEX(CoachRoster!$A$2:$A$1000,ROW()-1),"")</f>
        <v/>
      </c>
      <c r="B591" s="27">
        <f>IF($A591="","",VLOOKUP($A591,CoachRoster!$A:$E,2,FALSE))</f>
        <v/>
      </c>
      <c r="C591" s="27">
        <f>IF($A591="","",VLOOKUP($A591,CoachRoster!$A:$E,3,FALSE))</f>
        <v/>
      </c>
      <c r="D591" s="27">
        <f>IF($A591="","",VLOOKUP($A591,CoachRoster!$A:$E,4,FALSE))</f>
        <v/>
      </c>
      <c r="E591" s="27">
        <f>IF($A591="","",MIN(Settings!$B$8,IFERROR(SUMIF(Weekly_Coaching!$B:$B,$A591,Weekly_Coaching!$D:$D),0)+IFERROR(SUMIF(Monthly_Edu!$B:$B,$A591,Monthly_Edu!$D:$D),0)+IFERROR(SUMIF(Monthly_Ops!$B:$B,$A591,Monthly_Ops!$D:$D),0)+IFERROR(SUMIF(Monthly_Mentor!$B:$B,$A591,Monthly_Mentor!$D:$D),0)+IFERROR(SUMIF(Quarterly_Impact!$B:$B,$A591,Quarterly_Impact!$D:$D),0)+IFERROR(SUMIFS(XPLog!$M:$M,XPLog!$B:$B,$A591,XPLog!$J:$J,"Admin"),0)+IFERROR(SUMIFS(XPLog!$M:$M,XPLog!$B:$B,$A591,XPLog!$J:$J,"Seeding"),0)))</f>
        <v/>
      </c>
      <c r="F591" s="27">
        <f>IF($E591="","",LOOKUP($E591, XPBands!B$2:B$10, XPBands!A$2:A$10))</f>
        <v/>
      </c>
      <c r="G591" s="27">
        <f>IF($E591="","", VLOOKUP($F591, XPBands!A$2:G$10, 4, FALSE) + MIN(VLOOKUP($F591, XPBands!A$2:G$10, 5, FALSE) - VLOOKUP($F591, XPBands!A$2:G$10, 4, FALSE), FLOOR(( $E591 - VLOOKUP($F591, XPBands!A$2:G$10, 2, FALSE) ) / VLOOKUP($F591, XPBands!A$2:G$10, 7, FALSE),1)))</f>
        <v/>
      </c>
      <c r="H591" s="27">
        <f>IF($D591="","",VLOOKUP($D591,RoleTitles!$A:$E,3,FALSE))</f>
        <v/>
      </c>
      <c r="I591" s="27">
        <f>IF($D591="","",IF($C591="Greek",VLOOKUP($D591,RoleTitles!$A:$E,4,FALSE),IF($C591="Aesir",VLOOKUP($D591,RoleTitles!$A:$E,5,FALSE),VLOOKUP($D591,RoleTitles!$A:$E,3,FALSE))))</f>
        <v/>
      </c>
      <c r="J591" s="27">
        <f>IF($D591="","",IF($E591&gt;=VLOOKUP($D591,RoleTitles!$A:$B,2,FALSE),"Yes","No"))</f>
        <v/>
      </c>
      <c r="K591" s="27">
        <f>IF($D591="","",IF($D591="T1","T2",IF($D591="T2","T3",IF($D591="T3","T4",IF($D591="T4","T5",IF($D591="T5","T6",IF($D591="T6","T7",IF($D591="T7","T8",IF($D591="T8","T9","")))))))))</f>
        <v/>
      </c>
      <c r="L591" s="28">
        <f>IF($K591="","",MAX(0,VLOOKUP($K591,RoleTitles!$A:$B,2,FALSE)-$E591))</f>
        <v/>
      </c>
    </row>
    <row r="592">
      <c r="A592" s="24">
        <f>IFERROR(INDEX(CoachRoster!$A$2:$A$1000,ROW()-1),"")</f>
        <v/>
      </c>
      <c r="B592" s="27">
        <f>IF($A592="","",VLOOKUP($A592,CoachRoster!$A:$E,2,FALSE))</f>
        <v/>
      </c>
      <c r="C592" s="27">
        <f>IF($A592="","",VLOOKUP($A592,CoachRoster!$A:$E,3,FALSE))</f>
        <v/>
      </c>
      <c r="D592" s="27">
        <f>IF($A592="","",VLOOKUP($A592,CoachRoster!$A:$E,4,FALSE))</f>
        <v/>
      </c>
      <c r="E592" s="27">
        <f>IF($A592="","",MIN(Settings!$B$8,IFERROR(SUMIF(Weekly_Coaching!$B:$B,$A592,Weekly_Coaching!$D:$D),0)+IFERROR(SUMIF(Monthly_Edu!$B:$B,$A592,Monthly_Edu!$D:$D),0)+IFERROR(SUMIF(Monthly_Ops!$B:$B,$A592,Monthly_Ops!$D:$D),0)+IFERROR(SUMIF(Monthly_Mentor!$B:$B,$A592,Monthly_Mentor!$D:$D),0)+IFERROR(SUMIF(Quarterly_Impact!$B:$B,$A592,Quarterly_Impact!$D:$D),0)+IFERROR(SUMIFS(XPLog!$M:$M,XPLog!$B:$B,$A592,XPLog!$J:$J,"Admin"),0)+IFERROR(SUMIFS(XPLog!$M:$M,XPLog!$B:$B,$A592,XPLog!$J:$J,"Seeding"),0)))</f>
        <v/>
      </c>
      <c r="F592" s="27">
        <f>IF($E592="","",LOOKUP($E592, XPBands!B$2:B$10, XPBands!A$2:A$10))</f>
        <v/>
      </c>
      <c r="G592" s="27">
        <f>IF($E592="","", VLOOKUP($F592, XPBands!A$2:G$10, 4, FALSE) + MIN(VLOOKUP($F592, XPBands!A$2:G$10, 5, FALSE) - VLOOKUP($F592, XPBands!A$2:G$10, 4, FALSE), FLOOR(( $E592 - VLOOKUP($F592, XPBands!A$2:G$10, 2, FALSE) ) / VLOOKUP($F592, XPBands!A$2:G$10, 7, FALSE),1)))</f>
        <v/>
      </c>
      <c r="H592" s="27">
        <f>IF($D592="","",VLOOKUP($D592,RoleTitles!$A:$E,3,FALSE))</f>
        <v/>
      </c>
      <c r="I592" s="27">
        <f>IF($D592="","",IF($C592="Greek",VLOOKUP($D592,RoleTitles!$A:$E,4,FALSE),IF($C592="Aesir",VLOOKUP($D592,RoleTitles!$A:$E,5,FALSE),VLOOKUP($D592,RoleTitles!$A:$E,3,FALSE))))</f>
        <v/>
      </c>
      <c r="J592" s="27">
        <f>IF($D592="","",IF($E592&gt;=VLOOKUP($D592,RoleTitles!$A:$B,2,FALSE),"Yes","No"))</f>
        <v/>
      </c>
      <c r="K592" s="27">
        <f>IF($D592="","",IF($D592="T1","T2",IF($D592="T2","T3",IF($D592="T3","T4",IF($D592="T4","T5",IF($D592="T5","T6",IF($D592="T6","T7",IF($D592="T7","T8",IF($D592="T8","T9","")))))))))</f>
        <v/>
      </c>
      <c r="L592" s="28">
        <f>IF($K592="","",MAX(0,VLOOKUP($K592,RoleTitles!$A:$B,2,FALSE)-$E592))</f>
        <v/>
      </c>
    </row>
    <row r="593">
      <c r="A593" s="24">
        <f>IFERROR(INDEX(CoachRoster!$A$2:$A$1000,ROW()-1),"")</f>
        <v/>
      </c>
      <c r="B593" s="27">
        <f>IF($A593="","",VLOOKUP($A593,CoachRoster!$A:$E,2,FALSE))</f>
        <v/>
      </c>
      <c r="C593" s="27">
        <f>IF($A593="","",VLOOKUP($A593,CoachRoster!$A:$E,3,FALSE))</f>
        <v/>
      </c>
      <c r="D593" s="27">
        <f>IF($A593="","",VLOOKUP($A593,CoachRoster!$A:$E,4,FALSE))</f>
        <v/>
      </c>
      <c r="E593" s="27">
        <f>IF($A593="","",MIN(Settings!$B$8,IFERROR(SUMIF(Weekly_Coaching!$B:$B,$A593,Weekly_Coaching!$D:$D),0)+IFERROR(SUMIF(Monthly_Edu!$B:$B,$A593,Monthly_Edu!$D:$D),0)+IFERROR(SUMIF(Monthly_Ops!$B:$B,$A593,Monthly_Ops!$D:$D),0)+IFERROR(SUMIF(Monthly_Mentor!$B:$B,$A593,Monthly_Mentor!$D:$D),0)+IFERROR(SUMIF(Quarterly_Impact!$B:$B,$A593,Quarterly_Impact!$D:$D),0)+IFERROR(SUMIFS(XPLog!$M:$M,XPLog!$B:$B,$A593,XPLog!$J:$J,"Admin"),0)+IFERROR(SUMIFS(XPLog!$M:$M,XPLog!$B:$B,$A593,XPLog!$J:$J,"Seeding"),0)))</f>
        <v/>
      </c>
      <c r="F593" s="27">
        <f>IF($E593="","",LOOKUP($E593, XPBands!B$2:B$10, XPBands!A$2:A$10))</f>
        <v/>
      </c>
      <c r="G593" s="27">
        <f>IF($E593="","", VLOOKUP($F593, XPBands!A$2:G$10, 4, FALSE) + MIN(VLOOKUP($F593, XPBands!A$2:G$10, 5, FALSE) - VLOOKUP($F593, XPBands!A$2:G$10, 4, FALSE), FLOOR(( $E593 - VLOOKUP($F593, XPBands!A$2:G$10, 2, FALSE) ) / VLOOKUP($F593, XPBands!A$2:G$10, 7, FALSE),1)))</f>
        <v/>
      </c>
      <c r="H593" s="27">
        <f>IF($D593="","",VLOOKUP($D593,RoleTitles!$A:$E,3,FALSE))</f>
        <v/>
      </c>
      <c r="I593" s="27">
        <f>IF($D593="","",IF($C593="Greek",VLOOKUP($D593,RoleTitles!$A:$E,4,FALSE),IF($C593="Aesir",VLOOKUP($D593,RoleTitles!$A:$E,5,FALSE),VLOOKUP($D593,RoleTitles!$A:$E,3,FALSE))))</f>
        <v/>
      </c>
      <c r="J593" s="27">
        <f>IF($D593="","",IF($E593&gt;=VLOOKUP($D593,RoleTitles!$A:$B,2,FALSE),"Yes","No"))</f>
        <v/>
      </c>
      <c r="K593" s="27">
        <f>IF($D593="","",IF($D593="T1","T2",IF($D593="T2","T3",IF($D593="T3","T4",IF($D593="T4","T5",IF($D593="T5","T6",IF($D593="T6","T7",IF($D593="T7","T8",IF($D593="T8","T9","")))))))))</f>
        <v/>
      </c>
      <c r="L593" s="28">
        <f>IF($K593="","",MAX(0,VLOOKUP($K593,RoleTitles!$A:$B,2,FALSE)-$E593))</f>
        <v/>
      </c>
    </row>
    <row r="594">
      <c r="A594" s="24">
        <f>IFERROR(INDEX(CoachRoster!$A$2:$A$1000,ROW()-1),"")</f>
        <v/>
      </c>
      <c r="B594" s="27">
        <f>IF($A594="","",VLOOKUP($A594,CoachRoster!$A:$E,2,FALSE))</f>
        <v/>
      </c>
      <c r="C594" s="27">
        <f>IF($A594="","",VLOOKUP($A594,CoachRoster!$A:$E,3,FALSE))</f>
        <v/>
      </c>
      <c r="D594" s="27">
        <f>IF($A594="","",VLOOKUP($A594,CoachRoster!$A:$E,4,FALSE))</f>
        <v/>
      </c>
      <c r="E594" s="27">
        <f>IF($A594="","",MIN(Settings!$B$8,IFERROR(SUMIF(Weekly_Coaching!$B:$B,$A594,Weekly_Coaching!$D:$D),0)+IFERROR(SUMIF(Monthly_Edu!$B:$B,$A594,Monthly_Edu!$D:$D),0)+IFERROR(SUMIF(Monthly_Ops!$B:$B,$A594,Monthly_Ops!$D:$D),0)+IFERROR(SUMIF(Monthly_Mentor!$B:$B,$A594,Monthly_Mentor!$D:$D),0)+IFERROR(SUMIF(Quarterly_Impact!$B:$B,$A594,Quarterly_Impact!$D:$D),0)+IFERROR(SUMIFS(XPLog!$M:$M,XPLog!$B:$B,$A594,XPLog!$J:$J,"Admin"),0)+IFERROR(SUMIFS(XPLog!$M:$M,XPLog!$B:$B,$A594,XPLog!$J:$J,"Seeding"),0)))</f>
        <v/>
      </c>
      <c r="F594" s="27">
        <f>IF($E594="","",LOOKUP($E594, XPBands!B$2:B$10, XPBands!A$2:A$10))</f>
        <v/>
      </c>
      <c r="G594" s="27">
        <f>IF($E594="","", VLOOKUP($F594, XPBands!A$2:G$10, 4, FALSE) + MIN(VLOOKUP($F594, XPBands!A$2:G$10, 5, FALSE) - VLOOKUP($F594, XPBands!A$2:G$10, 4, FALSE), FLOOR(( $E594 - VLOOKUP($F594, XPBands!A$2:G$10, 2, FALSE) ) / VLOOKUP($F594, XPBands!A$2:G$10, 7, FALSE),1)))</f>
        <v/>
      </c>
      <c r="H594" s="27">
        <f>IF($D594="","",VLOOKUP($D594,RoleTitles!$A:$E,3,FALSE))</f>
        <v/>
      </c>
      <c r="I594" s="27">
        <f>IF($D594="","",IF($C594="Greek",VLOOKUP($D594,RoleTitles!$A:$E,4,FALSE),IF($C594="Aesir",VLOOKUP($D594,RoleTitles!$A:$E,5,FALSE),VLOOKUP($D594,RoleTitles!$A:$E,3,FALSE))))</f>
        <v/>
      </c>
      <c r="J594" s="27">
        <f>IF($D594="","",IF($E594&gt;=VLOOKUP($D594,RoleTitles!$A:$B,2,FALSE),"Yes","No"))</f>
        <v/>
      </c>
      <c r="K594" s="27">
        <f>IF($D594="","",IF($D594="T1","T2",IF($D594="T2","T3",IF($D594="T3","T4",IF($D594="T4","T5",IF($D594="T5","T6",IF($D594="T6","T7",IF($D594="T7","T8",IF($D594="T8","T9","")))))))))</f>
        <v/>
      </c>
      <c r="L594" s="28">
        <f>IF($K594="","",MAX(0,VLOOKUP($K594,RoleTitles!$A:$B,2,FALSE)-$E594))</f>
        <v/>
      </c>
    </row>
    <row r="595">
      <c r="A595" s="24">
        <f>IFERROR(INDEX(CoachRoster!$A$2:$A$1000,ROW()-1),"")</f>
        <v/>
      </c>
      <c r="B595" s="27">
        <f>IF($A595="","",VLOOKUP($A595,CoachRoster!$A:$E,2,FALSE))</f>
        <v/>
      </c>
      <c r="C595" s="27">
        <f>IF($A595="","",VLOOKUP($A595,CoachRoster!$A:$E,3,FALSE))</f>
        <v/>
      </c>
      <c r="D595" s="27">
        <f>IF($A595="","",VLOOKUP($A595,CoachRoster!$A:$E,4,FALSE))</f>
        <v/>
      </c>
      <c r="E595" s="27">
        <f>IF($A595="","",MIN(Settings!$B$8,IFERROR(SUMIF(Weekly_Coaching!$B:$B,$A595,Weekly_Coaching!$D:$D),0)+IFERROR(SUMIF(Monthly_Edu!$B:$B,$A595,Monthly_Edu!$D:$D),0)+IFERROR(SUMIF(Monthly_Ops!$B:$B,$A595,Monthly_Ops!$D:$D),0)+IFERROR(SUMIF(Monthly_Mentor!$B:$B,$A595,Monthly_Mentor!$D:$D),0)+IFERROR(SUMIF(Quarterly_Impact!$B:$B,$A595,Quarterly_Impact!$D:$D),0)+IFERROR(SUMIFS(XPLog!$M:$M,XPLog!$B:$B,$A595,XPLog!$J:$J,"Admin"),0)+IFERROR(SUMIFS(XPLog!$M:$M,XPLog!$B:$B,$A595,XPLog!$J:$J,"Seeding"),0)))</f>
        <v/>
      </c>
      <c r="F595" s="27">
        <f>IF($E595="","",LOOKUP($E595, XPBands!B$2:B$10, XPBands!A$2:A$10))</f>
        <v/>
      </c>
      <c r="G595" s="27">
        <f>IF($E595="","", VLOOKUP($F595, XPBands!A$2:G$10, 4, FALSE) + MIN(VLOOKUP($F595, XPBands!A$2:G$10, 5, FALSE) - VLOOKUP($F595, XPBands!A$2:G$10, 4, FALSE), FLOOR(( $E595 - VLOOKUP($F595, XPBands!A$2:G$10, 2, FALSE) ) / VLOOKUP($F595, XPBands!A$2:G$10, 7, FALSE),1)))</f>
        <v/>
      </c>
      <c r="H595" s="27">
        <f>IF($D595="","",VLOOKUP($D595,RoleTitles!$A:$E,3,FALSE))</f>
        <v/>
      </c>
      <c r="I595" s="27">
        <f>IF($D595="","",IF($C595="Greek",VLOOKUP($D595,RoleTitles!$A:$E,4,FALSE),IF($C595="Aesir",VLOOKUP($D595,RoleTitles!$A:$E,5,FALSE),VLOOKUP($D595,RoleTitles!$A:$E,3,FALSE))))</f>
        <v/>
      </c>
      <c r="J595" s="27">
        <f>IF($D595="","",IF($E595&gt;=VLOOKUP($D595,RoleTitles!$A:$B,2,FALSE),"Yes","No"))</f>
        <v/>
      </c>
      <c r="K595" s="27">
        <f>IF($D595="","",IF($D595="T1","T2",IF($D595="T2","T3",IF($D595="T3","T4",IF($D595="T4","T5",IF($D595="T5","T6",IF($D595="T6","T7",IF($D595="T7","T8",IF($D595="T8","T9","")))))))))</f>
        <v/>
      </c>
      <c r="L595" s="28">
        <f>IF($K595="","",MAX(0,VLOOKUP($K595,RoleTitles!$A:$B,2,FALSE)-$E595))</f>
        <v/>
      </c>
    </row>
    <row r="596">
      <c r="A596" s="24">
        <f>IFERROR(INDEX(CoachRoster!$A$2:$A$1000,ROW()-1),"")</f>
        <v/>
      </c>
      <c r="B596" s="27">
        <f>IF($A596="","",VLOOKUP($A596,CoachRoster!$A:$E,2,FALSE))</f>
        <v/>
      </c>
      <c r="C596" s="27">
        <f>IF($A596="","",VLOOKUP($A596,CoachRoster!$A:$E,3,FALSE))</f>
        <v/>
      </c>
      <c r="D596" s="27">
        <f>IF($A596="","",VLOOKUP($A596,CoachRoster!$A:$E,4,FALSE))</f>
        <v/>
      </c>
      <c r="E596" s="27">
        <f>IF($A596="","",MIN(Settings!$B$8,IFERROR(SUMIF(Weekly_Coaching!$B:$B,$A596,Weekly_Coaching!$D:$D),0)+IFERROR(SUMIF(Monthly_Edu!$B:$B,$A596,Monthly_Edu!$D:$D),0)+IFERROR(SUMIF(Monthly_Ops!$B:$B,$A596,Monthly_Ops!$D:$D),0)+IFERROR(SUMIF(Monthly_Mentor!$B:$B,$A596,Monthly_Mentor!$D:$D),0)+IFERROR(SUMIF(Quarterly_Impact!$B:$B,$A596,Quarterly_Impact!$D:$D),0)+IFERROR(SUMIFS(XPLog!$M:$M,XPLog!$B:$B,$A596,XPLog!$J:$J,"Admin"),0)+IFERROR(SUMIFS(XPLog!$M:$M,XPLog!$B:$B,$A596,XPLog!$J:$J,"Seeding"),0)))</f>
        <v/>
      </c>
      <c r="F596" s="27">
        <f>IF($E596="","",LOOKUP($E596, XPBands!B$2:B$10, XPBands!A$2:A$10))</f>
        <v/>
      </c>
      <c r="G596" s="27">
        <f>IF($E596="","", VLOOKUP($F596, XPBands!A$2:G$10, 4, FALSE) + MIN(VLOOKUP($F596, XPBands!A$2:G$10, 5, FALSE) - VLOOKUP($F596, XPBands!A$2:G$10, 4, FALSE), FLOOR(( $E596 - VLOOKUP($F596, XPBands!A$2:G$10, 2, FALSE) ) / VLOOKUP($F596, XPBands!A$2:G$10, 7, FALSE),1)))</f>
        <v/>
      </c>
      <c r="H596" s="27">
        <f>IF($D596="","",VLOOKUP($D596,RoleTitles!$A:$E,3,FALSE))</f>
        <v/>
      </c>
      <c r="I596" s="27">
        <f>IF($D596="","",IF($C596="Greek",VLOOKUP($D596,RoleTitles!$A:$E,4,FALSE),IF($C596="Aesir",VLOOKUP($D596,RoleTitles!$A:$E,5,FALSE),VLOOKUP($D596,RoleTitles!$A:$E,3,FALSE))))</f>
        <v/>
      </c>
      <c r="J596" s="27">
        <f>IF($D596="","",IF($E596&gt;=VLOOKUP($D596,RoleTitles!$A:$B,2,FALSE),"Yes","No"))</f>
        <v/>
      </c>
      <c r="K596" s="27">
        <f>IF($D596="","",IF($D596="T1","T2",IF($D596="T2","T3",IF($D596="T3","T4",IF($D596="T4","T5",IF($D596="T5","T6",IF($D596="T6","T7",IF($D596="T7","T8",IF($D596="T8","T9","")))))))))</f>
        <v/>
      </c>
      <c r="L596" s="28">
        <f>IF($K596="","",MAX(0,VLOOKUP($K596,RoleTitles!$A:$B,2,FALSE)-$E596))</f>
        <v/>
      </c>
    </row>
    <row r="597">
      <c r="A597" s="24">
        <f>IFERROR(INDEX(CoachRoster!$A$2:$A$1000,ROW()-1),"")</f>
        <v/>
      </c>
      <c r="B597" s="27">
        <f>IF($A597="","",VLOOKUP($A597,CoachRoster!$A:$E,2,FALSE))</f>
        <v/>
      </c>
      <c r="C597" s="27">
        <f>IF($A597="","",VLOOKUP($A597,CoachRoster!$A:$E,3,FALSE))</f>
        <v/>
      </c>
      <c r="D597" s="27">
        <f>IF($A597="","",VLOOKUP($A597,CoachRoster!$A:$E,4,FALSE))</f>
        <v/>
      </c>
      <c r="E597" s="27">
        <f>IF($A597="","",MIN(Settings!$B$8,IFERROR(SUMIF(Weekly_Coaching!$B:$B,$A597,Weekly_Coaching!$D:$D),0)+IFERROR(SUMIF(Monthly_Edu!$B:$B,$A597,Monthly_Edu!$D:$D),0)+IFERROR(SUMIF(Monthly_Ops!$B:$B,$A597,Monthly_Ops!$D:$D),0)+IFERROR(SUMIF(Monthly_Mentor!$B:$B,$A597,Monthly_Mentor!$D:$D),0)+IFERROR(SUMIF(Quarterly_Impact!$B:$B,$A597,Quarterly_Impact!$D:$D),0)+IFERROR(SUMIFS(XPLog!$M:$M,XPLog!$B:$B,$A597,XPLog!$J:$J,"Admin"),0)+IFERROR(SUMIFS(XPLog!$M:$M,XPLog!$B:$B,$A597,XPLog!$J:$J,"Seeding"),0)))</f>
        <v/>
      </c>
      <c r="F597" s="27">
        <f>IF($E597="","",LOOKUP($E597, XPBands!B$2:B$10, XPBands!A$2:A$10))</f>
        <v/>
      </c>
      <c r="G597" s="27">
        <f>IF($E597="","", VLOOKUP($F597, XPBands!A$2:G$10, 4, FALSE) + MIN(VLOOKUP($F597, XPBands!A$2:G$10, 5, FALSE) - VLOOKUP($F597, XPBands!A$2:G$10, 4, FALSE), FLOOR(( $E597 - VLOOKUP($F597, XPBands!A$2:G$10, 2, FALSE) ) / VLOOKUP($F597, XPBands!A$2:G$10, 7, FALSE),1)))</f>
        <v/>
      </c>
      <c r="H597" s="27">
        <f>IF($D597="","",VLOOKUP($D597,RoleTitles!$A:$E,3,FALSE))</f>
        <v/>
      </c>
      <c r="I597" s="27">
        <f>IF($D597="","",IF($C597="Greek",VLOOKUP($D597,RoleTitles!$A:$E,4,FALSE),IF($C597="Aesir",VLOOKUP($D597,RoleTitles!$A:$E,5,FALSE),VLOOKUP($D597,RoleTitles!$A:$E,3,FALSE))))</f>
        <v/>
      </c>
      <c r="J597" s="27">
        <f>IF($D597="","",IF($E597&gt;=VLOOKUP($D597,RoleTitles!$A:$B,2,FALSE),"Yes","No"))</f>
        <v/>
      </c>
      <c r="K597" s="27">
        <f>IF($D597="","",IF($D597="T1","T2",IF($D597="T2","T3",IF($D597="T3","T4",IF($D597="T4","T5",IF($D597="T5","T6",IF($D597="T6","T7",IF($D597="T7","T8",IF($D597="T8","T9","")))))))))</f>
        <v/>
      </c>
      <c r="L597" s="28">
        <f>IF($K597="","",MAX(0,VLOOKUP($K597,RoleTitles!$A:$B,2,FALSE)-$E597))</f>
        <v/>
      </c>
    </row>
    <row r="598">
      <c r="A598" s="24">
        <f>IFERROR(INDEX(CoachRoster!$A$2:$A$1000,ROW()-1),"")</f>
        <v/>
      </c>
      <c r="B598" s="27">
        <f>IF($A598="","",VLOOKUP($A598,CoachRoster!$A:$E,2,FALSE))</f>
        <v/>
      </c>
      <c r="C598" s="27">
        <f>IF($A598="","",VLOOKUP($A598,CoachRoster!$A:$E,3,FALSE))</f>
        <v/>
      </c>
      <c r="D598" s="27">
        <f>IF($A598="","",VLOOKUP($A598,CoachRoster!$A:$E,4,FALSE))</f>
        <v/>
      </c>
      <c r="E598" s="27">
        <f>IF($A598="","",MIN(Settings!$B$8,IFERROR(SUMIF(Weekly_Coaching!$B:$B,$A598,Weekly_Coaching!$D:$D),0)+IFERROR(SUMIF(Monthly_Edu!$B:$B,$A598,Monthly_Edu!$D:$D),0)+IFERROR(SUMIF(Monthly_Ops!$B:$B,$A598,Monthly_Ops!$D:$D),0)+IFERROR(SUMIF(Monthly_Mentor!$B:$B,$A598,Monthly_Mentor!$D:$D),0)+IFERROR(SUMIF(Quarterly_Impact!$B:$B,$A598,Quarterly_Impact!$D:$D),0)+IFERROR(SUMIFS(XPLog!$M:$M,XPLog!$B:$B,$A598,XPLog!$J:$J,"Admin"),0)+IFERROR(SUMIFS(XPLog!$M:$M,XPLog!$B:$B,$A598,XPLog!$J:$J,"Seeding"),0)))</f>
        <v/>
      </c>
      <c r="F598" s="27">
        <f>IF($E598="","",LOOKUP($E598, XPBands!B$2:B$10, XPBands!A$2:A$10))</f>
        <v/>
      </c>
      <c r="G598" s="27">
        <f>IF($E598="","", VLOOKUP($F598, XPBands!A$2:G$10, 4, FALSE) + MIN(VLOOKUP($F598, XPBands!A$2:G$10, 5, FALSE) - VLOOKUP($F598, XPBands!A$2:G$10, 4, FALSE), FLOOR(( $E598 - VLOOKUP($F598, XPBands!A$2:G$10, 2, FALSE) ) / VLOOKUP($F598, XPBands!A$2:G$10, 7, FALSE),1)))</f>
        <v/>
      </c>
      <c r="H598" s="27">
        <f>IF($D598="","",VLOOKUP($D598,RoleTitles!$A:$E,3,FALSE))</f>
        <v/>
      </c>
      <c r="I598" s="27">
        <f>IF($D598="","",IF($C598="Greek",VLOOKUP($D598,RoleTitles!$A:$E,4,FALSE),IF($C598="Aesir",VLOOKUP($D598,RoleTitles!$A:$E,5,FALSE),VLOOKUP($D598,RoleTitles!$A:$E,3,FALSE))))</f>
        <v/>
      </c>
      <c r="J598" s="27">
        <f>IF($D598="","",IF($E598&gt;=VLOOKUP($D598,RoleTitles!$A:$B,2,FALSE),"Yes","No"))</f>
        <v/>
      </c>
      <c r="K598" s="27">
        <f>IF($D598="","",IF($D598="T1","T2",IF($D598="T2","T3",IF($D598="T3","T4",IF($D598="T4","T5",IF($D598="T5","T6",IF($D598="T6","T7",IF($D598="T7","T8",IF($D598="T8","T9","")))))))))</f>
        <v/>
      </c>
      <c r="L598" s="28">
        <f>IF($K598="","",MAX(0,VLOOKUP($K598,RoleTitles!$A:$B,2,FALSE)-$E598))</f>
        <v/>
      </c>
    </row>
    <row r="599">
      <c r="A599" s="24">
        <f>IFERROR(INDEX(CoachRoster!$A$2:$A$1000,ROW()-1),"")</f>
        <v/>
      </c>
      <c r="B599" s="27">
        <f>IF($A599="","",VLOOKUP($A599,CoachRoster!$A:$E,2,FALSE))</f>
        <v/>
      </c>
      <c r="C599" s="27">
        <f>IF($A599="","",VLOOKUP($A599,CoachRoster!$A:$E,3,FALSE))</f>
        <v/>
      </c>
      <c r="D599" s="27">
        <f>IF($A599="","",VLOOKUP($A599,CoachRoster!$A:$E,4,FALSE))</f>
        <v/>
      </c>
      <c r="E599" s="27">
        <f>IF($A599="","",MIN(Settings!$B$8,IFERROR(SUMIF(Weekly_Coaching!$B:$B,$A599,Weekly_Coaching!$D:$D),0)+IFERROR(SUMIF(Monthly_Edu!$B:$B,$A599,Monthly_Edu!$D:$D),0)+IFERROR(SUMIF(Monthly_Ops!$B:$B,$A599,Monthly_Ops!$D:$D),0)+IFERROR(SUMIF(Monthly_Mentor!$B:$B,$A599,Monthly_Mentor!$D:$D),0)+IFERROR(SUMIF(Quarterly_Impact!$B:$B,$A599,Quarterly_Impact!$D:$D),0)+IFERROR(SUMIFS(XPLog!$M:$M,XPLog!$B:$B,$A599,XPLog!$J:$J,"Admin"),0)+IFERROR(SUMIFS(XPLog!$M:$M,XPLog!$B:$B,$A599,XPLog!$J:$J,"Seeding"),0)))</f>
        <v/>
      </c>
      <c r="F599" s="27">
        <f>IF($E599="","",LOOKUP($E599, XPBands!B$2:B$10, XPBands!A$2:A$10))</f>
        <v/>
      </c>
      <c r="G599" s="27">
        <f>IF($E599="","", VLOOKUP($F599, XPBands!A$2:G$10, 4, FALSE) + MIN(VLOOKUP($F599, XPBands!A$2:G$10, 5, FALSE) - VLOOKUP($F599, XPBands!A$2:G$10, 4, FALSE), FLOOR(( $E599 - VLOOKUP($F599, XPBands!A$2:G$10, 2, FALSE) ) / VLOOKUP($F599, XPBands!A$2:G$10, 7, FALSE),1)))</f>
        <v/>
      </c>
      <c r="H599" s="27">
        <f>IF($D599="","",VLOOKUP($D599,RoleTitles!$A:$E,3,FALSE))</f>
        <v/>
      </c>
      <c r="I599" s="27">
        <f>IF($D599="","",IF($C599="Greek",VLOOKUP($D599,RoleTitles!$A:$E,4,FALSE),IF($C599="Aesir",VLOOKUP($D599,RoleTitles!$A:$E,5,FALSE),VLOOKUP($D599,RoleTitles!$A:$E,3,FALSE))))</f>
        <v/>
      </c>
      <c r="J599" s="27">
        <f>IF($D599="","",IF($E599&gt;=VLOOKUP($D599,RoleTitles!$A:$B,2,FALSE),"Yes","No"))</f>
        <v/>
      </c>
      <c r="K599" s="27">
        <f>IF($D599="","",IF($D599="T1","T2",IF($D599="T2","T3",IF($D599="T3","T4",IF($D599="T4","T5",IF($D599="T5","T6",IF($D599="T6","T7",IF($D599="T7","T8",IF($D599="T8","T9","")))))))))</f>
        <v/>
      </c>
      <c r="L599" s="28">
        <f>IF($K599="","",MAX(0,VLOOKUP($K599,RoleTitles!$A:$B,2,FALSE)-$E599))</f>
        <v/>
      </c>
    </row>
    <row r="600">
      <c r="A600" s="24">
        <f>IFERROR(INDEX(CoachRoster!$A$2:$A$1000,ROW()-1),"")</f>
        <v/>
      </c>
      <c r="B600" s="27">
        <f>IF($A600="","",VLOOKUP($A600,CoachRoster!$A:$E,2,FALSE))</f>
        <v/>
      </c>
      <c r="C600" s="27">
        <f>IF($A600="","",VLOOKUP($A600,CoachRoster!$A:$E,3,FALSE))</f>
        <v/>
      </c>
      <c r="D600" s="27">
        <f>IF($A600="","",VLOOKUP($A600,CoachRoster!$A:$E,4,FALSE))</f>
        <v/>
      </c>
      <c r="E600" s="27">
        <f>IF($A600="","",MIN(Settings!$B$8,IFERROR(SUMIF(Weekly_Coaching!$B:$B,$A600,Weekly_Coaching!$D:$D),0)+IFERROR(SUMIF(Monthly_Edu!$B:$B,$A600,Monthly_Edu!$D:$D),0)+IFERROR(SUMIF(Monthly_Ops!$B:$B,$A600,Monthly_Ops!$D:$D),0)+IFERROR(SUMIF(Monthly_Mentor!$B:$B,$A600,Monthly_Mentor!$D:$D),0)+IFERROR(SUMIF(Quarterly_Impact!$B:$B,$A600,Quarterly_Impact!$D:$D),0)+IFERROR(SUMIFS(XPLog!$M:$M,XPLog!$B:$B,$A600,XPLog!$J:$J,"Admin"),0)+IFERROR(SUMIFS(XPLog!$M:$M,XPLog!$B:$B,$A600,XPLog!$J:$J,"Seeding"),0)))</f>
        <v/>
      </c>
      <c r="F600" s="27">
        <f>IF($E600="","",LOOKUP($E600, XPBands!B$2:B$10, XPBands!A$2:A$10))</f>
        <v/>
      </c>
      <c r="G600" s="27">
        <f>IF($E600="","", VLOOKUP($F600, XPBands!A$2:G$10, 4, FALSE) + MIN(VLOOKUP($F600, XPBands!A$2:G$10, 5, FALSE) - VLOOKUP($F600, XPBands!A$2:G$10, 4, FALSE), FLOOR(( $E600 - VLOOKUP($F600, XPBands!A$2:G$10, 2, FALSE) ) / VLOOKUP($F600, XPBands!A$2:G$10, 7, FALSE),1)))</f>
        <v/>
      </c>
      <c r="H600" s="27">
        <f>IF($D600="","",VLOOKUP($D600,RoleTitles!$A:$E,3,FALSE))</f>
        <v/>
      </c>
      <c r="I600" s="27">
        <f>IF($D600="","",IF($C600="Greek",VLOOKUP($D600,RoleTitles!$A:$E,4,FALSE),IF($C600="Aesir",VLOOKUP($D600,RoleTitles!$A:$E,5,FALSE),VLOOKUP($D600,RoleTitles!$A:$E,3,FALSE))))</f>
        <v/>
      </c>
      <c r="J600" s="27">
        <f>IF($D600="","",IF($E600&gt;=VLOOKUP($D600,RoleTitles!$A:$B,2,FALSE),"Yes","No"))</f>
        <v/>
      </c>
      <c r="K600" s="27">
        <f>IF($D600="","",IF($D600="T1","T2",IF($D600="T2","T3",IF($D600="T3","T4",IF($D600="T4","T5",IF($D600="T5","T6",IF($D600="T6","T7",IF($D600="T7","T8",IF($D600="T8","T9","")))))))))</f>
        <v/>
      </c>
      <c r="L600" s="28">
        <f>IF($K600="","",MAX(0,VLOOKUP($K600,RoleTitles!$A:$B,2,FALSE)-$E600))</f>
        <v/>
      </c>
    </row>
    <row r="601">
      <c r="A601" s="24">
        <f>IFERROR(INDEX(CoachRoster!$A$2:$A$1000,ROW()-1),"")</f>
        <v/>
      </c>
      <c r="B601" s="27">
        <f>IF($A601="","",VLOOKUP($A601,CoachRoster!$A:$E,2,FALSE))</f>
        <v/>
      </c>
      <c r="C601" s="27">
        <f>IF($A601="","",VLOOKUP($A601,CoachRoster!$A:$E,3,FALSE))</f>
        <v/>
      </c>
      <c r="D601" s="27">
        <f>IF($A601="","",VLOOKUP($A601,CoachRoster!$A:$E,4,FALSE))</f>
        <v/>
      </c>
      <c r="E601" s="27">
        <f>IF($A601="","",MIN(Settings!$B$8,IFERROR(SUMIF(Weekly_Coaching!$B:$B,$A601,Weekly_Coaching!$D:$D),0)+IFERROR(SUMIF(Monthly_Edu!$B:$B,$A601,Monthly_Edu!$D:$D),0)+IFERROR(SUMIF(Monthly_Ops!$B:$B,$A601,Monthly_Ops!$D:$D),0)+IFERROR(SUMIF(Monthly_Mentor!$B:$B,$A601,Monthly_Mentor!$D:$D),0)+IFERROR(SUMIF(Quarterly_Impact!$B:$B,$A601,Quarterly_Impact!$D:$D),0)+IFERROR(SUMIFS(XPLog!$M:$M,XPLog!$B:$B,$A601,XPLog!$J:$J,"Admin"),0)+IFERROR(SUMIFS(XPLog!$M:$M,XPLog!$B:$B,$A601,XPLog!$J:$J,"Seeding"),0)))</f>
        <v/>
      </c>
      <c r="F601" s="27">
        <f>IF($E601="","",LOOKUP($E601, XPBands!B$2:B$10, XPBands!A$2:A$10))</f>
        <v/>
      </c>
      <c r="G601" s="27">
        <f>IF($E601="","", VLOOKUP($F601, XPBands!A$2:G$10, 4, FALSE) + MIN(VLOOKUP($F601, XPBands!A$2:G$10, 5, FALSE) - VLOOKUP($F601, XPBands!A$2:G$10, 4, FALSE), FLOOR(( $E601 - VLOOKUP($F601, XPBands!A$2:G$10, 2, FALSE) ) / VLOOKUP($F601, XPBands!A$2:G$10, 7, FALSE),1)))</f>
        <v/>
      </c>
      <c r="H601" s="27">
        <f>IF($D601="","",VLOOKUP($D601,RoleTitles!$A:$E,3,FALSE))</f>
        <v/>
      </c>
      <c r="I601" s="27">
        <f>IF($D601="","",IF($C601="Greek",VLOOKUP($D601,RoleTitles!$A:$E,4,FALSE),IF($C601="Aesir",VLOOKUP($D601,RoleTitles!$A:$E,5,FALSE),VLOOKUP($D601,RoleTitles!$A:$E,3,FALSE))))</f>
        <v/>
      </c>
      <c r="J601" s="27">
        <f>IF($D601="","",IF($E601&gt;=VLOOKUP($D601,RoleTitles!$A:$B,2,FALSE),"Yes","No"))</f>
        <v/>
      </c>
      <c r="K601" s="27">
        <f>IF($D601="","",IF($D601="T1","T2",IF($D601="T2","T3",IF($D601="T3","T4",IF($D601="T4","T5",IF($D601="T5","T6",IF($D601="T6","T7",IF($D601="T7","T8",IF($D601="T8","T9","")))))))))</f>
        <v/>
      </c>
      <c r="L601" s="28">
        <f>IF($K601="","",MAX(0,VLOOKUP($K601,RoleTitles!$A:$B,2,FALSE)-$E601))</f>
        <v/>
      </c>
    </row>
    <row r="602">
      <c r="A602" s="24">
        <f>IFERROR(INDEX(CoachRoster!$A$2:$A$1000,ROW()-1),"")</f>
        <v/>
      </c>
      <c r="B602" s="27">
        <f>IF($A602="","",VLOOKUP($A602,CoachRoster!$A:$E,2,FALSE))</f>
        <v/>
      </c>
      <c r="C602" s="27">
        <f>IF($A602="","",VLOOKUP($A602,CoachRoster!$A:$E,3,FALSE))</f>
        <v/>
      </c>
      <c r="D602" s="27">
        <f>IF($A602="","",VLOOKUP($A602,CoachRoster!$A:$E,4,FALSE))</f>
        <v/>
      </c>
      <c r="E602" s="27">
        <f>IF($A602="","",MIN(Settings!$B$8,IFERROR(SUMIF(Weekly_Coaching!$B:$B,$A602,Weekly_Coaching!$D:$D),0)+IFERROR(SUMIF(Monthly_Edu!$B:$B,$A602,Monthly_Edu!$D:$D),0)+IFERROR(SUMIF(Monthly_Ops!$B:$B,$A602,Monthly_Ops!$D:$D),0)+IFERROR(SUMIF(Monthly_Mentor!$B:$B,$A602,Monthly_Mentor!$D:$D),0)+IFERROR(SUMIF(Quarterly_Impact!$B:$B,$A602,Quarterly_Impact!$D:$D),0)+IFERROR(SUMIFS(XPLog!$M:$M,XPLog!$B:$B,$A602,XPLog!$J:$J,"Admin"),0)+IFERROR(SUMIFS(XPLog!$M:$M,XPLog!$B:$B,$A602,XPLog!$J:$J,"Seeding"),0)))</f>
        <v/>
      </c>
      <c r="F602" s="27">
        <f>IF($E602="","",LOOKUP($E602, XPBands!B$2:B$10, XPBands!A$2:A$10))</f>
        <v/>
      </c>
      <c r="G602" s="27">
        <f>IF($E602="","", VLOOKUP($F602, XPBands!A$2:G$10, 4, FALSE) + MIN(VLOOKUP($F602, XPBands!A$2:G$10, 5, FALSE) - VLOOKUP($F602, XPBands!A$2:G$10, 4, FALSE), FLOOR(( $E602 - VLOOKUP($F602, XPBands!A$2:G$10, 2, FALSE) ) / VLOOKUP($F602, XPBands!A$2:G$10, 7, FALSE),1)))</f>
        <v/>
      </c>
      <c r="H602" s="27">
        <f>IF($D602="","",VLOOKUP($D602,RoleTitles!$A:$E,3,FALSE))</f>
        <v/>
      </c>
      <c r="I602" s="27">
        <f>IF($D602="","",IF($C602="Greek",VLOOKUP($D602,RoleTitles!$A:$E,4,FALSE),IF($C602="Aesir",VLOOKUP($D602,RoleTitles!$A:$E,5,FALSE),VLOOKUP($D602,RoleTitles!$A:$E,3,FALSE))))</f>
        <v/>
      </c>
      <c r="J602" s="27">
        <f>IF($D602="","",IF($E602&gt;=VLOOKUP($D602,RoleTitles!$A:$B,2,FALSE),"Yes","No"))</f>
        <v/>
      </c>
      <c r="K602" s="27">
        <f>IF($D602="","",IF($D602="T1","T2",IF($D602="T2","T3",IF($D602="T3","T4",IF($D602="T4","T5",IF($D602="T5","T6",IF($D602="T6","T7",IF($D602="T7","T8",IF($D602="T8","T9","")))))))))</f>
        <v/>
      </c>
      <c r="L602" s="28">
        <f>IF($K602="","",MAX(0,VLOOKUP($K602,RoleTitles!$A:$B,2,FALSE)-$E602))</f>
        <v/>
      </c>
    </row>
    <row r="603">
      <c r="A603" s="24">
        <f>IFERROR(INDEX(CoachRoster!$A$2:$A$1000,ROW()-1),"")</f>
        <v/>
      </c>
      <c r="B603" s="27">
        <f>IF($A603="","",VLOOKUP($A603,CoachRoster!$A:$E,2,FALSE))</f>
        <v/>
      </c>
      <c r="C603" s="27">
        <f>IF($A603="","",VLOOKUP($A603,CoachRoster!$A:$E,3,FALSE))</f>
        <v/>
      </c>
      <c r="D603" s="27">
        <f>IF($A603="","",VLOOKUP($A603,CoachRoster!$A:$E,4,FALSE))</f>
        <v/>
      </c>
      <c r="E603" s="27">
        <f>IF($A603="","",MIN(Settings!$B$8,IFERROR(SUMIF(Weekly_Coaching!$B:$B,$A603,Weekly_Coaching!$D:$D),0)+IFERROR(SUMIF(Monthly_Edu!$B:$B,$A603,Monthly_Edu!$D:$D),0)+IFERROR(SUMIF(Monthly_Ops!$B:$B,$A603,Monthly_Ops!$D:$D),0)+IFERROR(SUMIF(Monthly_Mentor!$B:$B,$A603,Monthly_Mentor!$D:$D),0)+IFERROR(SUMIF(Quarterly_Impact!$B:$B,$A603,Quarterly_Impact!$D:$D),0)+IFERROR(SUMIFS(XPLog!$M:$M,XPLog!$B:$B,$A603,XPLog!$J:$J,"Admin"),0)+IFERROR(SUMIFS(XPLog!$M:$M,XPLog!$B:$B,$A603,XPLog!$J:$J,"Seeding"),0)))</f>
        <v/>
      </c>
      <c r="F603" s="27">
        <f>IF($E603="","",LOOKUP($E603, XPBands!B$2:B$10, XPBands!A$2:A$10))</f>
        <v/>
      </c>
      <c r="G603" s="27">
        <f>IF($E603="","", VLOOKUP($F603, XPBands!A$2:G$10, 4, FALSE) + MIN(VLOOKUP($F603, XPBands!A$2:G$10, 5, FALSE) - VLOOKUP($F603, XPBands!A$2:G$10, 4, FALSE), FLOOR(( $E603 - VLOOKUP($F603, XPBands!A$2:G$10, 2, FALSE) ) / VLOOKUP($F603, XPBands!A$2:G$10, 7, FALSE),1)))</f>
        <v/>
      </c>
      <c r="H603" s="27">
        <f>IF($D603="","",VLOOKUP($D603,RoleTitles!$A:$E,3,FALSE))</f>
        <v/>
      </c>
      <c r="I603" s="27">
        <f>IF($D603="","",IF($C603="Greek",VLOOKUP($D603,RoleTitles!$A:$E,4,FALSE),IF($C603="Aesir",VLOOKUP($D603,RoleTitles!$A:$E,5,FALSE),VLOOKUP($D603,RoleTitles!$A:$E,3,FALSE))))</f>
        <v/>
      </c>
      <c r="J603" s="27">
        <f>IF($D603="","",IF($E603&gt;=VLOOKUP($D603,RoleTitles!$A:$B,2,FALSE),"Yes","No"))</f>
        <v/>
      </c>
      <c r="K603" s="27">
        <f>IF($D603="","",IF($D603="T1","T2",IF($D603="T2","T3",IF($D603="T3","T4",IF($D603="T4","T5",IF($D603="T5","T6",IF($D603="T6","T7",IF($D603="T7","T8",IF($D603="T8","T9","")))))))))</f>
        <v/>
      </c>
      <c r="L603" s="28">
        <f>IF($K603="","",MAX(0,VLOOKUP($K603,RoleTitles!$A:$B,2,FALSE)-$E603))</f>
        <v/>
      </c>
    </row>
    <row r="604">
      <c r="A604" s="24">
        <f>IFERROR(INDEX(CoachRoster!$A$2:$A$1000,ROW()-1),"")</f>
        <v/>
      </c>
      <c r="B604" s="27">
        <f>IF($A604="","",VLOOKUP($A604,CoachRoster!$A:$E,2,FALSE))</f>
        <v/>
      </c>
      <c r="C604" s="27">
        <f>IF($A604="","",VLOOKUP($A604,CoachRoster!$A:$E,3,FALSE))</f>
        <v/>
      </c>
      <c r="D604" s="27">
        <f>IF($A604="","",VLOOKUP($A604,CoachRoster!$A:$E,4,FALSE))</f>
        <v/>
      </c>
      <c r="E604" s="27">
        <f>IF($A604="","",MIN(Settings!$B$8,IFERROR(SUMIF(Weekly_Coaching!$B:$B,$A604,Weekly_Coaching!$D:$D),0)+IFERROR(SUMIF(Monthly_Edu!$B:$B,$A604,Monthly_Edu!$D:$D),0)+IFERROR(SUMIF(Monthly_Ops!$B:$B,$A604,Monthly_Ops!$D:$D),0)+IFERROR(SUMIF(Monthly_Mentor!$B:$B,$A604,Monthly_Mentor!$D:$D),0)+IFERROR(SUMIF(Quarterly_Impact!$B:$B,$A604,Quarterly_Impact!$D:$D),0)+IFERROR(SUMIFS(XPLog!$M:$M,XPLog!$B:$B,$A604,XPLog!$J:$J,"Admin"),0)+IFERROR(SUMIFS(XPLog!$M:$M,XPLog!$B:$B,$A604,XPLog!$J:$J,"Seeding"),0)))</f>
        <v/>
      </c>
      <c r="F604" s="27">
        <f>IF($E604="","",LOOKUP($E604, XPBands!B$2:B$10, XPBands!A$2:A$10))</f>
        <v/>
      </c>
      <c r="G604" s="27">
        <f>IF($E604="","", VLOOKUP($F604, XPBands!A$2:G$10, 4, FALSE) + MIN(VLOOKUP($F604, XPBands!A$2:G$10, 5, FALSE) - VLOOKUP($F604, XPBands!A$2:G$10, 4, FALSE), FLOOR(( $E604 - VLOOKUP($F604, XPBands!A$2:G$10, 2, FALSE) ) / VLOOKUP($F604, XPBands!A$2:G$10, 7, FALSE),1)))</f>
        <v/>
      </c>
      <c r="H604" s="27">
        <f>IF($D604="","",VLOOKUP($D604,RoleTitles!$A:$E,3,FALSE))</f>
        <v/>
      </c>
      <c r="I604" s="27">
        <f>IF($D604="","",IF($C604="Greek",VLOOKUP($D604,RoleTitles!$A:$E,4,FALSE),IF($C604="Aesir",VLOOKUP($D604,RoleTitles!$A:$E,5,FALSE),VLOOKUP($D604,RoleTitles!$A:$E,3,FALSE))))</f>
        <v/>
      </c>
      <c r="J604" s="27">
        <f>IF($D604="","",IF($E604&gt;=VLOOKUP($D604,RoleTitles!$A:$B,2,FALSE),"Yes","No"))</f>
        <v/>
      </c>
      <c r="K604" s="27">
        <f>IF($D604="","",IF($D604="T1","T2",IF($D604="T2","T3",IF($D604="T3","T4",IF($D604="T4","T5",IF($D604="T5","T6",IF($D604="T6","T7",IF($D604="T7","T8",IF($D604="T8","T9","")))))))))</f>
        <v/>
      </c>
      <c r="L604" s="28">
        <f>IF($K604="","",MAX(0,VLOOKUP($K604,RoleTitles!$A:$B,2,FALSE)-$E604))</f>
        <v/>
      </c>
    </row>
    <row r="605">
      <c r="A605" s="24">
        <f>IFERROR(INDEX(CoachRoster!$A$2:$A$1000,ROW()-1),"")</f>
        <v/>
      </c>
      <c r="B605" s="27">
        <f>IF($A605="","",VLOOKUP($A605,CoachRoster!$A:$E,2,FALSE))</f>
        <v/>
      </c>
      <c r="C605" s="27">
        <f>IF($A605="","",VLOOKUP($A605,CoachRoster!$A:$E,3,FALSE))</f>
        <v/>
      </c>
      <c r="D605" s="27">
        <f>IF($A605="","",VLOOKUP($A605,CoachRoster!$A:$E,4,FALSE))</f>
        <v/>
      </c>
      <c r="E605" s="27">
        <f>IF($A605="","",MIN(Settings!$B$8,IFERROR(SUMIF(Weekly_Coaching!$B:$B,$A605,Weekly_Coaching!$D:$D),0)+IFERROR(SUMIF(Monthly_Edu!$B:$B,$A605,Monthly_Edu!$D:$D),0)+IFERROR(SUMIF(Monthly_Ops!$B:$B,$A605,Monthly_Ops!$D:$D),0)+IFERROR(SUMIF(Monthly_Mentor!$B:$B,$A605,Monthly_Mentor!$D:$D),0)+IFERROR(SUMIF(Quarterly_Impact!$B:$B,$A605,Quarterly_Impact!$D:$D),0)+IFERROR(SUMIFS(XPLog!$M:$M,XPLog!$B:$B,$A605,XPLog!$J:$J,"Admin"),0)+IFERROR(SUMIFS(XPLog!$M:$M,XPLog!$B:$B,$A605,XPLog!$J:$J,"Seeding"),0)))</f>
        <v/>
      </c>
      <c r="F605" s="27">
        <f>IF($E605="","",LOOKUP($E605, XPBands!B$2:B$10, XPBands!A$2:A$10))</f>
        <v/>
      </c>
      <c r="G605" s="27">
        <f>IF($E605="","", VLOOKUP($F605, XPBands!A$2:G$10, 4, FALSE) + MIN(VLOOKUP($F605, XPBands!A$2:G$10, 5, FALSE) - VLOOKUP($F605, XPBands!A$2:G$10, 4, FALSE), FLOOR(( $E605 - VLOOKUP($F605, XPBands!A$2:G$10, 2, FALSE) ) / VLOOKUP($F605, XPBands!A$2:G$10, 7, FALSE),1)))</f>
        <v/>
      </c>
      <c r="H605" s="27">
        <f>IF($D605="","",VLOOKUP($D605,RoleTitles!$A:$E,3,FALSE))</f>
        <v/>
      </c>
      <c r="I605" s="27">
        <f>IF($D605="","",IF($C605="Greek",VLOOKUP($D605,RoleTitles!$A:$E,4,FALSE),IF($C605="Aesir",VLOOKUP($D605,RoleTitles!$A:$E,5,FALSE),VLOOKUP($D605,RoleTitles!$A:$E,3,FALSE))))</f>
        <v/>
      </c>
      <c r="J605" s="27">
        <f>IF($D605="","",IF($E605&gt;=VLOOKUP($D605,RoleTitles!$A:$B,2,FALSE),"Yes","No"))</f>
        <v/>
      </c>
      <c r="K605" s="27">
        <f>IF($D605="","",IF($D605="T1","T2",IF($D605="T2","T3",IF($D605="T3","T4",IF($D605="T4","T5",IF($D605="T5","T6",IF($D605="T6","T7",IF($D605="T7","T8",IF($D605="T8","T9","")))))))))</f>
        <v/>
      </c>
      <c r="L605" s="28">
        <f>IF($K605="","",MAX(0,VLOOKUP($K605,RoleTitles!$A:$B,2,FALSE)-$E605))</f>
        <v/>
      </c>
    </row>
    <row r="606">
      <c r="A606" s="24">
        <f>IFERROR(INDEX(CoachRoster!$A$2:$A$1000,ROW()-1),"")</f>
        <v/>
      </c>
      <c r="B606" s="27">
        <f>IF($A606="","",VLOOKUP($A606,CoachRoster!$A:$E,2,FALSE))</f>
        <v/>
      </c>
      <c r="C606" s="27">
        <f>IF($A606="","",VLOOKUP($A606,CoachRoster!$A:$E,3,FALSE))</f>
        <v/>
      </c>
      <c r="D606" s="27">
        <f>IF($A606="","",VLOOKUP($A606,CoachRoster!$A:$E,4,FALSE))</f>
        <v/>
      </c>
      <c r="E606" s="27">
        <f>IF($A606="","",MIN(Settings!$B$8,IFERROR(SUMIF(Weekly_Coaching!$B:$B,$A606,Weekly_Coaching!$D:$D),0)+IFERROR(SUMIF(Monthly_Edu!$B:$B,$A606,Monthly_Edu!$D:$D),0)+IFERROR(SUMIF(Monthly_Ops!$B:$B,$A606,Monthly_Ops!$D:$D),0)+IFERROR(SUMIF(Monthly_Mentor!$B:$B,$A606,Monthly_Mentor!$D:$D),0)+IFERROR(SUMIF(Quarterly_Impact!$B:$B,$A606,Quarterly_Impact!$D:$D),0)+IFERROR(SUMIFS(XPLog!$M:$M,XPLog!$B:$B,$A606,XPLog!$J:$J,"Admin"),0)+IFERROR(SUMIFS(XPLog!$M:$M,XPLog!$B:$B,$A606,XPLog!$J:$J,"Seeding"),0)))</f>
        <v/>
      </c>
      <c r="F606" s="27">
        <f>IF($E606="","",LOOKUP($E606, XPBands!B$2:B$10, XPBands!A$2:A$10))</f>
        <v/>
      </c>
      <c r="G606" s="27">
        <f>IF($E606="","", VLOOKUP($F606, XPBands!A$2:G$10, 4, FALSE) + MIN(VLOOKUP($F606, XPBands!A$2:G$10, 5, FALSE) - VLOOKUP($F606, XPBands!A$2:G$10, 4, FALSE), FLOOR(( $E606 - VLOOKUP($F606, XPBands!A$2:G$10, 2, FALSE) ) / VLOOKUP($F606, XPBands!A$2:G$10, 7, FALSE),1)))</f>
        <v/>
      </c>
      <c r="H606" s="27">
        <f>IF($D606="","",VLOOKUP($D606,RoleTitles!$A:$E,3,FALSE))</f>
        <v/>
      </c>
      <c r="I606" s="27">
        <f>IF($D606="","",IF($C606="Greek",VLOOKUP($D606,RoleTitles!$A:$E,4,FALSE),IF($C606="Aesir",VLOOKUP($D606,RoleTitles!$A:$E,5,FALSE),VLOOKUP($D606,RoleTitles!$A:$E,3,FALSE))))</f>
        <v/>
      </c>
      <c r="J606" s="27">
        <f>IF($D606="","",IF($E606&gt;=VLOOKUP($D606,RoleTitles!$A:$B,2,FALSE),"Yes","No"))</f>
        <v/>
      </c>
      <c r="K606" s="27">
        <f>IF($D606="","",IF($D606="T1","T2",IF($D606="T2","T3",IF($D606="T3","T4",IF($D606="T4","T5",IF($D606="T5","T6",IF($D606="T6","T7",IF($D606="T7","T8",IF($D606="T8","T9","")))))))))</f>
        <v/>
      </c>
      <c r="L606" s="28">
        <f>IF($K606="","",MAX(0,VLOOKUP($K606,RoleTitles!$A:$B,2,FALSE)-$E606))</f>
        <v/>
      </c>
    </row>
    <row r="607">
      <c r="A607" s="24">
        <f>IFERROR(INDEX(CoachRoster!$A$2:$A$1000,ROW()-1),"")</f>
        <v/>
      </c>
      <c r="B607" s="27">
        <f>IF($A607="","",VLOOKUP($A607,CoachRoster!$A:$E,2,FALSE))</f>
        <v/>
      </c>
      <c r="C607" s="27">
        <f>IF($A607="","",VLOOKUP($A607,CoachRoster!$A:$E,3,FALSE))</f>
        <v/>
      </c>
      <c r="D607" s="27">
        <f>IF($A607="","",VLOOKUP($A607,CoachRoster!$A:$E,4,FALSE))</f>
        <v/>
      </c>
      <c r="E607" s="27">
        <f>IF($A607="","",MIN(Settings!$B$8,IFERROR(SUMIF(Weekly_Coaching!$B:$B,$A607,Weekly_Coaching!$D:$D),0)+IFERROR(SUMIF(Monthly_Edu!$B:$B,$A607,Monthly_Edu!$D:$D),0)+IFERROR(SUMIF(Monthly_Ops!$B:$B,$A607,Monthly_Ops!$D:$D),0)+IFERROR(SUMIF(Monthly_Mentor!$B:$B,$A607,Monthly_Mentor!$D:$D),0)+IFERROR(SUMIF(Quarterly_Impact!$B:$B,$A607,Quarterly_Impact!$D:$D),0)+IFERROR(SUMIFS(XPLog!$M:$M,XPLog!$B:$B,$A607,XPLog!$J:$J,"Admin"),0)+IFERROR(SUMIFS(XPLog!$M:$M,XPLog!$B:$B,$A607,XPLog!$J:$J,"Seeding"),0)))</f>
        <v/>
      </c>
      <c r="F607" s="27">
        <f>IF($E607="","",LOOKUP($E607, XPBands!B$2:B$10, XPBands!A$2:A$10))</f>
        <v/>
      </c>
      <c r="G607" s="27">
        <f>IF($E607="","", VLOOKUP($F607, XPBands!A$2:G$10, 4, FALSE) + MIN(VLOOKUP($F607, XPBands!A$2:G$10, 5, FALSE) - VLOOKUP($F607, XPBands!A$2:G$10, 4, FALSE), FLOOR(( $E607 - VLOOKUP($F607, XPBands!A$2:G$10, 2, FALSE) ) / VLOOKUP($F607, XPBands!A$2:G$10, 7, FALSE),1)))</f>
        <v/>
      </c>
      <c r="H607" s="27">
        <f>IF($D607="","",VLOOKUP($D607,RoleTitles!$A:$E,3,FALSE))</f>
        <v/>
      </c>
      <c r="I607" s="27">
        <f>IF($D607="","",IF($C607="Greek",VLOOKUP($D607,RoleTitles!$A:$E,4,FALSE),IF($C607="Aesir",VLOOKUP($D607,RoleTitles!$A:$E,5,FALSE),VLOOKUP($D607,RoleTitles!$A:$E,3,FALSE))))</f>
        <v/>
      </c>
      <c r="J607" s="27">
        <f>IF($D607="","",IF($E607&gt;=VLOOKUP($D607,RoleTitles!$A:$B,2,FALSE),"Yes","No"))</f>
        <v/>
      </c>
      <c r="K607" s="27">
        <f>IF($D607="","",IF($D607="T1","T2",IF($D607="T2","T3",IF($D607="T3","T4",IF($D607="T4","T5",IF($D607="T5","T6",IF($D607="T6","T7",IF($D607="T7","T8",IF($D607="T8","T9","")))))))))</f>
        <v/>
      </c>
      <c r="L607" s="28">
        <f>IF($K607="","",MAX(0,VLOOKUP($K607,RoleTitles!$A:$B,2,FALSE)-$E607))</f>
        <v/>
      </c>
    </row>
    <row r="608">
      <c r="A608" s="24">
        <f>IFERROR(INDEX(CoachRoster!$A$2:$A$1000,ROW()-1),"")</f>
        <v/>
      </c>
      <c r="B608" s="27">
        <f>IF($A608="","",VLOOKUP($A608,CoachRoster!$A:$E,2,FALSE))</f>
        <v/>
      </c>
      <c r="C608" s="27">
        <f>IF($A608="","",VLOOKUP($A608,CoachRoster!$A:$E,3,FALSE))</f>
        <v/>
      </c>
      <c r="D608" s="27">
        <f>IF($A608="","",VLOOKUP($A608,CoachRoster!$A:$E,4,FALSE))</f>
        <v/>
      </c>
      <c r="E608" s="27">
        <f>IF($A608="","",MIN(Settings!$B$8,IFERROR(SUMIF(Weekly_Coaching!$B:$B,$A608,Weekly_Coaching!$D:$D),0)+IFERROR(SUMIF(Monthly_Edu!$B:$B,$A608,Monthly_Edu!$D:$D),0)+IFERROR(SUMIF(Monthly_Ops!$B:$B,$A608,Monthly_Ops!$D:$D),0)+IFERROR(SUMIF(Monthly_Mentor!$B:$B,$A608,Monthly_Mentor!$D:$D),0)+IFERROR(SUMIF(Quarterly_Impact!$B:$B,$A608,Quarterly_Impact!$D:$D),0)+IFERROR(SUMIFS(XPLog!$M:$M,XPLog!$B:$B,$A608,XPLog!$J:$J,"Admin"),0)+IFERROR(SUMIFS(XPLog!$M:$M,XPLog!$B:$B,$A608,XPLog!$J:$J,"Seeding"),0)))</f>
        <v/>
      </c>
      <c r="F608" s="27">
        <f>IF($E608="","",LOOKUP($E608, XPBands!B$2:B$10, XPBands!A$2:A$10))</f>
        <v/>
      </c>
      <c r="G608" s="27">
        <f>IF($E608="","", VLOOKUP($F608, XPBands!A$2:G$10, 4, FALSE) + MIN(VLOOKUP($F608, XPBands!A$2:G$10, 5, FALSE) - VLOOKUP($F608, XPBands!A$2:G$10, 4, FALSE), FLOOR(( $E608 - VLOOKUP($F608, XPBands!A$2:G$10, 2, FALSE) ) / VLOOKUP($F608, XPBands!A$2:G$10, 7, FALSE),1)))</f>
        <v/>
      </c>
      <c r="H608" s="27">
        <f>IF($D608="","",VLOOKUP($D608,RoleTitles!$A:$E,3,FALSE))</f>
        <v/>
      </c>
      <c r="I608" s="27">
        <f>IF($D608="","",IF($C608="Greek",VLOOKUP($D608,RoleTitles!$A:$E,4,FALSE),IF($C608="Aesir",VLOOKUP($D608,RoleTitles!$A:$E,5,FALSE),VLOOKUP($D608,RoleTitles!$A:$E,3,FALSE))))</f>
        <v/>
      </c>
      <c r="J608" s="27">
        <f>IF($D608="","",IF($E608&gt;=VLOOKUP($D608,RoleTitles!$A:$B,2,FALSE),"Yes","No"))</f>
        <v/>
      </c>
      <c r="K608" s="27">
        <f>IF($D608="","",IF($D608="T1","T2",IF($D608="T2","T3",IF($D608="T3","T4",IF($D608="T4","T5",IF($D608="T5","T6",IF($D608="T6","T7",IF($D608="T7","T8",IF($D608="T8","T9","")))))))))</f>
        <v/>
      </c>
      <c r="L608" s="28">
        <f>IF($K608="","",MAX(0,VLOOKUP($K608,RoleTitles!$A:$B,2,FALSE)-$E608))</f>
        <v/>
      </c>
    </row>
    <row r="609">
      <c r="A609" s="24">
        <f>IFERROR(INDEX(CoachRoster!$A$2:$A$1000,ROW()-1),"")</f>
        <v/>
      </c>
      <c r="B609" s="27">
        <f>IF($A609="","",VLOOKUP($A609,CoachRoster!$A:$E,2,FALSE))</f>
        <v/>
      </c>
      <c r="C609" s="27">
        <f>IF($A609="","",VLOOKUP($A609,CoachRoster!$A:$E,3,FALSE))</f>
        <v/>
      </c>
      <c r="D609" s="27">
        <f>IF($A609="","",VLOOKUP($A609,CoachRoster!$A:$E,4,FALSE))</f>
        <v/>
      </c>
      <c r="E609" s="27">
        <f>IF($A609="","",MIN(Settings!$B$8,IFERROR(SUMIF(Weekly_Coaching!$B:$B,$A609,Weekly_Coaching!$D:$D),0)+IFERROR(SUMIF(Monthly_Edu!$B:$B,$A609,Monthly_Edu!$D:$D),0)+IFERROR(SUMIF(Monthly_Ops!$B:$B,$A609,Monthly_Ops!$D:$D),0)+IFERROR(SUMIF(Monthly_Mentor!$B:$B,$A609,Monthly_Mentor!$D:$D),0)+IFERROR(SUMIF(Quarterly_Impact!$B:$B,$A609,Quarterly_Impact!$D:$D),0)+IFERROR(SUMIFS(XPLog!$M:$M,XPLog!$B:$B,$A609,XPLog!$J:$J,"Admin"),0)+IFERROR(SUMIFS(XPLog!$M:$M,XPLog!$B:$B,$A609,XPLog!$J:$J,"Seeding"),0)))</f>
        <v/>
      </c>
      <c r="F609" s="27">
        <f>IF($E609="","",LOOKUP($E609, XPBands!B$2:B$10, XPBands!A$2:A$10))</f>
        <v/>
      </c>
      <c r="G609" s="27">
        <f>IF($E609="","", VLOOKUP($F609, XPBands!A$2:G$10, 4, FALSE) + MIN(VLOOKUP($F609, XPBands!A$2:G$10, 5, FALSE) - VLOOKUP($F609, XPBands!A$2:G$10, 4, FALSE), FLOOR(( $E609 - VLOOKUP($F609, XPBands!A$2:G$10, 2, FALSE) ) / VLOOKUP($F609, XPBands!A$2:G$10, 7, FALSE),1)))</f>
        <v/>
      </c>
      <c r="H609" s="27">
        <f>IF($D609="","",VLOOKUP($D609,RoleTitles!$A:$E,3,FALSE))</f>
        <v/>
      </c>
      <c r="I609" s="27">
        <f>IF($D609="","",IF($C609="Greek",VLOOKUP($D609,RoleTitles!$A:$E,4,FALSE),IF($C609="Aesir",VLOOKUP($D609,RoleTitles!$A:$E,5,FALSE),VLOOKUP($D609,RoleTitles!$A:$E,3,FALSE))))</f>
        <v/>
      </c>
      <c r="J609" s="27">
        <f>IF($D609="","",IF($E609&gt;=VLOOKUP($D609,RoleTitles!$A:$B,2,FALSE),"Yes","No"))</f>
        <v/>
      </c>
      <c r="K609" s="27">
        <f>IF($D609="","",IF($D609="T1","T2",IF($D609="T2","T3",IF($D609="T3","T4",IF($D609="T4","T5",IF($D609="T5","T6",IF($D609="T6","T7",IF($D609="T7","T8",IF($D609="T8","T9","")))))))))</f>
        <v/>
      </c>
      <c r="L609" s="28">
        <f>IF($K609="","",MAX(0,VLOOKUP($K609,RoleTitles!$A:$B,2,FALSE)-$E609))</f>
        <v/>
      </c>
    </row>
    <row r="610">
      <c r="A610" s="24">
        <f>IFERROR(INDEX(CoachRoster!$A$2:$A$1000,ROW()-1),"")</f>
        <v/>
      </c>
      <c r="B610" s="27">
        <f>IF($A610="","",VLOOKUP($A610,CoachRoster!$A:$E,2,FALSE))</f>
        <v/>
      </c>
      <c r="C610" s="27">
        <f>IF($A610="","",VLOOKUP($A610,CoachRoster!$A:$E,3,FALSE))</f>
        <v/>
      </c>
      <c r="D610" s="27">
        <f>IF($A610="","",VLOOKUP($A610,CoachRoster!$A:$E,4,FALSE))</f>
        <v/>
      </c>
      <c r="E610" s="27">
        <f>IF($A610="","",MIN(Settings!$B$8,IFERROR(SUMIF(Weekly_Coaching!$B:$B,$A610,Weekly_Coaching!$D:$D),0)+IFERROR(SUMIF(Monthly_Edu!$B:$B,$A610,Monthly_Edu!$D:$D),0)+IFERROR(SUMIF(Monthly_Ops!$B:$B,$A610,Monthly_Ops!$D:$D),0)+IFERROR(SUMIF(Monthly_Mentor!$B:$B,$A610,Monthly_Mentor!$D:$D),0)+IFERROR(SUMIF(Quarterly_Impact!$B:$B,$A610,Quarterly_Impact!$D:$D),0)+IFERROR(SUMIFS(XPLog!$M:$M,XPLog!$B:$B,$A610,XPLog!$J:$J,"Admin"),0)+IFERROR(SUMIFS(XPLog!$M:$M,XPLog!$B:$B,$A610,XPLog!$J:$J,"Seeding"),0)))</f>
        <v/>
      </c>
      <c r="F610" s="27">
        <f>IF($E610="","",LOOKUP($E610, XPBands!B$2:B$10, XPBands!A$2:A$10))</f>
        <v/>
      </c>
      <c r="G610" s="27">
        <f>IF($E610="","", VLOOKUP($F610, XPBands!A$2:G$10, 4, FALSE) + MIN(VLOOKUP($F610, XPBands!A$2:G$10, 5, FALSE) - VLOOKUP($F610, XPBands!A$2:G$10, 4, FALSE), FLOOR(( $E610 - VLOOKUP($F610, XPBands!A$2:G$10, 2, FALSE) ) / VLOOKUP($F610, XPBands!A$2:G$10, 7, FALSE),1)))</f>
        <v/>
      </c>
      <c r="H610" s="27">
        <f>IF($D610="","",VLOOKUP($D610,RoleTitles!$A:$E,3,FALSE))</f>
        <v/>
      </c>
      <c r="I610" s="27">
        <f>IF($D610="","",IF($C610="Greek",VLOOKUP($D610,RoleTitles!$A:$E,4,FALSE),IF($C610="Aesir",VLOOKUP($D610,RoleTitles!$A:$E,5,FALSE),VLOOKUP($D610,RoleTitles!$A:$E,3,FALSE))))</f>
        <v/>
      </c>
      <c r="J610" s="27">
        <f>IF($D610="","",IF($E610&gt;=VLOOKUP($D610,RoleTitles!$A:$B,2,FALSE),"Yes","No"))</f>
        <v/>
      </c>
      <c r="K610" s="27">
        <f>IF($D610="","",IF($D610="T1","T2",IF($D610="T2","T3",IF($D610="T3","T4",IF($D610="T4","T5",IF($D610="T5","T6",IF($D610="T6","T7",IF($D610="T7","T8",IF($D610="T8","T9","")))))))))</f>
        <v/>
      </c>
      <c r="L610" s="28">
        <f>IF($K610="","",MAX(0,VLOOKUP($K610,RoleTitles!$A:$B,2,FALSE)-$E610))</f>
        <v/>
      </c>
    </row>
    <row r="611">
      <c r="A611" s="24">
        <f>IFERROR(INDEX(CoachRoster!$A$2:$A$1000,ROW()-1),"")</f>
        <v/>
      </c>
      <c r="B611" s="27">
        <f>IF($A611="","",VLOOKUP($A611,CoachRoster!$A:$E,2,FALSE))</f>
        <v/>
      </c>
      <c r="C611" s="27">
        <f>IF($A611="","",VLOOKUP($A611,CoachRoster!$A:$E,3,FALSE))</f>
        <v/>
      </c>
      <c r="D611" s="27">
        <f>IF($A611="","",VLOOKUP($A611,CoachRoster!$A:$E,4,FALSE))</f>
        <v/>
      </c>
      <c r="E611" s="27">
        <f>IF($A611="","",MIN(Settings!$B$8,IFERROR(SUMIF(Weekly_Coaching!$B:$B,$A611,Weekly_Coaching!$D:$D),0)+IFERROR(SUMIF(Monthly_Edu!$B:$B,$A611,Monthly_Edu!$D:$D),0)+IFERROR(SUMIF(Monthly_Ops!$B:$B,$A611,Monthly_Ops!$D:$D),0)+IFERROR(SUMIF(Monthly_Mentor!$B:$B,$A611,Monthly_Mentor!$D:$D),0)+IFERROR(SUMIF(Quarterly_Impact!$B:$B,$A611,Quarterly_Impact!$D:$D),0)+IFERROR(SUMIFS(XPLog!$M:$M,XPLog!$B:$B,$A611,XPLog!$J:$J,"Admin"),0)+IFERROR(SUMIFS(XPLog!$M:$M,XPLog!$B:$B,$A611,XPLog!$J:$J,"Seeding"),0)))</f>
        <v/>
      </c>
      <c r="F611" s="27">
        <f>IF($E611="","",LOOKUP($E611, XPBands!B$2:B$10, XPBands!A$2:A$10))</f>
        <v/>
      </c>
      <c r="G611" s="27">
        <f>IF($E611="","", VLOOKUP($F611, XPBands!A$2:G$10, 4, FALSE) + MIN(VLOOKUP($F611, XPBands!A$2:G$10, 5, FALSE) - VLOOKUP($F611, XPBands!A$2:G$10, 4, FALSE), FLOOR(( $E611 - VLOOKUP($F611, XPBands!A$2:G$10, 2, FALSE) ) / VLOOKUP($F611, XPBands!A$2:G$10, 7, FALSE),1)))</f>
        <v/>
      </c>
      <c r="H611" s="27">
        <f>IF($D611="","",VLOOKUP($D611,RoleTitles!$A:$E,3,FALSE))</f>
        <v/>
      </c>
      <c r="I611" s="27">
        <f>IF($D611="","",IF($C611="Greek",VLOOKUP($D611,RoleTitles!$A:$E,4,FALSE),IF($C611="Aesir",VLOOKUP($D611,RoleTitles!$A:$E,5,FALSE),VLOOKUP($D611,RoleTitles!$A:$E,3,FALSE))))</f>
        <v/>
      </c>
      <c r="J611" s="27">
        <f>IF($D611="","",IF($E611&gt;=VLOOKUP($D611,RoleTitles!$A:$B,2,FALSE),"Yes","No"))</f>
        <v/>
      </c>
      <c r="K611" s="27">
        <f>IF($D611="","",IF($D611="T1","T2",IF($D611="T2","T3",IF($D611="T3","T4",IF($D611="T4","T5",IF($D611="T5","T6",IF($D611="T6","T7",IF($D611="T7","T8",IF($D611="T8","T9","")))))))))</f>
        <v/>
      </c>
      <c r="L611" s="28">
        <f>IF($K611="","",MAX(0,VLOOKUP($K611,RoleTitles!$A:$B,2,FALSE)-$E611))</f>
        <v/>
      </c>
    </row>
    <row r="612">
      <c r="A612" s="24">
        <f>IFERROR(INDEX(CoachRoster!$A$2:$A$1000,ROW()-1),"")</f>
        <v/>
      </c>
      <c r="B612" s="27">
        <f>IF($A612="","",VLOOKUP($A612,CoachRoster!$A:$E,2,FALSE))</f>
        <v/>
      </c>
      <c r="C612" s="27">
        <f>IF($A612="","",VLOOKUP($A612,CoachRoster!$A:$E,3,FALSE))</f>
        <v/>
      </c>
      <c r="D612" s="27">
        <f>IF($A612="","",VLOOKUP($A612,CoachRoster!$A:$E,4,FALSE))</f>
        <v/>
      </c>
      <c r="E612" s="27">
        <f>IF($A612="","",MIN(Settings!$B$8,IFERROR(SUMIF(Weekly_Coaching!$B:$B,$A612,Weekly_Coaching!$D:$D),0)+IFERROR(SUMIF(Monthly_Edu!$B:$B,$A612,Monthly_Edu!$D:$D),0)+IFERROR(SUMIF(Monthly_Ops!$B:$B,$A612,Monthly_Ops!$D:$D),0)+IFERROR(SUMIF(Monthly_Mentor!$B:$B,$A612,Monthly_Mentor!$D:$D),0)+IFERROR(SUMIF(Quarterly_Impact!$B:$B,$A612,Quarterly_Impact!$D:$D),0)+IFERROR(SUMIFS(XPLog!$M:$M,XPLog!$B:$B,$A612,XPLog!$J:$J,"Admin"),0)+IFERROR(SUMIFS(XPLog!$M:$M,XPLog!$B:$B,$A612,XPLog!$J:$J,"Seeding"),0)))</f>
        <v/>
      </c>
      <c r="F612" s="27">
        <f>IF($E612="","",LOOKUP($E612, XPBands!B$2:B$10, XPBands!A$2:A$10))</f>
        <v/>
      </c>
      <c r="G612" s="27">
        <f>IF($E612="","", VLOOKUP($F612, XPBands!A$2:G$10, 4, FALSE) + MIN(VLOOKUP($F612, XPBands!A$2:G$10, 5, FALSE) - VLOOKUP($F612, XPBands!A$2:G$10, 4, FALSE), FLOOR(( $E612 - VLOOKUP($F612, XPBands!A$2:G$10, 2, FALSE) ) / VLOOKUP($F612, XPBands!A$2:G$10, 7, FALSE),1)))</f>
        <v/>
      </c>
      <c r="H612" s="27">
        <f>IF($D612="","",VLOOKUP($D612,RoleTitles!$A:$E,3,FALSE))</f>
        <v/>
      </c>
      <c r="I612" s="27">
        <f>IF($D612="","",IF($C612="Greek",VLOOKUP($D612,RoleTitles!$A:$E,4,FALSE),IF($C612="Aesir",VLOOKUP($D612,RoleTitles!$A:$E,5,FALSE),VLOOKUP($D612,RoleTitles!$A:$E,3,FALSE))))</f>
        <v/>
      </c>
      <c r="J612" s="27">
        <f>IF($D612="","",IF($E612&gt;=VLOOKUP($D612,RoleTitles!$A:$B,2,FALSE),"Yes","No"))</f>
        <v/>
      </c>
      <c r="K612" s="27">
        <f>IF($D612="","",IF($D612="T1","T2",IF($D612="T2","T3",IF($D612="T3","T4",IF($D612="T4","T5",IF($D612="T5","T6",IF($D612="T6","T7",IF($D612="T7","T8",IF($D612="T8","T9","")))))))))</f>
        <v/>
      </c>
      <c r="L612" s="28">
        <f>IF($K612="","",MAX(0,VLOOKUP($K612,RoleTitles!$A:$B,2,FALSE)-$E612))</f>
        <v/>
      </c>
    </row>
    <row r="613">
      <c r="A613" s="24">
        <f>IFERROR(INDEX(CoachRoster!$A$2:$A$1000,ROW()-1),"")</f>
        <v/>
      </c>
      <c r="B613" s="27">
        <f>IF($A613="","",VLOOKUP($A613,CoachRoster!$A:$E,2,FALSE))</f>
        <v/>
      </c>
      <c r="C613" s="27">
        <f>IF($A613="","",VLOOKUP($A613,CoachRoster!$A:$E,3,FALSE))</f>
        <v/>
      </c>
      <c r="D613" s="27">
        <f>IF($A613="","",VLOOKUP($A613,CoachRoster!$A:$E,4,FALSE))</f>
        <v/>
      </c>
      <c r="E613" s="27">
        <f>IF($A613="","",MIN(Settings!$B$8,IFERROR(SUMIF(Weekly_Coaching!$B:$B,$A613,Weekly_Coaching!$D:$D),0)+IFERROR(SUMIF(Monthly_Edu!$B:$B,$A613,Monthly_Edu!$D:$D),0)+IFERROR(SUMIF(Monthly_Ops!$B:$B,$A613,Monthly_Ops!$D:$D),0)+IFERROR(SUMIF(Monthly_Mentor!$B:$B,$A613,Monthly_Mentor!$D:$D),0)+IFERROR(SUMIF(Quarterly_Impact!$B:$B,$A613,Quarterly_Impact!$D:$D),0)+IFERROR(SUMIFS(XPLog!$M:$M,XPLog!$B:$B,$A613,XPLog!$J:$J,"Admin"),0)+IFERROR(SUMIFS(XPLog!$M:$M,XPLog!$B:$B,$A613,XPLog!$J:$J,"Seeding"),0)))</f>
        <v/>
      </c>
      <c r="F613" s="27">
        <f>IF($E613="","",LOOKUP($E613, XPBands!B$2:B$10, XPBands!A$2:A$10))</f>
        <v/>
      </c>
      <c r="G613" s="27">
        <f>IF($E613="","", VLOOKUP($F613, XPBands!A$2:G$10, 4, FALSE) + MIN(VLOOKUP($F613, XPBands!A$2:G$10, 5, FALSE) - VLOOKUP($F613, XPBands!A$2:G$10, 4, FALSE), FLOOR(( $E613 - VLOOKUP($F613, XPBands!A$2:G$10, 2, FALSE) ) / VLOOKUP($F613, XPBands!A$2:G$10, 7, FALSE),1)))</f>
        <v/>
      </c>
      <c r="H613" s="27">
        <f>IF($D613="","",VLOOKUP($D613,RoleTitles!$A:$E,3,FALSE))</f>
        <v/>
      </c>
      <c r="I613" s="27">
        <f>IF($D613="","",IF($C613="Greek",VLOOKUP($D613,RoleTitles!$A:$E,4,FALSE),IF($C613="Aesir",VLOOKUP($D613,RoleTitles!$A:$E,5,FALSE),VLOOKUP($D613,RoleTitles!$A:$E,3,FALSE))))</f>
        <v/>
      </c>
      <c r="J613" s="27">
        <f>IF($D613="","",IF($E613&gt;=VLOOKUP($D613,RoleTitles!$A:$B,2,FALSE),"Yes","No"))</f>
        <v/>
      </c>
      <c r="K613" s="27">
        <f>IF($D613="","",IF($D613="T1","T2",IF($D613="T2","T3",IF($D613="T3","T4",IF($D613="T4","T5",IF($D613="T5","T6",IF($D613="T6","T7",IF($D613="T7","T8",IF($D613="T8","T9","")))))))))</f>
        <v/>
      </c>
      <c r="L613" s="28">
        <f>IF($K613="","",MAX(0,VLOOKUP($K613,RoleTitles!$A:$B,2,FALSE)-$E613))</f>
        <v/>
      </c>
    </row>
    <row r="614">
      <c r="A614" s="24">
        <f>IFERROR(INDEX(CoachRoster!$A$2:$A$1000,ROW()-1),"")</f>
        <v/>
      </c>
      <c r="B614" s="27">
        <f>IF($A614="","",VLOOKUP($A614,CoachRoster!$A:$E,2,FALSE))</f>
        <v/>
      </c>
      <c r="C614" s="27">
        <f>IF($A614="","",VLOOKUP($A614,CoachRoster!$A:$E,3,FALSE))</f>
        <v/>
      </c>
      <c r="D614" s="27">
        <f>IF($A614="","",VLOOKUP($A614,CoachRoster!$A:$E,4,FALSE))</f>
        <v/>
      </c>
      <c r="E614" s="27">
        <f>IF($A614="","",MIN(Settings!$B$8,IFERROR(SUMIF(Weekly_Coaching!$B:$B,$A614,Weekly_Coaching!$D:$D),0)+IFERROR(SUMIF(Monthly_Edu!$B:$B,$A614,Monthly_Edu!$D:$D),0)+IFERROR(SUMIF(Monthly_Ops!$B:$B,$A614,Monthly_Ops!$D:$D),0)+IFERROR(SUMIF(Monthly_Mentor!$B:$B,$A614,Monthly_Mentor!$D:$D),0)+IFERROR(SUMIF(Quarterly_Impact!$B:$B,$A614,Quarterly_Impact!$D:$D),0)+IFERROR(SUMIFS(XPLog!$M:$M,XPLog!$B:$B,$A614,XPLog!$J:$J,"Admin"),0)+IFERROR(SUMIFS(XPLog!$M:$M,XPLog!$B:$B,$A614,XPLog!$J:$J,"Seeding"),0)))</f>
        <v/>
      </c>
      <c r="F614" s="27">
        <f>IF($E614="","",LOOKUP($E614, XPBands!B$2:B$10, XPBands!A$2:A$10))</f>
        <v/>
      </c>
      <c r="G614" s="27">
        <f>IF($E614="","", VLOOKUP($F614, XPBands!A$2:G$10, 4, FALSE) + MIN(VLOOKUP($F614, XPBands!A$2:G$10, 5, FALSE) - VLOOKUP($F614, XPBands!A$2:G$10, 4, FALSE), FLOOR(( $E614 - VLOOKUP($F614, XPBands!A$2:G$10, 2, FALSE) ) / VLOOKUP($F614, XPBands!A$2:G$10, 7, FALSE),1)))</f>
        <v/>
      </c>
      <c r="H614" s="27">
        <f>IF($D614="","",VLOOKUP($D614,RoleTitles!$A:$E,3,FALSE))</f>
        <v/>
      </c>
      <c r="I614" s="27">
        <f>IF($D614="","",IF($C614="Greek",VLOOKUP($D614,RoleTitles!$A:$E,4,FALSE),IF($C614="Aesir",VLOOKUP($D614,RoleTitles!$A:$E,5,FALSE),VLOOKUP($D614,RoleTitles!$A:$E,3,FALSE))))</f>
        <v/>
      </c>
      <c r="J614" s="27">
        <f>IF($D614="","",IF($E614&gt;=VLOOKUP($D614,RoleTitles!$A:$B,2,FALSE),"Yes","No"))</f>
        <v/>
      </c>
      <c r="K614" s="27">
        <f>IF($D614="","",IF($D614="T1","T2",IF($D614="T2","T3",IF($D614="T3","T4",IF($D614="T4","T5",IF($D614="T5","T6",IF($D614="T6","T7",IF($D614="T7","T8",IF($D614="T8","T9","")))))))))</f>
        <v/>
      </c>
      <c r="L614" s="28">
        <f>IF($K614="","",MAX(0,VLOOKUP($K614,RoleTitles!$A:$B,2,FALSE)-$E614))</f>
        <v/>
      </c>
    </row>
    <row r="615">
      <c r="A615" s="24">
        <f>IFERROR(INDEX(CoachRoster!$A$2:$A$1000,ROW()-1),"")</f>
        <v/>
      </c>
      <c r="B615" s="27">
        <f>IF($A615="","",VLOOKUP($A615,CoachRoster!$A:$E,2,FALSE))</f>
        <v/>
      </c>
      <c r="C615" s="27">
        <f>IF($A615="","",VLOOKUP($A615,CoachRoster!$A:$E,3,FALSE))</f>
        <v/>
      </c>
      <c r="D615" s="27">
        <f>IF($A615="","",VLOOKUP($A615,CoachRoster!$A:$E,4,FALSE))</f>
        <v/>
      </c>
      <c r="E615" s="27">
        <f>IF($A615="","",MIN(Settings!$B$8,IFERROR(SUMIF(Weekly_Coaching!$B:$B,$A615,Weekly_Coaching!$D:$D),0)+IFERROR(SUMIF(Monthly_Edu!$B:$B,$A615,Monthly_Edu!$D:$D),0)+IFERROR(SUMIF(Monthly_Ops!$B:$B,$A615,Monthly_Ops!$D:$D),0)+IFERROR(SUMIF(Monthly_Mentor!$B:$B,$A615,Monthly_Mentor!$D:$D),0)+IFERROR(SUMIF(Quarterly_Impact!$B:$B,$A615,Quarterly_Impact!$D:$D),0)+IFERROR(SUMIFS(XPLog!$M:$M,XPLog!$B:$B,$A615,XPLog!$J:$J,"Admin"),0)+IFERROR(SUMIFS(XPLog!$M:$M,XPLog!$B:$B,$A615,XPLog!$J:$J,"Seeding"),0)))</f>
        <v/>
      </c>
      <c r="F615" s="27">
        <f>IF($E615="","",LOOKUP($E615, XPBands!B$2:B$10, XPBands!A$2:A$10))</f>
        <v/>
      </c>
      <c r="G615" s="27">
        <f>IF($E615="","", VLOOKUP($F615, XPBands!A$2:G$10, 4, FALSE) + MIN(VLOOKUP($F615, XPBands!A$2:G$10, 5, FALSE) - VLOOKUP($F615, XPBands!A$2:G$10, 4, FALSE), FLOOR(( $E615 - VLOOKUP($F615, XPBands!A$2:G$10, 2, FALSE) ) / VLOOKUP($F615, XPBands!A$2:G$10, 7, FALSE),1)))</f>
        <v/>
      </c>
      <c r="H615" s="27">
        <f>IF($D615="","",VLOOKUP($D615,RoleTitles!$A:$E,3,FALSE))</f>
        <v/>
      </c>
      <c r="I615" s="27">
        <f>IF($D615="","",IF($C615="Greek",VLOOKUP($D615,RoleTitles!$A:$E,4,FALSE),IF($C615="Aesir",VLOOKUP($D615,RoleTitles!$A:$E,5,FALSE),VLOOKUP($D615,RoleTitles!$A:$E,3,FALSE))))</f>
        <v/>
      </c>
      <c r="J615" s="27">
        <f>IF($D615="","",IF($E615&gt;=VLOOKUP($D615,RoleTitles!$A:$B,2,FALSE),"Yes","No"))</f>
        <v/>
      </c>
      <c r="K615" s="27">
        <f>IF($D615="","",IF($D615="T1","T2",IF($D615="T2","T3",IF($D615="T3","T4",IF($D615="T4","T5",IF($D615="T5","T6",IF($D615="T6","T7",IF($D615="T7","T8",IF($D615="T8","T9","")))))))))</f>
        <v/>
      </c>
      <c r="L615" s="28">
        <f>IF($K615="","",MAX(0,VLOOKUP($K615,RoleTitles!$A:$B,2,FALSE)-$E615))</f>
        <v/>
      </c>
    </row>
    <row r="616">
      <c r="A616" s="24">
        <f>IFERROR(INDEX(CoachRoster!$A$2:$A$1000,ROW()-1),"")</f>
        <v/>
      </c>
      <c r="B616" s="27">
        <f>IF($A616="","",VLOOKUP($A616,CoachRoster!$A:$E,2,FALSE))</f>
        <v/>
      </c>
      <c r="C616" s="27">
        <f>IF($A616="","",VLOOKUP($A616,CoachRoster!$A:$E,3,FALSE))</f>
        <v/>
      </c>
      <c r="D616" s="27">
        <f>IF($A616="","",VLOOKUP($A616,CoachRoster!$A:$E,4,FALSE))</f>
        <v/>
      </c>
      <c r="E616" s="27">
        <f>IF($A616="","",MIN(Settings!$B$8,IFERROR(SUMIF(Weekly_Coaching!$B:$B,$A616,Weekly_Coaching!$D:$D),0)+IFERROR(SUMIF(Monthly_Edu!$B:$B,$A616,Monthly_Edu!$D:$D),0)+IFERROR(SUMIF(Monthly_Ops!$B:$B,$A616,Monthly_Ops!$D:$D),0)+IFERROR(SUMIF(Monthly_Mentor!$B:$B,$A616,Monthly_Mentor!$D:$D),0)+IFERROR(SUMIF(Quarterly_Impact!$B:$B,$A616,Quarterly_Impact!$D:$D),0)+IFERROR(SUMIFS(XPLog!$M:$M,XPLog!$B:$B,$A616,XPLog!$J:$J,"Admin"),0)+IFERROR(SUMIFS(XPLog!$M:$M,XPLog!$B:$B,$A616,XPLog!$J:$J,"Seeding"),0)))</f>
        <v/>
      </c>
      <c r="F616" s="27">
        <f>IF($E616="","",LOOKUP($E616, XPBands!B$2:B$10, XPBands!A$2:A$10))</f>
        <v/>
      </c>
      <c r="G616" s="27">
        <f>IF($E616="","", VLOOKUP($F616, XPBands!A$2:G$10, 4, FALSE) + MIN(VLOOKUP($F616, XPBands!A$2:G$10, 5, FALSE) - VLOOKUP($F616, XPBands!A$2:G$10, 4, FALSE), FLOOR(( $E616 - VLOOKUP($F616, XPBands!A$2:G$10, 2, FALSE) ) / VLOOKUP($F616, XPBands!A$2:G$10, 7, FALSE),1)))</f>
        <v/>
      </c>
      <c r="H616" s="27">
        <f>IF($D616="","",VLOOKUP($D616,RoleTitles!$A:$E,3,FALSE))</f>
        <v/>
      </c>
      <c r="I616" s="27">
        <f>IF($D616="","",IF($C616="Greek",VLOOKUP($D616,RoleTitles!$A:$E,4,FALSE),IF($C616="Aesir",VLOOKUP($D616,RoleTitles!$A:$E,5,FALSE),VLOOKUP($D616,RoleTitles!$A:$E,3,FALSE))))</f>
        <v/>
      </c>
      <c r="J616" s="27">
        <f>IF($D616="","",IF($E616&gt;=VLOOKUP($D616,RoleTitles!$A:$B,2,FALSE),"Yes","No"))</f>
        <v/>
      </c>
      <c r="K616" s="27">
        <f>IF($D616="","",IF($D616="T1","T2",IF($D616="T2","T3",IF($D616="T3","T4",IF($D616="T4","T5",IF($D616="T5","T6",IF($D616="T6","T7",IF($D616="T7","T8",IF($D616="T8","T9","")))))))))</f>
        <v/>
      </c>
      <c r="L616" s="28">
        <f>IF($K616="","",MAX(0,VLOOKUP($K616,RoleTitles!$A:$B,2,FALSE)-$E616))</f>
        <v/>
      </c>
    </row>
    <row r="617">
      <c r="A617" s="24">
        <f>IFERROR(INDEX(CoachRoster!$A$2:$A$1000,ROW()-1),"")</f>
        <v/>
      </c>
      <c r="B617" s="27">
        <f>IF($A617="","",VLOOKUP($A617,CoachRoster!$A:$E,2,FALSE))</f>
        <v/>
      </c>
      <c r="C617" s="27">
        <f>IF($A617="","",VLOOKUP($A617,CoachRoster!$A:$E,3,FALSE))</f>
        <v/>
      </c>
      <c r="D617" s="27">
        <f>IF($A617="","",VLOOKUP($A617,CoachRoster!$A:$E,4,FALSE))</f>
        <v/>
      </c>
      <c r="E617" s="27">
        <f>IF($A617="","",MIN(Settings!$B$8,IFERROR(SUMIF(Weekly_Coaching!$B:$B,$A617,Weekly_Coaching!$D:$D),0)+IFERROR(SUMIF(Monthly_Edu!$B:$B,$A617,Monthly_Edu!$D:$D),0)+IFERROR(SUMIF(Monthly_Ops!$B:$B,$A617,Monthly_Ops!$D:$D),0)+IFERROR(SUMIF(Monthly_Mentor!$B:$B,$A617,Monthly_Mentor!$D:$D),0)+IFERROR(SUMIF(Quarterly_Impact!$B:$B,$A617,Quarterly_Impact!$D:$D),0)+IFERROR(SUMIFS(XPLog!$M:$M,XPLog!$B:$B,$A617,XPLog!$J:$J,"Admin"),0)+IFERROR(SUMIFS(XPLog!$M:$M,XPLog!$B:$B,$A617,XPLog!$J:$J,"Seeding"),0)))</f>
        <v/>
      </c>
      <c r="F617" s="27">
        <f>IF($E617="","",LOOKUP($E617, XPBands!B$2:B$10, XPBands!A$2:A$10))</f>
        <v/>
      </c>
      <c r="G617" s="27">
        <f>IF($E617="","", VLOOKUP($F617, XPBands!A$2:G$10, 4, FALSE) + MIN(VLOOKUP($F617, XPBands!A$2:G$10, 5, FALSE) - VLOOKUP($F617, XPBands!A$2:G$10, 4, FALSE), FLOOR(( $E617 - VLOOKUP($F617, XPBands!A$2:G$10, 2, FALSE) ) / VLOOKUP($F617, XPBands!A$2:G$10, 7, FALSE),1)))</f>
        <v/>
      </c>
      <c r="H617" s="27">
        <f>IF($D617="","",VLOOKUP($D617,RoleTitles!$A:$E,3,FALSE))</f>
        <v/>
      </c>
      <c r="I617" s="27">
        <f>IF($D617="","",IF($C617="Greek",VLOOKUP($D617,RoleTitles!$A:$E,4,FALSE),IF($C617="Aesir",VLOOKUP($D617,RoleTitles!$A:$E,5,FALSE),VLOOKUP($D617,RoleTitles!$A:$E,3,FALSE))))</f>
        <v/>
      </c>
      <c r="J617" s="27">
        <f>IF($D617="","",IF($E617&gt;=VLOOKUP($D617,RoleTitles!$A:$B,2,FALSE),"Yes","No"))</f>
        <v/>
      </c>
      <c r="K617" s="27">
        <f>IF($D617="","",IF($D617="T1","T2",IF($D617="T2","T3",IF($D617="T3","T4",IF($D617="T4","T5",IF($D617="T5","T6",IF($D617="T6","T7",IF($D617="T7","T8",IF($D617="T8","T9","")))))))))</f>
        <v/>
      </c>
      <c r="L617" s="28">
        <f>IF($K617="","",MAX(0,VLOOKUP($K617,RoleTitles!$A:$B,2,FALSE)-$E617))</f>
        <v/>
      </c>
    </row>
    <row r="618">
      <c r="A618" s="24">
        <f>IFERROR(INDEX(CoachRoster!$A$2:$A$1000,ROW()-1),"")</f>
        <v/>
      </c>
      <c r="B618" s="27">
        <f>IF($A618="","",VLOOKUP($A618,CoachRoster!$A:$E,2,FALSE))</f>
        <v/>
      </c>
      <c r="C618" s="27">
        <f>IF($A618="","",VLOOKUP($A618,CoachRoster!$A:$E,3,FALSE))</f>
        <v/>
      </c>
      <c r="D618" s="27">
        <f>IF($A618="","",VLOOKUP($A618,CoachRoster!$A:$E,4,FALSE))</f>
        <v/>
      </c>
      <c r="E618" s="27">
        <f>IF($A618="","",MIN(Settings!$B$8,IFERROR(SUMIF(Weekly_Coaching!$B:$B,$A618,Weekly_Coaching!$D:$D),0)+IFERROR(SUMIF(Monthly_Edu!$B:$B,$A618,Monthly_Edu!$D:$D),0)+IFERROR(SUMIF(Monthly_Ops!$B:$B,$A618,Monthly_Ops!$D:$D),0)+IFERROR(SUMIF(Monthly_Mentor!$B:$B,$A618,Monthly_Mentor!$D:$D),0)+IFERROR(SUMIF(Quarterly_Impact!$B:$B,$A618,Quarterly_Impact!$D:$D),0)+IFERROR(SUMIFS(XPLog!$M:$M,XPLog!$B:$B,$A618,XPLog!$J:$J,"Admin"),0)+IFERROR(SUMIFS(XPLog!$M:$M,XPLog!$B:$B,$A618,XPLog!$J:$J,"Seeding"),0)))</f>
        <v/>
      </c>
      <c r="F618" s="27">
        <f>IF($E618="","",LOOKUP($E618, XPBands!B$2:B$10, XPBands!A$2:A$10))</f>
        <v/>
      </c>
      <c r="G618" s="27">
        <f>IF($E618="","", VLOOKUP($F618, XPBands!A$2:G$10, 4, FALSE) + MIN(VLOOKUP($F618, XPBands!A$2:G$10, 5, FALSE) - VLOOKUP($F618, XPBands!A$2:G$10, 4, FALSE), FLOOR(( $E618 - VLOOKUP($F618, XPBands!A$2:G$10, 2, FALSE) ) / VLOOKUP($F618, XPBands!A$2:G$10, 7, FALSE),1)))</f>
        <v/>
      </c>
      <c r="H618" s="27">
        <f>IF($D618="","",VLOOKUP($D618,RoleTitles!$A:$E,3,FALSE))</f>
        <v/>
      </c>
      <c r="I618" s="27">
        <f>IF($D618="","",IF($C618="Greek",VLOOKUP($D618,RoleTitles!$A:$E,4,FALSE),IF($C618="Aesir",VLOOKUP($D618,RoleTitles!$A:$E,5,FALSE),VLOOKUP($D618,RoleTitles!$A:$E,3,FALSE))))</f>
        <v/>
      </c>
      <c r="J618" s="27">
        <f>IF($D618="","",IF($E618&gt;=VLOOKUP($D618,RoleTitles!$A:$B,2,FALSE),"Yes","No"))</f>
        <v/>
      </c>
      <c r="K618" s="27">
        <f>IF($D618="","",IF($D618="T1","T2",IF($D618="T2","T3",IF($D618="T3","T4",IF($D618="T4","T5",IF($D618="T5","T6",IF($D618="T6","T7",IF($D618="T7","T8",IF($D618="T8","T9","")))))))))</f>
        <v/>
      </c>
      <c r="L618" s="28">
        <f>IF($K618="","",MAX(0,VLOOKUP($K618,RoleTitles!$A:$B,2,FALSE)-$E618))</f>
        <v/>
      </c>
    </row>
    <row r="619">
      <c r="A619" s="24">
        <f>IFERROR(INDEX(CoachRoster!$A$2:$A$1000,ROW()-1),"")</f>
        <v/>
      </c>
      <c r="B619" s="27">
        <f>IF($A619="","",VLOOKUP($A619,CoachRoster!$A:$E,2,FALSE))</f>
        <v/>
      </c>
      <c r="C619" s="27">
        <f>IF($A619="","",VLOOKUP($A619,CoachRoster!$A:$E,3,FALSE))</f>
        <v/>
      </c>
      <c r="D619" s="27">
        <f>IF($A619="","",VLOOKUP($A619,CoachRoster!$A:$E,4,FALSE))</f>
        <v/>
      </c>
      <c r="E619" s="27">
        <f>IF($A619="","",MIN(Settings!$B$8,IFERROR(SUMIF(Weekly_Coaching!$B:$B,$A619,Weekly_Coaching!$D:$D),0)+IFERROR(SUMIF(Monthly_Edu!$B:$B,$A619,Monthly_Edu!$D:$D),0)+IFERROR(SUMIF(Monthly_Ops!$B:$B,$A619,Monthly_Ops!$D:$D),0)+IFERROR(SUMIF(Monthly_Mentor!$B:$B,$A619,Monthly_Mentor!$D:$D),0)+IFERROR(SUMIF(Quarterly_Impact!$B:$B,$A619,Quarterly_Impact!$D:$D),0)+IFERROR(SUMIFS(XPLog!$M:$M,XPLog!$B:$B,$A619,XPLog!$J:$J,"Admin"),0)+IFERROR(SUMIFS(XPLog!$M:$M,XPLog!$B:$B,$A619,XPLog!$J:$J,"Seeding"),0)))</f>
        <v/>
      </c>
      <c r="F619" s="27">
        <f>IF($E619="","",LOOKUP($E619, XPBands!B$2:B$10, XPBands!A$2:A$10))</f>
        <v/>
      </c>
      <c r="G619" s="27">
        <f>IF($E619="","", VLOOKUP($F619, XPBands!A$2:G$10, 4, FALSE) + MIN(VLOOKUP($F619, XPBands!A$2:G$10, 5, FALSE) - VLOOKUP($F619, XPBands!A$2:G$10, 4, FALSE), FLOOR(( $E619 - VLOOKUP($F619, XPBands!A$2:G$10, 2, FALSE) ) / VLOOKUP($F619, XPBands!A$2:G$10, 7, FALSE),1)))</f>
        <v/>
      </c>
      <c r="H619" s="27">
        <f>IF($D619="","",VLOOKUP($D619,RoleTitles!$A:$E,3,FALSE))</f>
        <v/>
      </c>
      <c r="I619" s="27">
        <f>IF($D619="","",IF($C619="Greek",VLOOKUP($D619,RoleTitles!$A:$E,4,FALSE),IF($C619="Aesir",VLOOKUP($D619,RoleTitles!$A:$E,5,FALSE),VLOOKUP($D619,RoleTitles!$A:$E,3,FALSE))))</f>
        <v/>
      </c>
      <c r="J619" s="27">
        <f>IF($D619="","",IF($E619&gt;=VLOOKUP($D619,RoleTitles!$A:$B,2,FALSE),"Yes","No"))</f>
        <v/>
      </c>
      <c r="K619" s="27">
        <f>IF($D619="","",IF($D619="T1","T2",IF($D619="T2","T3",IF($D619="T3","T4",IF($D619="T4","T5",IF($D619="T5","T6",IF($D619="T6","T7",IF($D619="T7","T8",IF($D619="T8","T9","")))))))))</f>
        <v/>
      </c>
      <c r="L619" s="28">
        <f>IF($K619="","",MAX(0,VLOOKUP($K619,RoleTitles!$A:$B,2,FALSE)-$E619))</f>
        <v/>
      </c>
    </row>
    <row r="620">
      <c r="A620" s="24">
        <f>IFERROR(INDEX(CoachRoster!$A$2:$A$1000,ROW()-1),"")</f>
        <v/>
      </c>
      <c r="B620" s="27">
        <f>IF($A620="","",VLOOKUP($A620,CoachRoster!$A:$E,2,FALSE))</f>
        <v/>
      </c>
      <c r="C620" s="27">
        <f>IF($A620="","",VLOOKUP($A620,CoachRoster!$A:$E,3,FALSE))</f>
        <v/>
      </c>
      <c r="D620" s="27">
        <f>IF($A620="","",VLOOKUP($A620,CoachRoster!$A:$E,4,FALSE))</f>
        <v/>
      </c>
      <c r="E620" s="27">
        <f>IF($A620="","",MIN(Settings!$B$8,IFERROR(SUMIF(Weekly_Coaching!$B:$B,$A620,Weekly_Coaching!$D:$D),0)+IFERROR(SUMIF(Monthly_Edu!$B:$B,$A620,Monthly_Edu!$D:$D),0)+IFERROR(SUMIF(Monthly_Ops!$B:$B,$A620,Monthly_Ops!$D:$D),0)+IFERROR(SUMIF(Monthly_Mentor!$B:$B,$A620,Monthly_Mentor!$D:$D),0)+IFERROR(SUMIF(Quarterly_Impact!$B:$B,$A620,Quarterly_Impact!$D:$D),0)+IFERROR(SUMIFS(XPLog!$M:$M,XPLog!$B:$B,$A620,XPLog!$J:$J,"Admin"),0)+IFERROR(SUMIFS(XPLog!$M:$M,XPLog!$B:$B,$A620,XPLog!$J:$J,"Seeding"),0)))</f>
        <v/>
      </c>
      <c r="F620" s="27">
        <f>IF($E620="","",LOOKUP($E620, XPBands!B$2:B$10, XPBands!A$2:A$10))</f>
        <v/>
      </c>
      <c r="G620" s="27">
        <f>IF($E620="","", VLOOKUP($F620, XPBands!A$2:G$10, 4, FALSE) + MIN(VLOOKUP($F620, XPBands!A$2:G$10, 5, FALSE) - VLOOKUP($F620, XPBands!A$2:G$10, 4, FALSE), FLOOR(( $E620 - VLOOKUP($F620, XPBands!A$2:G$10, 2, FALSE) ) / VLOOKUP($F620, XPBands!A$2:G$10, 7, FALSE),1)))</f>
        <v/>
      </c>
      <c r="H620" s="27">
        <f>IF($D620="","",VLOOKUP($D620,RoleTitles!$A:$E,3,FALSE))</f>
        <v/>
      </c>
      <c r="I620" s="27">
        <f>IF($D620="","",IF($C620="Greek",VLOOKUP($D620,RoleTitles!$A:$E,4,FALSE),IF($C620="Aesir",VLOOKUP($D620,RoleTitles!$A:$E,5,FALSE),VLOOKUP($D620,RoleTitles!$A:$E,3,FALSE))))</f>
        <v/>
      </c>
      <c r="J620" s="27">
        <f>IF($D620="","",IF($E620&gt;=VLOOKUP($D620,RoleTitles!$A:$B,2,FALSE),"Yes","No"))</f>
        <v/>
      </c>
      <c r="K620" s="27">
        <f>IF($D620="","",IF($D620="T1","T2",IF($D620="T2","T3",IF($D620="T3","T4",IF($D620="T4","T5",IF($D620="T5","T6",IF($D620="T6","T7",IF($D620="T7","T8",IF($D620="T8","T9","")))))))))</f>
        <v/>
      </c>
      <c r="L620" s="28">
        <f>IF($K620="","",MAX(0,VLOOKUP($K620,RoleTitles!$A:$B,2,FALSE)-$E620))</f>
        <v/>
      </c>
    </row>
    <row r="621">
      <c r="A621" s="24">
        <f>IFERROR(INDEX(CoachRoster!$A$2:$A$1000,ROW()-1),"")</f>
        <v/>
      </c>
      <c r="B621" s="27">
        <f>IF($A621="","",VLOOKUP($A621,CoachRoster!$A:$E,2,FALSE))</f>
        <v/>
      </c>
      <c r="C621" s="27">
        <f>IF($A621="","",VLOOKUP($A621,CoachRoster!$A:$E,3,FALSE))</f>
        <v/>
      </c>
      <c r="D621" s="27">
        <f>IF($A621="","",VLOOKUP($A621,CoachRoster!$A:$E,4,FALSE))</f>
        <v/>
      </c>
      <c r="E621" s="27">
        <f>IF($A621="","",MIN(Settings!$B$8,IFERROR(SUMIF(Weekly_Coaching!$B:$B,$A621,Weekly_Coaching!$D:$D),0)+IFERROR(SUMIF(Monthly_Edu!$B:$B,$A621,Monthly_Edu!$D:$D),0)+IFERROR(SUMIF(Monthly_Ops!$B:$B,$A621,Monthly_Ops!$D:$D),0)+IFERROR(SUMIF(Monthly_Mentor!$B:$B,$A621,Monthly_Mentor!$D:$D),0)+IFERROR(SUMIF(Quarterly_Impact!$B:$B,$A621,Quarterly_Impact!$D:$D),0)+IFERROR(SUMIFS(XPLog!$M:$M,XPLog!$B:$B,$A621,XPLog!$J:$J,"Admin"),0)+IFERROR(SUMIFS(XPLog!$M:$M,XPLog!$B:$B,$A621,XPLog!$J:$J,"Seeding"),0)))</f>
        <v/>
      </c>
      <c r="F621" s="27">
        <f>IF($E621="","",LOOKUP($E621, XPBands!B$2:B$10, XPBands!A$2:A$10))</f>
        <v/>
      </c>
      <c r="G621" s="27">
        <f>IF($E621="","", VLOOKUP($F621, XPBands!A$2:G$10, 4, FALSE) + MIN(VLOOKUP($F621, XPBands!A$2:G$10, 5, FALSE) - VLOOKUP($F621, XPBands!A$2:G$10, 4, FALSE), FLOOR(( $E621 - VLOOKUP($F621, XPBands!A$2:G$10, 2, FALSE) ) / VLOOKUP($F621, XPBands!A$2:G$10, 7, FALSE),1)))</f>
        <v/>
      </c>
      <c r="H621" s="27">
        <f>IF($D621="","",VLOOKUP($D621,RoleTitles!$A:$E,3,FALSE))</f>
        <v/>
      </c>
      <c r="I621" s="27">
        <f>IF($D621="","",IF($C621="Greek",VLOOKUP($D621,RoleTitles!$A:$E,4,FALSE),IF($C621="Aesir",VLOOKUP($D621,RoleTitles!$A:$E,5,FALSE),VLOOKUP($D621,RoleTitles!$A:$E,3,FALSE))))</f>
        <v/>
      </c>
      <c r="J621" s="27">
        <f>IF($D621="","",IF($E621&gt;=VLOOKUP($D621,RoleTitles!$A:$B,2,FALSE),"Yes","No"))</f>
        <v/>
      </c>
      <c r="K621" s="27">
        <f>IF($D621="","",IF($D621="T1","T2",IF($D621="T2","T3",IF($D621="T3","T4",IF($D621="T4","T5",IF($D621="T5","T6",IF($D621="T6","T7",IF($D621="T7","T8",IF($D621="T8","T9","")))))))))</f>
        <v/>
      </c>
      <c r="L621" s="28">
        <f>IF($K621="","",MAX(0,VLOOKUP($K621,RoleTitles!$A:$B,2,FALSE)-$E621))</f>
        <v/>
      </c>
    </row>
    <row r="622">
      <c r="A622" s="24">
        <f>IFERROR(INDEX(CoachRoster!$A$2:$A$1000,ROW()-1),"")</f>
        <v/>
      </c>
      <c r="B622" s="27">
        <f>IF($A622="","",VLOOKUP($A622,CoachRoster!$A:$E,2,FALSE))</f>
        <v/>
      </c>
      <c r="C622" s="27">
        <f>IF($A622="","",VLOOKUP($A622,CoachRoster!$A:$E,3,FALSE))</f>
        <v/>
      </c>
      <c r="D622" s="27">
        <f>IF($A622="","",VLOOKUP($A622,CoachRoster!$A:$E,4,FALSE))</f>
        <v/>
      </c>
      <c r="E622" s="27">
        <f>IF($A622="","",MIN(Settings!$B$8,IFERROR(SUMIF(Weekly_Coaching!$B:$B,$A622,Weekly_Coaching!$D:$D),0)+IFERROR(SUMIF(Monthly_Edu!$B:$B,$A622,Monthly_Edu!$D:$D),0)+IFERROR(SUMIF(Monthly_Ops!$B:$B,$A622,Monthly_Ops!$D:$D),0)+IFERROR(SUMIF(Monthly_Mentor!$B:$B,$A622,Monthly_Mentor!$D:$D),0)+IFERROR(SUMIF(Quarterly_Impact!$B:$B,$A622,Quarterly_Impact!$D:$D),0)+IFERROR(SUMIFS(XPLog!$M:$M,XPLog!$B:$B,$A622,XPLog!$J:$J,"Admin"),0)+IFERROR(SUMIFS(XPLog!$M:$M,XPLog!$B:$B,$A622,XPLog!$J:$J,"Seeding"),0)))</f>
        <v/>
      </c>
      <c r="F622" s="27">
        <f>IF($E622="","",LOOKUP($E622, XPBands!B$2:B$10, XPBands!A$2:A$10))</f>
        <v/>
      </c>
      <c r="G622" s="27">
        <f>IF($E622="","", VLOOKUP($F622, XPBands!A$2:G$10, 4, FALSE) + MIN(VLOOKUP($F622, XPBands!A$2:G$10, 5, FALSE) - VLOOKUP($F622, XPBands!A$2:G$10, 4, FALSE), FLOOR(( $E622 - VLOOKUP($F622, XPBands!A$2:G$10, 2, FALSE) ) / VLOOKUP($F622, XPBands!A$2:G$10, 7, FALSE),1)))</f>
        <v/>
      </c>
      <c r="H622" s="27">
        <f>IF($D622="","",VLOOKUP($D622,RoleTitles!$A:$E,3,FALSE))</f>
        <v/>
      </c>
      <c r="I622" s="27">
        <f>IF($D622="","",IF($C622="Greek",VLOOKUP($D622,RoleTitles!$A:$E,4,FALSE),IF($C622="Aesir",VLOOKUP($D622,RoleTitles!$A:$E,5,FALSE),VLOOKUP($D622,RoleTitles!$A:$E,3,FALSE))))</f>
        <v/>
      </c>
      <c r="J622" s="27">
        <f>IF($D622="","",IF($E622&gt;=VLOOKUP($D622,RoleTitles!$A:$B,2,FALSE),"Yes","No"))</f>
        <v/>
      </c>
      <c r="K622" s="27">
        <f>IF($D622="","",IF($D622="T1","T2",IF($D622="T2","T3",IF($D622="T3","T4",IF($D622="T4","T5",IF($D622="T5","T6",IF($D622="T6","T7",IF($D622="T7","T8",IF($D622="T8","T9","")))))))))</f>
        <v/>
      </c>
      <c r="L622" s="28">
        <f>IF($K622="","",MAX(0,VLOOKUP($K622,RoleTitles!$A:$B,2,FALSE)-$E622))</f>
        <v/>
      </c>
    </row>
    <row r="623">
      <c r="A623" s="24">
        <f>IFERROR(INDEX(CoachRoster!$A$2:$A$1000,ROW()-1),"")</f>
        <v/>
      </c>
      <c r="B623" s="27">
        <f>IF($A623="","",VLOOKUP($A623,CoachRoster!$A:$E,2,FALSE))</f>
        <v/>
      </c>
      <c r="C623" s="27">
        <f>IF($A623="","",VLOOKUP($A623,CoachRoster!$A:$E,3,FALSE))</f>
        <v/>
      </c>
      <c r="D623" s="27">
        <f>IF($A623="","",VLOOKUP($A623,CoachRoster!$A:$E,4,FALSE))</f>
        <v/>
      </c>
      <c r="E623" s="27">
        <f>IF($A623="","",MIN(Settings!$B$8,IFERROR(SUMIF(Weekly_Coaching!$B:$B,$A623,Weekly_Coaching!$D:$D),0)+IFERROR(SUMIF(Monthly_Edu!$B:$B,$A623,Monthly_Edu!$D:$D),0)+IFERROR(SUMIF(Monthly_Ops!$B:$B,$A623,Monthly_Ops!$D:$D),0)+IFERROR(SUMIF(Monthly_Mentor!$B:$B,$A623,Monthly_Mentor!$D:$D),0)+IFERROR(SUMIF(Quarterly_Impact!$B:$B,$A623,Quarterly_Impact!$D:$D),0)+IFERROR(SUMIFS(XPLog!$M:$M,XPLog!$B:$B,$A623,XPLog!$J:$J,"Admin"),0)+IFERROR(SUMIFS(XPLog!$M:$M,XPLog!$B:$B,$A623,XPLog!$J:$J,"Seeding"),0)))</f>
        <v/>
      </c>
      <c r="F623" s="27">
        <f>IF($E623="","",LOOKUP($E623, XPBands!B$2:B$10, XPBands!A$2:A$10))</f>
        <v/>
      </c>
      <c r="G623" s="27">
        <f>IF($E623="","", VLOOKUP($F623, XPBands!A$2:G$10, 4, FALSE) + MIN(VLOOKUP($F623, XPBands!A$2:G$10, 5, FALSE) - VLOOKUP($F623, XPBands!A$2:G$10, 4, FALSE), FLOOR(( $E623 - VLOOKUP($F623, XPBands!A$2:G$10, 2, FALSE) ) / VLOOKUP($F623, XPBands!A$2:G$10, 7, FALSE),1)))</f>
        <v/>
      </c>
      <c r="H623" s="27">
        <f>IF($D623="","",VLOOKUP($D623,RoleTitles!$A:$E,3,FALSE))</f>
        <v/>
      </c>
      <c r="I623" s="27">
        <f>IF($D623="","",IF($C623="Greek",VLOOKUP($D623,RoleTitles!$A:$E,4,FALSE),IF($C623="Aesir",VLOOKUP($D623,RoleTitles!$A:$E,5,FALSE),VLOOKUP($D623,RoleTitles!$A:$E,3,FALSE))))</f>
        <v/>
      </c>
      <c r="J623" s="27">
        <f>IF($D623="","",IF($E623&gt;=VLOOKUP($D623,RoleTitles!$A:$B,2,FALSE),"Yes","No"))</f>
        <v/>
      </c>
      <c r="K623" s="27">
        <f>IF($D623="","",IF($D623="T1","T2",IF($D623="T2","T3",IF($D623="T3","T4",IF($D623="T4","T5",IF($D623="T5","T6",IF($D623="T6","T7",IF($D623="T7","T8",IF($D623="T8","T9","")))))))))</f>
        <v/>
      </c>
      <c r="L623" s="28">
        <f>IF($K623="","",MAX(0,VLOOKUP($K623,RoleTitles!$A:$B,2,FALSE)-$E623))</f>
        <v/>
      </c>
    </row>
    <row r="624">
      <c r="A624" s="24">
        <f>IFERROR(INDEX(CoachRoster!$A$2:$A$1000,ROW()-1),"")</f>
        <v/>
      </c>
      <c r="B624" s="27">
        <f>IF($A624="","",VLOOKUP($A624,CoachRoster!$A:$E,2,FALSE))</f>
        <v/>
      </c>
      <c r="C624" s="27">
        <f>IF($A624="","",VLOOKUP($A624,CoachRoster!$A:$E,3,FALSE))</f>
        <v/>
      </c>
      <c r="D624" s="27">
        <f>IF($A624="","",VLOOKUP($A624,CoachRoster!$A:$E,4,FALSE))</f>
        <v/>
      </c>
      <c r="E624" s="27">
        <f>IF($A624="","",MIN(Settings!$B$8,IFERROR(SUMIF(Weekly_Coaching!$B:$B,$A624,Weekly_Coaching!$D:$D),0)+IFERROR(SUMIF(Monthly_Edu!$B:$B,$A624,Monthly_Edu!$D:$D),0)+IFERROR(SUMIF(Monthly_Ops!$B:$B,$A624,Monthly_Ops!$D:$D),0)+IFERROR(SUMIF(Monthly_Mentor!$B:$B,$A624,Monthly_Mentor!$D:$D),0)+IFERROR(SUMIF(Quarterly_Impact!$B:$B,$A624,Quarterly_Impact!$D:$D),0)+IFERROR(SUMIFS(XPLog!$M:$M,XPLog!$B:$B,$A624,XPLog!$J:$J,"Admin"),0)+IFERROR(SUMIFS(XPLog!$M:$M,XPLog!$B:$B,$A624,XPLog!$J:$J,"Seeding"),0)))</f>
        <v/>
      </c>
      <c r="F624" s="27">
        <f>IF($E624="","",LOOKUP($E624, XPBands!B$2:B$10, XPBands!A$2:A$10))</f>
        <v/>
      </c>
      <c r="G624" s="27">
        <f>IF($E624="","", VLOOKUP($F624, XPBands!A$2:G$10, 4, FALSE) + MIN(VLOOKUP($F624, XPBands!A$2:G$10, 5, FALSE) - VLOOKUP($F624, XPBands!A$2:G$10, 4, FALSE), FLOOR(( $E624 - VLOOKUP($F624, XPBands!A$2:G$10, 2, FALSE) ) / VLOOKUP($F624, XPBands!A$2:G$10, 7, FALSE),1)))</f>
        <v/>
      </c>
      <c r="H624" s="27">
        <f>IF($D624="","",VLOOKUP($D624,RoleTitles!$A:$E,3,FALSE))</f>
        <v/>
      </c>
      <c r="I624" s="27">
        <f>IF($D624="","",IF($C624="Greek",VLOOKUP($D624,RoleTitles!$A:$E,4,FALSE),IF($C624="Aesir",VLOOKUP($D624,RoleTitles!$A:$E,5,FALSE),VLOOKUP($D624,RoleTitles!$A:$E,3,FALSE))))</f>
        <v/>
      </c>
      <c r="J624" s="27">
        <f>IF($D624="","",IF($E624&gt;=VLOOKUP($D624,RoleTitles!$A:$B,2,FALSE),"Yes","No"))</f>
        <v/>
      </c>
      <c r="K624" s="27">
        <f>IF($D624="","",IF($D624="T1","T2",IF($D624="T2","T3",IF($D624="T3","T4",IF($D624="T4","T5",IF($D624="T5","T6",IF($D624="T6","T7",IF($D624="T7","T8",IF($D624="T8","T9","")))))))))</f>
        <v/>
      </c>
      <c r="L624" s="28">
        <f>IF($K624="","",MAX(0,VLOOKUP($K624,RoleTitles!$A:$B,2,FALSE)-$E624))</f>
        <v/>
      </c>
    </row>
    <row r="625">
      <c r="A625" s="24">
        <f>IFERROR(INDEX(CoachRoster!$A$2:$A$1000,ROW()-1),"")</f>
        <v/>
      </c>
      <c r="B625" s="27">
        <f>IF($A625="","",VLOOKUP($A625,CoachRoster!$A:$E,2,FALSE))</f>
        <v/>
      </c>
      <c r="C625" s="27">
        <f>IF($A625="","",VLOOKUP($A625,CoachRoster!$A:$E,3,FALSE))</f>
        <v/>
      </c>
      <c r="D625" s="27">
        <f>IF($A625="","",VLOOKUP($A625,CoachRoster!$A:$E,4,FALSE))</f>
        <v/>
      </c>
      <c r="E625" s="27">
        <f>IF($A625="","",MIN(Settings!$B$8,IFERROR(SUMIF(Weekly_Coaching!$B:$B,$A625,Weekly_Coaching!$D:$D),0)+IFERROR(SUMIF(Monthly_Edu!$B:$B,$A625,Monthly_Edu!$D:$D),0)+IFERROR(SUMIF(Monthly_Ops!$B:$B,$A625,Monthly_Ops!$D:$D),0)+IFERROR(SUMIF(Monthly_Mentor!$B:$B,$A625,Monthly_Mentor!$D:$D),0)+IFERROR(SUMIF(Quarterly_Impact!$B:$B,$A625,Quarterly_Impact!$D:$D),0)+IFERROR(SUMIFS(XPLog!$M:$M,XPLog!$B:$B,$A625,XPLog!$J:$J,"Admin"),0)+IFERROR(SUMIFS(XPLog!$M:$M,XPLog!$B:$B,$A625,XPLog!$J:$J,"Seeding"),0)))</f>
        <v/>
      </c>
      <c r="F625" s="27">
        <f>IF($E625="","",LOOKUP($E625, XPBands!B$2:B$10, XPBands!A$2:A$10))</f>
        <v/>
      </c>
      <c r="G625" s="27">
        <f>IF($E625="","", VLOOKUP($F625, XPBands!A$2:G$10, 4, FALSE) + MIN(VLOOKUP($F625, XPBands!A$2:G$10, 5, FALSE) - VLOOKUP($F625, XPBands!A$2:G$10, 4, FALSE), FLOOR(( $E625 - VLOOKUP($F625, XPBands!A$2:G$10, 2, FALSE) ) / VLOOKUP($F625, XPBands!A$2:G$10, 7, FALSE),1)))</f>
        <v/>
      </c>
      <c r="H625" s="27">
        <f>IF($D625="","",VLOOKUP($D625,RoleTitles!$A:$E,3,FALSE))</f>
        <v/>
      </c>
      <c r="I625" s="27">
        <f>IF($D625="","",IF($C625="Greek",VLOOKUP($D625,RoleTitles!$A:$E,4,FALSE),IF($C625="Aesir",VLOOKUP($D625,RoleTitles!$A:$E,5,FALSE),VLOOKUP($D625,RoleTitles!$A:$E,3,FALSE))))</f>
        <v/>
      </c>
      <c r="J625" s="27">
        <f>IF($D625="","",IF($E625&gt;=VLOOKUP($D625,RoleTitles!$A:$B,2,FALSE),"Yes","No"))</f>
        <v/>
      </c>
      <c r="K625" s="27">
        <f>IF($D625="","",IF($D625="T1","T2",IF($D625="T2","T3",IF($D625="T3","T4",IF($D625="T4","T5",IF($D625="T5","T6",IF($D625="T6","T7",IF($D625="T7","T8",IF($D625="T8","T9","")))))))))</f>
        <v/>
      </c>
      <c r="L625" s="28">
        <f>IF($K625="","",MAX(0,VLOOKUP($K625,RoleTitles!$A:$B,2,FALSE)-$E625))</f>
        <v/>
      </c>
    </row>
    <row r="626">
      <c r="A626" s="24">
        <f>IFERROR(INDEX(CoachRoster!$A$2:$A$1000,ROW()-1),"")</f>
        <v/>
      </c>
      <c r="B626" s="27">
        <f>IF($A626="","",VLOOKUP($A626,CoachRoster!$A:$E,2,FALSE))</f>
        <v/>
      </c>
      <c r="C626" s="27">
        <f>IF($A626="","",VLOOKUP($A626,CoachRoster!$A:$E,3,FALSE))</f>
        <v/>
      </c>
      <c r="D626" s="27">
        <f>IF($A626="","",VLOOKUP($A626,CoachRoster!$A:$E,4,FALSE))</f>
        <v/>
      </c>
      <c r="E626" s="27">
        <f>IF($A626="","",MIN(Settings!$B$8,IFERROR(SUMIF(Weekly_Coaching!$B:$B,$A626,Weekly_Coaching!$D:$D),0)+IFERROR(SUMIF(Monthly_Edu!$B:$B,$A626,Monthly_Edu!$D:$D),0)+IFERROR(SUMIF(Monthly_Ops!$B:$B,$A626,Monthly_Ops!$D:$D),0)+IFERROR(SUMIF(Monthly_Mentor!$B:$B,$A626,Monthly_Mentor!$D:$D),0)+IFERROR(SUMIF(Quarterly_Impact!$B:$B,$A626,Quarterly_Impact!$D:$D),0)+IFERROR(SUMIFS(XPLog!$M:$M,XPLog!$B:$B,$A626,XPLog!$J:$J,"Admin"),0)+IFERROR(SUMIFS(XPLog!$M:$M,XPLog!$B:$B,$A626,XPLog!$J:$J,"Seeding"),0)))</f>
        <v/>
      </c>
      <c r="F626" s="27">
        <f>IF($E626="","",LOOKUP($E626, XPBands!B$2:B$10, XPBands!A$2:A$10))</f>
        <v/>
      </c>
      <c r="G626" s="27">
        <f>IF($E626="","", VLOOKUP($F626, XPBands!A$2:G$10, 4, FALSE) + MIN(VLOOKUP($F626, XPBands!A$2:G$10, 5, FALSE) - VLOOKUP($F626, XPBands!A$2:G$10, 4, FALSE), FLOOR(( $E626 - VLOOKUP($F626, XPBands!A$2:G$10, 2, FALSE) ) / VLOOKUP($F626, XPBands!A$2:G$10, 7, FALSE),1)))</f>
        <v/>
      </c>
      <c r="H626" s="27">
        <f>IF($D626="","",VLOOKUP($D626,RoleTitles!$A:$E,3,FALSE))</f>
        <v/>
      </c>
      <c r="I626" s="27">
        <f>IF($D626="","",IF($C626="Greek",VLOOKUP($D626,RoleTitles!$A:$E,4,FALSE),IF($C626="Aesir",VLOOKUP($D626,RoleTitles!$A:$E,5,FALSE),VLOOKUP($D626,RoleTitles!$A:$E,3,FALSE))))</f>
        <v/>
      </c>
      <c r="J626" s="27">
        <f>IF($D626="","",IF($E626&gt;=VLOOKUP($D626,RoleTitles!$A:$B,2,FALSE),"Yes","No"))</f>
        <v/>
      </c>
      <c r="K626" s="27">
        <f>IF($D626="","",IF($D626="T1","T2",IF($D626="T2","T3",IF($D626="T3","T4",IF($D626="T4","T5",IF($D626="T5","T6",IF($D626="T6","T7",IF($D626="T7","T8",IF($D626="T8","T9","")))))))))</f>
        <v/>
      </c>
      <c r="L626" s="28">
        <f>IF($K626="","",MAX(0,VLOOKUP($K626,RoleTitles!$A:$B,2,FALSE)-$E626))</f>
        <v/>
      </c>
    </row>
    <row r="627">
      <c r="A627" s="24">
        <f>IFERROR(INDEX(CoachRoster!$A$2:$A$1000,ROW()-1),"")</f>
        <v/>
      </c>
      <c r="B627" s="27">
        <f>IF($A627="","",VLOOKUP($A627,CoachRoster!$A:$E,2,FALSE))</f>
        <v/>
      </c>
      <c r="C627" s="27">
        <f>IF($A627="","",VLOOKUP($A627,CoachRoster!$A:$E,3,FALSE))</f>
        <v/>
      </c>
      <c r="D627" s="27">
        <f>IF($A627="","",VLOOKUP($A627,CoachRoster!$A:$E,4,FALSE))</f>
        <v/>
      </c>
      <c r="E627" s="27">
        <f>IF($A627="","",MIN(Settings!$B$8,IFERROR(SUMIF(Weekly_Coaching!$B:$B,$A627,Weekly_Coaching!$D:$D),0)+IFERROR(SUMIF(Monthly_Edu!$B:$B,$A627,Monthly_Edu!$D:$D),0)+IFERROR(SUMIF(Monthly_Ops!$B:$B,$A627,Monthly_Ops!$D:$D),0)+IFERROR(SUMIF(Monthly_Mentor!$B:$B,$A627,Monthly_Mentor!$D:$D),0)+IFERROR(SUMIF(Quarterly_Impact!$B:$B,$A627,Quarterly_Impact!$D:$D),0)+IFERROR(SUMIFS(XPLog!$M:$M,XPLog!$B:$B,$A627,XPLog!$J:$J,"Admin"),0)+IFERROR(SUMIFS(XPLog!$M:$M,XPLog!$B:$B,$A627,XPLog!$J:$J,"Seeding"),0)))</f>
        <v/>
      </c>
      <c r="F627" s="27">
        <f>IF($E627="","",LOOKUP($E627, XPBands!B$2:B$10, XPBands!A$2:A$10))</f>
        <v/>
      </c>
      <c r="G627" s="27">
        <f>IF($E627="","", VLOOKUP($F627, XPBands!A$2:G$10, 4, FALSE) + MIN(VLOOKUP($F627, XPBands!A$2:G$10, 5, FALSE) - VLOOKUP($F627, XPBands!A$2:G$10, 4, FALSE), FLOOR(( $E627 - VLOOKUP($F627, XPBands!A$2:G$10, 2, FALSE) ) / VLOOKUP($F627, XPBands!A$2:G$10, 7, FALSE),1)))</f>
        <v/>
      </c>
      <c r="H627" s="27">
        <f>IF($D627="","",VLOOKUP($D627,RoleTitles!$A:$E,3,FALSE))</f>
        <v/>
      </c>
      <c r="I627" s="27">
        <f>IF($D627="","",IF($C627="Greek",VLOOKUP($D627,RoleTitles!$A:$E,4,FALSE),IF($C627="Aesir",VLOOKUP($D627,RoleTitles!$A:$E,5,FALSE),VLOOKUP($D627,RoleTitles!$A:$E,3,FALSE))))</f>
        <v/>
      </c>
      <c r="J627" s="27">
        <f>IF($D627="","",IF($E627&gt;=VLOOKUP($D627,RoleTitles!$A:$B,2,FALSE),"Yes","No"))</f>
        <v/>
      </c>
      <c r="K627" s="27">
        <f>IF($D627="","",IF($D627="T1","T2",IF($D627="T2","T3",IF($D627="T3","T4",IF($D627="T4","T5",IF($D627="T5","T6",IF($D627="T6","T7",IF($D627="T7","T8",IF($D627="T8","T9","")))))))))</f>
        <v/>
      </c>
      <c r="L627" s="28">
        <f>IF($K627="","",MAX(0,VLOOKUP($K627,RoleTitles!$A:$B,2,FALSE)-$E627))</f>
        <v/>
      </c>
    </row>
    <row r="628">
      <c r="A628" s="24">
        <f>IFERROR(INDEX(CoachRoster!$A$2:$A$1000,ROW()-1),"")</f>
        <v/>
      </c>
      <c r="B628" s="27">
        <f>IF($A628="","",VLOOKUP($A628,CoachRoster!$A:$E,2,FALSE))</f>
        <v/>
      </c>
      <c r="C628" s="27">
        <f>IF($A628="","",VLOOKUP($A628,CoachRoster!$A:$E,3,FALSE))</f>
        <v/>
      </c>
      <c r="D628" s="27">
        <f>IF($A628="","",VLOOKUP($A628,CoachRoster!$A:$E,4,FALSE))</f>
        <v/>
      </c>
      <c r="E628" s="27">
        <f>IF($A628="","",MIN(Settings!$B$8,IFERROR(SUMIF(Weekly_Coaching!$B:$B,$A628,Weekly_Coaching!$D:$D),0)+IFERROR(SUMIF(Monthly_Edu!$B:$B,$A628,Monthly_Edu!$D:$D),0)+IFERROR(SUMIF(Monthly_Ops!$B:$B,$A628,Monthly_Ops!$D:$D),0)+IFERROR(SUMIF(Monthly_Mentor!$B:$B,$A628,Monthly_Mentor!$D:$D),0)+IFERROR(SUMIF(Quarterly_Impact!$B:$B,$A628,Quarterly_Impact!$D:$D),0)+IFERROR(SUMIFS(XPLog!$M:$M,XPLog!$B:$B,$A628,XPLog!$J:$J,"Admin"),0)+IFERROR(SUMIFS(XPLog!$M:$M,XPLog!$B:$B,$A628,XPLog!$J:$J,"Seeding"),0)))</f>
        <v/>
      </c>
      <c r="F628" s="27">
        <f>IF($E628="","",LOOKUP($E628, XPBands!B$2:B$10, XPBands!A$2:A$10))</f>
        <v/>
      </c>
      <c r="G628" s="27">
        <f>IF($E628="","", VLOOKUP($F628, XPBands!A$2:G$10, 4, FALSE) + MIN(VLOOKUP($F628, XPBands!A$2:G$10, 5, FALSE) - VLOOKUP($F628, XPBands!A$2:G$10, 4, FALSE), FLOOR(( $E628 - VLOOKUP($F628, XPBands!A$2:G$10, 2, FALSE) ) / VLOOKUP($F628, XPBands!A$2:G$10, 7, FALSE),1)))</f>
        <v/>
      </c>
      <c r="H628" s="27">
        <f>IF($D628="","",VLOOKUP($D628,RoleTitles!$A:$E,3,FALSE))</f>
        <v/>
      </c>
      <c r="I628" s="27">
        <f>IF($D628="","",IF($C628="Greek",VLOOKUP($D628,RoleTitles!$A:$E,4,FALSE),IF($C628="Aesir",VLOOKUP($D628,RoleTitles!$A:$E,5,FALSE),VLOOKUP($D628,RoleTitles!$A:$E,3,FALSE))))</f>
        <v/>
      </c>
      <c r="J628" s="27">
        <f>IF($D628="","",IF($E628&gt;=VLOOKUP($D628,RoleTitles!$A:$B,2,FALSE),"Yes","No"))</f>
        <v/>
      </c>
      <c r="K628" s="27">
        <f>IF($D628="","",IF($D628="T1","T2",IF($D628="T2","T3",IF($D628="T3","T4",IF($D628="T4","T5",IF($D628="T5","T6",IF($D628="T6","T7",IF($D628="T7","T8",IF($D628="T8","T9","")))))))))</f>
        <v/>
      </c>
      <c r="L628" s="28">
        <f>IF($K628="","",MAX(0,VLOOKUP($K628,RoleTitles!$A:$B,2,FALSE)-$E628))</f>
        <v/>
      </c>
    </row>
    <row r="629">
      <c r="A629" s="24">
        <f>IFERROR(INDEX(CoachRoster!$A$2:$A$1000,ROW()-1),"")</f>
        <v/>
      </c>
      <c r="B629" s="27">
        <f>IF($A629="","",VLOOKUP($A629,CoachRoster!$A:$E,2,FALSE))</f>
        <v/>
      </c>
      <c r="C629" s="27">
        <f>IF($A629="","",VLOOKUP($A629,CoachRoster!$A:$E,3,FALSE))</f>
        <v/>
      </c>
      <c r="D629" s="27">
        <f>IF($A629="","",VLOOKUP($A629,CoachRoster!$A:$E,4,FALSE))</f>
        <v/>
      </c>
      <c r="E629" s="27">
        <f>IF($A629="","",MIN(Settings!$B$8,IFERROR(SUMIF(Weekly_Coaching!$B:$B,$A629,Weekly_Coaching!$D:$D),0)+IFERROR(SUMIF(Monthly_Edu!$B:$B,$A629,Monthly_Edu!$D:$D),0)+IFERROR(SUMIF(Monthly_Ops!$B:$B,$A629,Monthly_Ops!$D:$D),0)+IFERROR(SUMIF(Monthly_Mentor!$B:$B,$A629,Monthly_Mentor!$D:$D),0)+IFERROR(SUMIF(Quarterly_Impact!$B:$B,$A629,Quarterly_Impact!$D:$D),0)+IFERROR(SUMIFS(XPLog!$M:$M,XPLog!$B:$B,$A629,XPLog!$J:$J,"Admin"),0)+IFERROR(SUMIFS(XPLog!$M:$M,XPLog!$B:$B,$A629,XPLog!$J:$J,"Seeding"),0)))</f>
        <v/>
      </c>
      <c r="F629" s="27">
        <f>IF($E629="","",LOOKUP($E629, XPBands!B$2:B$10, XPBands!A$2:A$10))</f>
        <v/>
      </c>
      <c r="G629" s="27">
        <f>IF($E629="","", VLOOKUP($F629, XPBands!A$2:G$10, 4, FALSE) + MIN(VLOOKUP($F629, XPBands!A$2:G$10, 5, FALSE) - VLOOKUP($F629, XPBands!A$2:G$10, 4, FALSE), FLOOR(( $E629 - VLOOKUP($F629, XPBands!A$2:G$10, 2, FALSE) ) / VLOOKUP($F629, XPBands!A$2:G$10, 7, FALSE),1)))</f>
        <v/>
      </c>
      <c r="H629" s="27">
        <f>IF($D629="","",VLOOKUP($D629,RoleTitles!$A:$E,3,FALSE))</f>
        <v/>
      </c>
      <c r="I629" s="27">
        <f>IF($D629="","",IF($C629="Greek",VLOOKUP($D629,RoleTitles!$A:$E,4,FALSE),IF($C629="Aesir",VLOOKUP($D629,RoleTitles!$A:$E,5,FALSE),VLOOKUP($D629,RoleTitles!$A:$E,3,FALSE))))</f>
        <v/>
      </c>
      <c r="J629" s="27">
        <f>IF($D629="","",IF($E629&gt;=VLOOKUP($D629,RoleTitles!$A:$B,2,FALSE),"Yes","No"))</f>
        <v/>
      </c>
      <c r="K629" s="27">
        <f>IF($D629="","",IF($D629="T1","T2",IF($D629="T2","T3",IF($D629="T3","T4",IF($D629="T4","T5",IF($D629="T5","T6",IF($D629="T6","T7",IF($D629="T7","T8",IF($D629="T8","T9","")))))))))</f>
        <v/>
      </c>
      <c r="L629" s="28">
        <f>IF($K629="","",MAX(0,VLOOKUP($K629,RoleTitles!$A:$B,2,FALSE)-$E629))</f>
        <v/>
      </c>
    </row>
    <row r="630">
      <c r="A630" s="24">
        <f>IFERROR(INDEX(CoachRoster!$A$2:$A$1000,ROW()-1),"")</f>
        <v/>
      </c>
      <c r="B630" s="27">
        <f>IF($A630="","",VLOOKUP($A630,CoachRoster!$A:$E,2,FALSE))</f>
        <v/>
      </c>
      <c r="C630" s="27">
        <f>IF($A630="","",VLOOKUP($A630,CoachRoster!$A:$E,3,FALSE))</f>
        <v/>
      </c>
      <c r="D630" s="27">
        <f>IF($A630="","",VLOOKUP($A630,CoachRoster!$A:$E,4,FALSE))</f>
        <v/>
      </c>
      <c r="E630" s="27">
        <f>IF($A630="","",MIN(Settings!$B$8,IFERROR(SUMIF(Weekly_Coaching!$B:$B,$A630,Weekly_Coaching!$D:$D),0)+IFERROR(SUMIF(Monthly_Edu!$B:$B,$A630,Monthly_Edu!$D:$D),0)+IFERROR(SUMIF(Monthly_Ops!$B:$B,$A630,Monthly_Ops!$D:$D),0)+IFERROR(SUMIF(Monthly_Mentor!$B:$B,$A630,Monthly_Mentor!$D:$D),0)+IFERROR(SUMIF(Quarterly_Impact!$B:$B,$A630,Quarterly_Impact!$D:$D),0)+IFERROR(SUMIFS(XPLog!$M:$M,XPLog!$B:$B,$A630,XPLog!$J:$J,"Admin"),0)+IFERROR(SUMIFS(XPLog!$M:$M,XPLog!$B:$B,$A630,XPLog!$J:$J,"Seeding"),0)))</f>
        <v/>
      </c>
      <c r="F630" s="27">
        <f>IF($E630="","",LOOKUP($E630, XPBands!B$2:B$10, XPBands!A$2:A$10))</f>
        <v/>
      </c>
      <c r="G630" s="27">
        <f>IF($E630="","", VLOOKUP($F630, XPBands!A$2:G$10, 4, FALSE) + MIN(VLOOKUP($F630, XPBands!A$2:G$10, 5, FALSE) - VLOOKUP($F630, XPBands!A$2:G$10, 4, FALSE), FLOOR(( $E630 - VLOOKUP($F630, XPBands!A$2:G$10, 2, FALSE) ) / VLOOKUP($F630, XPBands!A$2:G$10, 7, FALSE),1)))</f>
        <v/>
      </c>
      <c r="H630" s="27">
        <f>IF($D630="","",VLOOKUP($D630,RoleTitles!$A:$E,3,FALSE))</f>
        <v/>
      </c>
      <c r="I630" s="27">
        <f>IF($D630="","",IF($C630="Greek",VLOOKUP($D630,RoleTitles!$A:$E,4,FALSE),IF($C630="Aesir",VLOOKUP($D630,RoleTitles!$A:$E,5,FALSE),VLOOKUP($D630,RoleTitles!$A:$E,3,FALSE))))</f>
        <v/>
      </c>
      <c r="J630" s="27">
        <f>IF($D630="","",IF($E630&gt;=VLOOKUP($D630,RoleTitles!$A:$B,2,FALSE),"Yes","No"))</f>
        <v/>
      </c>
      <c r="K630" s="27">
        <f>IF($D630="","",IF($D630="T1","T2",IF($D630="T2","T3",IF($D630="T3","T4",IF($D630="T4","T5",IF($D630="T5","T6",IF($D630="T6","T7",IF($D630="T7","T8",IF($D630="T8","T9","")))))))))</f>
        <v/>
      </c>
      <c r="L630" s="28">
        <f>IF($K630="","",MAX(0,VLOOKUP($K630,RoleTitles!$A:$B,2,FALSE)-$E630))</f>
        <v/>
      </c>
    </row>
    <row r="631">
      <c r="A631" s="24">
        <f>IFERROR(INDEX(CoachRoster!$A$2:$A$1000,ROW()-1),"")</f>
        <v/>
      </c>
      <c r="B631" s="27">
        <f>IF($A631="","",VLOOKUP($A631,CoachRoster!$A:$E,2,FALSE))</f>
        <v/>
      </c>
      <c r="C631" s="27">
        <f>IF($A631="","",VLOOKUP($A631,CoachRoster!$A:$E,3,FALSE))</f>
        <v/>
      </c>
      <c r="D631" s="27">
        <f>IF($A631="","",VLOOKUP($A631,CoachRoster!$A:$E,4,FALSE))</f>
        <v/>
      </c>
      <c r="E631" s="27">
        <f>IF($A631="","",MIN(Settings!$B$8,IFERROR(SUMIF(Weekly_Coaching!$B:$B,$A631,Weekly_Coaching!$D:$D),0)+IFERROR(SUMIF(Monthly_Edu!$B:$B,$A631,Monthly_Edu!$D:$D),0)+IFERROR(SUMIF(Monthly_Ops!$B:$B,$A631,Monthly_Ops!$D:$D),0)+IFERROR(SUMIF(Monthly_Mentor!$B:$B,$A631,Monthly_Mentor!$D:$D),0)+IFERROR(SUMIF(Quarterly_Impact!$B:$B,$A631,Quarterly_Impact!$D:$D),0)+IFERROR(SUMIFS(XPLog!$M:$M,XPLog!$B:$B,$A631,XPLog!$J:$J,"Admin"),0)+IFERROR(SUMIFS(XPLog!$M:$M,XPLog!$B:$B,$A631,XPLog!$J:$J,"Seeding"),0)))</f>
        <v/>
      </c>
      <c r="F631" s="27">
        <f>IF($E631="","",LOOKUP($E631, XPBands!B$2:B$10, XPBands!A$2:A$10))</f>
        <v/>
      </c>
      <c r="G631" s="27">
        <f>IF($E631="","", VLOOKUP($F631, XPBands!A$2:G$10, 4, FALSE) + MIN(VLOOKUP($F631, XPBands!A$2:G$10, 5, FALSE) - VLOOKUP($F631, XPBands!A$2:G$10, 4, FALSE), FLOOR(( $E631 - VLOOKUP($F631, XPBands!A$2:G$10, 2, FALSE) ) / VLOOKUP($F631, XPBands!A$2:G$10, 7, FALSE),1)))</f>
        <v/>
      </c>
      <c r="H631" s="27">
        <f>IF($D631="","",VLOOKUP($D631,RoleTitles!$A:$E,3,FALSE))</f>
        <v/>
      </c>
      <c r="I631" s="27">
        <f>IF($D631="","",IF($C631="Greek",VLOOKUP($D631,RoleTitles!$A:$E,4,FALSE),IF($C631="Aesir",VLOOKUP($D631,RoleTitles!$A:$E,5,FALSE),VLOOKUP($D631,RoleTitles!$A:$E,3,FALSE))))</f>
        <v/>
      </c>
      <c r="J631" s="27">
        <f>IF($D631="","",IF($E631&gt;=VLOOKUP($D631,RoleTitles!$A:$B,2,FALSE),"Yes","No"))</f>
        <v/>
      </c>
      <c r="K631" s="27">
        <f>IF($D631="","",IF($D631="T1","T2",IF($D631="T2","T3",IF($D631="T3","T4",IF($D631="T4","T5",IF($D631="T5","T6",IF($D631="T6","T7",IF($D631="T7","T8",IF($D631="T8","T9","")))))))))</f>
        <v/>
      </c>
      <c r="L631" s="28">
        <f>IF($K631="","",MAX(0,VLOOKUP($K631,RoleTitles!$A:$B,2,FALSE)-$E631))</f>
        <v/>
      </c>
    </row>
    <row r="632">
      <c r="A632" s="24">
        <f>IFERROR(INDEX(CoachRoster!$A$2:$A$1000,ROW()-1),"")</f>
        <v/>
      </c>
      <c r="B632" s="27">
        <f>IF($A632="","",VLOOKUP($A632,CoachRoster!$A:$E,2,FALSE))</f>
        <v/>
      </c>
      <c r="C632" s="27">
        <f>IF($A632="","",VLOOKUP($A632,CoachRoster!$A:$E,3,FALSE))</f>
        <v/>
      </c>
      <c r="D632" s="27">
        <f>IF($A632="","",VLOOKUP($A632,CoachRoster!$A:$E,4,FALSE))</f>
        <v/>
      </c>
      <c r="E632" s="27">
        <f>IF($A632="","",MIN(Settings!$B$8,IFERROR(SUMIF(Weekly_Coaching!$B:$B,$A632,Weekly_Coaching!$D:$D),0)+IFERROR(SUMIF(Monthly_Edu!$B:$B,$A632,Monthly_Edu!$D:$D),0)+IFERROR(SUMIF(Monthly_Ops!$B:$B,$A632,Monthly_Ops!$D:$D),0)+IFERROR(SUMIF(Monthly_Mentor!$B:$B,$A632,Monthly_Mentor!$D:$D),0)+IFERROR(SUMIF(Quarterly_Impact!$B:$B,$A632,Quarterly_Impact!$D:$D),0)+IFERROR(SUMIFS(XPLog!$M:$M,XPLog!$B:$B,$A632,XPLog!$J:$J,"Admin"),0)+IFERROR(SUMIFS(XPLog!$M:$M,XPLog!$B:$B,$A632,XPLog!$J:$J,"Seeding"),0)))</f>
        <v/>
      </c>
      <c r="F632" s="27">
        <f>IF($E632="","",LOOKUP($E632, XPBands!B$2:B$10, XPBands!A$2:A$10))</f>
        <v/>
      </c>
      <c r="G632" s="27">
        <f>IF($E632="","", VLOOKUP($F632, XPBands!A$2:G$10, 4, FALSE) + MIN(VLOOKUP($F632, XPBands!A$2:G$10, 5, FALSE) - VLOOKUP($F632, XPBands!A$2:G$10, 4, FALSE), FLOOR(( $E632 - VLOOKUP($F632, XPBands!A$2:G$10, 2, FALSE) ) / VLOOKUP($F632, XPBands!A$2:G$10, 7, FALSE),1)))</f>
        <v/>
      </c>
      <c r="H632" s="27">
        <f>IF($D632="","",VLOOKUP($D632,RoleTitles!$A:$E,3,FALSE))</f>
        <v/>
      </c>
      <c r="I632" s="27">
        <f>IF($D632="","",IF($C632="Greek",VLOOKUP($D632,RoleTitles!$A:$E,4,FALSE),IF($C632="Aesir",VLOOKUP($D632,RoleTitles!$A:$E,5,FALSE),VLOOKUP($D632,RoleTitles!$A:$E,3,FALSE))))</f>
        <v/>
      </c>
      <c r="J632" s="27">
        <f>IF($D632="","",IF($E632&gt;=VLOOKUP($D632,RoleTitles!$A:$B,2,FALSE),"Yes","No"))</f>
        <v/>
      </c>
      <c r="K632" s="27">
        <f>IF($D632="","",IF($D632="T1","T2",IF($D632="T2","T3",IF($D632="T3","T4",IF($D632="T4","T5",IF($D632="T5","T6",IF($D632="T6","T7",IF($D632="T7","T8",IF($D632="T8","T9","")))))))))</f>
        <v/>
      </c>
      <c r="L632" s="28">
        <f>IF($K632="","",MAX(0,VLOOKUP($K632,RoleTitles!$A:$B,2,FALSE)-$E632))</f>
        <v/>
      </c>
    </row>
    <row r="633">
      <c r="A633" s="24">
        <f>IFERROR(INDEX(CoachRoster!$A$2:$A$1000,ROW()-1),"")</f>
        <v/>
      </c>
      <c r="B633" s="27">
        <f>IF($A633="","",VLOOKUP($A633,CoachRoster!$A:$E,2,FALSE))</f>
        <v/>
      </c>
      <c r="C633" s="27">
        <f>IF($A633="","",VLOOKUP($A633,CoachRoster!$A:$E,3,FALSE))</f>
        <v/>
      </c>
      <c r="D633" s="27">
        <f>IF($A633="","",VLOOKUP($A633,CoachRoster!$A:$E,4,FALSE))</f>
        <v/>
      </c>
      <c r="E633" s="27">
        <f>IF($A633="","",MIN(Settings!$B$8,IFERROR(SUMIF(Weekly_Coaching!$B:$B,$A633,Weekly_Coaching!$D:$D),0)+IFERROR(SUMIF(Monthly_Edu!$B:$B,$A633,Monthly_Edu!$D:$D),0)+IFERROR(SUMIF(Monthly_Ops!$B:$B,$A633,Monthly_Ops!$D:$D),0)+IFERROR(SUMIF(Monthly_Mentor!$B:$B,$A633,Monthly_Mentor!$D:$D),0)+IFERROR(SUMIF(Quarterly_Impact!$B:$B,$A633,Quarterly_Impact!$D:$D),0)+IFERROR(SUMIFS(XPLog!$M:$M,XPLog!$B:$B,$A633,XPLog!$J:$J,"Admin"),0)+IFERROR(SUMIFS(XPLog!$M:$M,XPLog!$B:$B,$A633,XPLog!$J:$J,"Seeding"),0)))</f>
        <v/>
      </c>
      <c r="F633" s="27">
        <f>IF($E633="","",LOOKUP($E633, XPBands!B$2:B$10, XPBands!A$2:A$10))</f>
        <v/>
      </c>
      <c r="G633" s="27">
        <f>IF($E633="","", VLOOKUP($F633, XPBands!A$2:G$10, 4, FALSE) + MIN(VLOOKUP($F633, XPBands!A$2:G$10, 5, FALSE) - VLOOKUP($F633, XPBands!A$2:G$10, 4, FALSE), FLOOR(( $E633 - VLOOKUP($F633, XPBands!A$2:G$10, 2, FALSE) ) / VLOOKUP($F633, XPBands!A$2:G$10, 7, FALSE),1)))</f>
        <v/>
      </c>
      <c r="H633" s="27">
        <f>IF($D633="","",VLOOKUP($D633,RoleTitles!$A:$E,3,FALSE))</f>
        <v/>
      </c>
      <c r="I633" s="27">
        <f>IF($D633="","",IF($C633="Greek",VLOOKUP($D633,RoleTitles!$A:$E,4,FALSE),IF($C633="Aesir",VLOOKUP($D633,RoleTitles!$A:$E,5,FALSE),VLOOKUP($D633,RoleTitles!$A:$E,3,FALSE))))</f>
        <v/>
      </c>
      <c r="J633" s="27">
        <f>IF($D633="","",IF($E633&gt;=VLOOKUP($D633,RoleTitles!$A:$B,2,FALSE),"Yes","No"))</f>
        <v/>
      </c>
      <c r="K633" s="27">
        <f>IF($D633="","",IF($D633="T1","T2",IF($D633="T2","T3",IF($D633="T3","T4",IF($D633="T4","T5",IF($D633="T5","T6",IF($D633="T6","T7",IF($D633="T7","T8",IF($D633="T8","T9","")))))))))</f>
        <v/>
      </c>
      <c r="L633" s="28">
        <f>IF($K633="","",MAX(0,VLOOKUP($K633,RoleTitles!$A:$B,2,FALSE)-$E633))</f>
        <v/>
      </c>
    </row>
    <row r="634">
      <c r="A634" s="24">
        <f>IFERROR(INDEX(CoachRoster!$A$2:$A$1000,ROW()-1),"")</f>
        <v/>
      </c>
      <c r="B634" s="27">
        <f>IF($A634="","",VLOOKUP($A634,CoachRoster!$A:$E,2,FALSE))</f>
        <v/>
      </c>
      <c r="C634" s="27">
        <f>IF($A634="","",VLOOKUP($A634,CoachRoster!$A:$E,3,FALSE))</f>
        <v/>
      </c>
      <c r="D634" s="27">
        <f>IF($A634="","",VLOOKUP($A634,CoachRoster!$A:$E,4,FALSE))</f>
        <v/>
      </c>
      <c r="E634" s="27">
        <f>IF($A634="","",MIN(Settings!$B$8,IFERROR(SUMIF(Weekly_Coaching!$B:$B,$A634,Weekly_Coaching!$D:$D),0)+IFERROR(SUMIF(Monthly_Edu!$B:$B,$A634,Monthly_Edu!$D:$D),0)+IFERROR(SUMIF(Monthly_Ops!$B:$B,$A634,Monthly_Ops!$D:$D),0)+IFERROR(SUMIF(Monthly_Mentor!$B:$B,$A634,Monthly_Mentor!$D:$D),0)+IFERROR(SUMIF(Quarterly_Impact!$B:$B,$A634,Quarterly_Impact!$D:$D),0)+IFERROR(SUMIFS(XPLog!$M:$M,XPLog!$B:$B,$A634,XPLog!$J:$J,"Admin"),0)+IFERROR(SUMIFS(XPLog!$M:$M,XPLog!$B:$B,$A634,XPLog!$J:$J,"Seeding"),0)))</f>
        <v/>
      </c>
      <c r="F634" s="27">
        <f>IF($E634="","",LOOKUP($E634, XPBands!B$2:B$10, XPBands!A$2:A$10))</f>
        <v/>
      </c>
      <c r="G634" s="27">
        <f>IF($E634="","", VLOOKUP($F634, XPBands!A$2:G$10, 4, FALSE) + MIN(VLOOKUP($F634, XPBands!A$2:G$10, 5, FALSE) - VLOOKUP($F634, XPBands!A$2:G$10, 4, FALSE), FLOOR(( $E634 - VLOOKUP($F634, XPBands!A$2:G$10, 2, FALSE) ) / VLOOKUP($F634, XPBands!A$2:G$10, 7, FALSE),1)))</f>
        <v/>
      </c>
      <c r="H634" s="27">
        <f>IF($D634="","",VLOOKUP($D634,RoleTitles!$A:$E,3,FALSE))</f>
        <v/>
      </c>
      <c r="I634" s="27">
        <f>IF($D634="","",IF($C634="Greek",VLOOKUP($D634,RoleTitles!$A:$E,4,FALSE),IF($C634="Aesir",VLOOKUP($D634,RoleTitles!$A:$E,5,FALSE),VLOOKUP($D634,RoleTitles!$A:$E,3,FALSE))))</f>
        <v/>
      </c>
      <c r="J634" s="27">
        <f>IF($D634="","",IF($E634&gt;=VLOOKUP($D634,RoleTitles!$A:$B,2,FALSE),"Yes","No"))</f>
        <v/>
      </c>
      <c r="K634" s="27">
        <f>IF($D634="","",IF($D634="T1","T2",IF($D634="T2","T3",IF($D634="T3","T4",IF($D634="T4","T5",IF($D634="T5","T6",IF($D634="T6","T7",IF($D634="T7","T8",IF($D634="T8","T9","")))))))))</f>
        <v/>
      </c>
      <c r="L634" s="28">
        <f>IF($K634="","",MAX(0,VLOOKUP($K634,RoleTitles!$A:$B,2,FALSE)-$E634))</f>
        <v/>
      </c>
    </row>
    <row r="635">
      <c r="A635" s="24">
        <f>IFERROR(INDEX(CoachRoster!$A$2:$A$1000,ROW()-1),"")</f>
        <v/>
      </c>
      <c r="B635" s="27">
        <f>IF($A635="","",VLOOKUP($A635,CoachRoster!$A:$E,2,FALSE))</f>
        <v/>
      </c>
      <c r="C635" s="27">
        <f>IF($A635="","",VLOOKUP($A635,CoachRoster!$A:$E,3,FALSE))</f>
        <v/>
      </c>
      <c r="D635" s="27">
        <f>IF($A635="","",VLOOKUP($A635,CoachRoster!$A:$E,4,FALSE))</f>
        <v/>
      </c>
      <c r="E635" s="27">
        <f>IF($A635="","",MIN(Settings!$B$8,IFERROR(SUMIF(Weekly_Coaching!$B:$B,$A635,Weekly_Coaching!$D:$D),0)+IFERROR(SUMIF(Monthly_Edu!$B:$B,$A635,Monthly_Edu!$D:$D),0)+IFERROR(SUMIF(Monthly_Ops!$B:$B,$A635,Monthly_Ops!$D:$D),0)+IFERROR(SUMIF(Monthly_Mentor!$B:$B,$A635,Monthly_Mentor!$D:$D),0)+IFERROR(SUMIF(Quarterly_Impact!$B:$B,$A635,Quarterly_Impact!$D:$D),0)+IFERROR(SUMIFS(XPLog!$M:$M,XPLog!$B:$B,$A635,XPLog!$J:$J,"Admin"),0)+IFERROR(SUMIFS(XPLog!$M:$M,XPLog!$B:$B,$A635,XPLog!$J:$J,"Seeding"),0)))</f>
        <v/>
      </c>
      <c r="F635" s="27">
        <f>IF($E635="","",LOOKUP($E635, XPBands!B$2:B$10, XPBands!A$2:A$10))</f>
        <v/>
      </c>
      <c r="G635" s="27">
        <f>IF($E635="","", VLOOKUP($F635, XPBands!A$2:G$10, 4, FALSE) + MIN(VLOOKUP($F635, XPBands!A$2:G$10, 5, FALSE) - VLOOKUP($F635, XPBands!A$2:G$10, 4, FALSE), FLOOR(( $E635 - VLOOKUP($F635, XPBands!A$2:G$10, 2, FALSE) ) / VLOOKUP($F635, XPBands!A$2:G$10, 7, FALSE),1)))</f>
        <v/>
      </c>
      <c r="H635" s="27">
        <f>IF($D635="","",VLOOKUP($D635,RoleTitles!$A:$E,3,FALSE))</f>
        <v/>
      </c>
      <c r="I635" s="27">
        <f>IF($D635="","",IF($C635="Greek",VLOOKUP($D635,RoleTitles!$A:$E,4,FALSE),IF($C635="Aesir",VLOOKUP($D635,RoleTitles!$A:$E,5,FALSE),VLOOKUP($D635,RoleTitles!$A:$E,3,FALSE))))</f>
        <v/>
      </c>
      <c r="J635" s="27">
        <f>IF($D635="","",IF($E635&gt;=VLOOKUP($D635,RoleTitles!$A:$B,2,FALSE),"Yes","No"))</f>
        <v/>
      </c>
      <c r="K635" s="27">
        <f>IF($D635="","",IF($D635="T1","T2",IF($D635="T2","T3",IF($D635="T3","T4",IF($D635="T4","T5",IF($D635="T5","T6",IF($D635="T6","T7",IF($D635="T7","T8",IF($D635="T8","T9","")))))))))</f>
        <v/>
      </c>
      <c r="L635" s="28">
        <f>IF($K635="","",MAX(0,VLOOKUP($K635,RoleTitles!$A:$B,2,FALSE)-$E635))</f>
        <v/>
      </c>
    </row>
    <row r="636">
      <c r="A636" s="24">
        <f>IFERROR(INDEX(CoachRoster!$A$2:$A$1000,ROW()-1),"")</f>
        <v/>
      </c>
      <c r="B636" s="27">
        <f>IF($A636="","",VLOOKUP($A636,CoachRoster!$A:$E,2,FALSE))</f>
        <v/>
      </c>
      <c r="C636" s="27">
        <f>IF($A636="","",VLOOKUP($A636,CoachRoster!$A:$E,3,FALSE))</f>
        <v/>
      </c>
      <c r="D636" s="27">
        <f>IF($A636="","",VLOOKUP($A636,CoachRoster!$A:$E,4,FALSE))</f>
        <v/>
      </c>
      <c r="E636" s="27">
        <f>IF($A636="","",MIN(Settings!$B$8,IFERROR(SUMIF(Weekly_Coaching!$B:$B,$A636,Weekly_Coaching!$D:$D),0)+IFERROR(SUMIF(Monthly_Edu!$B:$B,$A636,Monthly_Edu!$D:$D),0)+IFERROR(SUMIF(Monthly_Ops!$B:$B,$A636,Monthly_Ops!$D:$D),0)+IFERROR(SUMIF(Monthly_Mentor!$B:$B,$A636,Monthly_Mentor!$D:$D),0)+IFERROR(SUMIF(Quarterly_Impact!$B:$B,$A636,Quarterly_Impact!$D:$D),0)+IFERROR(SUMIFS(XPLog!$M:$M,XPLog!$B:$B,$A636,XPLog!$J:$J,"Admin"),0)+IFERROR(SUMIFS(XPLog!$M:$M,XPLog!$B:$B,$A636,XPLog!$J:$J,"Seeding"),0)))</f>
        <v/>
      </c>
      <c r="F636" s="27">
        <f>IF($E636="","",LOOKUP($E636, XPBands!B$2:B$10, XPBands!A$2:A$10))</f>
        <v/>
      </c>
      <c r="G636" s="27">
        <f>IF($E636="","", VLOOKUP($F636, XPBands!A$2:G$10, 4, FALSE) + MIN(VLOOKUP($F636, XPBands!A$2:G$10, 5, FALSE) - VLOOKUP($F636, XPBands!A$2:G$10, 4, FALSE), FLOOR(( $E636 - VLOOKUP($F636, XPBands!A$2:G$10, 2, FALSE) ) / VLOOKUP($F636, XPBands!A$2:G$10, 7, FALSE),1)))</f>
        <v/>
      </c>
      <c r="H636" s="27">
        <f>IF($D636="","",VLOOKUP($D636,RoleTitles!$A:$E,3,FALSE))</f>
        <v/>
      </c>
      <c r="I636" s="27">
        <f>IF($D636="","",IF($C636="Greek",VLOOKUP($D636,RoleTitles!$A:$E,4,FALSE),IF($C636="Aesir",VLOOKUP($D636,RoleTitles!$A:$E,5,FALSE),VLOOKUP($D636,RoleTitles!$A:$E,3,FALSE))))</f>
        <v/>
      </c>
      <c r="J636" s="27">
        <f>IF($D636="","",IF($E636&gt;=VLOOKUP($D636,RoleTitles!$A:$B,2,FALSE),"Yes","No"))</f>
        <v/>
      </c>
      <c r="K636" s="27">
        <f>IF($D636="","",IF($D636="T1","T2",IF($D636="T2","T3",IF($D636="T3","T4",IF($D636="T4","T5",IF($D636="T5","T6",IF($D636="T6","T7",IF($D636="T7","T8",IF($D636="T8","T9","")))))))))</f>
        <v/>
      </c>
      <c r="L636" s="28">
        <f>IF($K636="","",MAX(0,VLOOKUP($K636,RoleTitles!$A:$B,2,FALSE)-$E636))</f>
        <v/>
      </c>
    </row>
    <row r="637">
      <c r="A637" s="24">
        <f>IFERROR(INDEX(CoachRoster!$A$2:$A$1000,ROW()-1),"")</f>
        <v/>
      </c>
      <c r="B637" s="27">
        <f>IF($A637="","",VLOOKUP($A637,CoachRoster!$A:$E,2,FALSE))</f>
        <v/>
      </c>
      <c r="C637" s="27">
        <f>IF($A637="","",VLOOKUP($A637,CoachRoster!$A:$E,3,FALSE))</f>
        <v/>
      </c>
      <c r="D637" s="27">
        <f>IF($A637="","",VLOOKUP($A637,CoachRoster!$A:$E,4,FALSE))</f>
        <v/>
      </c>
      <c r="E637" s="27">
        <f>IF($A637="","",MIN(Settings!$B$8,IFERROR(SUMIF(Weekly_Coaching!$B:$B,$A637,Weekly_Coaching!$D:$D),0)+IFERROR(SUMIF(Monthly_Edu!$B:$B,$A637,Monthly_Edu!$D:$D),0)+IFERROR(SUMIF(Monthly_Ops!$B:$B,$A637,Monthly_Ops!$D:$D),0)+IFERROR(SUMIF(Monthly_Mentor!$B:$B,$A637,Monthly_Mentor!$D:$D),0)+IFERROR(SUMIF(Quarterly_Impact!$B:$B,$A637,Quarterly_Impact!$D:$D),0)+IFERROR(SUMIFS(XPLog!$M:$M,XPLog!$B:$B,$A637,XPLog!$J:$J,"Admin"),0)+IFERROR(SUMIFS(XPLog!$M:$M,XPLog!$B:$B,$A637,XPLog!$J:$J,"Seeding"),0)))</f>
        <v/>
      </c>
      <c r="F637" s="27">
        <f>IF($E637="","",LOOKUP($E637, XPBands!B$2:B$10, XPBands!A$2:A$10))</f>
        <v/>
      </c>
      <c r="G637" s="27">
        <f>IF($E637="","", VLOOKUP($F637, XPBands!A$2:G$10, 4, FALSE) + MIN(VLOOKUP($F637, XPBands!A$2:G$10, 5, FALSE) - VLOOKUP($F637, XPBands!A$2:G$10, 4, FALSE), FLOOR(( $E637 - VLOOKUP($F637, XPBands!A$2:G$10, 2, FALSE) ) / VLOOKUP($F637, XPBands!A$2:G$10, 7, FALSE),1)))</f>
        <v/>
      </c>
      <c r="H637" s="27">
        <f>IF($D637="","",VLOOKUP($D637,RoleTitles!$A:$E,3,FALSE))</f>
        <v/>
      </c>
      <c r="I637" s="27">
        <f>IF($D637="","",IF($C637="Greek",VLOOKUP($D637,RoleTitles!$A:$E,4,FALSE),IF($C637="Aesir",VLOOKUP($D637,RoleTitles!$A:$E,5,FALSE),VLOOKUP($D637,RoleTitles!$A:$E,3,FALSE))))</f>
        <v/>
      </c>
      <c r="J637" s="27">
        <f>IF($D637="","",IF($E637&gt;=VLOOKUP($D637,RoleTitles!$A:$B,2,FALSE),"Yes","No"))</f>
        <v/>
      </c>
      <c r="K637" s="27">
        <f>IF($D637="","",IF($D637="T1","T2",IF($D637="T2","T3",IF($D637="T3","T4",IF($D637="T4","T5",IF($D637="T5","T6",IF($D637="T6","T7",IF($D637="T7","T8",IF($D637="T8","T9","")))))))))</f>
        <v/>
      </c>
      <c r="L637" s="28">
        <f>IF($K637="","",MAX(0,VLOOKUP($K637,RoleTitles!$A:$B,2,FALSE)-$E637))</f>
        <v/>
      </c>
    </row>
    <row r="638">
      <c r="A638" s="24">
        <f>IFERROR(INDEX(CoachRoster!$A$2:$A$1000,ROW()-1),"")</f>
        <v/>
      </c>
      <c r="B638" s="27">
        <f>IF($A638="","",VLOOKUP($A638,CoachRoster!$A:$E,2,FALSE))</f>
        <v/>
      </c>
      <c r="C638" s="27">
        <f>IF($A638="","",VLOOKUP($A638,CoachRoster!$A:$E,3,FALSE))</f>
        <v/>
      </c>
      <c r="D638" s="27">
        <f>IF($A638="","",VLOOKUP($A638,CoachRoster!$A:$E,4,FALSE))</f>
        <v/>
      </c>
      <c r="E638" s="27">
        <f>IF($A638="","",MIN(Settings!$B$8,IFERROR(SUMIF(Weekly_Coaching!$B:$B,$A638,Weekly_Coaching!$D:$D),0)+IFERROR(SUMIF(Monthly_Edu!$B:$B,$A638,Monthly_Edu!$D:$D),0)+IFERROR(SUMIF(Monthly_Ops!$B:$B,$A638,Monthly_Ops!$D:$D),0)+IFERROR(SUMIF(Monthly_Mentor!$B:$B,$A638,Monthly_Mentor!$D:$D),0)+IFERROR(SUMIF(Quarterly_Impact!$B:$B,$A638,Quarterly_Impact!$D:$D),0)+IFERROR(SUMIFS(XPLog!$M:$M,XPLog!$B:$B,$A638,XPLog!$J:$J,"Admin"),0)+IFERROR(SUMIFS(XPLog!$M:$M,XPLog!$B:$B,$A638,XPLog!$J:$J,"Seeding"),0)))</f>
        <v/>
      </c>
      <c r="F638" s="27">
        <f>IF($E638="","",LOOKUP($E638, XPBands!B$2:B$10, XPBands!A$2:A$10))</f>
        <v/>
      </c>
      <c r="G638" s="27">
        <f>IF($E638="","", VLOOKUP($F638, XPBands!A$2:G$10, 4, FALSE) + MIN(VLOOKUP($F638, XPBands!A$2:G$10, 5, FALSE) - VLOOKUP($F638, XPBands!A$2:G$10, 4, FALSE), FLOOR(( $E638 - VLOOKUP($F638, XPBands!A$2:G$10, 2, FALSE) ) / VLOOKUP($F638, XPBands!A$2:G$10, 7, FALSE),1)))</f>
        <v/>
      </c>
      <c r="H638" s="27">
        <f>IF($D638="","",VLOOKUP($D638,RoleTitles!$A:$E,3,FALSE))</f>
        <v/>
      </c>
      <c r="I638" s="27">
        <f>IF($D638="","",IF($C638="Greek",VLOOKUP($D638,RoleTitles!$A:$E,4,FALSE),IF($C638="Aesir",VLOOKUP($D638,RoleTitles!$A:$E,5,FALSE),VLOOKUP($D638,RoleTitles!$A:$E,3,FALSE))))</f>
        <v/>
      </c>
      <c r="J638" s="27">
        <f>IF($D638="","",IF($E638&gt;=VLOOKUP($D638,RoleTitles!$A:$B,2,FALSE),"Yes","No"))</f>
        <v/>
      </c>
      <c r="K638" s="27">
        <f>IF($D638="","",IF($D638="T1","T2",IF($D638="T2","T3",IF($D638="T3","T4",IF($D638="T4","T5",IF($D638="T5","T6",IF($D638="T6","T7",IF($D638="T7","T8",IF($D638="T8","T9","")))))))))</f>
        <v/>
      </c>
      <c r="L638" s="28">
        <f>IF($K638="","",MAX(0,VLOOKUP($K638,RoleTitles!$A:$B,2,FALSE)-$E638))</f>
        <v/>
      </c>
    </row>
    <row r="639">
      <c r="A639" s="24">
        <f>IFERROR(INDEX(CoachRoster!$A$2:$A$1000,ROW()-1),"")</f>
        <v/>
      </c>
      <c r="B639" s="27">
        <f>IF($A639="","",VLOOKUP($A639,CoachRoster!$A:$E,2,FALSE))</f>
        <v/>
      </c>
      <c r="C639" s="27">
        <f>IF($A639="","",VLOOKUP($A639,CoachRoster!$A:$E,3,FALSE))</f>
        <v/>
      </c>
      <c r="D639" s="27">
        <f>IF($A639="","",VLOOKUP($A639,CoachRoster!$A:$E,4,FALSE))</f>
        <v/>
      </c>
      <c r="E639" s="27">
        <f>IF($A639="","",MIN(Settings!$B$8,IFERROR(SUMIF(Weekly_Coaching!$B:$B,$A639,Weekly_Coaching!$D:$D),0)+IFERROR(SUMIF(Monthly_Edu!$B:$B,$A639,Monthly_Edu!$D:$D),0)+IFERROR(SUMIF(Monthly_Ops!$B:$B,$A639,Monthly_Ops!$D:$D),0)+IFERROR(SUMIF(Monthly_Mentor!$B:$B,$A639,Monthly_Mentor!$D:$D),0)+IFERROR(SUMIF(Quarterly_Impact!$B:$B,$A639,Quarterly_Impact!$D:$D),0)+IFERROR(SUMIFS(XPLog!$M:$M,XPLog!$B:$B,$A639,XPLog!$J:$J,"Admin"),0)+IFERROR(SUMIFS(XPLog!$M:$M,XPLog!$B:$B,$A639,XPLog!$J:$J,"Seeding"),0)))</f>
        <v/>
      </c>
      <c r="F639" s="27">
        <f>IF($E639="","",LOOKUP($E639, XPBands!B$2:B$10, XPBands!A$2:A$10))</f>
        <v/>
      </c>
      <c r="G639" s="27">
        <f>IF($E639="","", VLOOKUP($F639, XPBands!A$2:G$10, 4, FALSE) + MIN(VLOOKUP($F639, XPBands!A$2:G$10, 5, FALSE) - VLOOKUP($F639, XPBands!A$2:G$10, 4, FALSE), FLOOR(( $E639 - VLOOKUP($F639, XPBands!A$2:G$10, 2, FALSE) ) / VLOOKUP($F639, XPBands!A$2:G$10, 7, FALSE),1)))</f>
        <v/>
      </c>
      <c r="H639" s="27">
        <f>IF($D639="","",VLOOKUP($D639,RoleTitles!$A:$E,3,FALSE))</f>
        <v/>
      </c>
      <c r="I639" s="27">
        <f>IF($D639="","",IF($C639="Greek",VLOOKUP($D639,RoleTitles!$A:$E,4,FALSE),IF($C639="Aesir",VLOOKUP($D639,RoleTitles!$A:$E,5,FALSE),VLOOKUP($D639,RoleTitles!$A:$E,3,FALSE))))</f>
        <v/>
      </c>
      <c r="J639" s="27">
        <f>IF($D639="","",IF($E639&gt;=VLOOKUP($D639,RoleTitles!$A:$B,2,FALSE),"Yes","No"))</f>
        <v/>
      </c>
      <c r="K639" s="27">
        <f>IF($D639="","",IF($D639="T1","T2",IF($D639="T2","T3",IF($D639="T3","T4",IF($D639="T4","T5",IF($D639="T5","T6",IF($D639="T6","T7",IF($D639="T7","T8",IF($D639="T8","T9","")))))))))</f>
        <v/>
      </c>
      <c r="L639" s="28">
        <f>IF($K639="","",MAX(0,VLOOKUP($K639,RoleTitles!$A:$B,2,FALSE)-$E639))</f>
        <v/>
      </c>
    </row>
    <row r="640">
      <c r="A640" s="24">
        <f>IFERROR(INDEX(CoachRoster!$A$2:$A$1000,ROW()-1),"")</f>
        <v/>
      </c>
      <c r="B640" s="27">
        <f>IF($A640="","",VLOOKUP($A640,CoachRoster!$A:$E,2,FALSE))</f>
        <v/>
      </c>
      <c r="C640" s="27">
        <f>IF($A640="","",VLOOKUP($A640,CoachRoster!$A:$E,3,FALSE))</f>
        <v/>
      </c>
      <c r="D640" s="27">
        <f>IF($A640="","",VLOOKUP($A640,CoachRoster!$A:$E,4,FALSE))</f>
        <v/>
      </c>
      <c r="E640" s="27">
        <f>IF($A640="","",MIN(Settings!$B$8,IFERROR(SUMIF(Weekly_Coaching!$B:$B,$A640,Weekly_Coaching!$D:$D),0)+IFERROR(SUMIF(Monthly_Edu!$B:$B,$A640,Monthly_Edu!$D:$D),0)+IFERROR(SUMIF(Monthly_Ops!$B:$B,$A640,Monthly_Ops!$D:$D),0)+IFERROR(SUMIF(Monthly_Mentor!$B:$B,$A640,Monthly_Mentor!$D:$D),0)+IFERROR(SUMIF(Quarterly_Impact!$B:$B,$A640,Quarterly_Impact!$D:$D),0)+IFERROR(SUMIFS(XPLog!$M:$M,XPLog!$B:$B,$A640,XPLog!$J:$J,"Admin"),0)+IFERROR(SUMIFS(XPLog!$M:$M,XPLog!$B:$B,$A640,XPLog!$J:$J,"Seeding"),0)))</f>
        <v/>
      </c>
      <c r="F640" s="27">
        <f>IF($E640="","",LOOKUP($E640, XPBands!B$2:B$10, XPBands!A$2:A$10))</f>
        <v/>
      </c>
      <c r="G640" s="27">
        <f>IF($E640="","", VLOOKUP($F640, XPBands!A$2:G$10, 4, FALSE) + MIN(VLOOKUP($F640, XPBands!A$2:G$10, 5, FALSE) - VLOOKUP($F640, XPBands!A$2:G$10, 4, FALSE), FLOOR(( $E640 - VLOOKUP($F640, XPBands!A$2:G$10, 2, FALSE) ) / VLOOKUP($F640, XPBands!A$2:G$10, 7, FALSE),1)))</f>
        <v/>
      </c>
      <c r="H640" s="27">
        <f>IF($D640="","",VLOOKUP($D640,RoleTitles!$A:$E,3,FALSE))</f>
        <v/>
      </c>
      <c r="I640" s="27">
        <f>IF($D640="","",IF($C640="Greek",VLOOKUP($D640,RoleTitles!$A:$E,4,FALSE),IF($C640="Aesir",VLOOKUP($D640,RoleTitles!$A:$E,5,FALSE),VLOOKUP($D640,RoleTitles!$A:$E,3,FALSE))))</f>
        <v/>
      </c>
      <c r="J640" s="27">
        <f>IF($D640="","",IF($E640&gt;=VLOOKUP($D640,RoleTitles!$A:$B,2,FALSE),"Yes","No"))</f>
        <v/>
      </c>
      <c r="K640" s="27">
        <f>IF($D640="","",IF($D640="T1","T2",IF($D640="T2","T3",IF($D640="T3","T4",IF($D640="T4","T5",IF($D640="T5","T6",IF($D640="T6","T7",IF($D640="T7","T8",IF($D640="T8","T9","")))))))))</f>
        <v/>
      </c>
      <c r="L640" s="28">
        <f>IF($K640="","",MAX(0,VLOOKUP($K640,RoleTitles!$A:$B,2,FALSE)-$E640))</f>
        <v/>
      </c>
    </row>
    <row r="641">
      <c r="A641" s="24">
        <f>IFERROR(INDEX(CoachRoster!$A$2:$A$1000,ROW()-1),"")</f>
        <v/>
      </c>
      <c r="B641" s="27">
        <f>IF($A641="","",VLOOKUP($A641,CoachRoster!$A:$E,2,FALSE))</f>
        <v/>
      </c>
      <c r="C641" s="27">
        <f>IF($A641="","",VLOOKUP($A641,CoachRoster!$A:$E,3,FALSE))</f>
        <v/>
      </c>
      <c r="D641" s="27">
        <f>IF($A641="","",VLOOKUP($A641,CoachRoster!$A:$E,4,FALSE))</f>
        <v/>
      </c>
      <c r="E641" s="27">
        <f>IF($A641="","",MIN(Settings!$B$8,IFERROR(SUMIF(Weekly_Coaching!$B:$B,$A641,Weekly_Coaching!$D:$D),0)+IFERROR(SUMIF(Monthly_Edu!$B:$B,$A641,Monthly_Edu!$D:$D),0)+IFERROR(SUMIF(Monthly_Ops!$B:$B,$A641,Monthly_Ops!$D:$D),0)+IFERROR(SUMIF(Monthly_Mentor!$B:$B,$A641,Monthly_Mentor!$D:$D),0)+IFERROR(SUMIF(Quarterly_Impact!$B:$B,$A641,Quarterly_Impact!$D:$D),0)+IFERROR(SUMIFS(XPLog!$M:$M,XPLog!$B:$B,$A641,XPLog!$J:$J,"Admin"),0)+IFERROR(SUMIFS(XPLog!$M:$M,XPLog!$B:$B,$A641,XPLog!$J:$J,"Seeding"),0)))</f>
        <v/>
      </c>
      <c r="F641" s="27">
        <f>IF($E641="","",LOOKUP($E641, XPBands!B$2:B$10, XPBands!A$2:A$10))</f>
        <v/>
      </c>
      <c r="G641" s="27">
        <f>IF($E641="","", VLOOKUP($F641, XPBands!A$2:G$10, 4, FALSE) + MIN(VLOOKUP($F641, XPBands!A$2:G$10, 5, FALSE) - VLOOKUP($F641, XPBands!A$2:G$10, 4, FALSE), FLOOR(( $E641 - VLOOKUP($F641, XPBands!A$2:G$10, 2, FALSE) ) / VLOOKUP($F641, XPBands!A$2:G$10, 7, FALSE),1)))</f>
        <v/>
      </c>
      <c r="H641" s="27">
        <f>IF($D641="","",VLOOKUP($D641,RoleTitles!$A:$E,3,FALSE))</f>
        <v/>
      </c>
      <c r="I641" s="27">
        <f>IF($D641="","",IF($C641="Greek",VLOOKUP($D641,RoleTitles!$A:$E,4,FALSE),IF($C641="Aesir",VLOOKUP($D641,RoleTitles!$A:$E,5,FALSE),VLOOKUP($D641,RoleTitles!$A:$E,3,FALSE))))</f>
        <v/>
      </c>
      <c r="J641" s="27">
        <f>IF($D641="","",IF($E641&gt;=VLOOKUP($D641,RoleTitles!$A:$B,2,FALSE),"Yes","No"))</f>
        <v/>
      </c>
      <c r="K641" s="27">
        <f>IF($D641="","",IF($D641="T1","T2",IF($D641="T2","T3",IF($D641="T3","T4",IF($D641="T4","T5",IF($D641="T5","T6",IF($D641="T6","T7",IF($D641="T7","T8",IF($D641="T8","T9","")))))))))</f>
        <v/>
      </c>
      <c r="L641" s="28">
        <f>IF($K641="","",MAX(0,VLOOKUP($K641,RoleTitles!$A:$B,2,FALSE)-$E641))</f>
        <v/>
      </c>
    </row>
    <row r="642">
      <c r="A642" s="24">
        <f>IFERROR(INDEX(CoachRoster!$A$2:$A$1000,ROW()-1),"")</f>
        <v/>
      </c>
      <c r="B642" s="27">
        <f>IF($A642="","",VLOOKUP($A642,CoachRoster!$A:$E,2,FALSE))</f>
        <v/>
      </c>
      <c r="C642" s="27">
        <f>IF($A642="","",VLOOKUP($A642,CoachRoster!$A:$E,3,FALSE))</f>
        <v/>
      </c>
      <c r="D642" s="27">
        <f>IF($A642="","",VLOOKUP($A642,CoachRoster!$A:$E,4,FALSE))</f>
        <v/>
      </c>
      <c r="E642" s="27">
        <f>IF($A642="","",MIN(Settings!$B$8,IFERROR(SUMIF(Weekly_Coaching!$B:$B,$A642,Weekly_Coaching!$D:$D),0)+IFERROR(SUMIF(Monthly_Edu!$B:$B,$A642,Monthly_Edu!$D:$D),0)+IFERROR(SUMIF(Monthly_Ops!$B:$B,$A642,Monthly_Ops!$D:$D),0)+IFERROR(SUMIF(Monthly_Mentor!$B:$B,$A642,Monthly_Mentor!$D:$D),0)+IFERROR(SUMIF(Quarterly_Impact!$B:$B,$A642,Quarterly_Impact!$D:$D),0)+IFERROR(SUMIFS(XPLog!$M:$M,XPLog!$B:$B,$A642,XPLog!$J:$J,"Admin"),0)+IFERROR(SUMIFS(XPLog!$M:$M,XPLog!$B:$B,$A642,XPLog!$J:$J,"Seeding"),0)))</f>
        <v/>
      </c>
      <c r="F642" s="27">
        <f>IF($E642="","",LOOKUP($E642, XPBands!B$2:B$10, XPBands!A$2:A$10))</f>
        <v/>
      </c>
      <c r="G642" s="27">
        <f>IF($E642="","", VLOOKUP($F642, XPBands!A$2:G$10, 4, FALSE) + MIN(VLOOKUP($F642, XPBands!A$2:G$10, 5, FALSE) - VLOOKUP($F642, XPBands!A$2:G$10, 4, FALSE), FLOOR(( $E642 - VLOOKUP($F642, XPBands!A$2:G$10, 2, FALSE) ) / VLOOKUP($F642, XPBands!A$2:G$10, 7, FALSE),1)))</f>
        <v/>
      </c>
      <c r="H642" s="27">
        <f>IF($D642="","",VLOOKUP($D642,RoleTitles!$A:$E,3,FALSE))</f>
        <v/>
      </c>
      <c r="I642" s="27">
        <f>IF($D642="","",IF($C642="Greek",VLOOKUP($D642,RoleTitles!$A:$E,4,FALSE),IF($C642="Aesir",VLOOKUP($D642,RoleTitles!$A:$E,5,FALSE),VLOOKUP($D642,RoleTitles!$A:$E,3,FALSE))))</f>
        <v/>
      </c>
      <c r="J642" s="27">
        <f>IF($D642="","",IF($E642&gt;=VLOOKUP($D642,RoleTitles!$A:$B,2,FALSE),"Yes","No"))</f>
        <v/>
      </c>
      <c r="K642" s="27">
        <f>IF($D642="","",IF($D642="T1","T2",IF($D642="T2","T3",IF($D642="T3","T4",IF($D642="T4","T5",IF($D642="T5","T6",IF($D642="T6","T7",IF($D642="T7","T8",IF($D642="T8","T9","")))))))))</f>
        <v/>
      </c>
      <c r="L642" s="28">
        <f>IF($K642="","",MAX(0,VLOOKUP($K642,RoleTitles!$A:$B,2,FALSE)-$E642))</f>
        <v/>
      </c>
    </row>
    <row r="643">
      <c r="A643" s="24">
        <f>IFERROR(INDEX(CoachRoster!$A$2:$A$1000,ROW()-1),"")</f>
        <v/>
      </c>
      <c r="B643" s="27">
        <f>IF($A643="","",VLOOKUP($A643,CoachRoster!$A:$E,2,FALSE))</f>
        <v/>
      </c>
      <c r="C643" s="27">
        <f>IF($A643="","",VLOOKUP($A643,CoachRoster!$A:$E,3,FALSE))</f>
        <v/>
      </c>
      <c r="D643" s="27">
        <f>IF($A643="","",VLOOKUP($A643,CoachRoster!$A:$E,4,FALSE))</f>
        <v/>
      </c>
      <c r="E643" s="27">
        <f>IF($A643="","",MIN(Settings!$B$8,IFERROR(SUMIF(Weekly_Coaching!$B:$B,$A643,Weekly_Coaching!$D:$D),0)+IFERROR(SUMIF(Monthly_Edu!$B:$B,$A643,Monthly_Edu!$D:$D),0)+IFERROR(SUMIF(Monthly_Ops!$B:$B,$A643,Monthly_Ops!$D:$D),0)+IFERROR(SUMIF(Monthly_Mentor!$B:$B,$A643,Monthly_Mentor!$D:$D),0)+IFERROR(SUMIF(Quarterly_Impact!$B:$B,$A643,Quarterly_Impact!$D:$D),0)+IFERROR(SUMIFS(XPLog!$M:$M,XPLog!$B:$B,$A643,XPLog!$J:$J,"Admin"),0)+IFERROR(SUMIFS(XPLog!$M:$M,XPLog!$B:$B,$A643,XPLog!$J:$J,"Seeding"),0)))</f>
        <v/>
      </c>
      <c r="F643" s="27">
        <f>IF($E643="","",LOOKUP($E643, XPBands!B$2:B$10, XPBands!A$2:A$10))</f>
        <v/>
      </c>
      <c r="G643" s="27">
        <f>IF($E643="","", VLOOKUP($F643, XPBands!A$2:G$10, 4, FALSE) + MIN(VLOOKUP($F643, XPBands!A$2:G$10, 5, FALSE) - VLOOKUP($F643, XPBands!A$2:G$10, 4, FALSE), FLOOR(( $E643 - VLOOKUP($F643, XPBands!A$2:G$10, 2, FALSE) ) / VLOOKUP($F643, XPBands!A$2:G$10, 7, FALSE),1)))</f>
        <v/>
      </c>
      <c r="H643" s="27">
        <f>IF($D643="","",VLOOKUP($D643,RoleTitles!$A:$E,3,FALSE))</f>
        <v/>
      </c>
      <c r="I643" s="27">
        <f>IF($D643="","",IF($C643="Greek",VLOOKUP($D643,RoleTitles!$A:$E,4,FALSE),IF($C643="Aesir",VLOOKUP($D643,RoleTitles!$A:$E,5,FALSE),VLOOKUP($D643,RoleTitles!$A:$E,3,FALSE))))</f>
        <v/>
      </c>
      <c r="J643" s="27">
        <f>IF($D643="","",IF($E643&gt;=VLOOKUP($D643,RoleTitles!$A:$B,2,FALSE),"Yes","No"))</f>
        <v/>
      </c>
      <c r="K643" s="27">
        <f>IF($D643="","",IF($D643="T1","T2",IF($D643="T2","T3",IF($D643="T3","T4",IF($D643="T4","T5",IF($D643="T5","T6",IF($D643="T6","T7",IF($D643="T7","T8",IF($D643="T8","T9","")))))))))</f>
        <v/>
      </c>
      <c r="L643" s="28">
        <f>IF($K643="","",MAX(0,VLOOKUP($K643,RoleTitles!$A:$B,2,FALSE)-$E643))</f>
        <v/>
      </c>
    </row>
    <row r="644">
      <c r="A644" s="24">
        <f>IFERROR(INDEX(CoachRoster!$A$2:$A$1000,ROW()-1),"")</f>
        <v/>
      </c>
      <c r="B644" s="27">
        <f>IF($A644="","",VLOOKUP($A644,CoachRoster!$A:$E,2,FALSE))</f>
        <v/>
      </c>
      <c r="C644" s="27">
        <f>IF($A644="","",VLOOKUP($A644,CoachRoster!$A:$E,3,FALSE))</f>
        <v/>
      </c>
      <c r="D644" s="27">
        <f>IF($A644="","",VLOOKUP($A644,CoachRoster!$A:$E,4,FALSE))</f>
        <v/>
      </c>
      <c r="E644" s="27">
        <f>IF($A644="","",MIN(Settings!$B$8,IFERROR(SUMIF(Weekly_Coaching!$B:$B,$A644,Weekly_Coaching!$D:$D),0)+IFERROR(SUMIF(Monthly_Edu!$B:$B,$A644,Monthly_Edu!$D:$D),0)+IFERROR(SUMIF(Monthly_Ops!$B:$B,$A644,Monthly_Ops!$D:$D),0)+IFERROR(SUMIF(Monthly_Mentor!$B:$B,$A644,Monthly_Mentor!$D:$D),0)+IFERROR(SUMIF(Quarterly_Impact!$B:$B,$A644,Quarterly_Impact!$D:$D),0)+IFERROR(SUMIFS(XPLog!$M:$M,XPLog!$B:$B,$A644,XPLog!$J:$J,"Admin"),0)+IFERROR(SUMIFS(XPLog!$M:$M,XPLog!$B:$B,$A644,XPLog!$J:$J,"Seeding"),0)))</f>
        <v/>
      </c>
      <c r="F644" s="27">
        <f>IF($E644="","",LOOKUP($E644, XPBands!B$2:B$10, XPBands!A$2:A$10))</f>
        <v/>
      </c>
      <c r="G644" s="27">
        <f>IF($E644="","", VLOOKUP($F644, XPBands!A$2:G$10, 4, FALSE) + MIN(VLOOKUP($F644, XPBands!A$2:G$10, 5, FALSE) - VLOOKUP($F644, XPBands!A$2:G$10, 4, FALSE), FLOOR(( $E644 - VLOOKUP($F644, XPBands!A$2:G$10, 2, FALSE) ) / VLOOKUP($F644, XPBands!A$2:G$10, 7, FALSE),1)))</f>
        <v/>
      </c>
      <c r="H644" s="27">
        <f>IF($D644="","",VLOOKUP($D644,RoleTitles!$A:$E,3,FALSE))</f>
        <v/>
      </c>
      <c r="I644" s="27">
        <f>IF($D644="","",IF($C644="Greek",VLOOKUP($D644,RoleTitles!$A:$E,4,FALSE),IF($C644="Aesir",VLOOKUP($D644,RoleTitles!$A:$E,5,FALSE),VLOOKUP($D644,RoleTitles!$A:$E,3,FALSE))))</f>
        <v/>
      </c>
      <c r="J644" s="27">
        <f>IF($D644="","",IF($E644&gt;=VLOOKUP($D644,RoleTitles!$A:$B,2,FALSE),"Yes","No"))</f>
        <v/>
      </c>
      <c r="K644" s="27">
        <f>IF($D644="","",IF($D644="T1","T2",IF($D644="T2","T3",IF($D644="T3","T4",IF($D644="T4","T5",IF($D644="T5","T6",IF($D644="T6","T7",IF($D644="T7","T8",IF($D644="T8","T9","")))))))))</f>
        <v/>
      </c>
      <c r="L644" s="28">
        <f>IF($K644="","",MAX(0,VLOOKUP($K644,RoleTitles!$A:$B,2,FALSE)-$E644))</f>
        <v/>
      </c>
    </row>
    <row r="645">
      <c r="A645" s="24">
        <f>IFERROR(INDEX(CoachRoster!$A$2:$A$1000,ROW()-1),"")</f>
        <v/>
      </c>
      <c r="B645" s="27">
        <f>IF($A645="","",VLOOKUP($A645,CoachRoster!$A:$E,2,FALSE))</f>
        <v/>
      </c>
      <c r="C645" s="27">
        <f>IF($A645="","",VLOOKUP($A645,CoachRoster!$A:$E,3,FALSE))</f>
        <v/>
      </c>
      <c r="D645" s="27">
        <f>IF($A645="","",VLOOKUP($A645,CoachRoster!$A:$E,4,FALSE))</f>
        <v/>
      </c>
      <c r="E645" s="27">
        <f>IF($A645="","",MIN(Settings!$B$8,IFERROR(SUMIF(Weekly_Coaching!$B:$B,$A645,Weekly_Coaching!$D:$D),0)+IFERROR(SUMIF(Monthly_Edu!$B:$B,$A645,Monthly_Edu!$D:$D),0)+IFERROR(SUMIF(Monthly_Ops!$B:$B,$A645,Monthly_Ops!$D:$D),0)+IFERROR(SUMIF(Monthly_Mentor!$B:$B,$A645,Monthly_Mentor!$D:$D),0)+IFERROR(SUMIF(Quarterly_Impact!$B:$B,$A645,Quarterly_Impact!$D:$D),0)+IFERROR(SUMIFS(XPLog!$M:$M,XPLog!$B:$B,$A645,XPLog!$J:$J,"Admin"),0)+IFERROR(SUMIFS(XPLog!$M:$M,XPLog!$B:$B,$A645,XPLog!$J:$J,"Seeding"),0)))</f>
        <v/>
      </c>
      <c r="F645" s="27">
        <f>IF($E645="","",LOOKUP($E645, XPBands!B$2:B$10, XPBands!A$2:A$10))</f>
        <v/>
      </c>
      <c r="G645" s="27">
        <f>IF($E645="","", VLOOKUP($F645, XPBands!A$2:G$10, 4, FALSE) + MIN(VLOOKUP($F645, XPBands!A$2:G$10, 5, FALSE) - VLOOKUP($F645, XPBands!A$2:G$10, 4, FALSE), FLOOR(( $E645 - VLOOKUP($F645, XPBands!A$2:G$10, 2, FALSE) ) / VLOOKUP($F645, XPBands!A$2:G$10, 7, FALSE),1)))</f>
        <v/>
      </c>
      <c r="H645" s="27">
        <f>IF($D645="","",VLOOKUP($D645,RoleTitles!$A:$E,3,FALSE))</f>
        <v/>
      </c>
      <c r="I645" s="27">
        <f>IF($D645="","",IF($C645="Greek",VLOOKUP($D645,RoleTitles!$A:$E,4,FALSE),IF($C645="Aesir",VLOOKUP($D645,RoleTitles!$A:$E,5,FALSE),VLOOKUP($D645,RoleTitles!$A:$E,3,FALSE))))</f>
        <v/>
      </c>
      <c r="J645" s="27">
        <f>IF($D645="","",IF($E645&gt;=VLOOKUP($D645,RoleTitles!$A:$B,2,FALSE),"Yes","No"))</f>
        <v/>
      </c>
      <c r="K645" s="27">
        <f>IF($D645="","",IF($D645="T1","T2",IF($D645="T2","T3",IF($D645="T3","T4",IF($D645="T4","T5",IF($D645="T5","T6",IF($D645="T6","T7",IF($D645="T7","T8",IF($D645="T8","T9","")))))))))</f>
        <v/>
      </c>
      <c r="L645" s="28">
        <f>IF($K645="","",MAX(0,VLOOKUP($K645,RoleTitles!$A:$B,2,FALSE)-$E645))</f>
        <v/>
      </c>
    </row>
    <row r="646">
      <c r="A646" s="24">
        <f>IFERROR(INDEX(CoachRoster!$A$2:$A$1000,ROW()-1),"")</f>
        <v/>
      </c>
      <c r="B646" s="27">
        <f>IF($A646="","",VLOOKUP($A646,CoachRoster!$A:$E,2,FALSE))</f>
        <v/>
      </c>
      <c r="C646" s="27">
        <f>IF($A646="","",VLOOKUP($A646,CoachRoster!$A:$E,3,FALSE))</f>
        <v/>
      </c>
      <c r="D646" s="27">
        <f>IF($A646="","",VLOOKUP($A646,CoachRoster!$A:$E,4,FALSE))</f>
        <v/>
      </c>
      <c r="E646" s="27">
        <f>IF($A646="","",MIN(Settings!$B$8,IFERROR(SUMIF(Weekly_Coaching!$B:$B,$A646,Weekly_Coaching!$D:$D),0)+IFERROR(SUMIF(Monthly_Edu!$B:$B,$A646,Monthly_Edu!$D:$D),0)+IFERROR(SUMIF(Monthly_Ops!$B:$B,$A646,Monthly_Ops!$D:$D),0)+IFERROR(SUMIF(Monthly_Mentor!$B:$B,$A646,Monthly_Mentor!$D:$D),0)+IFERROR(SUMIF(Quarterly_Impact!$B:$B,$A646,Quarterly_Impact!$D:$D),0)+IFERROR(SUMIFS(XPLog!$M:$M,XPLog!$B:$B,$A646,XPLog!$J:$J,"Admin"),0)+IFERROR(SUMIFS(XPLog!$M:$M,XPLog!$B:$B,$A646,XPLog!$J:$J,"Seeding"),0)))</f>
        <v/>
      </c>
      <c r="F646" s="27">
        <f>IF($E646="","",LOOKUP($E646, XPBands!B$2:B$10, XPBands!A$2:A$10))</f>
        <v/>
      </c>
      <c r="G646" s="27">
        <f>IF($E646="","", VLOOKUP($F646, XPBands!A$2:G$10, 4, FALSE) + MIN(VLOOKUP($F646, XPBands!A$2:G$10, 5, FALSE) - VLOOKUP($F646, XPBands!A$2:G$10, 4, FALSE), FLOOR(( $E646 - VLOOKUP($F646, XPBands!A$2:G$10, 2, FALSE) ) / VLOOKUP($F646, XPBands!A$2:G$10, 7, FALSE),1)))</f>
        <v/>
      </c>
      <c r="H646" s="27">
        <f>IF($D646="","",VLOOKUP($D646,RoleTitles!$A:$E,3,FALSE))</f>
        <v/>
      </c>
      <c r="I646" s="27">
        <f>IF($D646="","",IF($C646="Greek",VLOOKUP($D646,RoleTitles!$A:$E,4,FALSE),IF($C646="Aesir",VLOOKUP($D646,RoleTitles!$A:$E,5,FALSE),VLOOKUP($D646,RoleTitles!$A:$E,3,FALSE))))</f>
        <v/>
      </c>
      <c r="J646" s="27">
        <f>IF($D646="","",IF($E646&gt;=VLOOKUP($D646,RoleTitles!$A:$B,2,FALSE),"Yes","No"))</f>
        <v/>
      </c>
      <c r="K646" s="27">
        <f>IF($D646="","",IF($D646="T1","T2",IF($D646="T2","T3",IF($D646="T3","T4",IF($D646="T4","T5",IF($D646="T5","T6",IF($D646="T6","T7",IF($D646="T7","T8",IF($D646="T8","T9","")))))))))</f>
        <v/>
      </c>
      <c r="L646" s="28">
        <f>IF($K646="","",MAX(0,VLOOKUP($K646,RoleTitles!$A:$B,2,FALSE)-$E646))</f>
        <v/>
      </c>
    </row>
    <row r="647">
      <c r="A647" s="24">
        <f>IFERROR(INDEX(CoachRoster!$A$2:$A$1000,ROW()-1),"")</f>
        <v/>
      </c>
      <c r="B647" s="27">
        <f>IF($A647="","",VLOOKUP($A647,CoachRoster!$A:$E,2,FALSE))</f>
        <v/>
      </c>
      <c r="C647" s="27">
        <f>IF($A647="","",VLOOKUP($A647,CoachRoster!$A:$E,3,FALSE))</f>
        <v/>
      </c>
      <c r="D647" s="27">
        <f>IF($A647="","",VLOOKUP($A647,CoachRoster!$A:$E,4,FALSE))</f>
        <v/>
      </c>
      <c r="E647" s="27">
        <f>IF($A647="","",MIN(Settings!$B$8,IFERROR(SUMIF(Weekly_Coaching!$B:$B,$A647,Weekly_Coaching!$D:$D),0)+IFERROR(SUMIF(Monthly_Edu!$B:$B,$A647,Monthly_Edu!$D:$D),0)+IFERROR(SUMIF(Monthly_Ops!$B:$B,$A647,Monthly_Ops!$D:$D),0)+IFERROR(SUMIF(Monthly_Mentor!$B:$B,$A647,Monthly_Mentor!$D:$D),0)+IFERROR(SUMIF(Quarterly_Impact!$B:$B,$A647,Quarterly_Impact!$D:$D),0)+IFERROR(SUMIFS(XPLog!$M:$M,XPLog!$B:$B,$A647,XPLog!$J:$J,"Admin"),0)+IFERROR(SUMIFS(XPLog!$M:$M,XPLog!$B:$B,$A647,XPLog!$J:$J,"Seeding"),0)))</f>
        <v/>
      </c>
      <c r="F647" s="27">
        <f>IF($E647="","",LOOKUP($E647, XPBands!B$2:B$10, XPBands!A$2:A$10))</f>
        <v/>
      </c>
      <c r="G647" s="27">
        <f>IF($E647="","", VLOOKUP($F647, XPBands!A$2:G$10, 4, FALSE) + MIN(VLOOKUP($F647, XPBands!A$2:G$10, 5, FALSE) - VLOOKUP($F647, XPBands!A$2:G$10, 4, FALSE), FLOOR(( $E647 - VLOOKUP($F647, XPBands!A$2:G$10, 2, FALSE) ) / VLOOKUP($F647, XPBands!A$2:G$10, 7, FALSE),1)))</f>
        <v/>
      </c>
      <c r="H647" s="27">
        <f>IF($D647="","",VLOOKUP($D647,RoleTitles!$A:$E,3,FALSE))</f>
        <v/>
      </c>
      <c r="I647" s="27">
        <f>IF($D647="","",IF($C647="Greek",VLOOKUP($D647,RoleTitles!$A:$E,4,FALSE),IF($C647="Aesir",VLOOKUP($D647,RoleTitles!$A:$E,5,FALSE),VLOOKUP($D647,RoleTitles!$A:$E,3,FALSE))))</f>
        <v/>
      </c>
      <c r="J647" s="27">
        <f>IF($D647="","",IF($E647&gt;=VLOOKUP($D647,RoleTitles!$A:$B,2,FALSE),"Yes","No"))</f>
        <v/>
      </c>
      <c r="K647" s="27">
        <f>IF($D647="","",IF($D647="T1","T2",IF($D647="T2","T3",IF($D647="T3","T4",IF($D647="T4","T5",IF($D647="T5","T6",IF($D647="T6","T7",IF($D647="T7","T8",IF($D647="T8","T9","")))))))))</f>
        <v/>
      </c>
      <c r="L647" s="28">
        <f>IF($K647="","",MAX(0,VLOOKUP($K647,RoleTitles!$A:$B,2,FALSE)-$E647))</f>
        <v/>
      </c>
    </row>
    <row r="648">
      <c r="A648" s="24">
        <f>IFERROR(INDEX(CoachRoster!$A$2:$A$1000,ROW()-1),"")</f>
        <v/>
      </c>
      <c r="B648" s="27">
        <f>IF($A648="","",VLOOKUP($A648,CoachRoster!$A:$E,2,FALSE))</f>
        <v/>
      </c>
      <c r="C648" s="27">
        <f>IF($A648="","",VLOOKUP($A648,CoachRoster!$A:$E,3,FALSE))</f>
        <v/>
      </c>
      <c r="D648" s="27">
        <f>IF($A648="","",VLOOKUP($A648,CoachRoster!$A:$E,4,FALSE))</f>
        <v/>
      </c>
      <c r="E648" s="27">
        <f>IF($A648="","",MIN(Settings!$B$8,IFERROR(SUMIF(Weekly_Coaching!$B:$B,$A648,Weekly_Coaching!$D:$D),0)+IFERROR(SUMIF(Monthly_Edu!$B:$B,$A648,Monthly_Edu!$D:$D),0)+IFERROR(SUMIF(Monthly_Ops!$B:$B,$A648,Monthly_Ops!$D:$D),0)+IFERROR(SUMIF(Monthly_Mentor!$B:$B,$A648,Monthly_Mentor!$D:$D),0)+IFERROR(SUMIF(Quarterly_Impact!$B:$B,$A648,Quarterly_Impact!$D:$D),0)+IFERROR(SUMIFS(XPLog!$M:$M,XPLog!$B:$B,$A648,XPLog!$J:$J,"Admin"),0)+IFERROR(SUMIFS(XPLog!$M:$M,XPLog!$B:$B,$A648,XPLog!$J:$J,"Seeding"),0)))</f>
        <v/>
      </c>
      <c r="F648" s="27">
        <f>IF($E648="","",LOOKUP($E648, XPBands!B$2:B$10, XPBands!A$2:A$10))</f>
        <v/>
      </c>
      <c r="G648" s="27">
        <f>IF($E648="","", VLOOKUP($F648, XPBands!A$2:G$10, 4, FALSE) + MIN(VLOOKUP($F648, XPBands!A$2:G$10, 5, FALSE) - VLOOKUP($F648, XPBands!A$2:G$10, 4, FALSE), FLOOR(( $E648 - VLOOKUP($F648, XPBands!A$2:G$10, 2, FALSE) ) / VLOOKUP($F648, XPBands!A$2:G$10, 7, FALSE),1)))</f>
        <v/>
      </c>
      <c r="H648" s="27">
        <f>IF($D648="","",VLOOKUP($D648,RoleTitles!$A:$E,3,FALSE))</f>
        <v/>
      </c>
      <c r="I648" s="27">
        <f>IF($D648="","",IF($C648="Greek",VLOOKUP($D648,RoleTitles!$A:$E,4,FALSE),IF($C648="Aesir",VLOOKUP($D648,RoleTitles!$A:$E,5,FALSE),VLOOKUP($D648,RoleTitles!$A:$E,3,FALSE))))</f>
        <v/>
      </c>
      <c r="J648" s="27">
        <f>IF($D648="","",IF($E648&gt;=VLOOKUP($D648,RoleTitles!$A:$B,2,FALSE),"Yes","No"))</f>
        <v/>
      </c>
      <c r="K648" s="27">
        <f>IF($D648="","",IF($D648="T1","T2",IF($D648="T2","T3",IF($D648="T3","T4",IF($D648="T4","T5",IF($D648="T5","T6",IF($D648="T6","T7",IF($D648="T7","T8",IF($D648="T8","T9","")))))))))</f>
        <v/>
      </c>
      <c r="L648" s="28">
        <f>IF($K648="","",MAX(0,VLOOKUP($K648,RoleTitles!$A:$B,2,FALSE)-$E648))</f>
        <v/>
      </c>
    </row>
    <row r="649">
      <c r="A649" s="24">
        <f>IFERROR(INDEX(CoachRoster!$A$2:$A$1000,ROW()-1),"")</f>
        <v/>
      </c>
      <c r="B649" s="27">
        <f>IF($A649="","",VLOOKUP($A649,CoachRoster!$A:$E,2,FALSE))</f>
        <v/>
      </c>
      <c r="C649" s="27">
        <f>IF($A649="","",VLOOKUP($A649,CoachRoster!$A:$E,3,FALSE))</f>
        <v/>
      </c>
      <c r="D649" s="27">
        <f>IF($A649="","",VLOOKUP($A649,CoachRoster!$A:$E,4,FALSE))</f>
        <v/>
      </c>
      <c r="E649" s="27">
        <f>IF($A649="","",MIN(Settings!$B$8,IFERROR(SUMIF(Weekly_Coaching!$B:$B,$A649,Weekly_Coaching!$D:$D),0)+IFERROR(SUMIF(Monthly_Edu!$B:$B,$A649,Monthly_Edu!$D:$D),0)+IFERROR(SUMIF(Monthly_Ops!$B:$B,$A649,Monthly_Ops!$D:$D),0)+IFERROR(SUMIF(Monthly_Mentor!$B:$B,$A649,Monthly_Mentor!$D:$D),0)+IFERROR(SUMIF(Quarterly_Impact!$B:$B,$A649,Quarterly_Impact!$D:$D),0)+IFERROR(SUMIFS(XPLog!$M:$M,XPLog!$B:$B,$A649,XPLog!$J:$J,"Admin"),0)+IFERROR(SUMIFS(XPLog!$M:$M,XPLog!$B:$B,$A649,XPLog!$J:$J,"Seeding"),0)))</f>
        <v/>
      </c>
      <c r="F649" s="27">
        <f>IF($E649="","",LOOKUP($E649, XPBands!B$2:B$10, XPBands!A$2:A$10))</f>
        <v/>
      </c>
      <c r="G649" s="27">
        <f>IF($E649="","", VLOOKUP($F649, XPBands!A$2:G$10, 4, FALSE) + MIN(VLOOKUP($F649, XPBands!A$2:G$10, 5, FALSE) - VLOOKUP($F649, XPBands!A$2:G$10, 4, FALSE), FLOOR(( $E649 - VLOOKUP($F649, XPBands!A$2:G$10, 2, FALSE) ) / VLOOKUP($F649, XPBands!A$2:G$10, 7, FALSE),1)))</f>
        <v/>
      </c>
      <c r="H649" s="27">
        <f>IF($D649="","",VLOOKUP($D649,RoleTitles!$A:$E,3,FALSE))</f>
        <v/>
      </c>
      <c r="I649" s="27">
        <f>IF($D649="","",IF($C649="Greek",VLOOKUP($D649,RoleTitles!$A:$E,4,FALSE),IF($C649="Aesir",VLOOKUP($D649,RoleTitles!$A:$E,5,FALSE),VLOOKUP($D649,RoleTitles!$A:$E,3,FALSE))))</f>
        <v/>
      </c>
      <c r="J649" s="27">
        <f>IF($D649="","",IF($E649&gt;=VLOOKUP($D649,RoleTitles!$A:$B,2,FALSE),"Yes","No"))</f>
        <v/>
      </c>
      <c r="K649" s="27">
        <f>IF($D649="","",IF($D649="T1","T2",IF($D649="T2","T3",IF($D649="T3","T4",IF($D649="T4","T5",IF($D649="T5","T6",IF($D649="T6","T7",IF($D649="T7","T8",IF($D649="T8","T9","")))))))))</f>
        <v/>
      </c>
      <c r="L649" s="28">
        <f>IF($K649="","",MAX(0,VLOOKUP($K649,RoleTitles!$A:$B,2,FALSE)-$E649))</f>
        <v/>
      </c>
    </row>
    <row r="650">
      <c r="A650" s="24">
        <f>IFERROR(INDEX(CoachRoster!$A$2:$A$1000,ROW()-1),"")</f>
        <v/>
      </c>
      <c r="B650" s="27">
        <f>IF($A650="","",VLOOKUP($A650,CoachRoster!$A:$E,2,FALSE))</f>
        <v/>
      </c>
      <c r="C650" s="27">
        <f>IF($A650="","",VLOOKUP($A650,CoachRoster!$A:$E,3,FALSE))</f>
        <v/>
      </c>
      <c r="D650" s="27">
        <f>IF($A650="","",VLOOKUP($A650,CoachRoster!$A:$E,4,FALSE))</f>
        <v/>
      </c>
      <c r="E650" s="27">
        <f>IF($A650="","",MIN(Settings!$B$8,IFERROR(SUMIF(Weekly_Coaching!$B:$B,$A650,Weekly_Coaching!$D:$D),0)+IFERROR(SUMIF(Monthly_Edu!$B:$B,$A650,Monthly_Edu!$D:$D),0)+IFERROR(SUMIF(Monthly_Ops!$B:$B,$A650,Monthly_Ops!$D:$D),0)+IFERROR(SUMIF(Monthly_Mentor!$B:$B,$A650,Monthly_Mentor!$D:$D),0)+IFERROR(SUMIF(Quarterly_Impact!$B:$B,$A650,Quarterly_Impact!$D:$D),0)+IFERROR(SUMIFS(XPLog!$M:$M,XPLog!$B:$B,$A650,XPLog!$J:$J,"Admin"),0)+IFERROR(SUMIFS(XPLog!$M:$M,XPLog!$B:$B,$A650,XPLog!$J:$J,"Seeding"),0)))</f>
        <v/>
      </c>
      <c r="F650" s="27">
        <f>IF($E650="","",LOOKUP($E650, XPBands!B$2:B$10, XPBands!A$2:A$10))</f>
        <v/>
      </c>
      <c r="G650" s="27">
        <f>IF($E650="","", VLOOKUP($F650, XPBands!A$2:G$10, 4, FALSE) + MIN(VLOOKUP($F650, XPBands!A$2:G$10, 5, FALSE) - VLOOKUP($F650, XPBands!A$2:G$10, 4, FALSE), FLOOR(( $E650 - VLOOKUP($F650, XPBands!A$2:G$10, 2, FALSE) ) / VLOOKUP($F650, XPBands!A$2:G$10, 7, FALSE),1)))</f>
        <v/>
      </c>
      <c r="H650" s="27">
        <f>IF($D650="","",VLOOKUP($D650,RoleTitles!$A:$E,3,FALSE))</f>
        <v/>
      </c>
      <c r="I650" s="27">
        <f>IF($D650="","",IF($C650="Greek",VLOOKUP($D650,RoleTitles!$A:$E,4,FALSE),IF($C650="Aesir",VLOOKUP($D650,RoleTitles!$A:$E,5,FALSE),VLOOKUP($D650,RoleTitles!$A:$E,3,FALSE))))</f>
        <v/>
      </c>
      <c r="J650" s="27">
        <f>IF($D650="","",IF($E650&gt;=VLOOKUP($D650,RoleTitles!$A:$B,2,FALSE),"Yes","No"))</f>
        <v/>
      </c>
      <c r="K650" s="27">
        <f>IF($D650="","",IF($D650="T1","T2",IF($D650="T2","T3",IF($D650="T3","T4",IF($D650="T4","T5",IF($D650="T5","T6",IF($D650="T6","T7",IF($D650="T7","T8",IF($D650="T8","T9","")))))))))</f>
        <v/>
      </c>
      <c r="L650" s="28">
        <f>IF($K650="","",MAX(0,VLOOKUP($K650,RoleTitles!$A:$B,2,FALSE)-$E650))</f>
        <v/>
      </c>
    </row>
    <row r="651">
      <c r="A651" s="24">
        <f>IFERROR(INDEX(CoachRoster!$A$2:$A$1000,ROW()-1),"")</f>
        <v/>
      </c>
      <c r="B651" s="27">
        <f>IF($A651="","",VLOOKUP($A651,CoachRoster!$A:$E,2,FALSE))</f>
        <v/>
      </c>
      <c r="C651" s="27">
        <f>IF($A651="","",VLOOKUP($A651,CoachRoster!$A:$E,3,FALSE))</f>
        <v/>
      </c>
      <c r="D651" s="27">
        <f>IF($A651="","",VLOOKUP($A651,CoachRoster!$A:$E,4,FALSE))</f>
        <v/>
      </c>
      <c r="E651" s="27">
        <f>IF($A651="","",MIN(Settings!$B$8,IFERROR(SUMIF(Weekly_Coaching!$B:$B,$A651,Weekly_Coaching!$D:$D),0)+IFERROR(SUMIF(Monthly_Edu!$B:$B,$A651,Monthly_Edu!$D:$D),0)+IFERROR(SUMIF(Monthly_Ops!$B:$B,$A651,Monthly_Ops!$D:$D),0)+IFERROR(SUMIF(Monthly_Mentor!$B:$B,$A651,Monthly_Mentor!$D:$D),0)+IFERROR(SUMIF(Quarterly_Impact!$B:$B,$A651,Quarterly_Impact!$D:$D),0)+IFERROR(SUMIFS(XPLog!$M:$M,XPLog!$B:$B,$A651,XPLog!$J:$J,"Admin"),0)+IFERROR(SUMIFS(XPLog!$M:$M,XPLog!$B:$B,$A651,XPLog!$J:$J,"Seeding"),0)))</f>
        <v/>
      </c>
      <c r="F651" s="27">
        <f>IF($E651="","",LOOKUP($E651, XPBands!B$2:B$10, XPBands!A$2:A$10))</f>
        <v/>
      </c>
      <c r="G651" s="27">
        <f>IF($E651="","", VLOOKUP($F651, XPBands!A$2:G$10, 4, FALSE) + MIN(VLOOKUP($F651, XPBands!A$2:G$10, 5, FALSE) - VLOOKUP($F651, XPBands!A$2:G$10, 4, FALSE), FLOOR(( $E651 - VLOOKUP($F651, XPBands!A$2:G$10, 2, FALSE) ) / VLOOKUP($F651, XPBands!A$2:G$10, 7, FALSE),1)))</f>
        <v/>
      </c>
      <c r="H651" s="27">
        <f>IF($D651="","",VLOOKUP($D651,RoleTitles!$A:$E,3,FALSE))</f>
        <v/>
      </c>
      <c r="I651" s="27">
        <f>IF($D651="","",IF($C651="Greek",VLOOKUP($D651,RoleTitles!$A:$E,4,FALSE),IF($C651="Aesir",VLOOKUP($D651,RoleTitles!$A:$E,5,FALSE),VLOOKUP($D651,RoleTitles!$A:$E,3,FALSE))))</f>
        <v/>
      </c>
      <c r="J651" s="27">
        <f>IF($D651="","",IF($E651&gt;=VLOOKUP($D651,RoleTitles!$A:$B,2,FALSE),"Yes","No"))</f>
        <v/>
      </c>
      <c r="K651" s="27">
        <f>IF($D651="","",IF($D651="T1","T2",IF($D651="T2","T3",IF($D651="T3","T4",IF($D651="T4","T5",IF($D651="T5","T6",IF($D651="T6","T7",IF($D651="T7","T8",IF($D651="T8","T9","")))))))))</f>
        <v/>
      </c>
      <c r="L651" s="28">
        <f>IF($K651="","",MAX(0,VLOOKUP($K651,RoleTitles!$A:$B,2,FALSE)-$E651))</f>
        <v/>
      </c>
    </row>
    <row r="652">
      <c r="A652" s="24">
        <f>IFERROR(INDEX(CoachRoster!$A$2:$A$1000,ROW()-1),"")</f>
        <v/>
      </c>
      <c r="B652" s="27">
        <f>IF($A652="","",VLOOKUP($A652,CoachRoster!$A:$E,2,FALSE))</f>
        <v/>
      </c>
      <c r="C652" s="27">
        <f>IF($A652="","",VLOOKUP($A652,CoachRoster!$A:$E,3,FALSE))</f>
        <v/>
      </c>
      <c r="D652" s="27">
        <f>IF($A652="","",VLOOKUP($A652,CoachRoster!$A:$E,4,FALSE))</f>
        <v/>
      </c>
      <c r="E652" s="27">
        <f>IF($A652="","",MIN(Settings!$B$8,IFERROR(SUMIF(Weekly_Coaching!$B:$B,$A652,Weekly_Coaching!$D:$D),0)+IFERROR(SUMIF(Monthly_Edu!$B:$B,$A652,Monthly_Edu!$D:$D),0)+IFERROR(SUMIF(Monthly_Ops!$B:$B,$A652,Monthly_Ops!$D:$D),0)+IFERROR(SUMIF(Monthly_Mentor!$B:$B,$A652,Monthly_Mentor!$D:$D),0)+IFERROR(SUMIF(Quarterly_Impact!$B:$B,$A652,Quarterly_Impact!$D:$D),0)+IFERROR(SUMIFS(XPLog!$M:$M,XPLog!$B:$B,$A652,XPLog!$J:$J,"Admin"),0)+IFERROR(SUMIFS(XPLog!$M:$M,XPLog!$B:$B,$A652,XPLog!$J:$J,"Seeding"),0)))</f>
        <v/>
      </c>
      <c r="F652" s="27">
        <f>IF($E652="","",LOOKUP($E652, XPBands!B$2:B$10, XPBands!A$2:A$10))</f>
        <v/>
      </c>
      <c r="G652" s="27">
        <f>IF($E652="","", VLOOKUP($F652, XPBands!A$2:G$10, 4, FALSE) + MIN(VLOOKUP($F652, XPBands!A$2:G$10, 5, FALSE) - VLOOKUP($F652, XPBands!A$2:G$10, 4, FALSE), FLOOR(( $E652 - VLOOKUP($F652, XPBands!A$2:G$10, 2, FALSE) ) / VLOOKUP($F652, XPBands!A$2:G$10, 7, FALSE),1)))</f>
        <v/>
      </c>
      <c r="H652" s="27">
        <f>IF($D652="","",VLOOKUP($D652,RoleTitles!$A:$E,3,FALSE))</f>
        <v/>
      </c>
      <c r="I652" s="27">
        <f>IF($D652="","",IF($C652="Greek",VLOOKUP($D652,RoleTitles!$A:$E,4,FALSE),IF($C652="Aesir",VLOOKUP($D652,RoleTitles!$A:$E,5,FALSE),VLOOKUP($D652,RoleTitles!$A:$E,3,FALSE))))</f>
        <v/>
      </c>
      <c r="J652" s="27">
        <f>IF($D652="","",IF($E652&gt;=VLOOKUP($D652,RoleTitles!$A:$B,2,FALSE),"Yes","No"))</f>
        <v/>
      </c>
      <c r="K652" s="27">
        <f>IF($D652="","",IF($D652="T1","T2",IF($D652="T2","T3",IF($D652="T3","T4",IF($D652="T4","T5",IF($D652="T5","T6",IF($D652="T6","T7",IF($D652="T7","T8",IF($D652="T8","T9","")))))))))</f>
        <v/>
      </c>
      <c r="L652" s="28">
        <f>IF($K652="","",MAX(0,VLOOKUP($K652,RoleTitles!$A:$B,2,FALSE)-$E652))</f>
        <v/>
      </c>
    </row>
    <row r="653">
      <c r="A653" s="24">
        <f>IFERROR(INDEX(CoachRoster!$A$2:$A$1000,ROW()-1),"")</f>
        <v/>
      </c>
      <c r="B653" s="27">
        <f>IF($A653="","",VLOOKUP($A653,CoachRoster!$A:$E,2,FALSE))</f>
        <v/>
      </c>
      <c r="C653" s="27">
        <f>IF($A653="","",VLOOKUP($A653,CoachRoster!$A:$E,3,FALSE))</f>
        <v/>
      </c>
      <c r="D653" s="27">
        <f>IF($A653="","",VLOOKUP($A653,CoachRoster!$A:$E,4,FALSE))</f>
        <v/>
      </c>
      <c r="E653" s="27">
        <f>IF($A653="","",MIN(Settings!$B$8,IFERROR(SUMIF(Weekly_Coaching!$B:$B,$A653,Weekly_Coaching!$D:$D),0)+IFERROR(SUMIF(Monthly_Edu!$B:$B,$A653,Monthly_Edu!$D:$D),0)+IFERROR(SUMIF(Monthly_Ops!$B:$B,$A653,Monthly_Ops!$D:$D),0)+IFERROR(SUMIF(Monthly_Mentor!$B:$B,$A653,Monthly_Mentor!$D:$D),0)+IFERROR(SUMIF(Quarterly_Impact!$B:$B,$A653,Quarterly_Impact!$D:$D),0)+IFERROR(SUMIFS(XPLog!$M:$M,XPLog!$B:$B,$A653,XPLog!$J:$J,"Admin"),0)+IFERROR(SUMIFS(XPLog!$M:$M,XPLog!$B:$B,$A653,XPLog!$J:$J,"Seeding"),0)))</f>
        <v/>
      </c>
      <c r="F653" s="27">
        <f>IF($E653="","",LOOKUP($E653, XPBands!B$2:B$10, XPBands!A$2:A$10))</f>
        <v/>
      </c>
      <c r="G653" s="27">
        <f>IF($E653="","", VLOOKUP($F653, XPBands!A$2:G$10, 4, FALSE) + MIN(VLOOKUP($F653, XPBands!A$2:G$10, 5, FALSE) - VLOOKUP($F653, XPBands!A$2:G$10, 4, FALSE), FLOOR(( $E653 - VLOOKUP($F653, XPBands!A$2:G$10, 2, FALSE) ) / VLOOKUP($F653, XPBands!A$2:G$10, 7, FALSE),1)))</f>
        <v/>
      </c>
      <c r="H653" s="27">
        <f>IF($D653="","",VLOOKUP($D653,RoleTitles!$A:$E,3,FALSE))</f>
        <v/>
      </c>
      <c r="I653" s="27">
        <f>IF($D653="","",IF($C653="Greek",VLOOKUP($D653,RoleTitles!$A:$E,4,FALSE),IF($C653="Aesir",VLOOKUP($D653,RoleTitles!$A:$E,5,FALSE),VLOOKUP($D653,RoleTitles!$A:$E,3,FALSE))))</f>
        <v/>
      </c>
      <c r="J653" s="27">
        <f>IF($D653="","",IF($E653&gt;=VLOOKUP($D653,RoleTitles!$A:$B,2,FALSE),"Yes","No"))</f>
        <v/>
      </c>
      <c r="K653" s="27">
        <f>IF($D653="","",IF($D653="T1","T2",IF($D653="T2","T3",IF($D653="T3","T4",IF($D653="T4","T5",IF($D653="T5","T6",IF($D653="T6","T7",IF($D653="T7","T8",IF($D653="T8","T9","")))))))))</f>
        <v/>
      </c>
      <c r="L653" s="28">
        <f>IF($K653="","",MAX(0,VLOOKUP($K653,RoleTitles!$A:$B,2,FALSE)-$E653))</f>
        <v/>
      </c>
    </row>
    <row r="654">
      <c r="A654" s="24">
        <f>IFERROR(INDEX(CoachRoster!$A$2:$A$1000,ROW()-1),"")</f>
        <v/>
      </c>
      <c r="B654" s="27">
        <f>IF($A654="","",VLOOKUP($A654,CoachRoster!$A:$E,2,FALSE))</f>
        <v/>
      </c>
      <c r="C654" s="27">
        <f>IF($A654="","",VLOOKUP($A654,CoachRoster!$A:$E,3,FALSE))</f>
        <v/>
      </c>
      <c r="D654" s="27">
        <f>IF($A654="","",VLOOKUP($A654,CoachRoster!$A:$E,4,FALSE))</f>
        <v/>
      </c>
      <c r="E654" s="27">
        <f>IF($A654="","",MIN(Settings!$B$8,IFERROR(SUMIF(Weekly_Coaching!$B:$B,$A654,Weekly_Coaching!$D:$D),0)+IFERROR(SUMIF(Monthly_Edu!$B:$B,$A654,Monthly_Edu!$D:$D),0)+IFERROR(SUMIF(Monthly_Ops!$B:$B,$A654,Monthly_Ops!$D:$D),0)+IFERROR(SUMIF(Monthly_Mentor!$B:$B,$A654,Monthly_Mentor!$D:$D),0)+IFERROR(SUMIF(Quarterly_Impact!$B:$B,$A654,Quarterly_Impact!$D:$D),0)+IFERROR(SUMIFS(XPLog!$M:$M,XPLog!$B:$B,$A654,XPLog!$J:$J,"Admin"),0)+IFERROR(SUMIFS(XPLog!$M:$M,XPLog!$B:$B,$A654,XPLog!$J:$J,"Seeding"),0)))</f>
        <v/>
      </c>
      <c r="F654" s="27">
        <f>IF($E654="","",LOOKUP($E654, XPBands!B$2:B$10, XPBands!A$2:A$10))</f>
        <v/>
      </c>
      <c r="G654" s="27">
        <f>IF($E654="","", VLOOKUP($F654, XPBands!A$2:G$10, 4, FALSE) + MIN(VLOOKUP($F654, XPBands!A$2:G$10, 5, FALSE) - VLOOKUP($F654, XPBands!A$2:G$10, 4, FALSE), FLOOR(( $E654 - VLOOKUP($F654, XPBands!A$2:G$10, 2, FALSE) ) / VLOOKUP($F654, XPBands!A$2:G$10, 7, FALSE),1)))</f>
        <v/>
      </c>
      <c r="H654" s="27">
        <f>IF($D654="","",VLOOKUP($D654,RoleTitles!$A:$E,3,FALSE))</f>
        <v/>
      </c>
      <c r="I654" s="27">
        <f>IF($D654="","",IF($C654="Greek",VLOOKUP($D654,RoleTitles!$A:$E,4,FALSE),IF($C654="Aesir",VLOOKUP($D654,RoleTitles!$A:$E,5,FALSE),VLOOKUP($D654,RoleTitles!$A:$E,3,FALSE))))</f>
        <v/>
      </c>
      <c r="J654" s="27">
        <f>IF($D654="","",IF($E654&gt;=VLOOKUP($D654,RoleTitles!$A:$B,2,FALSE),"Yes","No"))</f>
        <v/>
      </c>
      <c r="K654" s="27">
        <f>IF($D654="","",IF($D654="T1","T2",IF($D654="T2","T3",IF($D654="T3","T4",IF($D654="T4","T5",IF($D654="T5","T6",IF($D654="T6","T7",IF($D654="T7","T8",IF($D654="T8","T9","")))))))))</f>
        <v/>
      </c>
      <c r="L654" s="28">
        <f>IF($K654="","",MAX(0,VLOOKUP($K654,RoleTitles!$A:$B,2,FALSE)-$E654))</f>
        <v/>
      </c>
    </row>
    <row r="655">
      <c r="A655" s="24">
        <f>IFERROR(INDEX(CoachRoster!$A$2:$A$1000,ROW()-1),"")</f>
        <v/>
      </c>
      <c r="B655" s="27">
        <f>IF($A655="","",VLOOKUP($A655,CoachRoster!$A:$E,2,FALSE))</f>
        <v/>
      </c>
      <c r="C655" s="27">
        <f>IF($A655="","",VLOOKUP($A655,CoachRoster!$A:$E,3,FALSE))</f>
        <v/>
      </c>
      <c r="D655" s="27">
        <f>IF($A655="","",VLOOKUP($A655,CoachRoster!$A:$E,4,FALSE))</f>
        <v/>
      </c>
      <c r="E655" s="27">
        <f>IF($A655="","",MIN(Settings!$B$8,IFERROR(SUMIF(Weekly_Coaching!$B:$B,$A655,Weekly_Coaching!$D:$D),0)+IFERROR(SUMIF(Monthly_Edu!$B:$B,$A655,Monthly_Edu!$D:$D),0)+IFERROR(SUMIF(Monthly_Ops!$B:$B,$A655,Monthly_Ops!$D:$D),0)+IFERROR(SUMIF(Monthly_Mentor!$B:$B,$A655,Monthly_Mentor!$D:$D),0)+IFERROR(SUMIF(Quarterly_Impact!$B:$B,$A655,Quarterly_Impact!$D:$D),0)+IFERROR(SUMIFS(XPLog!$M:$M,XPLog!$B:$B,$A655,XPLog!$J:$J,"Admin"),0)+IFERROR(SUMIFS(XPLog!$M:$M,XPLog!$B:$B,$A655,XPLog!$J:$J,"Seeding"),0)))</f>
        <v/>
      </c>
      <c r="F655" s="27">
        <f>IF($E655="","",LOOKUP($E655, XPBands!B$2:B$10, XPBands!A$2:A$10))</f>
        <v/>
      </c>
      <c r="G655" s="27">
        <f>IF($E655="","", VLOOKUP($F655, XPBands!A$2:G$10, 4, FALSE) + MIN(VLOOKUP($F655, XPBands!A$2:G$10, 5, FALSE) - VLOOKUP($F655, XPBands!A$2:G$10, 4, FALSE), FLOOR(( $E655 - VLOOKUP($F655, XPBands!A$2:G$10, 2, FALSE) ) / VLOOKUP($F655, XPBands!A$2:G$10, 7, FALSE),1)))</f>
        <v/>
      </c>
      <c r="H655" s="27">
        <f>IF($D655="","",VLOOKUP($D655,RoleTitles!$A:$E,3,FALSE))</f>
        <v/>
      </c>
      <c r="I655" s="27">
        <f>IF($D655="","",IF($C655="Greek",VLOOKUP($D655,RoleTitles!$A:$E,4,FALSE),IF($C655="Aesir",VLOOKUP($D655,RoleTitles!$A:$E,5,FALSE),VLOOKUP($D655,RoleTitles!$A:$E,3,FALSE))))</f>
        <v/>
      </c>
      <c r="J655" s="27">
        <f>IF($D655="","",IF($E655&gt;=VLOOKUP($D655,RoleTitles!$A:$B,2,FALSE),"Yes","No"))</f>
        <v/>
      </c>
      <c r="K655" s="27">
        <f>IF($D655="","",IF($D655="T1","T2",IF($D655="T2","T3",IF($D655="T3","T4",IF($D655="T4","T5",IF($D655="T5","T6",IF($D655="T6","T7",IF($D655="T7","T8",IF($D655="T8","T9","")))))))))</f>
        <v/>
      </c>
      <c r="L655" s="28">
        <f>IF($K655="","",MAX(0,VLOOKUP($K655,RoleTitles!$A:$B,2,FALSE)-$E655))</f>
        <v/>
      </c>
    </row>
    <row r="656">
      <c r="A656" s="24">
        <f>IFERROR(INDEX(CoachRoster!$A$2:$A$1000,ROW()-1),"")</f>
        <v/>
      </c>
      <c r="B656" s="27">
        <f>IF($A656="","",VLOOKUP($A656,CoachRoster!$A:$E,2,FALSE))</f>
        <v/>
      </c>
      <c r="C656" s="27">
        <f>IF($A656="","",VLOOKUP($A656,CoachRoster!$A:$E,3,FALSE))</f>
        <v/>
      </c>
      <c r="D656" s="27">
        <f>IF($A656="","",VLOOKUP($A656,CoachRoster!$A:$E,4,FALSE))</f>
        <v/>
      </c>
      <c r="E656" s="27">
        <f>IF($A656="","",MIN(Settings!$B$8,IFERROR(SUMIF(Weekly_Coaching!$B:$B,$A656,Weekly_Coaching!$D:$D),0)+IFERROR(SUMIF(Monthly_Edu!$B:$B,$A656,Monthly_Edu!$D:$D),0)+IFERROR(SUMIF(Monthly_Ops!$B:$B,$A656,Monthly_Ops!$D:$D),0)+IFERROR(SUMIF(Monthly_Mentor!$B:$B,$A656,Monthly_Mentor!$D:$D),0)+IFERROR(SUMIF(Quarterly_Impact!$B:$B,$A656,Quarterly_Impact!$D:$D),0)+IFERROR(SUMIFS(XPLog!$M:$M,XPLog!$B:$B,$A656,XPLog!$J:$J,"Admin"),0)+IFERROR(SUMIFS(XPLog!$M:$M,XPLog!$B:$B,$A656,XPLog!$J:$J,"Seeding"),0)))</f>
        <v/>
      </c>
      <c r="F656" s="27">
        <f>IF($E656="","",LOOKUP($E656, XPBands!B$2:B$10, XPBands!A$2:A$10))</f>
        <v/>
      </c>
      <c r="G656" s="27">
        <f>IF($E656="","", VLOOKUP($F656, XPBands!A$2:G$10, 4, FALSE) + MIN(VLOOKUP($F656, XPBands!A$2:G$10, 5, FALSE) - VLOOKUP($F656, XPBands!A$2:G$10, 4, FALSE), FLOOR(( $E656 - VLOOKUP($F656, XPBands!A$2:G$10, 2, FALSE) ) / VLOOKUP($F656, XPBands!A$2:G$10, 7, FALSE),1)))</f>
        <v/>
      </c>
      <c r="H656" s="27">
        <f>IF($D656="","",VLOOKUP($D656,RoleTitles!$A:$E,3,FALSE))</f>
        <v/>
      </c>
      <c r="I656" s="27">
        <f>IF($D656="","",IF($C656="Greek",VLOOKUP($D656,RoleTitles!$A:$E,4,FALSE),IF($C656="Aesir",VLOOKUP($D656,RoleTitles!$A:$E,5,FALSE),VLOOKUP($D656,RoleTitles!$A:$E,3,FALSE))))</f>
        <v/>
      </c>
      <c r="J656" s="27">
        <f>IF($D656="","",IF($E656&gt;=VLOOKUP($D656,RoleTitles!$A:$B,2,FALSE),"Yes","No"))</f>
        <v/>
      </c>
      <c r="K656" s="27">
        <f>IF($D656="","",IF($D656="T1","T2",IF($D656="T2","T3",IF($D656="T3","T4",IF($D656="T4","T5",IF($D656="T5","T6",IF($D656="T6","T7",IF($D656="T7","T8",IF($D656="T8","T9","")))))))))</f>
        <v/>
      </c>
      <c r="L656" s="28">
        <f>IF($K656="","",MAX(0,VLOOKUP($K656,RoleTitles!$A:$B,2,FALSE)-$E656))</f>
        <v/>
      </c>
    </row>
    <row r="657">
      <c r="A657" s="24">
        <f>IFERROR(INDEX(CoachRoster!$A$2:$A$1000,ROW()-1),"")</f>
        <v/>
      </c>
      <c r="B657" s="27">
        <f>IF($A657="","",VLOOKUP($A657,CoachRoster!$A:$E,2,FALSE))</f>
        <v/>
      </c>
      <c r="C657" s="27">
        <f>IF($A657="","",VLOOKUP($A657,CoachRoster!$A:$E,3,FALSE))</f>
        <v/>
      </c>
      <c r="D657" s="27">
        <f>IF($A657="","",VLOOKUP($A657,CoachRoster!$A:$E,4,FALSE))</f>
        <v/>
      </c>
      <c r="E657" s="27">
        <f>IF($A657="","",MIN(Settings!$B$8,IFERROR(SUMIF(Weekly_Coaching!$B:$B,$A657,Weekly_Coaching!$D:$D),0)+IFERROR(SUMIF(Monthly_Edu!$B:$B,$A657,Monthly_Edu!$D:$D),0)+IFERROR(SUMIF(Monthly_Ops!$B:$B,$A657,Monthly_Ops!$D:$D),0)+IFERROR(SUMIF(Monthly_Mentor!$B:$B,$A657,Monthly_Mentor!$D:$D),0)+IFERROR(SUMIF(Quarterly_Impact!$B:$B,$A657,Quarterly_Impact!$D:$D),0)+IFERROR(SUMIFS(XPLog!$M:$M,XPLog!$B:$B,$A657,XPLog!$J:$J,"Admin"),0)+IFERROR(SUMIFS(XPLog!$M:$M,XPLog!$B:$B,$A657,XPLog!$J:$J,"Seeding"),0)))</f>
        <v/>
      </c>
      <c r="F657" s="27">
        <f>IF($E657="","",LOOKUP($E657, XPBands!B$2:B$10, XPBands!A$2:A$10))</f>
        <v/>
      </c>
      <c r="G657" s="27">
        <f>IF($E657="","", VLOOKUP($F657, XPBands!A$2:G$10, 4, FALSE) + MIN(VLOOKUP($F657, XPBands!A$2:G$10, 5, FALSE) - VLOOKUP($F657, XPBands!A$2:G$10, 4, FALSE), FLOOR(( $E657 - VLOOKUP($F657, XPBands!A$2:G$10, 2, FALSE) ) / VLOOKUP($F657, XPBands!A$2:G$10, 7, FALSE),1)))</f>
        <v/>
      </c>
      <c r="H657" s="27">
        <f>IF($D657="","",VLOOKUP($D657,RoleTitles!$A:$E,3,FALSE))</f>
        <v/>
      </c>
      <c r="I657" s="27">
        <f>IF($D657="","",IF($C657="Greek",VLOOKUP($D657,RoleTitles!$A:$E,4,FALSE),IF($C657="Aesir",VLOOKUP($D657,RoleTitles!$A:$E,5,FALSE),VLOOKUP($D657,RoleTitles!$A:$E,3,FALSE))))</f>
        <v/>
      </c>
      <c r="J657" s="27">
        <f>IF($D657="","",IF($E657&gt;=VLOOKUP($D657,RoleTitles!$A:$B,2,FALSE),"Yes","No"))</f>
        <v/>
      </c>
      <c r="K657" s="27">
        <f>IF($D657="","",IF($D657="T1","T2",IF($D657="T2","T3",IF($D657="T3","T4",IF($D657="T4","T5",IF($D657="T5","T6",IF($D657="T6","T7",IF($D657="T7","T8",IF($D657="T8","T9","")))))))))</f>
        <v/>
      </c>
      <c r="L657" s="28">
        <f>IF($K657="","",MAX(0,VLOOKUP($K657,RoleTitles!$A:$B,2,FALSE)-$E657))</f>
        <v/>
      </c>
    </row>
    <row r="658">
      <c r="A658" s="24">
        <f>IFERROR(INDEX(CoachRoster!$A$2:$A$1000,ROW()-1),"")</f>
        <v/>
      </c>
      <c r="B658" s="27">
        <f>IF($A658="","",VLOOKUP($A658,CoachRoster!$A:$E,2,FALSE))</f>
        <v/>
      </c>
      <c r="C658" s="27">
        <f>IF($A658="","",VLOOKUP($A658,CoachRoster!$A:$E,3,FALSE))</f>
        <v/>
      </c>
      <c r="D658" s="27">
        <f>IF($A658="","",VLOOKUP($A658,CoachRoster!$A:$E,4,FALSE))</f>
        <v/>
      </c>
      <c r="E658" s="27">
        <f>IF($A658="","",MIN(Settings!$B$8,IFERROR(SUMIF(Weekly_Coaching!$B:$B,$A658,Weekly_Coaching!$D:$D),0)+IFERROR(SUMIF(Monthly_Edu!$B:$B,$A658,Monthly_Edu!$D:$D),0)+IFERROR(SUMIF(Monthly_Ops!$B:$B,$A658,Monthly_Ops!$D:$D),0)+IFERROR(SUMIF(Monthly_Mentor!$B:$B,$A658,Monthly_Mentor!$D:$D),0)+IFERROR(SUMIF(Quarterly_Impact!$B:$B,$A658,Quarterly_Impact!$D:$D),0)+IFERROR(SUMIFS(XPLog!$M:$M,XPLog!$B:$B,$A658,XPLog!$J:$J,"Admin"),0)+IFERROR(SUMIFS(XPLog!$M:$M,XPLog!$B:$B,$A658,XPLog!$J:$J,"Seeding"),0)))</f>
        <v/>
      </c>
      <c r="F658" s="27">
        <f>IF($E658="","",LOOKUP($E658, XPBands!B$2:B$10, XPBands!A$2:A$10))</f>
        <v/>
      </c>
      <c r="G658" s="27">
        <f>IF($E658="","", VLOOKUP($F658, XPBands!A$2:G$10, 4, FALSE) + MIN(VLOOKUP($F658, XPBands!A$2:G$10, 5, FALSE) - VLOOKUP($F658, XPBands!A$2:G$10, 4, FALSE), FLOOR(( $E658 - VLOOKUP($F658, XPBands!A$2:G$10, 2, FALSE) ) / VLOOKUP($F658, XPBands!A$2:G$10, 7, FALSE),1)))</f>
        <v/>
      </c>
      <c r="H658" s="27">
        <f>IF($D658="","",VLOOKUP($D658,RoleTitles!$A:$E,3,FALSE))</f>
        <v/>
      </c>
      <c r="I658" s="27">
        <f>IF($D658="","",IF($C658="Greek",VLOOKUP($D658,RoleTitles!$A:$E,4,FALSE),IF($C658="Aesir",VLOOKUP($D658,RoleTitles!$A:$E,5,FALSE),VLOOKUP($D658,RoleTitles!$A:$E,3,FALSE))))</f>
        <v/>
      </c>
      <c r="J658" s="27">
        <f>IF($D658="","",IF($E658&gt;=VLOOKUP($D658,RoleTitles!$A:$B,2,FALSE),"Yes","No"))</f>
        <v/>
      </c>
      <c r="K658" s="27">
        <f>IF($D658="","",IF($D658="T1","T2",IF($D658="T2","T3",IF($D658="T3","T4",IF($D658="T4","T5",IF($D658="T5","T6",IF($D658="T6","T7",IF($D658="T7","T8",IF($D658="T8","T9","")))))))))</f>
        <v/>
      </c>
      <c r="L658" s="28">
        <f>IF($K658="","",MAX(0,VLOOKUP($K658,RoleTitles!$A:$B,2,FALSE)-$E658))</f>
        <v/>
      </c>
    </row>
    <row r="659">
      <c r="A659" s="24">
        <f>IFERROR(INDEX(CoachRoster!$A$2:$A$1000,ROW()-1),"")</f>
        <v/>
      </c>
      <c r="B659" s="27">
        <f>IF($A659="","",VLOOKUP($A659,CoachRoster!$A:$E,2,FALSE))</f>
        <v/>
      </c>
      <c r="C659" s="27">
        <f>IF($A659="","",VLOOKUP($A659,CoachRoster!$A:$E,3,FALSE))</f>
        <v/>
      </c>
      <c r="D659" s="27">
        <f>IF($A659="","",VLOOKUP($A659,CoachRoster!$A:$E,4,FALSE))</f>
        <v/>
      </c>
      <c r="E659" s="27">
        <f>IF($A659="","",MIN(Settings!$B$8,IFERROR(SUMIF(Weekly_Coaching!$B:$B,$A659,Weekly_Coaching!$D:$D),0)+IFERROR(SUMIF(Monthly_Edu!$B:$B,$A659,Monthly_Edu!$D:$D),0)+IFERROR(SUMIF(Monthly_Ops!$B:$B,$A659,Monthly_Ops!$D:$D),0)+IFERROR(SUMIF(Monthly_Mentor!$B:$B,$A659,Monthly_Mentor!$D:$D),0)+IFERROR(SUMIF(Quarterly_Impact!$B:$B,$A659,Quarterly_Impact!$D:$D),0)+IFERROR(SUMIFS(XPLog!$M:$M,XPLog!$B:$B,$A659,XPLog!$J:$J,"Admin"),0)+IFERROR(SUMIFS(XPLog!$M:$M,XPLog!$B:$B,$A659,XPLog!$J:$J,"Seeding"),0)))</f>
        <v/>
      </c>
      <c r="F659" s="27">
        <f>IF($E659="","",LOOKUP($E659, XPBands!B$2:B$10, XPBands!A$2:A$10))</f>
        <v/>
      </c>
      <c r="G659" s="27">
        <f>IF($E659="","", VLOOKUP($F659, XPBands!A$2:G$10, 4, FALSE) + MIN(VLOOKUP($F659, XPBands!A$2:G$10, 5, FALSE) - VLOOKUP($F659, XPBands!A$2:G$10, 4, FALSE), FLOOR(( $E659 - VLOOKUP($F659, XPBands!A$2:G$10, 2, FALSE) ) / VLOOKUP($F659, XPBands!A$2:G$10, 7, FALSE),1)))</f>
        <v/>
      </c>
      <c r="H659" s="27">
        <f>IF($D659="","",VLOOKUP($D659,RoleTitles!$A:$E,3,FALSE))</f>
        <v/>
      </c>
      <c r="I659" s="27">
        <f>IF($D659="","",IF($C659="Greek",VLOOKUP($D659,RoleTitles!$A:$E,4,FALSE),IF($C659="Aesir",VLOOKUP($D659,RoleTitles!$A:$E,5,FALSE),VLOOKUP($D659,RoleTitles!$A:$E,3,FALSE))))</f>
        <v/>
      </c>
      <c r="J659" s="27">
        <f>IF($D659="","",IF($E659&gt;=VLOOKUP($D659,RoleTitles!$A:$B,2,FALSE),"Yes","No"))</f>
        <v/>
      </c>
      <c r="K659" s="27">
        <f>IF($D659="","",IF($D659="T1","T2",IF($D659="T2","T3",IF($D659="T3","T4",IF($D659="T4","T5",IF($D659="T5","T6",IF($D659="T6","T7",IF($D659="T7","T8",IF($D659="T8","T9","")))))))))</f>
        <v/>
      </c>
      <c r="L659" s="28">
        <f>IF($K659="","",MAX(0,VLOOKUP($K659,RoleTitles!$A:$B,2,FALSE)-$E659))</f>
        <v/>
      </c>
    </row>
    <row r="660">
      <c r="A660" s="24">
        <f>IFERROR(INDEX(CoachRoster!$A$2:$A$1000,ROW()-1),"")</f>
        <v/>
      </c>
      <c r="B660" s="27">
        <f>IF($A660="","",VLOOKUP($A660,CoachRoster!$A:$E,2,FALSE))</f>
        <v/>
      </c>
      <c r="C660" s="27">
        <f>IF($A660="","",VLOOKUP($A660,CoachRoster!$A:$E,3,FALSE))</f>
        <v/>
      </c>
      <c r="D660" s="27">
        <f>IF($A660="","",VLOOKUP($A660,CoachRoster!$A:$E,4,FALSE))</f>
        <v/>
      </c>
      <c r="E660" s="27">
        <f>IF($A660="","",MIN(Settings!$B$8,IFERROR(SUMIF(Weekly_Coaching!$B:$B,$A660,Weekly_Coaching!$D:$D),0)+IFERROR(SUMIF(Monthly_Edu!$B:$B,$A660,Monthly_Edu!$D:$D),0)+IFERROR(SUMIF(Monthly_Ops!$B:$B,$A660,Monthly_Ops!$D:$D),0)+IFERROR(SUMIF(Monthly_Mentor!$B:$B,$A660,Monthly_Mentor!$D:$D),0)+IFERROR(SUMIF(Quarterly_Impact!$B:$B,$A660,Quarterly_Impact!$D:$D),0)+IFERROR(SUMIFS(XPLog!$M:$M,XPLog!$B:$B,$A660,XPLog!$J:$J,"Admin"),0)+IFERROR(SUMIFS(XPLog!$M:$M,XPLog!$B:$B,$A660,XPLog!$J:$J,"Seeding"),0)))</f>
        <v/>
      </c>
      <c r="F660" s="27">
        <f>IF($E660="","",LOOKUP($E660, XPBands!B$2:B$10, XPBands!A$2:A$10))</f>
        <v/>
      </c>
      <c r="G660" s="27">
        <f>IF($E660="","", VLOOKUP($F660, XPBands!A$2:G$10, 4, FALSE) + MIN(VLOOKUP($F660, XPBands!A$2:G$10, 5, FALSE) - VLOOKUP($F660, XPBands!A$2:G$10, 4, FALSE), FLOOR(( $E660 - VLOOKUP($F660, XPBands!A$2:G$10, 2, FALSE) ) / VLOOKUP($F660, XPBands!A$2:G$10, 7, FALSE),1)))</f>
        <v/>
      </c>
      <c r="H660" s="27">
        <f>IF($D660="","",VLOOKUP($D660,RoleTitles!$A:$E,3,FALSE))</f>
        <v/>
      </c>
      <c r="I660" s="27">
        <f>IF($D660="","",IF($C660="Greek",VLOOKUP($D660,RoleTitles!$A:$E,4,FALSE),IF($C660="Aesir",VLOOKUP($D660,RoleTitles!$A:$E,5,FALSE),VLOOKUP($D660,RoleTitles!$A:$E,3,FALSE))))</f>
        <v/>
      </c>
      <c r="J660" s="27">
        <f>IF($D660="","",IF($E660&gt;=VLOOKUP($D660,RoleTitles!$A:$B,2,FALSE),"Yes","No"))</f>
        <v/>
      </c>
      <c r="K660" s="27">
        <f>IF($D660="","",IF($D660="T1","T2",IF($D660="T2","T3",IF($D660="T3","T4",IF($D660="T4","T5",IF($D660="T5","T6",IF($D660="T6","T7",IF($D660="T7","T8",IF($D660="T8","T9","")))))))))</f>
        <v/>
      </c>
      <c r="L660" s="28">
        <f>IF($K660="","",MAX(0,VLOOKUP($K660,RoleTitles!$A:$B,2,FALSE)-$E660))</f>
        <v/>
      </c>
    </row>
    <row r="661">
      <c r="A661" s="24">
        <f>IFERROR(INDEX(CoachRoster!$A$2:$A$1000,ROW()-1),"")</f>
        <v/>
      </c>
      <c r="B661" s="27">
        <f>IF($A661="","",VLOOKUP($A661,CoachRoster!$A:$E,2,FALSE))</f>
        <v/>
      </c>
      <c r="C661" s="27">
        <f>IF($A661="","",VLOOKUP($A661,CoachRoster!$A:$E,3,FALSE))</f>
        <v/>
      </c>
      <c r="D661" s="27">
        <f>IF($A661="","",VLOOKUP($A661,CoachRoster!$A:$E,4,FALSE))</f>
        <v/>
      </c>
      <c r="E661" s="27">
        <f>IF($A661="","",MIN(Settings!$B$8,IFERROR(SUMIF(Weekly_Coaching!$B:$B,$A661,Weekly_Coaching!$D:$D),0)+IFERROR(SUMIF(Monthly_Edu!$B:$B,$A661,Monthly_Edu!$D:$D),0)+IFERROR(SUMIF(Monthly_Ops!$B:$B,$A661,Monthly_Ops!$D:$D),0)+IFERROR(SUMIF(Monthly_Mentor!$B:$B,$A661,Monthly_Mentor!$D:$D),0)+IFERROR(SUMIF(Quarterly_Impact!$B:$B,$A661,Quarterly_Impact!$D:$D),0)+IFERROR(SUMIFS(XPLog!$M:$M,XPLog!$B:$B,$A661,XPLog!$J:$J,"Admin"),0)+IFERROR(SUMIFS(XPLog!$M:$M,XPLog!$B:$B,$A661,XPLog!$J:$J,"Seeding"),0)))</f>
        <v/>
      </c>
      <c r="F661" s="27">
        <f>IF($E661="","",LOOKUP($E661, XPBands!B$2:B$10, XPBands!A$2:A$10))</f>
        <v/>
      </c>
      <c r="G661" s="27">
        <f>IF($E661="","", VLOOKUP($F661, XPBands!A$2:G$10, 4, FALSE) + MIN(VLOOKUP($F661, XPBands!A$2:G$10, 5, FALSE) - VLOOKUP($F661, XPBands!A$2:G$10, 4, FALSE), FLOOR(( $E661 - VLOOKUP($F661, XPBands!A$2:G$10, 2, FALSE) ) / VLOOKUP($F661, XPBands!A$2:G$10, 7, FALSE),1)))</f>
        <v/>
      </c>
      <c r="H661" s="27">
        <f>IF($D661="","",VLOOKUP($D661,RoleTitles!$A:$E,3,FALSE))</f>
        <v/>
      </c>
      <c r="I661" s="27">
        <f>IF($D661="","",IF($C661="Greek",VLOOKUP($D661,RoleTitles!$A:$E,4,FALSE),IF($C661="Aesir",VLOOKUP($D661,RoleTitles!$A:$E,5,FALSE),VLOOKUP($D661,RoleTitles!$A:$E,3,FALSE))))</f>
        <v/>
      </c>
      <c r="J661" s="27">
        <f>IF($D661="","",IF($E661&gt;=VLOOKUP($D661,RoleTitles!$A:$B,2,FALSE),"Yes","No"))</f>
        <v/>
      </c>
      <c r="K661" s="27">
        <f>IF($D661="","",IF($D661="T1","T2",IF($D661="T2","T3",IF($D661="T3","T4",IF($D661="T4","T5",IF($D661="T5","T6",IF($D661="T6","T7",IF($D661="T7","T8",IF($D661="T8","T9","")))))))))</f>
        <v/>
      </c>
      <c r="L661" s="28">
        <f>IF($K661="","",MAX(0,VLOOKUP($K661,RoleTitles!$A:$B,2,FALSE)-$E661))</f>
        <v/>
      </c>
    </row>
    <row r="662">
      <c r="A662" s="24">
        <f>IFERROR(INDEX(CoachRoster!$A$2:$A$1000,ROW()-1),"")</f>
        <v/>
      </c>
      <c r="B662" s="27">
        <f>IF($A662="","",VLOOKUP($A662,CoachRoster!$A:$E,2,FALSE))</f>
        <v/>
      </c>
      <c r="C662" s="27">
        <f>IF($A662="","",VLOOKUP($A662,CoachRoster!$A:$E,3,FALSE))</f>
        <v/>
      </c>
      <c r="D662" s="27">
        <f>IF($A662="","",VLOOKUP($A662,CoachRoster!$A:$E,4,FALSE))</f>
        <v/>
      </c>
      <c r="E662" s="27">
        <f>IF($A662="","",MIN(Settings!$B$8,IFERROR(SUMIF(Weekly_Coaching!$B:$B,$A662,Weekly_Coaching!$D:$D),0)+IFERROR(SUMIF(Monthly_Edu!$B:$B,$A662,Monthly_Edu!$D:$D),0)+IFERROR(SUMIF(Monthly_Ops!$B:$B,$A662,Monthly_Ops!$D:$D),0)+IFERROR(SUMIF(Monthly_Mentor!$B:$B,$A662,Monthly_Mentor!$D:$D),0)+IFERROR(SUMIF(Quarterly_Impact!$B:$B,$A662,Quarterly_Impact!$D:$D),0)+IFERROR(SUMIFS(XPLog!$M:$M,XPLog!$B:$B,$A662,XPLog!$J:$J,"Admin"),0)+IFERROR(SUMIFS(XPLog!$M:$M,XPLog!$B:$B,$A662,XPLog!$J:$J,"Seeding"),0)))</f>
        <v/>
      </c>
      <c r="F662" s="27">
        <f>IF($E662="","",LOOKUP($E662, XPBands!B$2:B$10, XPBands!A$2:A$10))</f>
        <v/>
      </c>
      <c r="G662" s="27">
        <f>IF($E662="","", VLOOKUP($F662, XPBands!A$2:G$10, 4, FALSE) + MIN(VLOOKUP($F662, XPBands!A$2:G$10, 5, FALSE) - VLOOKUP($F662, XPBands!A$2:G$10, 4, FALSE), FLOOR(( $E662 - VLOOKUP($F662, XPBands!A$2:G$10, 2, FALSE) ) / VLOOKUP($F662, XPBands!A$2:G$10, 7, FALSE),1)))</f>
        <v/>
      </c>
      <c r="H662" s="27">
        <f>IF($D662="","",VLOOKUP($D662,RoleTitles!$A:$E,3,FALSE))</f>
        <v/>
      </c>
      <c r="I662" s="27">
        <f>IF($D662="","",IF($C662="Greek",VLOOKUP($D662,RoleTitles!$A:$E,4,FALSE),IF($C662="Aesir",VLOOKUP($D662,RoleTitles!$A:$E,5,FALSE),VLOOKUP($D662,RoleTitles!$A:$E,3,FALSE))))</f>
        <v/>
      </c>
      <c r="J662" s="27">
        <f>IF($D662="","",IF($E662&gt;=VLOOKUP($D662,RoleTitles!$A:$B,2,FALSE),"Yes","No"))</f>
        <v/>
      </c>
      <c r="K662" s="27">
        <f>IF($D662="","",IF($D662="T1","T2",IF($D662="T2","T3",IF($D662="T3","T4",IF($D662="T4","T5",IF($D662="T5","T6",IF($D662="T6","T7",IF($D662="T7","T8",IF($D662="T8","T9","")))))))))</f>
        <v/>
      </c>
      <c r="L662" s="28">
        <f>IF($K662="","",MAX(0,VLOOKUP($K662,RoleTitles!$A:$B,2,FALSE)-$E662))</f>
        <v/>
      </c>
    </row>
    <row r="663">
      <c r="A663" s="24">
        <f>IFERROR(INDEX(CoachRoster!$A$2:$A$1000,ROW()-1),"")</f>
        <v/>
      </c>
      <c r="B663" s="27">
        <f>IF($A663="","",VLOOKUP($A663,CoachRoster!$A:$E,2,FALSE))</f>
        <v/>
      </c>
      <c r="C663" s="27">
        <f>IF($A663="","",VLOOKUP($A663,CoachRoster!$A:$E,3,FALSE))</f>
        <v/>
      </c>
      <c r="D663" s="27">
        <f>IF($A663="","",VLOOKUP($A663,CoachRoster!$A:$E,4,FALSE))</f>
        <v/>
      </c>
      <c r="E663" s="27">
        <f>IF($A663="","",MIN(Settings!$B$8,IFERROR(SUMIF(Weekly_Coaching!$B:$B,$A663,Weekly_Coaching!$D:$D),0)+IFERROR(SUMIF(Monthly_Edu!$B:$B,$A663,Monthly_Edu!$D:$D),0)+IFERROR(SUMIF(Monthly_Ops!$B:$B,$A663,Monthly_Ops!$D:$D),0)+IFERROR(SUMIF(Monthly_Mentor!$B:$B,$A663,Monthly_Mentor!$D:$D),0)+IFERROR(SUMIF(Quarterly_Impact!$B:$B,$A663,Quarterly_Impact!$D:$D),0)+IFERROR(SUMIFS(XPLog!$M:$M,XPLog!$B:$B,$A663,XPLog!$J:$J,"Admin"),0)+IFERROR(SUMIFS(XPLog!$M:$M,XPLog!$B:$B,$A663,XPLog!$J:$J,"Seeding"),0)))</f>
        <v/>
      </c>
      <c r="F663" s="27">
        <f>IF($E663="","",LOOKUP($E663, XPBands!B$2:B$10, XPBands!A$2:A$10))</f>
        <v/>
      </c>
      <c r="G663" s="27">
        <f>IF($E663="","", VLOOKUP($F663, XPBands!A$2:G$10, 4, FALSE) + MIN(VLOOKUP($F663, XPBands!A$2:G$10, 5, FALSE) - VLOOKUP($F663, XPBands!A$2:G$10, 4, FALSE), FLOOR(( $E663 - VLOOKUP($F663, XPBands!A$2:G$10, 2, FALSE) ) / VLOOKUP($F663, XPBands!A$2:G$10, 7, FALSE),1)))</f>
        <v/>
      </c>
      <c r="H663" s="27">
        <f>IF($D663="","",VLOOKUP($D663,RoleTitles!$A:$E,3,FALSE))</f>
        <v/>
      </c>
      <c r="I663" s="27">
        <f>IF($D663="","",IF($C663="Greek",VLOOKUP($D663,RoleTitles!$A:$E,4,FALSE),IF($C663="Aesir",VLOOKUP($D663,RoleTitles!$A:$E,5,FALSE),VLOOKUP($D663,RoleTitles!$A:$E,3,FALSE))))</f>
        <v/>
      </c>
      <c r="J663" s="27">
        <f>IF($D663="","",IF($E663&gt;=VLOOKUP($D663,RoleTitles!$A:$B,2,FALSE),"Yes","No"))</f>
        <v/>
      </c>
      <c r="K663" s="27">
        <f>IF($D663="","",IF($D663="T1","T2",IF($D663="T2","T3",IF($D663="T3","T4",IF($D663="T4","T5",IF($D663="T5","T6",IF($D663="T6","T7",IF($D663="T7","T8",IF($D663="T8","T9","")))))))))</f>
        <v/>
      </c>
      <c r="L663" s="28">
        <f>IF($K663="","",MAX(0,VLOOKUP($K663,RoleTitles!$A:$B,2,FALSE)-$E663))</f>
        <v/>
      </c>
    </row>
    <row r="664">
      <c r="A664" s="24">
        <f>IFERROR(INDEX(CoachRoster!$A$2:$A$1000,ROW()-1),"")</f>
        <v/>
      </c>
      <c r="B664" s="27">
        <f>IF($A664="","",VLOOKUP($A664,CoachRoster!$A:$E,2,FALSE))</f>
        <v/>
      </c>
      <c r="C664" s="27">
        <f>IF($A664="","",VLOOKUP($A664,CoachRoster!$A:$E,3,FALSE))</f>
        <v/>
      </c>
      <c r="D664" s="27">
        <f>IF($A664="","",VLOOKUP($A664,CoachRoster!$A:$E,4,FALSE))</f>
        <v/>
      </c>
      <c r="E664" s="27">
        <f>IF($A664="","",MIN(Settings!$B$8,IFERROR(SUMIF(Weekly_Coaching!$B:$B,$A664,Weekly_Coaching!$D:$D),0)+IFERROR(SUMIF(Monthly_Edu!$B:$B,$A664,Monthly_Edu!$D:$D),0)+IFERROR(SUMIF(Monthly_Ops!$B:$B,$A664,Monthly_Ops!$D:$D),0)+IFERROR(SUMIF(Monthly_Mentor!$B:$B,$A664,Monthly_Mentor!$D:$D),0)+IFERROR(SUMIF(Quarterly_Impact!$B:$B,$A664,Quarterly_Impact!$D:$D),0)+IFERROR(SUMIFS(XPLog!$M:$M,XPLog!$B:$B,$A664,XPLog!$J:$J,"Admin"),0)+IFERROR(SUMIFS(XPLog!$M:$M,XPLog!$B:$B,$A664,XPLog!$J:$J,"Seeding"),0)))</f>
        <v/>
      </c>
      <c r="F664" s="27">
        <f>IF($E664="","",LOOKUP($E664, XPBands!B$2:B$10, XPBands!A$2:A$10))</f>
        <v/>
      </c>
      <c r="G664" s="27">
        <f>IF($E664="","", VLOOKUP($F664, XPBands!A$2:G$10, 4, FALSE) + MIN(VLOOKUP($F664, XPBands!A$2:G$10, 5, FALSE) - VLOOKUP($F664, XPBands!A$2:G$10, 4, FALSE), FLOOR(( $E664 - VLOOKUP($F664, XPBands!A$2:G$10, 2, FALSE) ) / VLOOKUP($F664, XPBands!A$2:G$10, 7, FALSE),1)))</f>
        <v/>
      </c>
      <c r="H664" s="27">
        <f>IF($D664="","",VLOOKUP($D664,RoleTitles!$A:$E,3,FALSE))</f>
        <v/>
      </c>
      <c r="I664" s="27">
        <f>IF($D664="","",IF($C664="Greek",VLOOKUP($D664,RoleTitles!$A:$E,4,FALSE),IF($C664="Aesir",VLOOKUP($D664,RoleTitles!$A:$E,5,FALSE),VLOOKUP($D664,RoleTitles!$A:$E,3,FALSE))))</f>
        <v/>
      </c>
      <c r="J664" s="27">
        <f>IF($D664="","",IF($E664&gt;=VLOOKUP($D664,RoleTitles!$A:$B,2,FALSE),"Yes","No"))</f>
        <v/>
      </c>
      <c r="K664" s="27">
        <f>IF($D664="","",IF($D664="T1","T2",IF($D664="T2","T3",IF($D664="T3","T4",IF($D664="T4","T5",IF($D664="T5","T6",IF($D664="T6","T7",IF($D664="T7","T8",IF($D664="T8","T9","")))))))))</f>
        <v/>
      </c>
      <c r="L664" s="28">
        <f>IF($K664="","",MAX(0,VLOOKUP($K664,RoleTitles!$A:$B,2,FALSE)-$E664))</f>
        <v/>
      </c>
    </row>
    <row r="665">
      <c r="A665" s="24">
        <f>IFERROR(INDEX(CoachRoster!$A$2:$A$1000,ROW()-1),"")</f>
        <v/>
      </c>
      <c r="B665" s="27">
        <f>IF($A665="","",VLOOKUP($A665,CoachRoster!$A:$E,2,FALSE))</f>
        <v/>
      </c>
      <c r="C665" s="27">
        <f>IF($A665="","",VLOOKUP($A665,CoachRoster!$A:$E,3,FALSE))</f>
        <v/>
      </c>
      <c r="D665" s="27">
        <f>IF($A665="","",VLOOKUP($A665,CoachRoster!$A:$E,4,FALSE))</f>
        <v/>
      </c>
      <c r="E665" s="27">
        <f>IF($A665="","",MIN(Settings!$B$8,IFERROR(SUMIF(Weekly_Coaching!$B:$B,$A665,Weekly_Coaching!$D:$D),0)+IFERROR(SUMIF(Monthly_Edu!$B:$B,$A665,Monthly_Edu!$D:$D),0)+IFERROR(SUMIF(Monthly_Ops!$B:$B,$A665,Monthly_Ops!$D:$D),0)+IFERROR(SUMIF(Monthly_Mentor!$B:$B,$A665,Monthly_Mentor!$D:$D),0)+IFERROR(SUMIF(Quarterly_Impact!$B:$B,$A665,Quarterly_Impact!$D:$D),0)+IFERROR(SUMIFS(XPLog!$M:$M,XPLog!$B:$B,$A665,XPLog!$J:$J,"Admin"),0)+IFERROR(SUMIFS(XPLog!$M:$M,XPLog!$B:$B,$A665,XPLog!$J:$J,"Seeding"),0)))</f>
        <v/>
      </c>
      <c r="F665" s="27">
        <f>IF($E665="","",LOOKUP($E665, XPBands!B$2:B$10, XPBands!A$2:A$10))</f>
        <v/>
      </c>
      <c r="G665" s="27">
        <f>IF($E665="","", VLOOKUP($F665, XPBands!A$2:G$10, 4, FALSE) + MIN(VLOOKUP($F665, XPBands!A$2:G$10, 5, FALSE) - VLOOKUP($F665, XPBands!A$2:G$10, 4, FALSE), FLOOR(( $E665 - VLOOKUP($F665, XPBands!A$2:G$10, 2, FALSE) ) / VLOOKUP($F665, XPBands!A$2:G$10, 7, FALSE),1)))</f>
        <v/>
      </c>
      <c r="H665" s="27">
        <f>IF($D665="","",VLOOKUP($D665,RoleTitles!$A:$E,3,FALSE))</f>
        <v/>
      </c>
      <c r="I665" s="27">
        <f>IF($D665="","",IF($C665="Greek",VLOOKUP($D665,RoleTitles!$A:$E,4,FALSE),IF($C665="Aesir",VLOOKUP($D665,RoleTitles!$A:$E,5,FALSE),VLOOKUP($D665,RoleTitles!$A:$E,3,FALSE))))</f>
        <v/>
      </c>
      <c r="J665" s="27">
        <f>IF($D665="","",IF($E665&gt;=VLOOKUP($D665,RoleTitles!$A:$B,2,FALSE),"Yes","No"))</f>
        <v/>
      </c>
      <c r="K665" s="27">
        <f>IF($D665="","",IF($D665="T1","T2",IF($D665="T2","T3",IF($D665="T3","T4",IF($D665="T4","T5",IF($D665="T5","T6",IF($D665="T6","T7",IF($D665="T7","T8",IF($D665="T8","T9","")))))))))</f>
        <v/>
      </c>
      <c r="L665" s="28">
        <f>IF($K665="","",MAX(0,VLOOKUP($K665,RoleTitles!$A:$B,2,FALSE)-$E665))</f>
        <v/>
      </c>
    </row>
    <row r="666">
      <c r="A666" s="24">
        <f>IFERROR(INDEX(CoachRoster!$A$2:$A$1000,ROW()-1),"")</f>
        <v/>
      </c>
      <c r="B666" s="27">
        <f>IF($A666="","",VLOOKUP($A666,CoachRoster!$A:$E,2,FALSE))</f>
        <v/>
      </c>
      <c r="C666" s="27">
        <f>IF($A666="","",VLOOKUP($A666,CoachRoster!$A:$E,3,FALSE))</f>
        <v/>
      </c>
      <c r="D666" s="27">
        <f>IF($A666="","",VLOOKUP($A666,CoachRoster!$A:$E,4,FALSE))</f>
        <v/>
      </c>
      <c r="E666" s="27">
        <f>IF($A666="","",MIN(Settings!$B$8,IFERROR(SUMIF(Weekly_Coaching!$B:$B,$A666,Weekly_Coaching!$D:$D),0)+IFERROR(SUMIF(Monthly_Edu!$B:$B,$A666,Monthly_Edu!$D:$D),0)+IFERROR(SUMIF(Monthly_Ops!$B:$B,$A666,Monthly_Ops!$D:$D),0)+IFERROR(SUMIF(Monthly_Mentor!$B:$B,$A666,Monthly_Mentor!$D:$D),0)+IFERROR(SUMIF(Quarterly_Impact!$B:$B,$A666,Quarterly_Impact!$D:$D),0)+IFERROR(SUMIFS(XPLog!$M:$M,XPLog!$B:$B,$A666,XPLog!$J:$J,"Admin"),0)+IFERROR(SUMIFS(XPLog!$M:$M,XPLog!$B:$B,$A666,XPLog!$J:$J,"Seeding"),0)))</f>
        <v/>
      </c>
      <c r="F666" s="27">
        <f>IF($E666="","",LOOKUP($E666, XPBands!B$2:B$10, XPBands!A$2:A$10))</f>
        <v/>
      </c>
      <c r="G666" s="27">
        <f>IF($E666="","", VLOOKUP($F666, XPBands!A$2:G$10, 4, FALSE) + MIN(VLOOKUP($F666, XPBands!A$2:G$10, 5, FALSE) - VLOOKUP($F666, XPBands!A$2:G$10, 4, FALSE), FLOOR(( $E666 - VLOOKUP($F666, XPBands!A$2:G$10, 2, FALSE) ) / VLOOKUP($F666, XPBands!A$2:G$10, 7, FALSE),1)))</f>
        <v/>
      </c>
      <c r="H666" s="27">
        <f>IF($D666="","",VLOOKUP($D666,RoleTitles!$A:$E,3,FALSE))</f>
        <v/>
      </c>
      <c r="I666" s="27">
        <f>IF($D666="","",IF($C666="Greek",VLOOKUP($D666,RoleTitles!$A:$E,4,FALSE),IF($C666="Aesir",VLOOKUP($D666,RoleTitles!$A:$E,5,FALSE),VLOOKUP($D666,RoleTitles!$A:$E,3,FALSE))))</f>
        <v/>
      </c>
      <c r="J666" s="27">
        <f>IF($D666="","",IF($E666&gt;=VLOOKUP($D666,RoleTitles!$A:$B,2,FALSE),"Yes","No"))</f>
        <v/>
      </c>
      <c r="K666" s="27">
        <f>IF($D666="","",IF($D666="T1","T2",IF($D666="T2","T3",IF($D666="T3","T4",IF($D666="T4","T5",IF($D666="T5","T6",IF($D666="T6","T7",IF($D666="T7","T8",IF($D666="T8","T9","")))))))))</f>
        <v/>
      </c>
      <c r="L666" s="28">
        <f>IF($K666="","",MAX(0,VLOOKUP($K666,RoleTitles!$A:$B,2,FALSE)-$E666))</f>
        <v/>
      </c>
    </row>
    <row r="667">
      <c r="A667" s="24">
        <f>IFERROR(INDEX(CoachRoster!$A$2:$A$1000,ROW()-1),"")</f>
        <v/>
      </c>
      <c r="B667" s="27">
        <f>IF($A667="","",VLOOKUP($A667,CoachRoster!$A:$E,2,FALSE))</f>
        <v/>
      </c>
      <c r="C667" s="27">
        <f>IF($A667="","",VLOOKUP($A667,CoachRoster!$A:$E,3,FALSE))</f>
        <v/>
      </c>
      <c r="D667" s="27">
        <f>IF($A667="","",VLOOKUP($A667,CoachRoster!$A:$E,4,FALSE))</f>
        <v/>
      </c>
      <c r="E667" s="27">
        <f>IF($A667="","",MIN(Settings!$B$8,IFERROR(SUMIF(Weekly_Coaching!$B:$B,$A667,Weekly_Coaching!$D:$D),0)+IFERROR(SUMIF(Monthly_Edu!$B:$B,$A667,Monthly_Edu!$D:$D),0)+IFERROR(SUMIF(Monthly_Ops!$B:$B,$A667,Monthly_Ops!$D:$D),0)+IFERROR(SUMIF(Monthly_Mentor!$B:$B,$A667,Monthly_Mentor!$D:$D),0)+IFERROR(SUMIF(Quarterly_Impact!$B:$B,$A667,Quarterly_Impact!$D:$D),0)+IFERROR(SUMIFS(XPLog!$M:$M,XPLog!$B:$B,$A667,XPLog!$J:$J,"Admin"),0)+IFERROR(SUMIFS(XPLog!$M:$M,XPLog!$B:$B,$A667,XPLog!$J:$J,"Seeding"),0)))</f>
        <v/>
      </c>
      <c r="F667" s="27">
        <f>IF($E667="","",LOOKUP($E667, XPBands!B$2:B$10, XPBands!A$2:A$10))</f>
        <v/>
      </c>
      <c r="G667" s="27">
        <f>IF($E667="","", VLOOKUP($F667, XPBands!A$2:G$10, 4, FALSE) + MIN(VLOOKUP($F667, XPBands!A$2:G$10, 5, FALSE) - VLOOKUP($F667, XPBands!A$2:G$10, 4, FALSE), FLOOR(( $E667 - VLOOKUP($F667, XPBands!A$2:G$10, 2, FALSE) ) / VLOOKUP($F667, XPBands!A$2:G$10, 7, FALSE),1)))</f>
        <v/>
      </c>
      <c r="H667" s="27">
        <f>IF($D667="","",VLOOKUP($D667,RoleTitles!$A:$E,3,FALSE))</f>
        <v/>
      </c>
      <c r="I667" s="27">
        <f>IF($D667="","",IF($C667="Greek",VLOOKUP($D667,RoleTitles!$A:$E,4,FALSE),IF($C667="Aesir",VLOOKUP($D667,RoleTitles!$A:$E,5,FALSE),VLOOKUP($D667,RoleTitles!$A:$E,3,FALSE))))</f>
        <v/>
      </c>
      <c r="J667" s="27">
        <f>IF($D667="","",IF($E667&gt;=VLOOKUP($D667,RoleTitles!$A:$B,2,FALSE),"Yes","No"))</f>
        <v/>
      </c>
      <c r="K667" s="27">
        <f>IF($D667="","",IF($D667="T1","T2",IF($D667="T2","T3",IF($D667="T3","T4",IF($D667="T4","T5",IF($D667="T5","T6",IF($D667="T6","T7",IF($D667="T7","T8",IF($D667="T8","T9","")))))))))</f>
        <v/>
      </c>
      <c r="L667" s="28">
        <f>IF($K667="","",MAX(0,VLOOKUP($K667,RoleTitles!$A:$B,2,FALSE)-$E667))</f>
        <v/>
      </c>
    </row>
    <row r="668">
      <c r="A668" s="24">
        <f>IFERROR(INDEX(CoachRoster!$A$2:$A$1000,ROW()-1),"")</f>
        <v/>
      </c>
      <c r="B668" s="27">
        <f>IF($A668="","",VLOOKUP($A668,CoachRoster!$A:$E,2,FALSE))</f>
        <v/>
      </c>
      <c r="C668" s="27">
        <f>IF($A668="","",VLOOKUP($A668,CoachRoster!$A:$E,3,FALSE))</f>
        <v/>
      </c>
      <c r="D668" s="27">
        <f>IF($A668="","",VLOOKUP($A668,CoachRoster!$A:$E,4,FALSE))</f>
        <v/>
      </c>
      <c r="E668" s="27">
        <f>IF($A668="","",MIN(Settings!$B$8,IFERROR(SUMIF(Weekly_Coaching!$B:$B,$A668,Weekly_Coaching!$D:$D),0)+IFERROR(SUMIF(Monthly_Edu!$B:$B,$A668,Monthly_Edu!$D:$D),0)+IFERROR(SUMIF(Monthly_Ops!$B:$B,$A668,Monthly_Ops!$D:$D),0)+IFERROR(SUMIF(Monthly_Mentor!$B:$B,$A668,Monthly_Mentor!$D:$D),0)+IFERROR(SUMIF(Quarterly_Impact!$B:$B,$A668,Quarterly_Impact!$D:$D),0)+IFERROR(SUMIFS(XPLog!$M:$M,XPLog!$B:$B,$A668,XPLog!$J:$J,"Admin"),0)+IFERROR(SUMIFS(XPLog!$M:$M,XPLog!$B:$B,$A668,XPLog!$J:$J,"Seeding"),0)))</f>
        <v/>
      </c>
      <c r="F668" s="27">
        <f>IF($E668="","",LOOKUP($E668, XPBands!B$2:B$10, XPBands!A$2:A$10))</f>
        <v/>
      </c>
      <c r="G668" s="27">
        <f>IF($E668="","", VLOOKUP($F668, XPBands!A$2:G$10, 4, FALSE) + MIN(VLOOKUP($F668, XPBands!A$2:G$10, 5, FALSE) - VLOOKUP($F668, XPBands!A$2:G$10, 4, FALSE), FLOOR(( $E668 - VLOOKUP($F668, XPBands!A$2:G$10, 2, FALSE) ) / VLOOKUP($F668, XPBands!A$2:G$10, 7, FALSE),1)))</f>
        <v/>
      </c>
      <c r="H668" s="27">
        <f>IF($D668="","",VLOOKUP($D668,RoleTitles!$A:$E,3,FALSE))</f>
        <v/>
      </c>
      <c r="I668" s="27">
        <f>IF($D668="","",IF($C668="Greek",VLOOKUP($D668,RoleTitles!$A:$E,4,FALSE),IF($C668="Aesir",VLOOKUP($D668,RoleTitles!$A:$E,5,FALSE),VLOOKUP($D668,RoleTitles!$A:$E,3,FALSE))))</f>
        <v/>
      </c>
      <c r="J668" s="27">
        <f>IF($D668="","",IF($E668&gt;=VLOOKUP($D668,RoleTitles!$A:$B,2,FALSE),"Yes","No"))</f>
        <v/>
      </c>
      <c r="K668" s="27">
        <f>IF($D668="","",IF($D668="T1","T2",IF($D668="T2","T3",IF($D668="T3","T4",IF($D668="T4","T5",IF($D668="T5","T6",IF($D668="T6","T7",IF($D668="T7","T8",IF($D668="T8","T9","")))))))))</f>
        <v/>
      </c>
      <c r="L668" s="28">
        <f>IF($K668="","",MAX(0,VLOOKUP($K668,RoleTitles!$A:$B,2,FALSE)-$E668))</f>
        <v/>
      </c>
    </row>
    <row r="669">
      <c r="A669" s="24">
        <f>IFERROR(INDEX(CoachRoster!$A$2:$A$1000,ROW()-1),"")</f>
        <v/>
      </c>
      <c r="B669" s="27">
        <f>IF($A669="","",VLOOKUP($A669,CoachRoster!$A:$E,2,FALSE))</f>
        <v/>
      </c>
      <c r="C669" s="27">
        <f>IF($A669="","",VLOOKUP($A669,CoachRoster!$A:$E,3,FALSE))</f>
        <v/>
      </c>
      <c r="D669" s="27">
        <f>IF($A669="","",VLOOKUP($A669,CoachRoster!$A:$E,4,FALSE))</f>
        <v/>
      </c>
      <c r="E669" s="27">
        <f>IF($A669="","",MIN(Settings!$B$8,IFERROR(SUMIF(Weekly_Coaching!$B:$B,$A669,Weekly_Coaching!$D:$D),0)+IFERROR(SUMIF(Monthly_Edu!$B:$B,$A669,Monthly_Edu!$D:$D),0)+IFERROR(SUMIF(Monthly_Ops!$B:$B,$A669,Monthly_Ops!$D:$D),0)+IFERROR(SUMIF(Monthly_Mentor!$B:$B,$A669,Monthly_Mentor!$D:$D),0)+IFERROR(SUMIF(Quarterly_Impact!$B:$B,$A669,Quarterly_Impact!$D:$D),0)+IFERROR(SUMIFS(XPLog!$M:$M,XPLog!$B:$B,$A669,XPLog!$J:$J,"Admin"),0)+IFERROR(SUMIFS(XPLog!$M:$M,XPLog!$B:$B,$A669,XPLog!$J:$J,"Seeding"),0)))</f>
        <v/>
      </c>
      <c r="F669" s="27">
        <f>IF($E669="","",LOOKUP($E669, XPBands!B$2:B$10, XPBands!A$2:A$10))</f>
        <v/>
      </c>
      <c r="G669" s="27">
        <f>IF($E669="","", VLOOKUP($F669, XPBands!A$2:G$10, 4, FALSE) + MIN(VLOOKUP($F669, XPBands!A$2:G$10, 5, FALSE) - VLOOKUP($F669, XPBands!A$2:G$10, 4, FALSE), FLOOR(( $E669 - VLOOKUP($F669, XPBands!A$2:G$10, 2, FALSE) ) / VLOOKUP($F669, XPBands!A$2:G$10, 7, FALSE),1)))</f>
        <v/>
      </c>
      <c r="H669" s="27">
        <f>IF($D669="","",VLOOKUP($D669,RoleTitles!$A:$E,3,FALSE))</f>
        <v/>
      </c>
      <c r="I669" s="27">
        <f>IF($D669="","",IF($C669="Greek",VLOOKUP($D669,RoleTitles!$A:$E,4,FALSE),IF($C669="Aesir",VLOOKUP($D669,RoleTitles!$A:$E,5,FALSE),VLOOKUP($D669,RoleTitles!$A:$E,3,FALSE))))</f>
        <v/>
      </c>
      <c r="J669" s="27">
        <f>IF($D669="","",IF($E669&gt;=VLOOKUP($D669,RoleTitles!$A:$B,2,FALSE),"Yes","No"))</f>
        <v/>
      </c>
      <c r="K669" s="27">
        <f>IF($D669="","",IF($D669="T1","T2",IF($D669="T2","T3",IF($D669="T3","T4",IF($D669="T4","T5",IF($D669="T5","T6",IF($D669="T6","T7",IF($D669="T7","T8",IF($D669="T8","T9","")))))))))</f>
        <v/>
      </c>
      <c r="L669" s="28">
        <f>IF($K669="","",MAX(0,VLOOKUP($K669,RoleTitles!$A:$B,2,FALSE)-$E669))</f>
        <v/>
      </c>
    </row>
    <row r="670">
      <c r="A670" s="24">
        <f>IFERROR(INDEX(CoachRoster!$A$2:$A$1000,ROW()-1),"")</f>
        <v/>
      </c>
      <c r="B670" s="27">
        <f>IF($A670="","",VLOOKUP($A670,CoachRoster!$A:$E,2,FALSE))</f>
        <v/>
      </c>
      <c r="C670" s="27">
        <f>IF($A670="","",VLOOKUP($A670,CoachRoster!$A:$E,3,FALSE))</f>
        <v/>
      </c>
      <c r="D670" s="27">
        <f>IF($A670="","",VLOOKUP($A670,CoachRoster!$A:$E,4,FALSE))</f>
        <v/>
      </c>
      <c r="E670" s="27">
        <f>IF($A670="","",MIN(Settings!$B$8,IFERROR(SUMIF(Weekly_Coaching!$B:$B,$A670,Weekly_Coaching!$D:$D),0)+IFERROR(SUMIF(Monthly_Edu!$B:$B,$A670,Monthly_Edu!$D:$D),0)+IFERROR(SUMIF(Monthly_Ops!$B:$B,$A670,Monthly_Ops!$D:$D),0)+IFERROR(SUMIF(Monthly_Mentor!$B:$B,$A670,Monthly_Mentor!$D:$D),0)+IFERROR(SUMIF(Quarterly_Impact!$B:$B,$A670,Quarterly_Impact!$D:$D),0)+IFERROR(SUMIFS(XPLog!$M:$M,XPLog!$B:$B,$A670,XPLog!$J:$J,"Admin"),0)+IFERROR(SUMIFS(XPLog!$M:$M,XPLog!$B:$B,$A670,XPLog!$J:$J,"Seeding"),0)))</f>
        <v/>
      </c>
      <c r="F670" s="27">
        <f>IF($E670="","",LOOKUP($E670, XPBands!B$2:B$10, XPBands!A$2:A$10))</f>
        <v/>
      </c>
      <c r="G670" s="27">
        <f>IF($E670="","", VLOOKUP($F670, XPBands!A$2:G$10, 4, FALSE) + MIN(VLOOKUP($F670, XPBands!A$2:G$10, 5, FALSE) - VLOOKUP($F670, XPBands!A$2:G$10, 4, FALSE), FLOOR(( $E670 - VLOOKUP($F670, XPBands!A$2:G$10, 2, FALSE) ) / VLOOKUP($F670, XPBands!A$2:G$10, 7, FALSE),1)))</f>
        <v/>
      </c>
      <c r="H670" s="27">
        <f>IF($D670="","",VLOOKUP($D670,RoleTitles!$A:$E,3,FALSE))</f>
        <v/>
      </c>
      <c r="I670" s="27">
        <f>IF($D670="","",IF($C670="Greek",VLOOKUP($D670,RoleTitles!$A:$E,4,FALSE),IF($C670="Aesir",VLOOKUP($D670,RoleTitles!$A:$E,5,FALSE),VLOOKUP($D670,RoleTitles!$A:$E,3,FALSE))))</f>
        <v/>
      </c>
      <c r="J670" s="27">
        <f>IF($D670="","",IF($E670&gt;=VLOOKUP($D670,RoleTitles!$A:$B,2,FALSE),"Yes","No"))</f>
        <v/>
      </c>
      <c r="K670" s="27">
        <f>IF($D670="","",IF($D670="T1","T2",IF($D670="T2","T3",IF($D670="T3","T4",IF($D670="T4","T5",IF($D670="T5","T6",IF($D670="T6","T7",IF($D670="T7","T8",IF($D670="T8","T9","")))))))))</f>
        <v/>
      </c>
      <c r="L670" s="28">
        <f>IF($K670="","",MAX(0,VLOOKUP($K670,RoleTitles!$A:$B,2,FALSE)-$E670))</f>
        <v/>
      </c>
    </row>
    <row r="671">
      <c r="A671" s="24">
        <f>IFERROR(INDEX(CoachRoster!$A$2:$A$1000,ROW()-1),"")</f>
        <v/>
      </c>
      <c r="B671" s="27">
        <f>IF($A671="","",VLOOKUP($A671,CoachRoster!$A:$E,2,FALSE))</f>
        <v/>
      </c>
      <c r="C671" s="27">
        <f>IF($A671="","",VLOOKUP($A671,CoachRoster!$A:$E,3,FALSE))</f>
        <v/>
      </c>
      <c r="D671" s="27">
        <f>IF($A671="","",VLOOKUP($A671,CoachRoster!$A:$E,4,FALSE))</f>
        <v/>
      </c>
      <c r="E671" s="27">
        <f>IF($A671="","",MIN(Settings!$B$8,IFERROR(SUMIF(Weekly_Coaching!$B:$B,$A671,Weekly_Coaching!$D:$D),0)+IFERROR(SUMIF(Monthly_Edu!$B:$B,$A671,Monthly_Edu!$D:$D),0)+IFERROR(SUMIF(Monthly_Ops!$B:$B,$A671,Monthly_Ops!$D:$D),0)+IFERROR(SUMIF(Monthly_Mentor!$B:$B,$A671,Monthly_Mentor!$D:$D),0)+IFERROR(SUMIF(Quarterly_Impact!$B:$B,$A671,Quarterly_Impact!$D:$D),0)+IFERROR(SUMIFS(XPLog!$M:$M,XPLog!$B:$B,$A671,XPLog!$J:$J,"Admin"),0)+IFERROR(SUMIFS(XPLog!$M:$M,XPLog!$B:$B,$A671,XPLog!$J:$J,"Seeding"),0)))</f>
        <v/>
      </c>
      <c r="F671" s="27">
        <f>IF($E671="","",LOOKUP($E671, XPBands!B$2:B$10, XPBands!A$2:A$10))</f>
        <v/>
      </c>
      <c r="G671" s="27">
        <f>IF($E671="","", VLOOKUP($F671, XPBands!A$2:G$10, 4, FALSE) + MIN(VLOOKUP($F671, XPBands!A$2:G$10, 5, FALSE) - VLOOKUP($F671, XPBands!A$2:G$10, 4, FALSE), FLOOR(( $E671 - VLOOKUP($F671, XPBands!A$2:G$10, 2, FALSE) ) / VLOOKUP($F671, XPBands!A$2:G$10, 7, FALSE),1)))</f>
        <v/>
      </c>
      <c r="H671" s="27">
        <f>IF($D671="","",VLOOKUP($D671,RoleTitles!$A:$E,3,FALSE))</f>
        <v/>
      </c>
      <c r="I671" s="27">
        <f>IF($D671="","",IF($C671="Greek",VLOOKUP($D671,RoleTitles!$A:$E,4,FALSE),IF($C671="Aesir",VLOOKUP($D671,RoleTitles!$A:$E,5,FALSE),VLOOKUP($D671,RoleTitles!$A:$E,3,FALSE))))</f>
        <v/>
      </c>
      <c r="J671" s="27">
        <f>IF($D671="","",IF($E671&gt;=VLOOKUP($D671,RoleTitles!$A:$B,2,FALSE),"Yes","No"))</f>
        <v/>
      </c>
      <c r="K671" s="27">
        <f>IF($D671="","",IF($D671="T1","T2",IF($D671="T2","T3",IF($D671="T3","T4",IF($D671="T4","T5",IF($D671="T5","T6",IF($D671="T6","T7",IF($D671="T7","T8",IF($D671="T8","T9","")))))))))</f>
        <v/>
      </c>
      <c r="L671" s="28">
        <f>IF($K671="","",MAX(0,VLOOKUP($K671,RoleTitles!$A:$B,2,FALSE)-$E671))</f>
        <v/>
      </c>
    </row>
    <row r="672">
      <c r="A672" s="24">
        <f>IFERROR(INDEX(CoachRoster!$A$2:$A$1000,ROW()-1),"")</f>
        <v/>
      </c>
      <c r="B672" s="27">
        <f>IF($A672="","",VLOOKUP($A672,CoachRoster!$A:$E,2,FALSE))</f>
        <v/>
      </c>
      <c r="C672" s="27">
        <f>IF($A672="","",VLOOKUP($A672,CoachRoster!$A:$E,3,FALSE))</f>
        <v/>
      </c>
      <c r="D672" s="27">
        <f>IF($A672="","",VLOOKUP($A672,CoachRoster!$A:$E,4,FALSE))</f>
        <v/>
      </c>
      <c r="E672" s="27">
        <f>IF($A672="","",MIN(Settings!$B$8,IFERROR(SUMIF(Weekly_Coaching!$B:$B,$A672,Weekly_Coaching!$D:$D),0)+IFERROR(SUMIF(Monthly_Edu!$B:$B,$A672,Monthly_Edu!$D:$D),0)+IFERROR(SUMIF(Monthly_Ops!$B:$B,$A672,Monthly_Ops!$D:$D),0)+IFERROR(SUMIF(Monthly_Mentor!$B:$B,$A672,Monthly_Mentor!$D:$D),0)+IFERROR(SUMIF(Quarterly_Impact!$B:$B,$A672,Quarterly_Impact!$D:$D),0)+IFERROR(SUMIFS(XPLog!$M:$M,XPLog!$B:$B,$A672,XPLog!$J:$J,"Admin"),0)+IFERROR(SUMIFS(XPLog!$M:$M,XPLog!$B:$B,$A672,XPLog!$J:$J,"Seeding"),0)))</f>
        <v/>
      </c>
      <c r="F672" s="27">
        <f>IF($E672="","",LOOKUP($E672, XPBands!B$2:B$10, XPBands!A$2:A$10))</f>
        <v/>
      </c>
      <c r="G672" s="27">
        <f>IF($E672="","", VLOOKUP($F672, XPBands!A$2:G$10, 4, FALSE) + MIN(VLOOKUP($F672, XPBands!A$2:G$10, 5, FALSE) - VLOOKUP($F672, XPBands!A$2:G$10, 4, FALSE), FLOOR(( $E672 - VLOOKUP($F672, XPBands!A$2:G$10, 2, FALSE) ) / VLOOKUP($F672, XPBands!A$2:G$10, 7, FALSE),1)))</f>
        <v/>
      </c>
      <c r="H672" s="27">
        <f>IF($D672="","",VLOOKUP($D672,RoleTitles!$A:$E,3,FALSE))</f>
        <v/>
      </c>
      <c r="I672" s="27">
        <f>IF($D672="","",IF($C672="Greek",VLOOKUP($D672,RoleTitles!$A:$E,4,FALSE),IF($C672="Aesir",VLOOKUP($D672,RoleTitles!$A:$E,5,FALSE),VLOOKUP($D672,RoleTitles!$A:$E,3,FALSE))))</f>
        <v/>
      </c>
      <c r="J672" s="27">
        <f>IF($D672="","",IF($E672&gt;=VLOOKUP($D672,RoleTitles!$A:$B,2,FALSE),"Yes","No"))</f>
        <v/>
      </c>
      <c r="K672" s="27">
        <f>IF($D672="","",IF($D672="T1","T2",IF($D672="T2","T3",IF($D672="T3","T4",IF($D672="T4","T5",IF($D672="T5","T6",IF($D672="T6","T7",IF($D672="T7","T8",IF($D672="T8","T9","")))))))))</f>
        <v/>
      </c>
      <c r="L672" s="28">
        <f>IF($K672="","",MAX(0,VLOOKUP($K672,RoleTitles!$A:$B,2,FALSE)-$E672))</f>
        <v/>
      </c>
    </row>
    <row r="673">
      <c r="A673" s="24">
        <f>IFERROR(INDEX(CoachRoster!$A$2:$A$1000,ROW()-1),"")</f>
        <v/>
      </c>
      <c r="B673" s="27">
        <f>IF($A673="","",VLOOKUP($A673,CoachRoster!$A:$E,2,FALSE))</f>
        <v/>
      </c>
      <c r="C673" s="27">
        <f>IF($A673="","",VLOOKUP($A673,CoachRoster!$A:$E,3,FALSE))</f>
        <v/>
      </c>
      <c r="D673" s="27">
        <f>IF($A673="","",VLOOKUP($A673,CoachRoster!$A:$E,4,FALSE))</f>
        <v/>
      </c>
      <c r="E673" s="27">
        <f>IF($A673="","",MIN(Settings!$B$8,IFERROR(SUMIF(Weekly_Coaching!$B:$B,$A673,Weekly_Coaching!$D:$D),0)+IFERROR(SUMIF(Monthly_Edu!$B:$B,$A673,Monthly_Edu!$D:$D),0)+IFERROR(SUMIF(Monthly_Ops!$B:$B,$A673,Monthly_Ops!$D:$D),0)+IFERROR(SUMIF(Monthly_Mentor!$B:$B,$A673,Monthly_Mentor!$D:$D),0)+IFERROR(SUMIF(Quarterly_Impact!$B:$B,$A673,Quarterly_Impact!$D:$D),0)+IFERROR(SUMIFS(XPLog!$M:$M,XPLog!$B:$B,$A673,XPLog!$J:$J,"Admin"),0)+IFERROR(SUMIFS(XPLog!$M:$M,XPLog!$B:$B,$A673,XPLog!$J:$J,"Seeding"),0)))</f>
        <v/>
      </c>
      <c r="F673" s="27">
        <f>IF($E673="","",LOOKUP($E673, XPBands!B$2:B$10, XPBands!A$2:A$10))</f>
        <v/>
      </c>
      <c r="G673" s="27">
        <f>IF($E673="","", VLOOKUP($F673, XPBands!A$2:G$10, 4, FALSE) + MIN(VLOOKUP($F673, XPBands!A$2:G$10, 5, FALSE) - VLOOKUP($F673, XPBands!A$2:G$10, 4, FALSE), FLOOR(( $E673 - VLOOKUP($F673, XPBands!A$2:G$10, 2, FALSE) ) / VLOOKUP($F673, XPBands!A$2:G$10, 7, FALSE),1)))</f>
        <v/>
      </c>
      <c r="H673" s="27">
        <f>IF($D673="","",VLOOKUP($D673,RoleTitles!$A:$E,3,FALSE))</f>
        <v/>
      </c>
      <c r="I673" s="27">
        <f>IF($D673="","",IF($C673="Greek",VLOOKUP($D673,RoleTitles!$A:$E,4,FALSE),IF($C673="Aesir",VLOOKUP($D673,RoleTitles!$A:$E,5,FALSE),VLOOKUP($D673,RoleTitles!$A:$E,3,FALSE))))</f>
        <v/>
      </c>
      <c r="J673" s="27">
        <f>IF($D673="","",IF($E673&gt;=VLOOKUP($D673,RoleTitles!$A:$B,2,FALSE),"Yes","No"))</f>
        <v/>
      </c>
      <c r="K673" s="27">
        <f>IF($D673="","",IF($D673="T1","T2",IF($D673="T2","T3",IF($D673="T3","T4",IF($D673="T4","T5",IF($D673="T5","T6",IF($D673="T6","T7",IF($D673="T7","T8",IF($D673="T8","T9","")))))))))</f>
        <v/>
      </c>
      <c r="L673" s="28">
        <f>IF($K673="","",MAX(0,VLOOKUP($K673,RoleTitles!$A:$B,2,FALSE)-$E673))</f>
        <v/>
      </c>
    </row>
    <row r="674">
      <c r="A674" s="24">
        <f>IFERROR(INDEX(CoachRoster!$A$2:$A$1000,ROW()-1),"")</f>
        <v/>
      </c>
      <c r="B674" s="27">
        <f>IF($A674="","",VLOOKUP($A674,CoachRoster!$A:$E,2,FALSE))</f>
        <v/>
      </c>
      <c r="C674" s="27">
        <f>IF($A674="","",VLOOKUP($A674,CoachRoster!$A:$E,3,FALSE))</f>
        <v/>
      </c>
      <c r="D674" s="27">
        <f>IF($A674="","",VLOOKUP($A674,CoachRoster!$A:$E,4,FALSE))</f>
        <v/>
      </c>
      <c r="E674" s="27">
        <f>IF($A674="","",MIN(Settings!$B$8,IFERROR(SUMIF(Weekly_Coaching!$B:$B,$A674,Weekly_Coaching!$D:$D),0)+IFERROR(SUMIF(Monthly_Edu!$B:$B,$A674,Monthly_Edu!$D:$D),0)+IFERROR(SUMIF(Monthly_Ops!$B:$B,$A674,Monthly_Ops!$D:$D),0)+IFERROR(SUMIF(Monthly_Mentor!$B:$B,$A674,Monthly_Mentor!$D:$D),0)+IFERROR(SUMIF(Quarterly_Impact!$B:$B,$A674,Quarterly_Impact!$D:$D),0)+IFERROR(SUMIFS(XPLog!$M:$M,XPLog!$B:$B,$A674,XPLog!$J:$J,"Admin"),0)+IFERROR(SUMIFS(XPLog!$M:$M,XPLog!$B:$B,$A674,XPLog!$J:$J,"Seeding"),0)))</f>
        <v/>
      </c>
      <c r="F674" s="27">
        <f>IF($E674="","",LOOKUP($E674, XPBands!B$2:B$10, XPBands!A$2:A$10))</f>
        <v/>
      </c>
      <c r="G674" s="27">
        <f>IF($E674="","", VLOOKUP($F674, XPBands!A$2:G$10, 4, FALSE) + MIN(VLOOKUP($F674, XPBands!A$2:G$10, 5, FALSE) - VLOOKUP($F674, XPBands!A$2:G$10, 4, FALSE), FLOOR(( $E674 - VLOOKUP($F674, XPBands!A$2:G$10, 2, FALSE) ) / VLOOKUP($F674, XPBands!A$2:G$10, 7, FALSE),1)))</f>
        <v/>
      </c>
      <c r="H674" s="27">
        <f>IF($D674="","",VLOOKUP($D674,RoleTitles!$A:$E,3,FALSE))</f>
        <v/>
      </c>
      <c r="I674" s="27">
        <f>IF($D674="","",IF($C674="Greek",VLOOKUP($D674,RoleTitles!$A:$E,4,FALSE),IF($C674="Aesir",VLOOKUP($D674,RoleTitles!$A:$E,5,FALSE),VLOOKUP($D674,RoleTitles!$A:$E,3,FALSE))))</f>
        <v/>
      </c>
      <c r="J674" s="27">
        <f>IF($D674="","",IF($E674&gt;=VLOOKUP($D674,RoleTitles!$A:$B,2,FALSE),"Yes","No"))</f>
        <v/>
      </c>
      <c r="K674" s="27">
        <f>IF($D674="","",IF($D674="T1","T2",IF($D674="T2","T3",IF($D674="T3","T4",IF($D674="T4","T5",IF($D674="T5","T6",IF($D674="T6","T7",IF($D674="T7","T8",IF($D674="T8","T9","")))))))))</f>
        <v/>
      </c>
      <c r="L674" s="28">
        <f>IF($K674="","",MAX(0,VLOOKUP($K674,RoleTitles!$A:$B,2,FALSE)-$E674))</f>
        <v/>
      </c>
    </row>
    <row r="675">
      <c r="A675" s="24">
        <f>IFERROR(INDEX(CoachRoster!$A$2:$A$1000,ROW()-1),"")</f>
        <v/>
      </c>
      <c r="B675" s="27">
        <f>IF($A675="","",VLOOKUP($A675,CoachRoster!$A:$E,2,FALSE))</f>
        <v/>
      </c>
      <c r="C675" s="27">
        <f>IF($A675="","",VLOOKUP($A675,CoachRoster!$A:$E,3,FALSE))</f>
        <v/>
      </c>
      <c r="D675" s="27">
        <f>IF($A675="","",VLOOKUP($A675,CoachRoster!$A:$E,4,FALSE))</f>
        <v/>
      </c>
      <c r="E675" s="27">
        <f>IF($A675="","",MIN(Settings!$B$8,IFERROR(SUMIF(Weekly_Coaching!$B:$B,$A675,Weekly_Coaching!$D:$D),0)+IFERROR(SUMIF(Monthly_Edu!$B:$B,$A675,Monthly_Edu!$D:$D),0)+IFERROR(SUMIF(Monthly_Ops!$B:$B,$A675,Monthly_Ops!$D:$D),0)+IFERROR(SUMIF(Monthly_Mentor!$B:$B,$A675,Monthly_Mentor!$D:$D),0)+IFERROR(SUMIF(Quarterly_Impact!$B:$B,$A675,Quarterly_Impact!$D:$D),0)+IFERROR(SUMIFS(XPLog!$M:$M,XPLog!$B:$B,$A675,XPLog!$J:$J,"Admin"),0)+IFERROR(SUMIFS(XPLog!$M:$M,XPLog!$B:$B,$A675,XPLog!$J:$J,"Seeding"),0)))</f>
        <v/>
      </c>
      <c r="F675" s="27">
        <f>IF($E675="","",LOOKUP($E675, XPBands!B$2:B$10, XPBands!A$2:A$10))</f>
        <v/>
      </c>
      <c r="G675" s="27">
        <f>IF($E675="","", VLOOKUP($F675, XPBands!A$2:G$10, 4, FALSE) + MIN(VLOOKUP($F675, XPBands!A$2:G$10, 5, FALSE) - VLOOKUP($F675, XPBands!A$2:G$10, 4, FALSE), FLOOR(( $E675 - VLOOKUP($F675, XPBands!A$2:G$10, 2, FALSE) ) / VLOOKUP($F675, XPBands!A$2:G$10, 7, FALSE),1)))</f>
        <v/>
      </c>
      <c r="H675" s="27">
        <f>IF($D675="","",VLOOKUP($D675,RoleTitles!$A:$E,3,FALSE))</f>
        <v/>
      </c>
      <c r="I675" s="27">
        <f>IF($D675="","",IF($C675="Greek",VLOOKUP($D675,RoleTitles!$A:$E,4,FALSE),IF($C675="Aesir",VLOOKUP($D675,RoleTitles!$A:$E,5,FALSE),VLOOKUP($D675,RoleTitles!$A:$E,3,FALSE))))</f>
        <v/>
      </c>
      <c r="J675" s="27">
        <f>IF($D675="","",IF($E675&gt;=VLOOKUP($D675,RoleTitles!$A:$B,2,FALSE),"Yes","No"))</f>
        <v/>
      </c>
      <c r="K675" s="27">
        <f>IF($D675="","",IF($D675="T1","T2",IF($D675="T2","T3",IF($D675="T3","T4",IF($D675="T4","T5",IF($D675="T5","T6",IF($D675="T6","T7",IF($D675="T7","T8",IF($D675="T8","T9","")))))))))</f>
        <v/>
      </c>
      <c r="L675" s="28">
        <f>IF($K675="","",MAX(0,VLOOKUP($K675,RoleTitles!$A:$B,2,FALSE)-$E675))</f>
        <v/>
      </c>
    </row>
    <row r="676">
      <c r="A676" s="24">
        <f>IFERROR(INDEX(CoachRoster!$A$2:$A$1000,ROW()-1),"")</f>
        <v/>
      </c>
      <c r="B676" s="27">
        <f>IF($A676="","",VLOOKUP($A676,CoachRoster!$A:$E,2,FALSE))</f>
        <v/>
      </c>
      <c r="C676" s="27">
        <f>IF($A676="","",VLOOKUP($A676,CoachRoster!$A:$E,3,FALSE))</f>
        <v/>
      </c>
      <c r="D676" s="27">
        <f>IF($A676="","",VLOOKUP($A676,CoachRoster!$A:$E,4,FALSE))</f>
        <v/>
      </c>
      <c r="E676" s="27">
        <f>IF($A676="","",MIN(Settings!$B$8,IFERROR(SUMIF(Weekly_Coaching!$B:$B,$A676,Weekly_Coaching!$D:$D),0)+IFERROR(SUMIF(Monthly_Edu!$B:$B,$A676,Monthly_Edu!$D:$D),0)+IFERROR(SUMIF(Monthly_Ops!$B:$B,$A676,Monthly_Ops!$D:$D),0)+IFERROR(SUMIF(Monthly_Mentor!$B:$B,$A676,Monthly_Mentor!$D:$D),0)+IFERROR(SUMIF(Quarterly_Impact!$B:$B,$A676,Quarterly_Impact!$D:$D),0)+IFERROR(SUMIFS(XPLog!$M:$M,XPLog!$B:$B,$A676,XPLog!$J:$J,"Admin"),0)+IFERROR(SUMIFS(XPLog!$M:$M,XPLog!$B:$B,$A676,XPLog!$J:$J,"Seeding"),0)))</f>
        <v/>
      </c>
      <c r="F676" s="27">
        <f>IF($E676="","",LOOKUP($E676, XPBands!B$2:B$10, XPBands!A$2:A$10))</f>
        <v/>
      </c>
      <c r="G676" s="27">
        <f>IF($E676="","", VLOOKUP($F676, XPBands!A$2:G$10, 4, FALSE) + MIN(VLOOKUP($F676, XPBands!A$2:G$10, 5, FALSE) - VLOOKUP($F676, XPBands!A$2:G$10, 4, FALSE), FLOOR(( $E676 - VLOOKUP($F676, XPBands!A$2:G$10, 2, FALSE) ) / VLOOKUP($F676, XPBands!A$2:G$10, 7, FALSE),1)))</f>
        <v/>
      </c>
      <c r="H676" s="27">
        <f>IF($D676="","",VLOOKUP($D676,RoleTitles!$A:$E,3,FALSE))</f>
        <v/>
      </c>
      <c r="I676" s="27">
        <f>IF($D676="","",IF($C676="Greek",VLOOKUP($D676,RoleTitles!$A:$E,4,FALSE),IF($C676="Aesir",VLOOKUP($D676,RoleTitles!$A:$E,5,FALSE),VLOOKUP($D676,RoleTitles!$A:$E,3,FALSE))))</f>
        <v/>
      </c>
      <c r="J676" s="27">
        <f>IF($D676="","",IF($E676&gt;=VLOOKUP($D676,RoleTitles!$A:$B,2,FALSE),"Yes","No"))</f>
        <v/>
      </c>
      <c r="K676" s="27">
        <f>IF($D676="","",IF($D676="T1","T2",IF($D676="T2","T3",IF($D676="T3","T4",IF($D676="T4","T5",IF($D676="T5","T6",IF($D676="T6","T7",IF($D676="T7","T8",IF($D676="T8","T9","")))))))))</f>
        <v/>
      </c>
      <c r="L676" s="28">
        <f>IF($K676="","",MAX(0,VLOOKUP($K676,RoleTitles!$A:$B,2,FALSE)-$E676))</f>
        <v/>
      </c>
    </row>
    <row r="677">
      <c r="A677" s="24">
        <f>IFERROR(INDEX(CoachRoster!$A$2:$A$1000,ROW()-1),"")</f>
        <v/>
      </c>
      <c r="B677" s="27">
        <f>IF($A677="","",VLOOKUP($A677,CoachRoster!$A:$E,2,FALSE))</f>
        <v/>
      </c>
      <c r="C677" s="27">
        <f>IF($A677="","",VLOOKUP($A677,CoachRoster!$A:$E,3,FALSE))</f>
        <v/>
      </c>
      <c r="D677" s="27">
        <f>IF($A677="","",VLOOKUP($A677,CoachRoster!$A:$E,4,FALSE))</f>
        <v/>
      </c>
      <c r="E677" s="27">
        <f>IF($A677="","",MIN(Settings!$B$8,IFERROR(SUMIF(Weekly_Coaching!$B:$B,$A677,Weekly_Coaching!$D:$D),0)+IFERROR(SUMIF(Monthly_Edu!$B:$B,$A677,Monthly_Edu!$D:$D),0)+IFERROR(SUMIF(Monthly_Ops!$B:$B,$A677,Monthly_Ops!$D:$D),0)+IFERROR(SUMIF(Monthly_Mentor!$B:$B,$A677,Monthly_Mentor!$D:$D),0)+IFERROR(SUMIF(Quarterly_Impact!$B:$B,$A677,Quarterly_Impact!$D:$D),0)+IFERROR(SUMIFS(XPLog!$M:$M,XPLog!$B:$B,$A677,XPLog!$J:$J,"Admin"),0)+IFERROR(SUMIFS(XPLog!$M:$M,XPLog!$B:$B,$A677,XPLog!$J:$J,"Seeding"),0)))</f>
        <v/>
      </c>
      <c r="F677" s="27">
        <f>IF($E677="","",LOOKUP($E677, XPBands!B$2:B$10, XPBands!A$2:A$10))</f>
        <v/>
      </c>
      <c r="G677" s="27">
        <f>IF($E677="","", VLOOKUP($F677, XPBands!A$2:G$10, 4, FALSE) + MIN(VLOOKUP($F677, XPBands!A$2:G$10, 5, FALSE) - VLOOKUP($F677, XPBands!A$2:G$10, 4, FALSE), FLOOR(( $E677 - VLOOKUP($F677, XPBands!A$2:G$10, 2, FALSE) ) / VLOOKUP($F677, XPBands!A$2:G$10, 7, FALSE),1)))</f>
        <v/>
      </c>
      <c r="H677" s="27">
        <f>IF($D677="","",VLOOKUP($D677,RoleTitles!$A:$E,3,FALSE))</f>
        <v/>
      </c>
      <c r="I677" s="27">
        <f>IF($D677="","",IF($C677="Greek",VLOOKUP($D677,RoleTitles!$A:$E,4,FALSE),IF($C677="Aesir",VLOOKUP($D677,RoleTitles!$A:$E,5,FALSE),VLOOKUP($D677,RoleTitles!$A:$E,3,FALSE))))</f>
        <v/>
      </c>
      <c r="J677" s="27">
        <f>IF($D677="","",IF($E677&gt;=VLOOKUP($D677,RoleTitles!$A:$B,2,FALSE),"Yes","No"))</f>
        <v/>
      </c>
      <c r="K677" s="27">
        <f>IF($D677="","",IF($D677="T1","T2",IF($D677="T2","T3",IF($D677="T3","T4",IF($D677="T4","T5",IF($D677="T5","T6",IF($D677="T6","T7",IF($D677="T7","T8",IF($D677="T8","T9","")))))))))</f>
        <v/>
      </c>
      <c r="L677" s="28">
        <f>IF($K677="","",MAX(0,VLOOKUP($K677,RoleTitles!$A:$B,2,FALSE)-$E677))</f>
        <v/>
      </c>
    </row>
    <row r="678">
      <c r="A678" s="24">
        <f>IFERROR(INDEX(CoachRoster!$A$2:$A$1000,ROW()-1),"")</f>
        <v/>
      </c>
      <c r="B678" s="27">
        <f>IF($A678="","",VLOOKUP($A678,CoachRoster!$A:$E,2,FALSE))</f>
        <v/>
      </c>
      <c r="C678" s="27">
        <f>IF($A678="","",VLOOKUP($A678,CoachRoster!$A:$E,3,FALSE))</f>
        <v/>
      </c>
      <c r="D678" s="27">
        <f>IF($A678="","",VLOOKUP($A678,CoachRoster!$A:$E,4,FALSE))</f>
        <v/>
      </c>
      <c r="E678" s="27">
        <f>IF($A678="","",MIN(Settings!$B$8,IFERROR(SUMIF(Weekly_Coaching!$B:$B,$A678,Weekly_Coaching!$D:$D),0)+IFERROR(SUMIF(Monthly_Edu!$B:$B,$A678,Monthly_Edu!$D:$D),0)+IFERROR(SUMIF(Monthly_Ops!$B:$B,$A678,Monthly_Ops!$D:$D),0)+IFERROR(SUMIF(Monthly_Mentor!$B:$B,$A678,Monthly_Mentor!$D:$D),0)+IFERROR(SUMIF(Quarterly_Impact!$B:$B,$A678,Quarterly_Impact!$D:$D),0)+IFERROR(SUMIFS(XPLog!$M:$M,XPLog!$B:$B,$A678,XPLog!$J:$J,"Admin"),0)+IFERROR(SUMIFS(XPLog!$M:$M,XPLog!$B:$B,$A678,XPLog!$J:$J,"Seeding"),0)))</f>
        <v/>
      </c>
      <c r="F678" s="27">
        <f>IF($E678="","",LOOKUP($E678, XPBands!B$2:B$10, XPBands!A$2:A$10))</f>
        <v/>
      </c>
      <c r="G678" s="27">
        <f>IF($E678="","", VLOOKUP($F678, XPBands!A$2:G$10, 4, FALSE) + MIN(VLOOKUP($F678, XPBands!A$2:G$10, 5, FALSE) - VLOOKUP($F678, XPBands!A$2:G$10, 4, FALSE), FLOOR(( $E678 - VLOOKUP($F678, XPBands!A$2:G$10, 2, FALSE) ) / VLOOKUP($F678, XPBands!A$2:G$10, 7, FALSE),1)))</f>
        <v/>
      </c>
      <c r="H678" s="27">
        <f>IF($D678="","",VLOOKUP($D678,RoleTitles!$A:$E,3,FALSE))</f>
        <v/>
      </c>
      <c r="I678" s="27">
        <f>IF($D678="","",IF($C678="Greek",VLOOKUP($D678,RoleTitles!$A:$E,4,FALSE),IF($C678="Aesir",VLOOKUP($D678,RoleTitles!$A:$E,5,FALSE),VLOOKUP($D678,RoleTitles!$A:$E,3,FALSE))))</f>
        <v/>
      </c>
      <c r="J678" s="27">
        <f>IF($D678="","",IF($E678&gt;=VLOOKUP($D678,RoleTitles!$A:$B,2,FALSE),"Yes","No"))</f>
        <v/>
      </c>
      <c r="K678" s="27">
        <f>IF($D678="","",IF($D678="T1","T2",IF($D678="T2","T3",IF($D678="T3","T4",IF($D678="T4","T5",IF($D678="T5","T6",IF($D678="T6","T7",IF($D678="T7","T8",IF($D678="T8","T9","")))))))))</f>
        <v/>
      </c>
      <c r="L678" s="28">
        <f>IF($K678="","",MAX(0,VLOOKUP($K678,RoleTitles!$A:$B,2,FALSE)-$E678))</f>
        <v/>
      </c>
    </row>
    <row r="679">
      <c r="A679" s="24">
        <f>IFERROR(INDEX(CoachRoster!$A$2:$A$1000,ROW()-1),"")</f>
        <v/>
      </c>
      <c r="B679" s="27">
        <f>IF($A679="","",VLOOKUP($A679,CoachRoster!$A:$E,2,FALSE))</f>
        <v/>
      </c>
      <c r="C679" s="27">
        <f>IF($A679="","",VLOOKUP($A679,CoachRoster!$A:$E,3,FALSE))</f>
        <v/>
      </c>
      <c r="D679" s="27">
        <f>IF($A679="","",VLOOKUP($A679,CoachRoster!$A:$E,4,FALSE))</f>
        <v/>
      </c>
      <c r="E679" s="27">
        <f>IF($A679="","",MIN(Settings!$B$8,IFERROR(SUMIF(Weekly_Coaching!$B:$B,$A679,Weekly_Coaching!$D:$D),0)+IFERROR(SUMIF(Monthly_Edu!$B:$B,$A679,Monthly_Edu!$D:$D),0)+IFERROR(SUMIF(Monthly_Ops!$B:$B,$A679,Monthly_Ops!$D:$D),0)+IFERROR(SUMIF(Monthly_Mentor!$B:$B,$A679,Monthly_Mentor!$D:$D),0)+IFERROR(SUMIF(Quarterly_Impact!$B:$B,$A679,Quarterly_Impact!$D:$D),0)+IFERROR(SUMIFS(XPLog!$M:$M,XPLog!$B:$B,$A679,XPLog!$J:$J,"Admin"),0)+IFERROR(SUMIFS(XPLog!$M:$M,XPLog!$B:$B,$A679,XPLog!$J:$J,"Seeding"),0)))</f>
        <v/>
      </c>
      <c r="F679" s="27">
        <f>IF($E679="","",LOOKUP($E679, XPBands!B$2:B$10, XPBands!A$2:A$10))</f>
        <v/>
      </c>
      <c r="G679" s="27">
        <f>IF($E679="","", VLOOKUP($F679, XPBands!A$2:G$10, 4, FALSE) + MIN(VLOOKUP($F679, XPBands!A$2:G$10, 5, FALSE) - VLOOKUP($F679, XPBands!A$2:G$10, 4, FALSE), FLOOR(( $E679 - VLOOKUP($F679, XPBands!A$2:G$10, 2, FALSE) ) / VLOOKUP($F679, XPBands!A$2:G$10, 7, FALSE),1)))</f>
        <v/>
      </c>
      <c r="H679" s="27">
        <f>IF($D679="","",VLOOKUP($D679,RoleTitles!$A:$E,3,FALSE))</f>
        <v/>
      </c>
      <c r="I679" s="27">
        <f>IF($D679="","",IF($C679="Greek",VLOOKUP($D679,RoleTitles!$A:$E,4,FALSE),IF($C679="Aesir",VLOOKUP($D679,RoleTitles!$A:$E,5,FALSE),VLOOKUP($D679,RoleTitles!$A:$E,3,FALSE))))</f>
        <v/>
      </c>
      <c r="J679" s="27">
        <f>IF($D679="","",IF($E679&gt;=VLOOKUP($D679,RoleTitles!$A:$B,2,FALSE),"Yes","No"))</f>
        <v/>
      </c>
      <c r="K679" s="27">
        <f>IF($D679="","",IF($D679="T1","T2",IF($D679="T2","T3",IF($D679="T3","T4",IF($D679="T4","T5",IF($D679="T5","T6",IF($D679="T6","T7",IF($D679="T7","T8",IF($D679="T8","T9","")))))))))</f>
        <v/>
      </c>
      <c r="L679" s="28">
        <f>IF($K679="","",MAX(0,VLOOKUP($K679,RoleTitles!$A:$B,2,FALSE)-$E679))</f>
        <v/>
      </c>
    </row>
    <row r="680">
      <c r="A680" s="24">
        <f>IFERROR(INDEX(CoachRoster!$A$2:$A$1000,ROW()-1),"")</f>
        <v/>
      </c>
      <c r="B680" s="27">
        <f>IF($A680="","",VLOOKUP($A680,CoachRoster!$A:$E,2,FALSE))</f>
        <v/>
      </c>
      <c r="C680" s="27">
        <f>IF($A680="","",VLOOKUP($A680,CoachRoster!$A:$E,3,FALSE))</f>
        <v/>
      </c>
      <c r="D680" s="27">
        <f>IF($A680="","",VLOOKUP($A680,CoachRoster!$A:$E,4,FALSE))</f>
        <v/>
      </c>
      <c r="E680" s="27">
        <f>IF($A680="","",MIN(Settings!$B$8,IFERROR(SUMIF(Weekly_Coaching!$B:$B,$A680,Weekly_Coaching!$D:$D),0)+IFERROR(SUMIF(Monthly_Edu!$B:$B,$A680,Monthly_Edu!$D:$D),0)+IFERROR(SUMIF(Monthly_Ops!$B:$B,$A680,Monthly_Ops!$D:$D),0)+IFERROR(SUMIF(Monthly_Mentor!$B:$B,$A680,Monthly_Mentor!$D:$D),0)+IFERROR(SUMIF(Quarterly_Impact!$B:$B,$A680,Quarterly_Impact!$D:$D),0)+IFERROR(SUMIFS(XPLog!$M:$M,XPLog!$B:$B,$A680,XPLog!$J:$J,"Admin"),0)+IFERROR(SUMIFS(XPLog!$M:$M,XPLog!$B:$B,$A680,XPLog!$J:$J,"Seeding"),0)))</f>
        <v/>
      </c>
      <c r="F680" s="27">
        <f>IF($E680="","",LOOKUP($E680, XPBands!B$2:B$10, XPBands!A$2:A$10))</f>
        <v/>
      </c>
      <c r="G680" s="27">
        <f>IF($E680="","", VLOOKUP($F680, XPBands!A$2:G$10, 4, FALSE) + MIN(VLOOKUP($F680, XPBands!A$2:G$10, 5, FALSE) - VLOOKUP($F680, XPBands!A$2:G$10, 4, FALSE), FLOOR(( $E680 - VLOOKUP($F680, XPBands!A$2:G$10, 2, FALSE) ) / VLOOKUP($F680, XPBands!A$2:G$10, 7, FALSE),1)))</f>
        <v/>
      </c>
      <c r="H680" s="27">
        <f>IF($D680="","",VLOOKUP($D680,RoleTitles!$A:$E,3,FALSE))</f>
        <v/>
      </c>
      <c r="I680" s="27">
        <f>IF($D680="","",IF($C680="Greek",VLOOKUP($D680,RoleTitles!$A:$E,4,FALSE),IF($C680="Aesir",VLOOKUP($D680,RoleTitles!$A:$E,5,FALSE),VLOOKUP($D680,RoleTitles!$A:$E,3,FALSE))))</f>
        <v/>
      </c>
      <c r="J680" s="27">
        <f>IF($D680="","",IF($E680&gt;=VLOOKUP($D680,RoleTitles!$A:$B,2,FALSE),"Yes","No"))</f>
        <v/>
      </c>
      <c r="K680" s="27">
        <f>IF($D680="","",IF($D680="T1","T2",IF($D680="T2","T3",IF($D680="T3","T4",IF($D680="T4","T5",IF($D680="T5","T6",IF($D680="T6","T7",IF($D680="T7","T8",IF($D680="T8","T9","")))))))))</f>
        <v/>
      </c>
      <c r="L680" s="28">
        <f>IF($K680="","",MAX(0,VLOOKUP($K680,RoleTitles!$A:$B,2,FALSE)-$E680))</f>
        <v/>
      </c>
    </row>
    <row r="681">
      <c r="A681" s="24">
        <f>IFERROR(INDEX(CoachRoster!$A$2:$A$1000,ROW()-1),"")</f>
        <v/>
      </c>
      <c r="B681" s="27">
        <f>IF($A681="","",VLOOKUP($A681,CoachRoster!$A:$E,2,FALSE))</f>
        <v/>
      </c>
      <c r="C681" s="27">
        <f>IF($A681="","",VLOOKUP($A681,CoachRoster!$A:$E,3,FALSE))</f>
        <v/>
      </c>
      <c r="D681" s="27">
        <f>IF($A681="","",VLOOKUP($A681,CoachRoster!$A:$E,4,FALSE))</f>
        <v/>
      </c>
      <c r="E681" s="27">
        <f>IF($A681="","",MIN(Settings!$B$8,IFERROR(SUMIF(Weekly_Coaching!$B:$B,$A681,Weekly_Coaching!$D:$D),0)+IFERROR(SUMIF(Monthly_Edu!$B:$B,$A681,Monthly_Edu!$D:$D),0)+IFERROR(SUMIF(Monthly_Ops!$B:$B,$A681,Monthly_Ops!$D:$D),0)+IFERROR(SUMIF(Monthly_Mentor!$B:$B,$A681,Monthly_Mentor!$D:$D),0)+IFERROR(SUMIF(Quarterly_Impact!$B:$B,$A681,Quarterly_Impact!$D:$D),0)+IFERROR(SUMIFS(XPLog!$M:$M,XPLog!$B:$B,$A681,XPLog!$J:$J,"Admin"),0)+IFERROR(SUMIFS(XPLog!$M:$M,XPLog!$B:$B,$A681,XPLog!$J:$J,"Seeding"),0)))</f>
        <v/>
      </c>
      <c r="F681" s="27">
        <f>IF($E681="","",LOOKUP($E681, XPBands!B$2:B$10, XPBands!A$2:A$10))</f>
        <v/>
      </c>
      <c r="G681" s="27">
        <f>IF($E681="","", VLOOKUP($F681, XPBands!A$2:G$10, 4, FALSE) + MIN(VLOOKUP($F681, XPBands!A$2:G$10, 5, FALSE) - VLOOKUP($F681, XPBands!A$2:G$10, 4, FALSE), FLOOR(( $E681 - VLOOKUP($F681, XPBands!A$2:G$10, 2, FALSE) ) / VLOOKUP($F681, XPBands!A$2:G$10, 7, FALSE),1)))</f>
        <v/>
      </c>
      <c r="H681" s="27">
        <f>IF($D681="","",VLOOKUP($D681,RoleTitles!$A:$E,3,FALSE))</f>
        <v/>
      </c>
      <c r="I681" s="27">
        <f>IF($D681="","",IF($C681="Greek",VLOOKUP($D681,RoleTitles!$A:$E,4,FALSE),IF($C681="Aesir",VLOOKUP($D681,RoleTitles!$A:$E,5,FALSE),VLOOKUP($D681,RoleTitles!$A:$E,3,FALSE))))</f>
        <v/>
      </c>
      <c r="J681" s="27">
        <f>IF($D681="","",IF($E681&gt;=VLOOKUP($D681,RoleTitles!$A:$B,2,FALSE),"Yes","No"))</f>
        <v/>
      </c>
      <c r="K681" s="27">
        <f>IF($D681="","",IF($D681="T1","T2",IF($D681="T2","T3",IF($D681="T3","T4",IF($D681="T4","T5",IF($D681="T5","T6",IF($D681="T6","T7",IF($D681="T7","T8",IF($D681="T8","T9","")))))))))</f>
        <v/>
      </c>
      <c r="L681" s="28">
        <f>IF($K681="","",MAX(0,VLOOKUP($K681,RoleTitles!$A:$B,2,FALSE)-$E681))</f>
        <v/>
      </c>
    </row>
    <row r="682">
      <c r="A682" s="24">
        <f>IFERROR(INDEX(CoachRoster!$A$2:$A$1000,ROW()-1),"")</f>
        <v/>
      </c>
      <c r="B682" s="27">
        <f>IF($A682="","",VLOOKUP($A682,CoachRoster!$A:$E,2,FALSE))</f>
        <v/>
      </c>
      <c r="C682" s="27">
        <f>IF($A682="","",VLOOKUP($A682,CoachRoster!$A:$E,3,FALSE))</f>
        <v/>
      </c>
      <c r="D682" s="27">
        <f>IF($A682="","",VLOOKUP($A682,CoachRoster!$A:$E,4,FALSE))</f>
        <v/>
      </c>
      <c r="E682" s="27">
        <f>IF($A682="","",MIN(Settings!$B$8,IFERROR(SUMIF(Weekly_Coaching!$B:$B,$A682,Weekly_Coaching!$D:$D),0)+IFERROR(SUMIF(Monthly_Edu!$B:$B,$A682,Monthly_Edu!$D:$D),0)+IFERROR(SUMIF(Monthly_Ops!$B:$B,$A682,Monthly_Ops!$D:$D),0)+IFERROR(SUMIF(Monthly_Mentor!$B:$B,$A682,Monthly_Mentor!$D:$D),0)+IFERROR(SUMIF(Quarterly_Impact!$B:$B,$A682,Quarterly_Impact!$D:$D),0)+IFERROR(SUMIFS(XPLog!$M:$M,XPLog!$B:$B,$A682,XPLog!$J:$J,"Admin"),0)+IFERROR(SUMIFS(XPLog!$M:$M,XPLog!$B:$B,$A682,XPLog!$J:$J,"Seeding"),0)))</f>
        <v/>
      </c>
      <c r="F682" s="27">
        <f>IF($E682="","",LOOKUP($E682, XPBands!B$2:B$10, XPBands!A$2:A$10))</f>
        <v/>
      </c>
      <c r="G682" s="27">
        <f>IF($E682="","", VLOOKUP($F682, XPBands!A$2:G$10, 4, FALSE) + MIN(VLOOKUP($F682, XPBands!A$2:G$10, 5, FALSE) - VLOOKUP($F682, XPBands!A$2:G$10, 4, FALSE), FLOOR(( $E682 - VLOOKUP($F682, XPBands!A$2:G$10, 2, FALSE) ) / VLOOKUP($F682, XPBands!A$2:G$10, 7, FALSE),1)))</f>
        <v/>
      </c>
      <c r="H682" s="27">
        <f>IF($D682="","",VLOOKUP($D682,RoleTitles!$A:$E,3,FALSE))</f>
        <v/>
      </c>
      <c r="I682" s="27">
        <f>IF($D682="","",IF($C682="Greek",VLOOKUP($D682,RoleTitles!$A:$E,4,FALSE),IF($C682="Aesir",VLOOKUP($D682,RoleTitles!$A:$E,5,FALSE),VLOOKUP($D682,RoleTitles!$A:$E,3,FALSE))))</f>
        <v/>
      </c>
      <c r="J682" s="27">
        <f>IF($D682="","",IF($E682&gt;=VLOOKUP($D682,RoleTitles!$A:$B,2,FALSE),"Yes","No"))</f>
        <v/>
      </c>
      <c r="K682" s="27">
        <f>IF($D682="","",IF($D682="T1","T2",IF($D682="T2","T3",IF($D682="T3","T4",IF($D682="T4","T5",IF($D682="T5","T6",IF($D682="T6","T7",IF($D682="T7","T8",IF($D682="T8","T9","")))))))))</f>
        <v/>
      </c>
      <c r="L682" s="28">
        <f>IF($K682="","",MAX(0,VLOOKUP($K682,RoleTitles!$A:$B,2,FALSE)-$E682))</f>
        <v/>
      </c>
    </row>
    <row r="683">
      <c r="A683" s="24">
        <f>IFERROR(INDEX(CoachRoster!$A$2:$A$1000,ROW()-1),"")</f>
        <v/>
      </c>
      <c r="B683" s="27">
        <f>IF($A683="","",VLOOKUP($A683,CoachRoster!$A:$E,2,FALSE))</f>
        <v/>
      </c>
      <c r="C683" s="27">
        <f>IF($A683="","",VLOOKUP($A683,CoachRoster!$A:$E,3,FALSE))</f>
        <v/>
      </c>
      <c r="D683" s="27">
        <f>IF($A683="","",VLOOKUP($A683,CoachRoster!$A:$E,4,FALSE))</f>
        <v/>
      </c>
      <c r="E683" s="27">
        <f>IF($A683="","",MIN(Settings!$B$8,IFERROR(SUMIF(Weekly_Coaching!$B:$B,$A683,Weekly_Coaching!$D:$D),0)+IFERROR(SUMIF(Monthly_Edu!$B:$B,$A683,Monthly_Edu!$D:$D),0)+IFERROR(SUMIF(Monthly_Ops!$B:$B,$A683,Monthly_Ops!$D:$D),0)+IFERROR(SUMIF(Monthly_Mentor!$B:$B,$A683,Monthly_Mentor!$D:$D),0)+IFERROR(SUMIF(Quarterly_Impact!$B:$B,$A683,Quarterly_Impact!$D:$D),0)+IFERROR(SUMIFS(XPLog!$M:$M,XPLog!$B:$B,$A683,XPLog!$J:$J,"Admin"),0)+IFERROR(SUMIFS(XPLog!$M:$M,XPLog!$B:$B,$A683,XPLog!$J:$J,"Seeding"),0)))</f>
        <v/>
      </c>
      <c r="F683" s="27">
        <f>IF($E683="","",LOOKUP($E683, XPBands!B$2:B$10, XPBands!A$2:A$10))</f>
        <v/>
      </c>
      <c r="G683" s="27">
        <f>IF($E683="","", VLOOKUP($F683, XPBands!A$2:G$10, 4, FALSE) + MIN(VLOOKUP($F683, XPBands!A$2:G$10, 5, FALSE) - VLOOKUP($F683, XPBands!A$2:G$10, 4, FALSE), FLOOR(( $E683 - VLOOKUP($F683, XPBands!A$2:G$10, 2, FALSE) ) / VLOOKUP($F683, XPBands!A$2:G$10, 7, FALSE),1)))</f>
        <v/>
      </c>
      <c r="H683" s="27">
        <f>IF($D683="","",VLOOKUP($D683,RoleTitles!$A:$E,3,FALSE))</f>
        <v/>
      </c>
      <c r="I683" s="27">
        <f>IF($D683="","",IF($C683="Greek",VLOOKUP($D683,RoleTitles!$A:$E,4,FALSE),IF($C683="Aesir",VLOOKUP($D683,RoleTitles!$A:$E,5,FALSE),VLOOKUP($D683,RoleTitles!$A:$E,3,FALSE))))</f>
        <v/>
      </c>
      <c r="J683" s="27">
        <f>IF($D683="","",IF($E683&gt;=VLOOKUP($D683,RoleTitles!$A:$B,2,FALSE),"Yes","No"))</f>
        <v/>
      </c>
      <c r="K683" s="27">
        <f>IF($D683="","",IF($D683="T1","T2",IF($D683="T2","T3",IF($D683="T3","T4",IF($D683="T4","T5",IF($D683="T5","T6",IF($D683="T6","T7",IF($D683="T7","T8",IF($D683="T8","T9","")))))))))</f>
        <v/>
      </c>
      <c r="L683" s="28">
        <f>IF($K683="","",MAX(0,VLOOKUP($K683,RoleTitles!$A:$B,2,FALSE)-$E683))</f>
        <v/>
      </c>
    </row>
    <row r="684">
      <c r="A684" s="24">
        <f>IFERROR(INDEX(CoachRoster!$A$2:$A$1000,ROW()-1),"")</f>
        <v/>
      </c>
      <c r="B684" s="27">
        <f>IF($A684="","",VLOOKUP($A684,CoachRoster!$A:$E,2,FALSE))</f>
        <v/>
      </c>
      <c r="C684" s="27">
        <f>IF($A684="","",VLOOKUP($A684,CoachRoster!$A:$E,3,FALSE))</f>
        <v/>
      </c>
      <c r="D684" s="27">
        <f>IF($A684="","",VLOOKUP($A684,CoachRoster!$A:$E,4,FALSE))</f>
        <v/>
      </c>
      <c r="E684" s="27">
        <f>IF($A684="","",MIN(Settings!$B$8,IFERROR(SUMIF(Weekly_Coaching!$B:$B,$A684,Weekly_Coaching!$D:$D),0)+IFERROR(SUMIF(Monthly_Edu!$B:$B,$A684,Monthly_Edu!$D:$D),0)+IFERROR(SUMIF(Monthly_Ops!$B:$B,$A684,Monthly_Ops!$D:$D),0)+IFERROR(SUMIF(Monthly_Mentor!$B:$B,$A684,Monthly_Mentor!$D:$D),0)+IFERROR(SUMIF(Quarterly_Impact!$B:$B,$A684,Quarterly_Impact!$D:$D),0)+IFERROR(SUMIFS(XPLog!$M:$M,XPLog!$B:$B,$A684,XPLog!$J:$J,"Admin"),0)+IFERROR(SUMIFS(XPLog!$M:$M,XPLog!$B:$B,$A684,XPLog!$J:$J,"Seeding"),0)))</f>
        <v/>
      </c>
      <c r="F684" s="27">
        <f>IF($E684="","",LOOKUP($E684, XPBands!B$2:B$10, XPBands!A$2:A$10))</f>
        <v/>
      </c>
      <c r="G684" s="27">
        <f>IF($E684="","", VLOOKUP($F684, XPBands!A$2:G$10, 4, FALSE) + MIN(VLOOKUP($F684, XPBands!A$2:G$10, 5, FALSE) - VLOOKUP($F684, XPBands!A$2:G$10, 4, FALSE), FLOOR(( $E684 - VLOOKUP($F684, XPBands!A$2:G$10, 2, FALSE) ) / VLOOKUP($F684, XPBands!A$2:G$10, 7, FALSE),1)))</f>
        <v/>
      </c>
      <c r="H684" s="27">
        <f>IF($D684="","",VLOOKUP($D684,RoleTitles!$A:$E,3,FALSE))</f>
        <v/>
      </c>
      <c r="I684" s="27">
        <f>IF($D684="","",IF($C684="Greek",VLOOKUP($D684,RoleTitles!$A:$E,4,FALSE),IF($C684="Aesir",VLOOKUP($D684,RoleTitles!$A:$E,5,FALSE),VLOOKUP($D684,RoleTitles!$A:$E,3,FALSE))))</f>
        <v/>
      </c>
      <c r="J684" s="27">
        <f>IF($D684="","",IF($E684&gt;=VLOOKUP($D684,RoleTitles!$A:$B,2,FALSE),"Yes","No"))</f>
        <v/>
      </c>
      <c r="K684" s="27">
        <f>IF($D684="","",IF($D684="T1","T2",IF($D684="T2","T3",IF($D684="T3","T4",IF($D684="T4","T5",IF($D684="T5","T6",IF($D684="T6","T7",IF($D684="T7","T8",IF($D684="T8","T9","")))))))))</f>
        <v/>
      </c>
      <c r="L684" s="28">
        <f>IF($K684="","",MAX(0,VLOOKUP($K684,RoleTitles!$A:$B,2,FALSE)-$E684))</f>
        <v/>
      </c>
    </row>
    <row r="685">
      <c r="A685" s="24">
        <f>IFERROR(INDEX(CoachRoster!$A$2:$A$1000,ROW()-1),"")</f>
        <v/>
      </c>
      <c r="B685" s="27">
        <f>IF($A685="","",VLOOKUP($A685,CoachRoster!$A:$E,2,FALSE))</f>
        <v/>
      </c>
      <c r="C685" s="27">
        <f>IF($A685="","",VLOOKUP($A685,CoachRoster!$A:$E,3,FALSE))</f>
        <v/>
      </c>
      <c r="D685" s="27">
        <f>IF($A685="","",VLOOKUP($A685,CoachRoster!$A:$E,4,FALSE))</f>
        <v/>
      </c>
      <c r="E685" s="27">
        <f>IF($A685="","",MIN(Settings!$B$8,IFERROR(SUMIF(Weekly_Coaching!$B:$B,$A685,Weekly_Coaching!$D:$D),0)+IFERROR(SUMIF(Monthly_Edu!$B:$B,$A685,Monthly_Edu!$D:$D),0)+IFERROR(SUMIF(Monthly_Ops!$B:$B,$A685,Monthly_Ops!$D:$D),0)+IFERROR(SUMIF(Monthly_Mentor!$B:$B,$A685,Monthly_Mentor!$D:$D),0)+IFERROR(SUMIF(Quarterly_Impact!$B:$B,$A685,Quarterly_Impact!$D:$D),0)+IFERROR(SUMIFS(XPLog!$M:$M,XPLog!$B:$B,$A685,XPLog!$J:$J,"Admin"),0)+IFERROR(SUMIFS(XPLog!$M:$M,XPLog!$B:$B,$A685,XPLog!$J:$J,"Seeding"),0)))</f>
        <v/>
      </c>
      <c r="F685" s="27">
        <f>IF($E685="","",LOOKUP($E685, XPBands!B$2:B$10, XPBands!A$2:A$10))</f>
        <v/>
      </c>
      <c r="G685" s="27">
        <f>IF($E685="","", VLOOKUP($F685, XPBands!A$2:G$10, 4, FALSE) + MIN(VLOOKUP($F685, XPBands!A$2:G$10, 5, FALSE) - VLOOKUP($F685, XPBands!A$2:G$10, 4, FALSE), FLOOR(( $E685 - VLOOKUP($F685, XPBands!A$2:G$10, 2, FALSE) ) / VLOOKUP($F685, XPBands!A$2:G$10, 7, FALSE),1)))</f>
        <v/>
      </c>
      <c r="H685" s="27">
        <f>IF($D685="","",VLOOKUP($D685,RoleTitles!$A:$E,3,FALSE))</f>
        <v/>
      </c>
      <c r="I685" s="27">
        <f>IF($D685="","",IF($C685="Greek",VLOOKUP($D685,RoleTitles!$A:$E,4,FALSE),IF($C685="Aesir",VLOOKUP($D685,RoleTitles!$A:$E,5,FALSE),VLOOKUP($D685,RoleTitles!$A:$E,3,FALSE))))</f>
        <v/>
      </c>
      <c r="J685" s="27">
        <f>IF($D685="","",IF($E685&gt;=VLOOKUP($D685,RoleTitles!$A:$B,2,FALSE),"Yes","No"))</f>
        <v/>
      </c>
      <c r="K685" s="27">
        <f>IF($D685="","",IF($D685="T1","T2",IF($D685="T2","T3",IF($D685="T3","T4",IF($D685="T4","T5",IF($D685="T5","T6",IF($D685="T6","T7",IF($D685="T7","T8",IF($D685="T8","T9","")))))))))</f>
        <v/>
      </c>
      <c r="L685" s="28">
        <f>IF($K685="","",MAX(0,VLOOKUP($K685,RoleTitles!$A:$B,2,FALSE)-$E685))</f>
        <v/>
      </c>
    </row>
    <row r="686">
      <c r="A686" s="24">
        <f>IFERROR(INDEX(CoachRoster!$A$2:$A$1000,ROW()-1),"")</f>
        <v/>
      </c>
      <c r="B686" s="27">
        <f>IF($A686="","",VLOOKUP($A686,CoachRoster!$A:$E,2,FALSE))</f>
        <v/>
      </c>
      <c r="C686" s="27">
        <f>IF($A686="","",VLOOKUP($A686,CoachRoster!$A:$E,3,FALSE))</f>
        <v/>
      </c>
      <c r="D686" s="27">
        <f>IF($A686="","",VLOOKUP($A686,CoachRoster!$A:$E,4,FALSE))</f>
        <v/>
      </c>
      <c r="E686" s="27">
        <f>IF($A686="","",MIN(Settings!$B$8,IFERROR(SUMIF(Weekly_Coaching!$B:$B,$A686,Weekly_Coaching!$D:$D),0)+IFERROR(SUMIF(Monthly_Edu!$B:$B,$A686,Monthly_Edu!$D:$D),0)+IFERROR(SUMIF(Monthly_Ops!$B:$B,$A686,Monthly_Ops!$D:$D),0)+IFERROR(SUMIF(Monthly_Mentor!$B:$B,$A686,Monthly_Mentor!$D:$D),0)+IFERROR(SUMIF(Quarterly_Impact!$B:$B,$A686,Quarterly_Impact!$D:$D),0)+IFERROR(SUMIFS(XPLog!$M:$M,XPLog!$B:$B,$A686,XPLog!$J:$J,"Admin"),0)+IFERROR(SUMIFS(XPLog!$M:$M,XPLog!$B:$B,$A686,XPLog!$J:$J,"Seeding"),0)))</f>
        <v/>
      </c>
      <c r="F686" s="27">
        <f>IF($E686="","",LOOKUP($E686, XPBands!B$2:B$10, XPBands!A$2:A$10))</f>
        <v/>
      </c>
      <c r="G686" s="27">
        <f>IF($E686="","", VLOOKUP($F686, XPBands!A$2:G$10, 4, FALSE) + MIN(VLOOKUP($F686, XPBands!A$2:G$10, 5, FALSE) - VLOOKUP($F686, XPBands!A$2:G$10, 4, FALSE), FLOOR(( $E686 - VLOOKUP($F686, XPBands!A$2:G$10, 2, FALSE) ) / VLOOKUP($F686, XPBands!A$2:G$10, 7, FALSE),1)))</f>
        <v/>
      </c>
      <c r="H686" s="27">
        <f>IF($D686="","",VLOOKUP($D686,RoleTitles!$A:$E,3,FALSE))</f>
        <v/>
      </c>
      <c r="I686" s="27">
        <f>IF($D686="","",IF($C686="Greek",VLOOKUP($D686,RoleTitles!$A:$E,4,FALSE),IF($C686="Aesir",VLOOKUP($D686,RoleTitles!$A:$E,5,FALSE),VLOOKUP($D686,RoleTitles!$A:$E,3,FALSE))))</f>
        <v/>
      </c>
      <c r="J686" s="27">
        <f>IF($D686="","",IF($E686&gt;=VLOOKUP($D686,RoleTitles!$A:$B,2,FALSE),"Yes","No"))</f>
        <v/>
      </c>
      <c r="K686" s="27">
        <f>IF($D686="","",IF($D686="T1","T2",IF($D686="T2","T3",IF($D686="T3","T4",IF($D686="T4","T5",IF($D686="T5","T6",IF($D686="T6","T7",IF($D686="T7","T8",IF($D686="T8","T9","")))))))))</f>
        <v/>
      </c>
      <c r="L686" s="28">
        <f>IF($K686="","",MAX(0,VLOOKUP($K686,RoleTitles!$A:$B,2,FALSE)-$E686))</f>
        <v/>
      </c>
    </row>
    <row r="687">
      <c r="A687" s="24">
        <f>IFERROR(INDEX(CoachRoster!$A$2:$A$1000,ROW()-1),"")</f>
        <v/>
      </c>
      <c r="B687" s="27">
        <f>IF($A687="","",VLOOKUP($A687,CoachRoster!$A:$E,2,FALSE))</f>
        <v/>
      </c>
      <c r="C687" s="27">
        <f>IF($A687="","",VLOOKUP($A687,CoachRoster!$A:$E,3,FALSE))</f>
        <v/>
      </c>
      <c r="D687" s="27">
        <f>IF($A687="","",VLOOKUP($A687,CoachRoster!$A:$E,4,FALSE))</f>
        <v/>
      </c>
      <c r="E687" s="27">
        <f>IF($A687="","",MIN(Settings!$B$8,IFERROR(SUMIF(Weekly_Coaching!$B:$B,$A687,Weekly_Coaching!$D:$D),0)+IFERROR(SUMIF(Monthly_Edu!$B:$B,$A687,Monthly_Edu!$D:$D),0)+IFERROR(SUMIF(Monthly_Ops!$B:$B,$A687,Monthly_Ops!$D:$D),0)+IFERROR(SUMIF(Monthly_Mentor!$B:$B,$A687,Monthly_Mentor!$D:$D),0)+IFERROR(SUMIF(Quarterly_Impact!$B:$B,$A687,Quarterly_Impact!$D:$D),0)+IFERROR(SUMIFS(XPLog!$M:$M,XPLog!$B:$B,$A687,XPLog!$J:$J,"Admin"),0)+IFERROR(SUMIFS(XPLog!$M:$M,XPLog!$B:$B,$A687,XPLog!$J:$J,"Seeding"),0)))</f>
        <v/>
      </c>
      <c r="F687" s="27">
        <f>IF($E687="","",LOOKUP($E687, XPBands!B$2:B$10, XPBands!A$2:A$10))</f>
        <v/>
      </c>
      <c r="G687" s="27">
        <f>IF($E687="","", VLOOKUP($F687, XPBands!A$2:G$10, 4, FALSE) + MIN(VLOOKUP($F687, XPBands!A$2:G$10, 5, FALSE) - VLOOKUP($F687, XPBands!A$2:G$10, 4, FALSE), FLOOR(( $E687 - VLOOKUP($F687, XPBands!A$2:G$10, 2, FALSE) ) / VLOOKUP($F687, XPBands!A$2:G$10, 7, FALSE),1)))</f>
        <v/>
      </c>
      <c r="H687" s="27">
        <f>IF($D687="","",VLOOKUP($D687,RoleTitles!$A:$E,3,FALSE))</f>
        <v/>
      </c>
      <c r="I687" s="27">
        <f>IF($D687="","",IF($C687="Greek",VLOOKUP($D687,RoleTitles!$A:$E,4,FALSE),IF($C687="Aesir",VLOOKUP($D687,RoleTitles!$A:$E,5,FALSE),VLOOKUP($D687,RoleTitles!$A:$E,3,FALSE))))</f>
        <v/>
      </c>
      <c r="J687" s="27">
        <f>IF($D687="","",IF($E687&gt;=VLOOKUP($D687,RoleTitles!$A:$B,2,FALSE),"Yes","No"))</f>
        <v/>
      </c>
      <c r="K687" s="27">
        <f>IF($D687="","",IF($D687="T1","T2",IF($D687="T2","T3",IF($D687="T3","T4",IF($D687="T4","T5",IF($D687="T5","T6",IF($D687="T6","T7",IF($D687="T7","T8",IF($D687="T8","T9","")))))))))</f>
        <v/>
      </c>
      <c r="L687" s="28">
        <f>IF($K687="","",MAX(0,VLOOKUP($K687,RoleTitles!$A:$B,2,FALSE)-$E687))</f>
        <v/>
      </c>
    </row>
    <row r="688">
      <c r="A688" s="24">
        <f>IFERROR(INDEX(CoachRoster!$A$2:$A$1000,ROW()-1),"")</f>
        <v/>
      </c>
      <c r="B688" s="27">
        <f>IF($A688="","",VLOOKUP($A688,CoachRoster!$A:$E,2,FALSE))</f>
        <v/>
      </c>
      <c r="C688" s="27">
        <f>IF($A688="","",VLOOKUP($A688,CoachRoster!$A:$E,3,FALSE))</f>
        <v/>
      </c>
      <c r="D688" s="27">
        <f>IF($A688="","",VLOOKUP($A688,CoachRoster!$A:$E,4,FALSE))</f>
        <v/>
      </c>
      <c r="E688" s="27">
        <f>IF($A688="","",MIN(Settings!$B$8,IFERROR(SUMIF(Weekly_Coaching!$B:$B,$A688,Weekly_Coaching!$D:$D),0)+IFERROR(SUMIF(Monthly_Edu!$B:$B,$A688,Monthly_Edu!$D:$D),0)+IFERROR(SUMIF(Monthly_Ops!$B:$B,$A688,Monthly_Ops!$D:$D),0)+IFERROR(SUMIF(Monthly_Mentor!$B:$B,$A688,Monthly_Mentor!$D:$D),0)+IFERROR(SUMIF(Quarterly_Impact!$B:$B,$A688,Quarterly_Impact!$D:$D),0)+IFERROR(SUMIFS(XPLog!$M:$M,XPLog!$B:$B,$A688,XPLog!$J:$J,"Admin"),0)+IFERROR(SUMIFS(XPLog!$M:$M,XPLog!$B:$B,$A688,XPLog!$J:$J,"Seeding"),0)))</f>
        <v/>
      </c>
      <c r="F688" s="27">
        <f>IF($E688="","",LOOKUP($E688, XPBands!B$2:B$10, XPBands!A$2:A$10))</f>
        <v/>
      </c>
      <c r="G688" s="27">
        <f>IF($E688="","", VLOOKUP($F688, XPBands!A$2:G$10, 4, FALSE) + MIN(VLOOKUP($F688, XPBands!A$2:G$10, 5, FALSE) - VLOOKUP($F688, XPBands!A$2:G$10, 4, FALSE), FLOOR(( $E688 - VLOOKUP($F688, XPBands!A$2:G$10, 2, FALSE) ) / VLOOKUP($F688, XPBands!A$2:G$10, 7, FALSE),1)))</f>
        <v/>
      </c>
      <c r="H688" s="27">
        <f>IF($D688="","",VLOOKUP($D688,RoleTitles!$A:$E,3,FALSE))</f>
        <v/>
      </c>
      <c r="I688" s="27">
        <f>IF($D688="","",IF($C688="Greek",VLOOKUP($D688,RoleTitles!$A:$E,4,FALSE),IF($C688="Aesir",VLOOKUP($D688,RoleTitles!$A:$E,5,FALSE),VLOOKUP($D688,RoleTitles!$A:$E,3,FALSE))))</f>
        <v/>
      </c>
      <c r="J688" s="27">
        <f>IF($D688="","",IF($E688&gt;=VLOOKUP($D688,RoleTitles!$A:$B,2,FALSE),"Yes","No"))</f>
        <v/>
      </c>
      <c r="K688" s="27">
        <f>IF($D688="","",IF($D688="T1","T2",IF($D688="T2","T3",IF($D688="T3","T4",IF($D688="T4","T5",IF($D688="T5","T6",IF($D688="T6","T7",IF($D688="T7","T8",IF($D688="T8","T9","")))))))))</f>
        <v/>
      </c>
      <c r="L688" s="28">
        <f>IF($K688="","",MAX(0,VLOOKUP($K688,RoleTitles!$A:$B,2,FALSE)-$E688))</f>
        <v/>
      </c>
    </row>
    <row r="689">
      <c r="A689" s="24">
        <f>IFERROR(INDEX(CoachRoster!$A$2:$A$1000,ROW()-1),"")</f>
        <v/>
      </c>
      <c r="B689" s="27">
        <f>IF($A689="","",VLOOKUP($A689,CoachRoster!$A:$E,2,FALSE))</f>
        <v/>
      </c>
      <c r="C689" s="27">
        <f>IF($A689="","",VLOOKUP($A689,CoachRoster!$A:$E,3,FALSE))</f>
        <v/>
      </c>
      <c r="D689" s="27">
        <f>IF($A689="","",VLOOKUP($A689,CoachRoster!$A:$E,4,FALSE))</f>
        <v/>
      </c>
      <c r="E689" s="27">
        <f>IF($A689="","",MIN(Settings!$B$8,IFERROR(SUMIF(Weekly_Coaching!$B:$B,$A689,Weekly_Coaching!$D:$D),0)+IFERROR(SUMIF(Monthly_Edu!$B:$B,$A689,Monthly_Edu!$D:$D),0)+IFERROR(SUMIF(Monthly_Ops!$B:$B,$A689,Monthly_Ops!$D:$D),0)+IFERROR(SUMIF(Monthly_Mentor!$B:$B,$A689,Monthly_Mentor!$D:$D),0)+IFERROR(SUMIF(Quarterly_Impact!$B:$B,$A689,Quarterly_Impact!$D:$D),0)+IFERROR(SUMIFS(XPLog!$M:$M,XPLog!$B:$B,$A689,XPLog!$J:$J,"Admin"),0)+IFERROR(SUMIFS(XPLog!$M:$M,XPLog!$B:$B,$A689,XPLog!$J:$J,"Seeding"),0)))</f>
        <v/>
      </c>
      <c r="F689" s="27">
        <f>IF($E689="","",LOOKUP($E689, XPBands!B$2:B$10, XPBands!A$2:A$10))</f>
        <v/>
      </c>
      <c r="G689" s="27">
        <f>IF($E689="","", VLOOKUP($F689, XPBands!A$2:G$10, 4, FALSE) + MIN(VLOOKUP($F689, XPBands!A$2:G$10, 5, FALSE) - VLOOKUP($F689, XPBands!A$2:G$10, 4, FALSE), FLOOR(( $E689 - VLOOKUP($F689, XPBands!A$2:G$10, 2, FALSE) ) / VLOOKUP($F689, XPBands!A$2:G$10, 7, FALSE),1)))</f>
        <v/>
      </c>
      <c r="H689" s="27">
        <f>IF($D689="","",VLOOKUP($D689,RoleTitles!$A:$E,3,FALSE))</f>
        <v/>
      </c>
      <c r="I689" s="27">
        <f>IF($D689="","",IF($C689="Greek",VLOOKUP($D689,RoleTitles!$A:$E,4,FALSE),IF($C689="Aesir",VLOOKUP($D689,RoleTitles!$A:$E,5,FALSE),VLOOKUP($D689,RoleTitles!$A:$E,3,FALSE))))</f>
        <v/>
      </c>
      <c r="J689" s="27">
        <f>IF($D689="","",IF($E689&gt;=VLOOKUP($D689,RoleTitles!$A:$B,2,FALSE),"Yes","No"))</f>
        <v/>
      </c>
      <c r="K689" s="27">
        <f>IF($D689="","",IF($D689="T1","T2",IF($D689="T2","T3",IF($D689="T3","T4",IF($D689="T4","T5",IF($D689="T5","T6",IF($D689="T6","T7",IF($D689="T7","T8",IF($D689="T8","T9","")))))))))</f>
        <v/>
      </c>
      <c r="L689" s="28">
        <f>IF($K689="","",MAX(0,VLOOKUP($K689,RoleTitles!$A:$B,2,FALSE)-$E689))</f>
        <v/>
      </c>
    </row>
    <row r="690">
      <c r="A690" s="24">
        <f>IFERROR(INDEX(CoachRoster!$A$2:$A$1000,ROW()-1),"")</f>
        <v/>
      </c>
      <c r="B690" s="27">
        <f>IF($A690="","",VLOOKUP($A690,CoachRoster!$A:$E,2,FALSE))</f>
        <v/>
      </c>
      <c r="C690" s="27">
        <f>IF($A690="","",VLOOKUP($A690,CoachRoster!$A:$E,3,FALSE))</f>
        <v/>
      </c>
      <c r="D690" s="27">
        <f>IF($A690="","",VLOOKUP($A690,CoachRoster!$A:$E,4,FALSE))</f>
        <v/>
      </c>
      <c r="E690" s="27">
        <f>IF($A690="","",MIN(Settings!$B$8,IFERROR(SUMIF(Weekly_Coaching!$B:$B,$A690,Weekly_Coaching!$D:$D),0)+IFERROR(SUMIF(Monthly_Edu!$B:$B,$A690,Monthly_Edu!$D:$D),0)+IFERROR(SUMIF(Monthly_Ops!$B:$B,$A690,Monthly_Ops!$D:$D),0)+IFERROR(SUMIF(Monthly_Mentor!$B:$B,$A690,Monthly_Mentor!$D:$D),0)+IFERROR(SUMIF(Quarterly_Impact!$B:$B,$A690,Quarterly_Impact!$D:$D),0)+IFERROR(SUMIFS(XPLog!$M:$M,XPLog!$B:$B,$A690,XPLog!$J:$J,"Admin"),0)+IFERROR(SUMIFS(XPLog!$M:$M,XPLog!$B:$B,$A690,XPLog!$J:$J,"Seeding"),0)))</f>
        <v/>
      </c>
      <c r="F690" s="27">
        <f>IF($E690="","",LOOKUP($E690, XPBands!B$2:B$10, XPBands!A$2:A$10))</f>
        <v/>
      </c>
      <c r="G690" s="27">
        <f>IF($E690="","", VLOOKUP($F690, XPBands!A$2:G$10, 4, FALSE) + MIN(VLOOKUP($F690, XPBands!A$2:G$10, 5, FALSE) - VLOOKUP($F690, XPBands!A$2:G$10, 4, FALSE), FLOOR(( $E690 - VLOOKUP($F690, XPBands!A$2:G$10, 2, FALSE) ) / VLOOKUP($F690, XPBands!A$2:G$10, 7, FALSE),1)))</f>
        <v/>
      </c>
      <c r="H690" s="27">
        <f>IF($D690="","",VLOOKUP($D690,RoleTitles!$A:$E,3,FALSE))</f>
        <v/>
      </c>
      <c r="I690" s="27">
        <f>IF($D690="","",IF($C690="Greek",VLOOKUP($D690,RoleTitles!$A:$E,4,FALSE),IF($C690="Aesir",VLOOKUP($D690,RoleTitles!$A:$E,5,FALSE),VLOOKUP($D690,RoleTitles!$A:$E,3,FALSE))))</f>
        <v/>
      </c>
      <c r="J690" s="27">
        <f>IF($D690="","",IF($E690&gt;=VLOOKUP($D690,RoleTitles!$A:$B,2,FALSE),"Yes","No"))</f>
        <v/>
      </c>
      <c r="K690" s="27">
        <f>IF($D690="","",IF($D690="T1","T2",IF($D690="T2","T3",IF($D690="T3","T4",IF($D690="T4","T5",IF($D690="T5","T6",IF($D690="T6","T7",IF($D690="T7","T8",IF($D690="T8","T9","")))))))))</f>
        <v/>
      </c>
      <c r="L690" s="28">
        <f>IF($K690="","",MAX(0,VLOOKUP($K690,RoleTitles!$A:$B,2,FALSE)-$E690))</f>
        <v/>
      </c>
    </row>
    <row r="691">
      <c r="A691" s="24">
        <f>IFERROR(INDEX(CoachRoster!$A$2:$A$1000,ROW()-1),"")</f>
        <v/>
      </c>
      <c r="B691" s="27">
        <f>IF($A691="","",VLOOKUP($A691,CoachRoster!$A:$E,2,FALSE))</f>
        <v/>
      </c>
      <c r="C691" s="27">
        <f>IF($A691="","",VLOOKUP($A691,CoachRoster!$A:$E,3,FALSE))</f>
        <v/>
      </c>
      <c r="D691" s="27">
        <f>IF($A691="","",VLOOKUP($A691,CoachRoster!$A:$E,4,FALSE))</f>
        <v/>
      </c>
      <c r="E691" s="27">
        <f>IF($A691="","",MIN(Settings!$B$8,IFERROR(SUMIF(Weekly_Coaching!$B:$B,$A691,Weekly_Coaching!$D:$D),0)+IFERROR(SUMIF(Monthly_Edu!$B:$B,$A691,Monthly_Edu!$D:$D),0)+IFERROR(SUMIF(Monthly_Ops!$B:$B,$A691,Monthly_Ops!$D:$D),0)+IFERROR(SUMIF(Monthly_Mentor!$B:$B,$A691,Monthly_Mentor!$D:$D),0)+IFERROR(SUMIF(Quarterly_Impact!$B:$B,$A691,Quarterly_Impact!$D:$D),0)+IFERROR(SUMIFS(XPLog!$M:$M,XPLog!$B:$B,$A691,XPLog!$J:$J,"Admin"),0)+IFERROR(SUMIFS(XPLog!$M:$M,XPLog!$B:$B,$A691,XPLog!$J:$J,"Seeding"),0)))</f>
        <v/>
      </c>
      <c r="F691" s="27">
        <f>IF($E691="","",LOOKUP($E691, XPBands!B$2:B$10, XPBands!A$2:A$10))</f>
        <v/>
      </c>
      <c r="G691" s="27">
        <f>IF($E691="","", VLOOKUP($F691, XPBands!A$2:G$10, 4, FALSE) + MIN(VLOOKUP($F691, XPBands!A$2:G$10, 5, FALSE) - VLOOKUP($F691, XPBands!A$2:G$10, 4, FALSE), FLOOR(( $E691 - VLOOKUP($F691, XPBands!A$2:G$10, 2, FALSE) ) / VLOOKUP($F691, XPBands!A$2:G$10, 7, FALSE),1)))</f>
        <v/>
      </c>
      <c r="H691" s="27">
        <f>IF($D691="","",VLOOKUP($D691,RoleTitles!$A:$E,3,FALSE))</f>
        <v/>
      </c>
      <c r="I691" s="27">
        <f>IF($D691="","",IF($C691="Greek",VLOOKUP($D691,RoleTitles!$A:$E,4,FALSE),IF($C691="Aesir",VLOOKUP($D691,RoleTitles!$A:$E,5,FALSE),VLOOKUP($D691,RoleTitles!$A:$E,3,FALSE))))</f>
        <v/>
      </c>
      <c r="J691" s="27">
        <f>IF($D691="","",IF($E691&gt;=VLOOKUP($D691,RoleTitles!$A:$B,2,FALSE),"Yes","No"))</f>
        <v/>
      </c>
      <c r="K691" s="27">
        <f>IF($D691="","",IF($D691="T1","T2",IF($D691="T2","T3",IF($D691="T3","T4",IF($D691="T4","T5",IF($D691="T5","T6",IF($D691="T6","T7",IF($D691="T7","T8",IF($D691="T8","T9","")))))))))</f>
        <v/>
      </c>
      <c r="L691" s="28">
        <f>IF($K691="","",MAX(0,VLOOKUP($K691,RoleTitles!$A:$B,2,FALSE)-$E691))</f>
        <v/>
      </c>
    </row>
    <row r="692">
      <c r="A692" s="24">
        <f>IFERROR(INDEX(CoachRoster!$A$2:$A$1000,ROW()-1),"")</f>
        <v/>
      </c>
      <c r="B692" s="27">
        <f>IF($A692="","",VLOOKUP($A692,CoachRoster!$A:$E,2,FALSE))</f>
        <v/>
      </c>
      <c r="C692" s="27">
        <f>IF($A692="","",VLOOKUP($A692,CoachRoster!$A:$E,3,FALSE))</f>
        <v/>
      </c>
      <c r="D692" s="27">
        <f>IF($A692="","",VLOOKUP($A692,CoachRoster!$A:$E,4,FALSE))</f>
        <v/>
      </c>
      <c r="E692" s="27">
        <f>IF($A692="","",MIN(Settings!$B$8,IFERROR(SUMIF(Weekly_Coaching!$B:$B,$A692,Weekly_Coaching!$D:$D),0)+IFERROR(SUMIF(Monthly_Edu!$B:$B,$A692,Monthly_Edu!$D:$D),0)+IFERROR(SUMIF(Monthly_Ops!$B:$B,$A692,Monthly_Ops!$D:$D),0)+IFERROR(SUMIF(Monthly_Mentor!$B:$B,$A692,Monthly_Mentor!$D:$D),0)+IFERROR(SUMIF(Quarterly_Impact!$B:$B,$A692,Quarterly_Impact!$D:$D),0)+IFERROR(SUMIFS(XPLog!$M:$M,XPLog!$B:$B,$A692,XPLog!$J:$J,"Admin"),0)+IFERROR(SUMIFS(XPLog!$M:$M,XPLog!$B:$B,$A692,XPLog!$J:$J,"Seeding"),0)))</f>
        <v/>
      </c>
      <c r="F692" s="27">
        <f>IF($E692="","",LOOKUP($E692, XPBands!B$2:B$10, XPBands!A$2:A$10))</f>
        <v/>
      </c>
      <c r="G692" s="27">
        <f>IF($E692="","", VLOOKUP($F692, XPBands!A$2:G$10, 4, FALSE) + MIN(VLOOKUP($F692, XPBands!A$2:G$10, 5, FALSE) - VLOOKUP($F692, XPBands!A$2:G$10, 4, FALSE), FLOOR(( $E692 - VLOOKUP($F692, XPBands!A$2:G$10, 2, FALSE) ) / VLOOKUP($F692, XPBands!A$2:G$10, 7, FALSE),1)))</f>
        <v/>
      </c>
      <c r="H692" s="27">
        <f>IF($D692="","",VLOOKUP($D692,RoleTitles!$A:$E,3,FALSE))</f>
        <v/>
      </c>
      <c r="I692" s="27">
        <f>IF($D692="","",IF($C692="Greek",VLOOKUP($D692,RoleTitles!$A:$E,4,FALSE),IF($C692="Aesir",VLOOKUP($D692,RoleTitles!$A:$E,5,FALSE),VLOOKUP($D692,RoleTitles!$A:$E,3,FALSE))))</f>
        <v/>
      </c>
      <c r="J692" s="27">
        <f>IF($D692="","",IF($E692&gt;=VLOOKUP($D692,RoleTitles!$A:$B,2,FALSE),"Yes","No"))</f>
        <v/>
      </c>
      <c r="K692" s="27">
        <f>IF($D692="","",IF($D692="T1","T2",IF($D692="T2","T3",IF($D692="T3","T4",IF($D692="T4","T5",IF($D692="T5","T6",IF($D692="T6","T7",IF($D692="T7","T8",IF($D692="T8","T9","")))))))))</f>
        <v/>
      </c>
      <c r="L692" s="28">
        <f>IF($K692="","",MAX(0,VLOOKUP($K692,RoleTitles!$A:$B,2,FALSE)-$E692))</f>
        <v/>
      </c>
    </row>
    <row r="693">
      <c r="A693" s="24">
        <f>IFERROR(INDEX(CoachRoster!$A$2:$A$1000,ROW()-1),"")</f>
        <v/>
      </c>
      <c r="B693" s="27">
        <f>IF($A693="","",VLOOKUP($A693,CoachRoster!$A:$E,2,FALSE))</f>
        <v/>
      </c>
      <c r="C693" s="27">
        <f>IF($A693="","",VLOOKUP($A693,CoachRoster!$A:$E,3,FALSE))</f>
        <v/>
      </c>
      <c r="D693" s="27">
        <f>IF($A693="","",VLOOKUP($A693,CoachRoster!$A:$E,4,FALSE))</f>
        <v/>
      </c>
      <c r="E693" s="27">
        <f>IF($A693="","",MIN(Settings!$B$8,IFERROR(SUMIF(Weekly_Coaching!$B:$B,$A693,Weekly_Coaching!$D:$D),0)+IFERROR(SUMIF(Monthly_Edu!$B:$B,$A693,Monthly_Edu!$D:$D),0)+IFERROR(SUMIF(Monthly_Ops!$B:$B,$A693,Monthly_Ops!$D:$D),0)+IFERROR(SUMIF(Monthly_Mentor!$B:$B,$A693,Monthly_Mentor!$D:$D),0)+IFERROR(SUMIF(Quarterly_Impact!$B:$B,$A693,Quarterly_Impact!$D:$D),0)+IFERROR(SUMIFS(XPLog!$M:$M,XPLog!$B:$B,$A693,XPLog!$J:$J,"Admin"),0)+IFERROR(SUMIFS(XPLog!$M:$M,XPLog!$B:$B,$A693,XPLog!$J:$J,"Seeding"),0)))</f>
        <v/>
      </c>
      <c r="F693" s="27">
        <f>IF($E693="","",LOOKUP($E693, XPBands!B$2:B$10, XPBands!A$2:A$10))</f>
        <v/>
      </c>
      <c r="G693" s="27">
        <f>IF($E693="","", VLOOKUP($F693, XPBands!A$2:G$10, 4, FALSE) + MIN(VLOOKUP($F693, XPBands!A$2:G$10, 5, FALSE) - VLOOKUP($F693, XPBands!A$2:G$10, 4, FALSE), FLOOR(( $E693 - VLOOKUP($F693, XPBands!A$2:G$10, 2, FALSE) ) / VLOOKUP($F693, XPBands!A$2:G$10, 7, FALSE),1)))</f>
        <v/>
      </c>
      <c r="H693" s="27">
        <f>IF($D693="","",VLOOKUP($D693,RoleTitles!$A:$E,3,FALSE))</f>
        <v/>
      </c>
      <c r="I693" s="27">
        <f>IF($D693="","",IF($C693="Greek",VLOOKUP($D693,RoleTitles!$A:$E,4,FALSE),IF($C693="Aesir",VLOOKUP($D693,RoleTitles!$A:$E,5,FALSE),VLOOKUP($D693,RoleTitles!$A:$E,3,FALSE))))</f>
        <v/>
      </c>
      <c r="J693" s="27">
        <f>IF($D693="","",IF($E693&gt;=VLOOKUP($D693,RoleTitles!$A:$B,2,FALSE),"Yes","No"))</f>
        <v/>
      </c>
      <c r="K693" s="27">
        <f>IF($D693="","",IF($D693="T1","T2",IF($D693="T2","T3",IF($D693="T3","T4",IF($D693="T4","T5",IF($D693="T5","T6",IF($D693="T6","T7",IF($D693="T7","T8",IF($D693="T8","T9","")))))))))</f>
        <v/>
      </c>
      <c r="L693" s="28">
        <f>IF($K693="","",MAX(0,VLOOKUP($K693,RoleTitles!$A:$B,2,FALSE)-$E693))</f>
        <v/>
      </c>
    </row>
    <row r="694">
      <c r="A694" s="24">
        <f>IFERROR(INDEX(CoachRoster!$A$2:$A$1000,ROW()-1),"")</f>
        <v/>
      </c>
      <c r="B694" s="27">
        <f>IF($A694="","",VLOOKUP($A694,CoachRoster!$A:$E,2,FALSE))</f>
        <v/>
      </c>
      <c r="C694" s="27">
        <f>IF($A694="","",VLOOKUP($A694,CoachRoster!$A:$E,3,FALSE))</f>
        <v/>
      </c>
      <c r="D694" s="27">
        <f>IF($A694="","",VLOOKUP($A694,CoachRoster!$A:$E,4,FALSE))</f>
        <v/>
      </c>
      <c r="E694" s="27">
        <f>IF($A694="","",MIN(Settings!$B$8,IFERROR(SUMIF(Weekly_Coaching!$B:$B,$A694,Weekly_Coaching!$D:$D),0)+IFERROR(SUMIF(Monthly_Edu!$B:$B,$A694,Monthly_Edu!$D:$D),0)+IFERROR(SUMIF(Monthly_Ops!$B:$B,$A694,Monthly_Ops!$D:$D),0)+IFERROR(SUMIF(Monthly_Mentor!$B:$B,$A694,Monthly_Mentor!$D:$D),0)+IFERROR(SUMIF(Quarterly_Impact!$B:$B,$A694,Quarterly_Impact!$D:$D),0)+IFERROR(SUMIFS(XPLog!$M:$M,XPLog!$B:$B,$A694,XPLog!$J:$J,"Admin"),0)+IFERROR(SUMIFS(XPLog!$M:$M,XPLog!$B:$B,$A694,XPLog!$J:$J,"Seeding"),0)))</f>
        <v/>
      </c>
      <c r="F694" s="27">
        <f>IF($E694="","",LOOKUP($E694, XPBands!B$2:B$10, XPBands!A$2:A$10))</f>
        <v/>
      </c>
      <c r="G694" s="27">
        <f>IF($E694="","", VLOOKUP($F694, XPBands!A$2:G$10, 4, FALSE) + MIN(VLOOKUP($F694, XPBands!A$2:G$10, 5, FALSE) - VLOOKUP($F694, XPBands!A$2:G$10, 4, FALSE), FLOOR(( $E694 - VLOOKUP($F694, XPBands!A$2:G$10, 2, FALSE) ) / VLOOKUP($F694, XPBands!A$2:G$10, 7, FALSE),1)))</f>
        <v/>
      </c>
      <c r="H694" s="27">
        <f>IF($D694="","",VLOOKUP($D694,RoleTitles!$A:$E,3,FALSE))</f>
        <v/>
      </c>
      <c r="I694" s="27">
        <f>IF($D694="","",IF($C694="Greek",VLOOKUP($D694,RoleTitles!$A:$E,4,FALSE),IF($C694="Aesir",VLOOKUP($D694,RoleTitles!$A:$E,5,FALSE),VLOOKUP($D694,RoleTitles!$A:$E,3,FALSE))))</f>
        <v/>
      </c>
      <c r="J694" s="27">
        <f>IF($D694="","",IF($E694&gt;=VLOOKUP($D694,RoleTitles!$A:$B,2,FALSE),"Yes","No"))</f>
        <v/>
      </c>
      <c r="K694" s="27">
        <f>IF($D694="","",IF($D694="T1","T2",IF($D694="T2","T3",IF($D694="T3","T4",IF($D694="T4","T5",IF($D694="T5","T6",IF($D694="T6","T7",IF($D694="T7","T8",IF($D694="T8","T9","")))))))))</f>
        <v/>
      </c>
      <c r="L694" s="28">
        <f>IF($K694="","",MAX(0,VLOOKUP($K694,RoleTitles!$A:$B,2,FALSE)-$E694))</f>
        <v/>
      </c>
    </row>
    <row r="695">
      <c r="A695" s="24">
        <f>IFERROR(INDEX(CoachRoster!$A$2:$A$1000,ROW()-1),"")</f>
        <v/>
      </c>
      <c r="B695" s="27">
        <f>IF($A695="","",VLOOKUP($A695,CoachRoster!$A:$E,2,FALSE))</f>
        <v/>
      </c>
      <c r="C695" s="27">
        <f>IF($A695="","",VLOOKUP($A695,CoachRoster!$A:$E,3,FALSE))</f>
        <v/>
      </c>
      <c r="D695" s="27">
        <f>IF($A695="","",VLOOKUP($A695,CoachRoster!$A:$E,4,FALSE))</f>
        <v/>
      </c>
      <c r="E695" s="27">
        <f>IF($A695="","",MIN(Settings!$B$8,IFERROR(SUMIF(Weekly_Coaching!$B:$B,$A695,Weekly_Coaching!$D:$D),0)+IFERROR(SUMIF(Monthly_Edu!$B:$B,$A695,Monthly_Edu!$D:$D),0)+IFERROR(SUMIF(Monthly_Ops!$B:$B,$A695,Monthly_Ops!$D:$D),0)+IFERROR(SUMIF(Monthly_Mentor!$B:$B,$A695,Monthly_Mentor!$D:$D),0)+IFERROR(SUMIF(Quarterly_Impact!$B:$B,$A695,Quarterly_Impact!$D:$D),0)+IFERROR(SUMIFS(XPLog!$M:$M,XPLog!$B:$B,$A695,XPLog!$J:$J,"Admin"),0)+IFERROR(SUMIFS(XPLog!$M:$M,XPLog!$B:$B,$A695,XPLog!$J:$J,"Seeding"),0)))</f>
        <v/>
      </c>
      <c r="F695" s="27">
        <f>IF($E695="","",LOOKUP($E695, XPBands!B$2:B$10, XPBands!A$2:A$10))</f>
        <v/>
      </c>
      <c r="G695" s="27">
        <f>IF($E695="","", VLOOKUP($F695, XPBands!A$2:G$10, 4, FALSE) + MIN(VLOOKUP($F695, XPBands!A$2:G$10, 5, FALSE) - VLOOKUP($F695, XPBands!A$2:G$10, 4, FALSE), FLOOR(( $E695 - VLOOKUP($F695, XPBands!A$2:G$10, 2, FALSE) ) / VLOOKUP($F695, XPBands!A$2:G$10, 7, FALSE),1)))</f>
        <v/>
      </c>
      <c r="H695" s="27">
        <f>IF($D695="","",VLOOKUP($D695,RoleTitles!$A:$E,3,FALSE))</f>
        <v/>
      </c>
      <c r="I695" s="27">
        <f>IF($D695="","",IF($C695="Greek",VLOOKUP($D695,RoleTitles!$A:$E,4,FALSE),IF($C695="Aesir",VLOOKUP($D695,RoleTitles!$A:$E,5,FALSE),VLOOKUP($D695,RoleTitles!$A:$E,3,FALSE))))</f>
        <v/>
      </c>
      <c r="J695" s="27">
        <f>IF($D695="","",IF($E695&gt;=VLOOKUP($D695,RoleTitles!$A:$B,2,FALSE),"Yes","No"))</f>
        <v/>
      </c>
      <c r="K695" s="27">
        <f>IF($D695="","",IF($D695="T1","T2",IF($D695="T2","T3",IF($D695="T3","T4",IF($D695="T4","T5",IF($D695="T5","T6",IF($D695="T6","T7",IF($D695="T7","T8",IF($D695="T8","T9","")))))))))</f>
        <v/>
      </c>
      <c r="L695" s="28">
        <f>IF($K695="","",MAX(0,VLOOKUP($K695,RoleTitles!$A:$B,2,FALSE)-$E695))</f>
        <v/>
      </c>
    </row>
    <row r="696">
      <c r="A696" s="24">
        <f>IFERROR(INDEX(CoachRoster!$A$2:$A$1000,ROW()-1),"")</f>
        <v/>
      </c>
      <c r="B696" s="27">
        <f>IF($A696="","",VLOOKUP($A696,CoachRoster!$A:$E,2,FALSE))</f>
        <v/>
      </c>
      <c r="C696" s="27">
        <f>IF($A696="","",VLOOKUP($A696,CoachRoster!$A:$E,3,FALSE))</f>
        <v/>
      </c>
      <c r="D696" s="27">
        <f>IF($A696="","",VLOOKUP($A696,CoachRoster!$A:$E,4,FALSE))</f>
        <v/>
      </c>
      <c r="E696" s="27">
        <f>IF($A696="","",MIN(Settings!$B$8,IFERROR(SUMIF(Weekly_Coaching!$B:$B,$A696,Weekly_Coaching!$D:$D),0)+IFERROR(SUMIF(Monthly_Edu!$B:$B,$A696,Monthly_Edu!$D:$D),0)+IFERROR(SUMIF(Monthly_Ops!$B:$B,$A696,Monthly_Ops!$D:$D),0)+IFERROR(SUMIF(Monthly_Mentor!$B:$B,$A696,Monthly_Mentor!$D:$D),0)+IFERROR(SUMIF(Quarterly_Impact!$B:$B,$A696,Quarterly_Impact!$D:$D),0)+IFERROR(SUMIFS(XPLog!$M:$M,XPLog!$B:$B,$A696,XPLog!$J:$J,"Admin"),0)+IFERROR(SUMIFS(XPLog!$M:$M,XPLog!$B:$B,$A696,XPLog!$J:$J,"Seeding"),0)))</f>
        <v/>
      </c>
      <c r="F696" s="27">
        <f>IF($E696="","",LOOKUP($E696, XPBands!B$2:B$10, XPBands!A$2:A$10))</f>
        <v/>
      </c>
      <c r="G696" s="27">
        <f>IF($E696="","", VLOOKUP($F696, XPBands!A$2:G$10, 4, FALSE) + MIN(VLOOKUP($F696, XPBands!A$2:G$10, 5, FALSE) - VLOOKUP($F696, XPBands!A$2:G$10, 4, FALSE), FLOOR(( $E696 - VLOOKUP($F696, XPBands!A$2:G$10, 2, FALSE) ) / VLOOKUP($F696, XPBands!A$2:G$10, 7, FALSE),1)))</f>
        <v/>
      </c>
      <c r="H696" s="27">
        <f>IF($D696="","",VLOOKUP($D696,RoleTitles!$A:$E,3,FALSE))</f>
        <v/>
      </c>
      <c r="I696" s="27">
        <f>IF($D696="","",IF($C696="Greek",VLOOKUP($D696,RoleTitles!$A:$E,4,FALSE),IF($C696="Aesir",VLOOKUP($D696,RoleTitles!$A:$E,5,FALSE),VLOOKUP($D696,RoleTitles!$A:$E,3,FALSE))))</f>
        <v/>
      </c>
      <c r="J696" s="27">
        <f>IF($D696="","",IF($E696&gt;=VLOOKUP($D696,RoleTitles!$A:$B,2,FALSE),"Yes","No"))</f>
        <v/>
      </c>
      <c r="K696" s="27">
        <f>IF($D696="","",IF($D696="T1","T2",IF($D696="T2","T3",IF($D696="T3","T4",IF($D696="T4","T5",IF($D696="T5","T6",IF($D696="T6","T7",IF($D696="T7","T8",IF($D696="T8","T9","")))))))))</f>
        <v/>
      </c>
      <c r="L696" s="28">
        <f>IF($K696="","",MAX(0,VLOOKUP($K696,RoleTitles!$A:$B,2,FALSE)-$E696))</f>
        <v/>
      </c>
    </row>
    <row r="697">
      <c r="A697" s="24">
        <f>IFERROR(INDEX(CoachRoster!$A$2:$A$1000,ROW()-1),"")</f>
        <v/>
      </c>
      <c r="B697" s="27">
        <f>IF($A697="","",VLOOKUP($A697,CoachRoster!$A:$E,2,FALSE))</f>
        <v/>
      </c>
      <c r="C697" s="27">
        <f>IF($A697="","",VLOOKUP($A697,CoachRoster!$A:$E,3,FALSE))</f>
        <v/>
      </c>
      <c r="D697" s="27">
        <f>IF($A697="","",VLOOKUP($A697,CoachRoster!$A:$E,4,FALSE))</f>
        <v/>
      </c>
      <c r="E697" s="27">
        <f>IF($A697="","",MIN(Settings!$B$8,IFERROR(SUMIF(Weekly_Coaching!$B:$B,$A697,Weekly_Coaching!$D:$D),0)+IFERROR(SUMIF(Monthly_Edu!$B:$B,$A697,Monthly_Edu!$D:$D),0)+IFERROR(SUMIF(Monthly_Ops!$B:$B,$A697,Monthly_Ops!$D:$D),0)+IFERROR(SUMIF(Monthly_Mentor!$B:$B,$A697,Monthly_Mentor!$D:$D),0)+IFERROR(SUMIF(Quarterly_Impact!$B:$B,$A697,Quarterly_Impact!$D:$D),0)+IFERROR(SUMIFS(XPLog!$M:$M,XPLog!$B:$B,$A697,XPLog!$J:$J,"Admin"),0)+IFERROR(SUMIFS(XPLog!$M:$M,XPLog!$B:$B,$A697,XPLog!$J:$J,"Seeding"),0)))</f>
        <v/>
      </c>
      <c r="F697" s="27">
        <f>IF($E697="","",LOOKUP($E697, XPBands!B$2:B$10, XPBands!A$2:A$10))</f>
        <v/>
      </c>
      <c r="G697" s="27">
        <f>IF($E697="","", VLOOKUP($F697, XPBands!A$2:G$10, 4, FALSE) + MIN(VLOOKUP($F697, XPBands!A$2:G$10, 5, FALSE) - VLOOKUP($F697, XPBands!A$2:G$10, 4, FALSE), FLOOR(( $E697 - VLOOKUP($F697, XPBands!A$2:G$10, 2, FALSE) ) / VLOOKUP($F697, XPBands!A$2:G$10, 7, FALSE),1)))</f>
        <v/>
      </c>
      <c r="H697" s="27">
        <f>IF($D697="","",VLOOKUP($D697,RoleTitles!$A:$E,3,FALSE))</f>
        <v/>
      </c>
      <c r="I697" s="27">
        <f>IF($D697="","",IF($C697="Greek",VLOOKUP($D697,RoleTitles!$A:$E,4,FALSE),IF($C697="Aesir",VLOOKUP($D697,RoleTitles!$A:$E,5,FALSE),VLOOKUP($D697,RoleTitles!$A:$E,3,FALSE))))</f>
        <v/>
      </c>
      <c r="J697" s="27">
        <f>IF($D697="","",IF($E697&gt;=VLOOKUP($D697,RoleTitles!$A:$B,2,FALSE),"Yes","No"))</f>
        <v/>
      </c>
      <c r="K697" s="27">
        <f>IF($D697="","",IF($D697="T1","T2",IF($D697="T2","T3",IF($D697="T3","T4",IF($D697="T4","T5",IF($D697="T5","T6",IF($D697="T6","T7",IF($D697="T7","T8",IF($D697="T8","T9","")))))))))</f>
        <v/>
      </c>
      <c r="L697" s="28">
        <f>IF($K697="","",MAX(0,VLOOKUP($K697,RoleTitles!$A:$B,2,FALSE)-$E697))</f>
        <v/>
      </c>
    </row>
    <row r="698">
      <c r="A698" s="24">
        <f>IFERROR(INDEX(CoachRoster!$A$2:$A$1000,ROW()-1),"")</f>
        <v/>
      </c>
      <c r="B698" s="27">
        <f>IF($A698="","",VLOOKUP($A698,CoachRoster!$A:$E,2,FALSE))</f>
        <v/>
      </c>
      <c r="C698" s="27">
        <f>IF($A698="","",VLOOKUP($A698,CoachRoster!$A:$E,3,FALSE))</f>
        <v/>
      </c>
      <c r="D698" s="27">
        <f>IF($A698="","",VLOOKUP($A698,CoachRoster!$A:$E,4,FALSE))</f>
        <v/>
      </c>
      <c r="E698" s="27">
        <f>IF($A698="","",MIN(Settings!$B$8,IFERROR(SUMIF(Weekly_Coaching!$B:$B,$A698,Weekly_Coaching!$D:$D),0)+IFERROR(SUMIF(Monthly_Edu!$B:$B,$A698,Monthly_Edu!$D:$D),0)+IFERROR(SUMIF(Monthly_Ops!$B:$B,$A698,Monthly_Ops!$D:$D),0)+IFERROR(SUMIF(Monthly_Mentor!$B:$B,$A698,Monthly_Mentor!$D:$D),0)+IFERROR(SUMIF(Quarterly_Impact!$B:$B,$A698,Quarterly_Impact!$D:$D),0)+IFERROR(SUMIFS(XPLog!$M:$M,XPLog!$B:$B,$A698,XPLog!$J:$J,"Admin"),0)+IFERROR(SUMIFS(XPLog!$M:$M,XPLog!$B:$B,$A698,XPLog!$J:$J,"Seeding"),0)))</f>
        <v/>
      </c>
      <c r="F698" s="27">
        <f>IF($E698="","",LOOKUP($E698, XPBands!B$2:B$10, XPBands!A$2:A$10))</f>
        <v/>
      </c>
      <c r="G698" s="27">
        <f>IF($E698="","", VLOOKUP($F698, XPBands!A$2:G$10, 4, FALSE) + MIN(VLOOKUP($F698, XPBands!A$2:G$10, 5, FALSE) - VLOOKUP($F698, XPBands!A$2:G$10, 4, FALSE), FLOOR(( $E698 - VLOOKUP($F698, XPBands!A$2:G$10, 2, FALSE) ) / VLOOKUP($F698, XPBands!A$2:G$10, 7, FALSE),1)))</f>
        <v/>
      </c>
      <c r="H698" s="27">
        <f>IF($D698="","",VLOOKUP($D698,RoleTitles!$A:$E,3,FALSE))</f>
        <v/>
      </c>
      <c r="I698" s="27">
        <f>IF($D698="","",IF($C698="Greek",VLOOKUP($D698,RoleTitles!$A:$E,4,FALSE),IF($C698="Aesir",VLOOKUP($D698,RoleTitles!$A:$E,5,FALSE),VLOOKUP($D698,RoleTitles!$A:$E,3,FALSE))))</f>
        <v/>
      </c>
      <c r="J698" s="27">
        <f>IF($D698="","",IF($E698&gt;=VLOOKUP($D698,RoleTitles!$A:$B,2,FALSE),"Yes","No"))</f>
        <v/>
      </c>
      <c r="K698" s="27">
        <f>IF($D698="","",IF($D698="T1","T2",IF($D698="T2","T3",IF($D698="T3","T4",IF($D698="T4","T5",IF($D698="T5","T6",IF($D698="T6","T7",IF($D698="T7","T8",IF($D698="T8","T9","")))))))))</f>
        <v/>
      </c>
      <c r="L698" s="28">
        <f>IF($K698="","",MAX(0,VLOOKUP($K698,RoleTitles!$A:$B,2,FALSE)-$E698))</f>
        <v/>
      </c>
    </row>
    <row r="699">
      <c r="A699" s="24">
        <f>IFERROR(INDEX(CoachRoster!$A$2:$A$1000,ROW()-1),"")</f>
        <v/>
      </c>
      <c r="B699" s="27">
        <f>IF($A699="","",VLOOKUP($A699,CoachRoster!$A:$E,2,FALSE))</f>
        <v/>
      </c>
      <c r="C699" s="27">
        <f>IF($A699="","",VLOOKUP($A699,CoachRoster!$A:$E,3,FALSE))</f>
        <v/>
      </c>
      <c r="D699" s="27">
        <f>IF($A699="","",VLOOKUP($A699,CoachRoster!$A:$E,4,FALSE))</f>
        <v/>
      </c>
      <c r="E699" s="27">
        <f>IF($A699="","",MIN(Settings!$B$8,IFERROR(SUMIF(Weekly_Coaching!$B:$B,$A699,Weekly_Coaching!$D:$D),0)+IFERROR(SUMIF(Monthly_Edu!$B:$B,$A699,Monthly_Edu!$D:$D),0)+IFERROR(SUMIF(Monthly_Ops!$B:$B,$A699,Monthly_Ops!$D:$D),0)+IFERROR(SUMIF(Monthly_Mentor!$B:$B,$A699,Monthly_Mentor!$D:$D),0)+IFERROR(SUMIF(Quarterly_Impact!$B:$B,$A699,Quarterly_Impact!$D:$D),0)+IFERROR(SUMIFS(XPLog!$M:$M,XPLog!$B:$B,$A699,XPLog!$J:$J,"Admin"),0)+IFERROR(SUMIFS(XPLog!$M:$M,XPLog!$B:$B,$A699,XPLog!$J:$J,"Seeding"),0)))</f>
        <v/>
      </c>
      <c r="F699" s="27">
        <f>IF($E699="","",LOOKUP($E699, XPBands!B$2:B$10, XPBands!A$2:A$10))</f>
        <v/>
      </c>
      <c r="G699" s="27">
        <f>IF($E699="","", VLOOKUP($F699, XPBands!A$2:G$10, 4, FALSE) + MIN(VLOOKUP($F699, XPBands!A$2:G$10, 5, FALSE) - VLOOKUP($F699, XPBands!A$2:G$10, 4, FALSE), FLOOR(( $E699 - VLOOKUP($F699, XPBands!A$2:G$10, 2, FALSE) ) / VLOOKUP($F699, XPBands!A$2:G$10, 7, FALSE),1)))</f>
        <v/>
      </c>
      <c r="H699" s="27">
        <f>IF($D699="","",VLOOKUP($D699,RoleTitles!$A:$E,3,FALSE))</f>
        <v/>
      </c>
      <c r="I699" s="27">
        <f>IF($D699="","",IF($C699="Greek",VLOOKUP($D699,RoleTitles!$A:$E,4,FALSE),IF($C699="Aesir",VLOOKUP($D699,RoleTitles!$A:$E,5,FALSE),VLOOKUP($D699,RoleTitles!$A:$E,3,FALSE))))</f>
        <v/>
      </c>
      <c r="J699" s="27">
        <f>IF($D699="","",IF($E699&gt;=VLOOKUP($D699,RoleTitles!$A:$B,2,FALSE),"Yes","No"))</f>
        <v/>
      </c>
      <c r="K699" s="27">
        <f>IF($D699="","",IF($D699="T1","T2",IF($D699="T2","T3",IF($D699="T3","T4",IF($D699="T4","T5",IF($D699="T5","T6",IF($D699="T6","T7",IF($D699="T7","T8",IF($D699="T8","T9","")))))))))</f>
        <v/>
      </c>
      <c r="L699" s="28">
        <f>IF($K699="","",MAX(0,VLOOKUP($K699,RoleTitles!$A:$B,2,FALSE)-$E699))</f>
        <v/>
      </c>
    </row>
    <row r="700">
      <c r="A700" s="24">
        <f>IFERROR(INDEX(CoachRoster!$A$2:$A$1000,ROW()-1),"")</f>
        <v/>
      </c>
      <c r="B700" s="27">
        <f>IF($A700="","",VLOOKUP($A700,CoachRoster!$A:$E,2,FALSE))</f>
        <v/>
      </c>
      <c r="C700" s="27">
        <f>IF($A700="","",VLOOKUP($A700,CoachRoster!$A:$E,3,FALSE))</f>
        <v/>
      </c>
      <c r="D700" s="27">
        <f>IF($A700="","",VLOOKUP($A700,CoachRoster!$A:$E,4,FALSE))</f>
        <v/>
      </c>
      <c r="E700" s="27">
        <f>IF($A700="","",MIN(Settings!$B$8,IFERROR(SUMIF(Weekly_Coaching!$B:$B,$A700,Weekly_Coaching!$D:$D),0)+IFERROR(SUMIF(Monthly_Edu!$B:$B,$A700,Monthly_Edu!$D:$D),0)+IFERROR(SUMIF(Monthly_Ops!$B:$B,$A700,Monthly_Ops!$D:$D),0)+IFERROR(SUMIF(Monthly_Mentor!$B:$B,$A700,Monthly_Mentor!$D:$D),0)+IFERROR(SUMIF(Quarterly_Impact!$B:$B,$A700,Quarterly_Impact!$D:$D),0)+IFERROR(SUMIFS(XPLog!$M:$M,XPLog!$B:$B,$A700,XPLog!$J:$J,"Admin"),0)+IFERROR(SUMIFS(XPLog!$M:$M,XPLog!$B:$B,$A700,XPLog!$J:$J,"Seeding"),0)))</f>
        <v/>
      </c>
      <c r="F700" s="27">
        <f>IF($E700="","",LOOKUP($E700, XPBands!B$2:B$10, XPBands!A$2:A$10))</f>
        <v/>
      </c>
      <c r="G700" s="27">
        <f>IF($E700="","", VLOOKUP($F700, XPBands!A$2:G$10, 4, FALSE) + MIN(VLOOKUP($F700, XPBands!A$2:G$10, 5, FALSE) - VLOOKUP($F700, XPBands!A$2:G$10, 4, FALSE), FLOOR(( $E700 - VLOOKUP($F700, XPBands!A$2:G$10, 2, FALSE) ) / VLOOKUP($F700, XPBands!A$2:G$10, 7, FALSE),1)))</f>
        <v/>
      </c>
      <c r="H700" s="27">
        <f>IF($D700="","",VLOOKUP($D700,RoleTitles!$A:$E,3,FALSE))</f>
        <v/>
      </c>
      <c r="I700" s="27">
        <f>IF($D700="","",IF($C700="Greek",VLOOKUP($D700,RoleTitles!$A:$E,4,FALSE),IF($C700="Aesir",VLOOKUP($D700,RoleTitles!$A:$E,5,FALSE),VLOOKUP($D700,RoleTitles!$A:$E,3,FALSE))))</f>
        <v/>
      </c>
      <c r="J700" s="27">
        <f>IF($D700="","",IF($E700&gt;=VLOOKUP($D700,RoleTitles!$A:$B,2,FALSE),"Yes","No"))</f>
        <v/>
      </c>
      <c r="K700" s="27">
        <f>IF($D700="","",IF($D700="T1","T2",IF($D700="T2","T3",IF($D700="T3","T4",IF($D700="T4","T5",IF($D700="T5","T6",IF($D700="T6","T7",IF($D700="T7","T8",IF($D700="T8","T9","")))))))))</f>
        <v/>
      </c>
      <c r="L700" s="28">
        <f>IF($K700="","",MAX(0,VLOOKUP($K700,RoleTitles!$A:$B,2,FALSE)-$E700))</f>
        <v/>
      </c>
    </row>
    <row r="701">
      <c r="A701" s="24">
        <f>IFERROR(INDEX(CoachRoster!$A$2:$A$1000,ROW()-1),"")</f>
        <v/>
      </c>
      <c r="B701" s="27">
        <f>IF($A701="","",VLOOKUP($A701,CoachRoster!$A:$E,2,FALSE))</f>
        <v/>
      </c>
      <c r="C701" s="27">
        <f>IF($A701="","",VLOOKUP($A701,CoachRoster!$A:$E,3,FALSE))</f>
        <v/>
      </c>
      <c r="D701" s="27">
        <f>IF($A701="","",VLOOKUP($A701,CoachRoster!$A:$E,4,FALSE))</f>
        <v/>
      </c>
      <c r="E701" s="27">
        <f>IF($A701="","",MIN(Settings!$B$8,IFERROR(SUMIF(Weekly_Coaching!$B:$B,$A701,Weekly_Coaching!$D:$D),0)+IFERROR(SUMIF(Monthly_Edu!$B:$B,$A701,Monthly_Edu!$D:$D),0)+IFERROR(SUMIF(Monthly_Ops!$B:$B,$A701,Monthly_Ops!$D:$D),0)+IFERROR(SUMIF(Monthly_Mentor!$B:$B,$A701,Monthly_Mentor!$D:$D),0)+IFERROR(SUMIF(Quarterly_Impact!$B:$B,$A701,Quarterly_Impact!$D:$D),0)+IFERROR(SUMIFS(XPLog!$M:$M,XPLog!$B:$B,$A701,XPLog!$J:$J,"Admin"),0)+IFERROR(SUMIFS(XPLog!$M:$M,XPLog!$B:$B,$A701,XPLog!$J:$J,"Seeding"),0)))</f>
        <v/>
      </c>
      <c r="F701" s="27">
        <f>IF($E701="","",LOOKUP($E701, XPBands!B$2:B$10, XPBands!A$2:A$10))</f>
        <v/>
      </c>
      <c r="G701" s="27">
        <f>IF($E701="","", VLOOKUP($F701, XPBands!A$2:G$10, 4, FALSE) + MIN(VLOOKUP($F701, XPBands!A$2:G$10, 5, FALSE) - VLOOKUP($F701, XPBands!A$2:G$10, 4, FALSE), FLOOR(( $E701 - VLOOKUP($F701, XPBands!A$2:G$10, 2, FALSE) ) / VLOOKUP($F701, XPBands!A$2:G$10, 7, FALSE),1)))</f>
        <v/>
      </c>
      <c r="H701" s="27">
        <f>IF($D701="","",VLOOKUP($D701,RoleTitles!$A:$E,3,FALSE))</f>
        <v/>
      </c>
      <c r="I701" s="27">
        <f>IF($D701="","",IF($C701="Greek",VLOOKUP($D701,RoleTitles!$A:$E,4,FALSE),IF($C701="Aesir",VLOOKUP($D701,RoleTitles!$A:$E,5,FALSE),VLOOKUP($D701,RoleTitles!$A:$E,3,FALSE))))</f>
        <v/>
      </c>
      <c r="J701" s="27">
        <f>IF($D701="","",IF($E701&gt;=VLOOKUP($D701,RoleTitles!$A:$B,2,FALSE),"Yes","No"))</f>
        <v/>
      </c>
      <c r="K701" s="27">
        <f>IF($D701="","",IF($D701="T1","T2",IF($D701="T2","T3",IF($D701="T3","T4",IF($D701="T4","T5",IF($D701="T5","T6",IF($D701="T6","T7",IF($D701="T7","T8",IF($D701="T8","T9","")))))))))</f>
        <v/>
      </c>
      <c r="L701" s="28">
        <f>IF($K701="","",MAX(0,VLOOKUP($K701,RoleTitles!$A:$B,2,FALSE)-$E701))</f>
        <v/>
      </c>
    </row>
    <row r="702">
      <c r="A702" s="24">
        <f>IFERROR(INDEX(CoachRoster!$A$2:$A$1000,ROW()-1),"")</f>
        <v/>
      </c>
      <c r="B702" s="27">
        <f>IF($A702="","",VLOOKUP($A702,CoachRoster!$A:$E,2,FALSE))</f>
        <v/>
      </c>
      <c r="C702" s="27">
        <f>IF($A702="","",VLOOKUP($A702,CoachRoster!$A:$E,3,FALSE))</f>
        <v/>
      </c>
      <c r="D702" s="27">
        <f>IF($A702="","",VLOOKUP($A702,CoachRoster!$A:$E,4,FALSE))</f>
        <v/>
      </c>
      <c r="E702" s="27">
        <f>IF($A702="","",MIN(Settings!$B$8,IFERROR(SUMIF(Weekly_Coaching!$B:$B,$A702,Weekly_Coaching!$D:$D),0)+IFERROR(SUMIF(Monthly_Edu!$B:$B,$A702,Monthly_Edu!$D:$D),0)+IFERROR(SUMIF(Monthly_Ops!$B:$B,$A702,Monthly_Ops!$D:$D),0)+IFERROR(SUMIF(Monthly_Mentor!$B:$B,$A702,Monthly_Mentor!$D:$D),0)+IFERROR(SUMIF(Quarterly_Impact!$B:$B,$A702,Quarterly_Impact!$D:$D),0)+IFERROR(SUMIFS(XPLog!$M:$M,XPLog!$B:$B,$A702,XPLog!$J:$J,"Admin"),0)+IFERROR(SUMIFS(XPLog!$M:$M,XPLog!$B:$B,$A702,XPLog!$J:$J,"Seeding"),0)))</f>
        <v/>
      </c>
      <c r="F702" s="27">
        <f>IF($E702="","",LOOKUP($E702, XPBands!B$2:B$10, XPBands!A$2:A$10))</f>
        <v/>
      </c>
      <c r="G702" s="27">
        <f>IF($E702="","", VLOOKUP($F702, XPBands!A$2:G$10, 4, FALSE) + MIN(VLOOKUP($F702, XPBands!A$2:G$10, 5, FALSE) - VLOOKUP($F702, XPBands!A$2:G$10, 4, FALSE), FLOOR(( $E702 - VLOOKUP($F702, XPBands!A$2:G$10, 2, FALSE) ) / VLOOKUP($F702, XPBands!A$2:G$10, 7, FALSE),1)))</f>
        <v/>
      </c>
      <c r="H702" s="27">
        <f>IF($D702="","",VLOOKUP($D702,RoleTitles!$A:$E,3,FALSE))</f>
        <v/>
      </c>
      <c r="I702" s="27">
        <f>IF($D702="","",IF($C702="Greek",VLOOKUP($D702,RoleTitles!$A:$E,4,FALSE),IF($C702="Aesir",VLOOKUP($D702,RoleTitles!$A:$E,5,FALSE),VLOOKUP($D702,RoleTitles!$A:$E,3,FALSE))))</f>
        <v/>
      </c>
      <c r="J702" s="27">
        <f>IF($D702="","",IF($E702&gt;=VLOOKUP($D702,RoleTitles!$A:$B,2,FALSE),"Yes","No"))</f>
        <v/>
      </c>
      <c r="K702" s="27">
        <f>IF($D702="","",IF($D702="T1","T2",IF($D702="T2","T3",IF($D702="T3","T4",IF($D702="T4","T5",IF($D702="T5","T6",IF($D702="T6","T7",IF($D702="T7","T8",IF($D702="T8","T9","")))))))))</f>
        <v/>
      </c>
      <c r="L702" s="28">
        <f>IF($K702="","",MAX(0,VLOOKUP($K702,RoleTitles!$A:$B,2,FALSE)-$E702))</f>
        <v/>
      </c>
    </row>
    <row r="703">
      <c r="A703" s="24">
        <f>IFERROR(INDEX(CoachRoster!$A$2:$A$1000,ROW()-1),"")</f>
        <v/>
      </c>
      <c r="B703" s="27">
        <f>IF($A703="","",VLOOKUP($A703,CoachRoster!$A:$E,2,FALSE))</f>
        <v/>
      </c>
      <c r="C703" s="27">
        <f>IF($A703="","",VLOOKUP($A703,CoachRoster!$A:$E,3,FALSE))</f>
        <v/>
      </c>
      <c r="D703" s="27">
        <f>IF($A703="","",VLOOKUP($A703,CoachRoster!$A:$E,4,FALSE))</f>
        <v/>
      </c>
      <c r="E703" s="27">
        <f>IF($A703="","",MIN(Settings!$B$8,IFERROR(SUMIF(Weekly_Coaching!$B:$B,$A703,Weekly_Coaching!$D:$D),0)+IFERROR(SUMIF(Monthly_Edu!$B:$B,$A703,Monthly_Edu!$D:$D),0)+IFERROR(SUMIF(Monthly_Ops!$B:$B,$A703,Monthly_Ops!$D:$D),0)+IFERROR(SUMIF(Monthly_Mentor!$B:$B,$A703,Monthly_Mentor!$D:$D),0)+IFERROR(SUMIF(Quarterly_Impact!$B:$B,$A703,Quarterly_Impact!$D:$D),0)+IFERROR(SUMIFS(XPLog!$M:$M,XPLog!$B:$B,$A703,XPLog!$J:$J,"Admin"),0)+IFERROR(SUMIFS(XPLog!$M:$M,XPLog!$B:$B,$A703,XPLog!$J:$J,"Seeding"),0)))</f>
        <v/>
      </c>
      <c r="F703" s="27">
        <f>IF($E703="","",LOOKUP($E703, XPBands!B$2:B$10, XPBands!A$2:A$10))</f>
        <v/>
      </c>
      <c r="G703" s="27">
        <f>IF($E703="","", VLOOKUP($F703, XPBands!A$2:G$10, 4, FALSE) + MIN(VLOOKUP($F703, XPBands!A$2:G$10, 5, FALSE) - VLOOKUP($F703, XPBands!A$2:G$10, 4, FALSE), FLOOR(( $E703 - VLOOKUP($F703, XPBands!A$2:G$10, 2, FALSE) ) / VLOOKUP($F703, XPBands!A$2:G$10, 7, FALSE),1)))</f>
        <v/>
      </c>
      <c r="H703" s="27">
        <f>IF($D703="","",VLOOKUP($D703,RoleTitles!$A:$E,3,FALSE))</f>
        <v/>
      </c>
      <c r="I703" s="27">
        <f>IF($D703="","",IF($C703="Greek",VLOOKUP($D703,RoleTitles!$A:$E,4,FALSE),IF($C703="Aesir",VLOOKUP($D703,RoleTitles!$A:$E,5,FALSE),VLOOKUP($D703,RoleTitles!$A:$E,3,FALSE))))</f>
        <v/>
      </c>
      <c r="J703" s="27">
        <f>IF($D703="","",IF($E703&gt;=VLOOKUP($D703,RoleTitles!$A:$B,2,FALSE),"Yes","No"))</f>
        <v/>
      </c>
      <c r="K703" s="27">
        <f>IF($D703="","",IF($D703="T1","T2",IF($D703="T2","T3",IF($D703="T3","T4",IF($D703="T4","T5",IF($D703="T5","T6",IF($D703="T6","T7",IF($D703="T7","T8",IF($D703="T8","T9","")))))))))</f>
        <v/>
      </c>
      <c r="L703" s="28">
        <f>IF($K703="","",MAX(0,VLOOKUP($K703,RoleTitles!$A:$B,2,FALSE)-$E703))</f>
        <v/>
      </c>
    </row>
    <row r="704">
      <c r="A704" s="24">
        <f>IFERROR(INDEX(CoachRoster!$A$2:$A$1000,ROW()-1),"")</f>
        <v/>
      </c>
      <c r="B704" s="27">
        <f>IF($A704="","",VLOOKUP($A704,CoachRoster!$A:$E,2,FALSE))</f>
        <v/>
      </c>
      <c r="C704" s="27">
        <f>IF($A704="","",VLOOKUP($A704,CoachRoster!$A:$E,3,FALSE))</f>
        <v/>
      </c>
      <c r="D704" s="27">
        <f>IF($A704="","",VLOOKUP($A704,CoachRoster!$A:$E,4,FALSE))</f>
        <v/>
      </c>
      <c r="E704" s="27">
        <f>IF($A704="","",MIN(Settings!$B$8,IFERROR(SUMIF(Weekly_Coaching!$B:$B,$A704,Weekly_Coaching!$D:$D),0)+IFERROR(SUMIF(Monthly_Edu!$B:$B,$A704,Monthly_Edu!$D:$D),0)+IFERROR(SUMIF(Monthly_Ops!$B:$B,$A704,Monthly_Ops!$D:$D),0)+IFERROR(SUMIF(Monthly_Mentor!$B:$B,$A704,Monthly_Mentor!$D:$D),0)+IFERROR(SUMIF(Quarterly_Impact!$B:$B,$A704,Quarterly_Impact!$D:$D),0)+IFERROR(SUMIFS(XPLog!$M:$M,XPLog!$B:$B,$A704,XPLog!$J:$J,"Admin"),0)+IFERROR(SUMIFS(XPLog!$M:$M,XPLog!$B:$B,$A704,XPLog!$J:$J,"Seeding"),0)))</f>
        <v/>
      </c>
      <c r="F704" s="27">
        <f>IF($E704="","",LOOKUP($E704, XPBands!B$2:B$10, XPBands!A$2:A$10))</f>
        <v/>
      </c>
      <c r="G704" s="27">
        <f>IF($E704="","", VLOOKUP($F704, XPBands!A$2:G$10, 4, FALSE) + MIN(VLOOKUP($F704, XPBands!A$2:G$10, 5, FALSE) - VLOOKUP($F704, XPBands!A$2:G$10, 4, FALSE), FLOOR(( $E704 - VLOOKUP($F704, XPBands!A$2:G$10, 2, FALSE) ) / VLOOKUP($F704, XPBands!A$2:G$10, 7, FALSE),1)))</f>
        <v/>
      </c>
      <c r="H704" s="27">
        <f>IF($D704="","",VLOOKUP($D704,RoleTitles!$A:$E,3,FALSE))</f>
        <v/>
      </c>
      <c r="I704" s="27">
        <f>IF($D704="","",IF($C704="Greek",VLOOKUP($D704,RoleTitles!$A:$E,4,FALSE),IF($C704="Aesir",VLOOKUP($D704,RoleTitles!$A:$E,5,FALSE),VLOOKUP($D704,RoleTitles!$A:$E,3,FALSE))))</f>
        <v/>
      </c>
      <c r="J704" s="27">
        <f>IF($D704="","",IF($E704&gt;=VLOOKUP($D704,RoleTitles!$A:$B,2,FALSE),"Yes","No"))</f>
        <v/>
      </c>
      <c r="K704" s="27">
        <f>IF($D704="","",IF($D704="T1","T2",IF($D704="T2","T3",IF($D704="T3","T4",IF($D704="T4","T5",IF($D704="T5","T6",IF($D704="T6","T7",IF($D704="T7","T8",IF($D704="T8","T9","")))))))))</f>
        <v/>
      </c>
      <c r="L704" s="28">
        <f>IF($K704="","",MAX(0,VLOOKUP($K704,RoleTitles!$A:$B,2,FALSE)-$E704))</f>
        <v/>
      </c>
    </row>
    <row r="705">
      <c r="A705" s="24">
        <f>IFERROR(INDEX(CoachRoster!$A$2:$A$1000,ROW()-1),"")</f>
        <v/>
      </c>
      <c r="B705" s="27">
        <f>IF($A705="","",VLOOKUP($A705,CoachRoster!$A:$E,2,FALSE))</f>
        <v/>
      </c>
      <c r="C705" s="27">
        <f>IF($A705="","",VLOOKUP($A705,CoachRoster!$A:$E,3,FALSE))</f>
        <v/>
      </c>
      <c r="D705" s="27">
        <f>IF($A705="","",VLOOKUP($A705,CoachRoster!$A:$E,4,FALSE))</f>
        <v/>
      </c>
      <c r="E705" s="27">
        <f>IF($A705="","",MIN(Settings!$B$8,IFERROR(SUMIF(Weekly_Coaching!$B:$B,$A705,Weekly_Coaching!$D:$D),0)+IFERROR(SUMIF(Monthly_Edu!$B:$B,$A705,Monthly_Edu!$D:$D),0)+IFERROR(SUMIF(Monthly_Ops!$B:$B,$A705,Monthly_Ops!$D:$D),0)+IFERROR(SUMIF(Monthly_Mentor!$B:$B,$A705,Monthly_Mentor!$D:$D),0)+IFERROR(SUMIF(Quarterly_Impact!$B:$B,$A705,Quarterly_Impact!$D:$D),0)+IFERROR(SUMIFS(XPLog!$M:$M,XPLog!$B:$B,$A705,XPLog!$J:$J,"Admin"),0)+IFERROR(SUMIFS(XPLog!$M:$M,XPLog!$B:$B,$A705,XPLog!$J:$J,"Seeding"),0)))</f>
        <v/>
      </c>
      <c r="F705" s="27">
        <f>IF($E705="","",LOOKUP($E705, XPBands!B$2:B$10, XPBands!A$2:A$10))</f>
        <v/>
      </c>
      <c r="G705" s="27">
        <f>IF($E705="","", VLOOKUP($F705, XPBands!A$2:G$10, 4, FALSE) + MIN(VLOOKUP($F705, XPBands!A$2:G$10, 5, FALSE) - VLOOKUP($F705, XPBands!A$2:G$10, 4, FALSE), FLOOR(( $E705 - VLOOKUP($F705, XPBands!A$2:G$10, 2, FALSE) ) / VLOOKUP($F705, XPBands!A$2:G$10, 7, FALSE),1)))</f>
        <v/>
      </c>
      <c r="H705" s="27">
        <f>IF($D705="","",VLOOKUP($D705,RoleTitles!$A:$E,3,FALSE))</f>
        <v/>
      </c>
      <c r="I705" s="27">
        <f>IF($D705="","",IF($C705="Greek",VLOOKUP($D705,RoleTitles!$A:$E,4,FALSE),IF($C705="Aesir",VLOOKUP($D705,RoleTitles!$A:$E,5,FALSE),VLOOKUP($D705,RoleTitles!$A:$E,3,FALSE))))</f>
        <v/>
      </c>
      <c r="J705" s="27">
        <f>IF($D705="","",IF($E705&gt;=VLOOKUP($D705,RoleTitles!$A:$B,2,FALSE),"Yes","No"))</f>
        <v/>
      </c>
      <c r="K705" s="27">
        <f>IF($D705="","",IF($D705="T1","T2",IF($D705="T2","T3",IF($D705="T3","T4",IF($D705="T4","T5",IF($D705="T5","T6",IF($D705="T6","T7",IF($D705="T7","T8",IF($D705="T8","T9","")))))))))</f>
        <v/>
      </c>
      <c r="L705" s="28">
        <f>IF($K705="","",MAX(0,VLOOKUP($K705,RoleTitles!$A:$B,2,FALSE)-$E705))</f>
        <v/>
      </c>
    </row>
    <row r="706">
      <c r="A706" s="24">
        <f>IFERROR(INDEX(CoachRoster!$A$2:$A$1000,ROW()-1),"")</f>
        <v/>
      </c>
      <c r="B706" s="27">
        <f>IF($A706="","",VLOOKUP($A706,CoachRoster!$A:$E,2,FALSE))</f>
        <v/>
      </c>
      <c r="C706" s="27">
        <f>IF($A706="","",VLOOKUP($A706,CoachRoster!$A:$E,3,FALSE))</f>
        <v/>
      </c>
      <c r="D706" s="27">
        <f>IF($A706="","",VLOOKUP($A706,CoachRoster!$A:$E,4,FALSE))</f>
        <v/>
      </c>
      <c r="E706" s="27">
        <f>IF($A706="","",MIN(Settings!$B$8,IFERROR(SUMIF(Weekly_Coaching!$B:$B,$A706,Weekly_Coaching!$D:$D),0)+IFERROR(SUMIF(Monthly_Edu!$B:$B,$A706,Monthly_Edu!$D:$D),0)+IFERROR(SUMIF(Monthly_Ops!$B:$B,$A706,Monthly_Ops!$D:$D),0)+IFERROR(SUMIF(Monthly_Mentor!$B:$B,$A706,Monthly_Mentor!$D:$D),0)+IFERROR(SUMIF(Quarterly_Impact!$B:$B,$A706,Quarterly_Impact!$D:$D),0)+IFERROR(SUMIFS(XPLog!$M:$M,XPLog!$B:$B,$A706,XPLog!$J:$J,"Admin"),0)+IFERROR(SUMIFS(XPLog!$M:$M,XPLog!$B:$B,$A706,XPLog!$J:$J,"Seeding"),0)))</f>
        <v/>
      </c>
      <c r="F706" s="27">
        <f>IF($E706="","",LOOKUP($E706, XPBands!B$2:B$10, XPBands!A$2:A$10))</f>
        <v/>
      </c>
      <c r="G706" s="27">
        <f>IF($E706="","", VLOOKUP($F706, XPBands!A$2:G$10, 4, FALSE) + MIN(VLOOKUP($F706, XPBands!A$2:G$10, 5, FALSE) - VLOOKUP($F706, XPBands!A$2:G$10, 4, FALSE), FLOOR(( $E706 - VLOOKUP($F706, XPBands!A$2:G$10, 2, FALSE) ) / VLOOKUP($F706, XPBands!A$2:G$10, 7, FALSE),1)))</f>
        <v/>
      </c>
      <c r="H706" s="27">
        <f>IF($D706="","",VLOOKUP($D706,RoleTitles!$A:$E,3,FALSE))</f>
        <v/>
      </c>
      <c r="I706" s="27">
        <f>IF($D706="","",IF($C706="Greek",VLOOKUP($D706,RoleTitles!$A:$E,4,FALSE),IF($C706="Aesir",VLOOKUP($D706,RoleTitles!$A:$E,5,FALSE),VLOOKUP($D706,RoleTitles!$A:$E,3,FALSE))))</f>
        <v/>
      </c>
      <c r="J706" s="27">
        <f>IF($D706="","",IF($E706&gt;=VLOOKUP($D706,RoleTitles!$A:$B,2,FALSE),"Yes","No"))</f>
        <v/>
      </c>
      <c r="K706" s="27">
        <f>IF($D706="","",IF($D706="T1","T2",IF($D706="T2","T3",IF($D706="T3","T4",IF($D706="T4","T5",IF($D706="T5","T6",IF($D706="T6","T7",IF($D706="T7","T8",IF($D706="T8","T9","")))))))))</f>
        <v/>
      </c>
      <c r="L706" s="28">
        <f>IF($K706="","",MAX(0,VLOOKUP($K706,RoleTitles!$A:$B,2,FALSE)-$E706))</f>
        <v/>
      </c>
    </row>
    <row r="707">
      <c r="A707" s="24">
        <f>IFERROR(INDEX(CoachRoster!$A$2:$A$1000,ROW()-1),"")</f>
        <v/>
      </c>
      <c r="B707" s="27">
        <f>IF($A707="","",VLOOKUP($A707,CoachRoster!$A:$E,2,FALSE))</f>
        <v/>
      </c>
      <c r="C707" s="27">
        <f>IF($A707="","",VLOOKUP($A707,CoachRoster!$A:$E,3,FALSE))</f>
        <v/>
      </c>
      <c r="D707" s="27">
        <f>IF($A707="","",VLOOKUP($A707,CoachRoster!$A:$E,4,FALSE))</f>
        <v/>
      </c>
      <c r="E707" s="27">
        <f>IF($A707="","",MIN(Settings!$B$8,IFERROR(SUMIF(Weekly_Coaching!$B:$B,$A707,Weekly_Coaching!$D:$D),0)+IFERROR(SUMIF(Monthly_Edu!$B:$B,$A707,Monthly_Edu!$D:$D),0)+IFERROR(SUMIF(Monthly_Ops!$B:$B,$A707,Monthly_Ops!$D:$D),0)+IFERROR(SUMIF(Monthly_Mentor!$B:$B,$A707,Monthly_Mentor!$D:$D),0)+IFERROR(SUMIF(Quarterly_Impact!$B:$B,$A707,Quarterly_Impact!$D:$D),0)+IFERROR(SUMIFS(XPLog!$M:$M,XPLog!$B:$B,$A707,XPLog!$J:$J,"Admin"),0)+IFERROR(SUMIFS(XPLog!$M:$M,XPLog!$B:$B,$A707,XPLog!$J:$J,"Seeding"),0)))</f>
        <v/>
      </c>
      <c r="F707" s="27">
        <f>IF($E707="","",LOOKUP($E707, XPBands!B$2:B$10, XPBands!A$2:A$10))</f>
        <v/>
      </c>
      <c r="G707" s="27">
        <f>IF($E707="","", VLOOKUP($F707, XPBands!A$2:G$10, 4, FALSE) + MIN(VLOOKUP($F707, XPBands!A$2:G$10, 5, FALSE) - VLOOKUP($F707, XPBands!A$2:G$10, 4, FALSE), FLOOR(( $E707 - VLOOKUP($F707, XPBands!A$2:G$10, 2, FALSE) ) / VLOOKUP($F707, XPBands!A$2:G$10, 7, FALSE),1)))</f>
        <v/>
      </c>
      <c r="H707" s="27">
        <f>IF($D707="","",VLOOKUP($D707,RoleTitles!$A:$E,3,FALSE))</f>
        <v/>
      </c>
      <c r="I707" s="27">
        <f>IF($D707="","",IF($C707="Greek",VLOOKUP($D707,RoleTitles!$A:$E,4,FALSE),IF($C707="Aesir",VLOOKUP($D707,RoleTitles!$A:$E,5,FALSE),VLOOKUP($D707,RoleTitles!$A:$E,3,FALSE))))</f>
        <v/>
      </c>
      <c r="J707" s="27">
        <f>IF($D707="","",IF($E707&gt;=VLOOKUP($D707,RoleTitles!$A:$B,2,FALSE),"Yes","No"))</f>
        <v/>
      </c>
      <c r="K707" s="27">
        <f>IF($D707="","",IF($D707="T1","T2",IF($D707="T2","T3",IF($D707="T3","T4",IF($D707="T4","T5",IF($D707="T5","T6",IF($D707="T6","T7",IF($D707="T7","T8",IF($D707="T8","T9","")))))))))</f>
        <v/>
      </c>
      <c r="L707" s="28">
        <f>IF($K707="","",MAX(0,VLOOKUP($K707,RoleTitles!$A:$B,2,FALSE)-$E707))</f>
        <v/>
      </c>
    </row>
    <row r="708">
      <c r="A708" s="24">
        <f>IFERROR(INDEX(CoachRoster!$A$2:$A$1000,ROW()-1),"")</f>
        <v/>
      </c>
      <c r="B708" s="27">
        <f>IF($A708="","",VLOOKUP($A708,CoachRoster!$A:$E,2,FALSE))</f>
        <v/>
      </c>
      <c r="C708" s="27">
        <f>IF($A708="","",VLOOKUP($A708,CoachRoster!$A:$E,3,FALSE))</f>
        <v/>
      </c>
      <c r="D708" s="27">
        <f>IF($A708="","",VLOOKUP($A708,CoachRoster!$A:$E,4,FALSE))</f>
        <v/>
      </c>
      <c r="E708" s="27">
        <f>IF($A708="","",MIN(Settings!$B$8,IFERROR(SUMIF(Weekly_Coaching!$B:$B,$A708,Weekly_Coaching!$D:$D),0)+IFERROR(SUMIF(Monthly_Edu!$B:$B,$A708,Monthly_Edu!$D:$D),0)+IFERROR(SUMIF(Monthly_Ops!$B:$B,$A708,Monthly_Ops!$D:$D),0)+IFERROR(SUMIF(Monthly_Mentor!$B:$B,$A708,Monthly_Mentor!$D:$D),0)+IFERROR(SUMIF(Quarterly_Impact!$B:$B,$A708,Quarterly_Impact!$D:$D),0)+IFERROR(SUMIFS(XPLog!$M:$M,XPLog!$B:$B,$A708,XPLog!$J:$J,"Admin"),0)+IFERROR(SUMIFS(XPLog!$M:$M,XPLog!$B:$B,$A708,XPLog!$J:$J,"Seeding"),0)))</f>
        <v/>
      </c>
      <c r="F708" s="27">
        <f>IF($E708="","",LOOKUP($E708, XPBands!B$2:B$10, XPBands!A$2:A$10))</f>
        <v/>
      </c>
      <c r="G708" s="27">
        <f>IF($E708="","", VLOOKUP($F708, XPBands!A$2:G$10, 4, FALSE) + MIN(VLOOKUP($F708, XPBands!A$2:G$10, 5, FALSE) - VLOOKUP($F708, XPBands!A$2:G$10, 4, FALSE), FLOOR(( $E708 - VLOOKUP($F708, XPBands!A$2:G$10, 2, FALSE) ) / VLOOKUP($F708, XPBands!A$2:G$10, 7, FALSE),1)))</f>
        <v/>
      </c>
      <c r="H708" s="27">
        <f>IF($D708="","",VLOOKUP($D708,RoleTitles!$A:$E,3,FALSE))</f>
        <v/>
      </c>
      <c r="I708" s="27">
        <f>IF($D708="","",IF($C708="Greek",VLOOKUP($D708,RoleTitles!$A:$E,4,FALSE),IF($C708="Aesir",VLOOKUP($D708,RoleTitles!$A:$E,5,FALSE),VLOOKUP($D708,RoleTitles!$A:$E,3,FALSE))))</f>
        <v/>
      </c>
      <c r="J708" s="27">
        <f>IF($D708="","",IF($E708&gt;=VLOOKUP($D708,RoleTitles!$A:$B,2,FALSE),"Yes","No"))</f>
        <v/>
      </c>
      <c r="K708" s="27">
        <f>IF($D708="","",IF($D708="T1","T2",IF($D708="T2","T3",IF($D708="T3","T4",IF($D708="T4","T5",IF($D708="T5","T6",IF($D708="T6","T7",IF($D708="T7","T8",IF($D708="T8","T9","")))))))))</f>
        <v/>
      </c>
      <c r="L708" s="28">
        <f>IF($K708="","",MAX(0,VLOOKUP($K708,RoleTitles!$A:$B,2,FALSE)-$E708))</f>
        <v/>
      </c>
    </row>
    <row r="709">
      <c r="A709" s="24">
        <f>IFERROR(INDEX(CoachRoster!$A$2:$A$1000,ROW()-1),"")</f>
        <v/>
      </c>
      <c r="B709" s="27">
        <f>IF($A709="","",VLOOKUP($A709,CoachRoster!$A:$E,2,FALSE))</f>
        <v/>
      </c>
      <c r="C709" s="27">
        <f>IF($A709="","",VLOOKUP($A709,CoachRoster!$A:$E,3,FALSE))</f>
        <v/>
      </c>
      <c r="D709" s="27">
        <f>IF($A709="","",VLOOKUP($A709,CoachRoster!$A:$E,4,FALSE))</f>
        <v/>
      </c>
      <c r="E709" s="27">
        <f>IF($A709="","",MIN(Settings!$B$8,IFERROR(SUMIF(Weekly_Coaching!$B:$B,$A709,Weekly_Coaching!$D:$D),0)+IFERROR(SUMIF(Monthly_Edu!$B:$B,$A709,Monthly_Edu!$D:$D),0)+IFERROR(SUMIF(Monthly_Ops!$B:$B,$A709,Monthly_Ops!$D:$D),0)+IFERROR(SUMIF(Monthly_Mentor!$B:$B,$A709,Monthly_Mentor!$D:$D),0)+IFERROR(SUMIF(Quarterly_Impact!$B:$B,$A709,Quarterly_Impact!$D:$D),0)+IFERROR(SUMIFS(XPLog!$M:$M,XPLog!$B:$B,$A709,XPLog!$J:$J,"Admin"),0)+IFERROR(SUMIFS(XPLog!$M:$M,XPLog!$B:$B,$A709,XPLog!$J:$J,"Seeding"),0)))</f>
        <v/>
      </c>
      <c r="F709" s="27">
        <f>IF($E709="","",LOOKUP($E709, XPBands!B$2:B$10, XPBands!A$2:A$10))</f>
        <v/>
      </c>
      <c r="G709" s="27">
        <f>IF($E709="","", VLOOKUP($F709, XPBands!A$2:G$10, 4, FALSE) + MIN(VLOOKUP($F709, XPBands!A$2:G$10, 5, FALSE) - VLOOKUP($F709, XPBands!A$2:G$10, 4, FALSE), FLOOR(( $E709 - VLOOKUP($F709, XPBands!A$2:G$10, 2, FALSE) ) / VLOOKUP($F709, XPBands!A$2:G$10, 7, FALSE),1)))</f>
        <v/>
      </c>
      <c r="H709" s="27">
        <f>IF($D709="","",VLOOKUP($D709,RoleTitles!$A:$E,3,FALSE))</f>
        <v/>
      </c>
      <c r="I709" s="27">
        <f>IF($D709="","",IF($C709="Greek",VLOOKUP($D709,RoleTitles!$A:$E,4,FALSE),IF($C709="Aesir",VLOOKUP($D709,RoleTitles!$A:$E,5,FALSE),VLOOKUP($D709,RoleTitles!$A:$E,3,FALSE))))</f>
        <v/>
      </c>
      <c r="J709" s="27">
        <f>IF($D709="","",IF($E709&gt;=VLOOKUP($D709,RoleTitles!$A:$B,2,FALSE),"Yes","No"))</f>
        <v/>
      </c>
      <c r="K709" s="27">
        <f>IF($D709="","",IF($D709="T1","T2",IF($D709="T2","T3",IF($D709="T3","T4",IF($D709="T4","T5",IF($D709="T5","T6",IF($D709="T6","T7",IF($D709="T7","T8",IF($D709="T8","T9","")))))))))</f>
        <v/>
      </c>
      <c r="L709" s="28">
        <f>IF($K709="","",MAX(0,VLOOKUP($K709,RoleTitles!$A:$B,2,FALSE)-$E709))</f>
        <v/>
      </c>
    </row>
    <row r="710">
      <c r="A710" s="24">
        <f>IFERROR(INDEX(CoachRoster!$A$2:$A$1000,ROW()-1),"")</f>
        <v/>
      </c>
      <c r="B710" s="27">
        <f>IF($A710="","",VLOOKUP($A710,CoachRoster!$A:$E,2,FALSE))</f>
        <v/>
      </c>
      <c r="C710" s="27">
        <f>IF($A710="","",VLOOKUP($A710,CoachRoster!$A:$E,3,FALSE))</f>
        <v/>
      </c>
      <c r="D710" s="27">
        <f>IF($A710="","",VLOOKUP($A710,CoachRoster!$A:$E,4,FALSE))</f>
        <v/>
      </c>
      <c r="E710" s="27">
        <f>IF($A710="","",MIN(Settings!$B$8,IFERROR(SUMIF(Weekly_Coaching!$B:$B,$A710,Weekly_Coaching!$D:$D),0)+IFERROR(SUMIF(Monthly_Edu!$B:$B,$A710,Monthly_Edu!$D:$D),0)+IFERROR(SUMIF(Monthly_Ops!$B:$B,$A710,Monthly_Ops!$D:$D),0)+IFERROR(SUMIF(Monthly_Mentor!$B:$B,$A710,Monthly_Mentor!$D:$D),0)+IFERROR(SUMIF(Quarterly_Impact!$B:$B,$A710,Quarterly_Impact!$D:$D),0)+IFERROR(SUMIFS(XPLog!$M:$M,XPLog!$B:$B,$A710,XPLog!$J:$J,"Admin"),0)+IFERROR(SUMIFS(XPLog!$M:$M,XPLog!$B:$B,$A710,XPLog!$J:$J,"Seeding"),0)))</f>
        <v/>
      </c>
      <c r="F710" s="27">
        <f>IF($E710="","",LOOKUP($E710, XPBands!B$2:B$10, XPBands!A$2:A$10))</f>
        <v/>
      </c>
      <c r="G710" s="27">
        <f>IF($E710="","", VLOOKUP($F710, XPBands!A$2:G$10, 4, FALSE) + MIN(VLOOKUP($F710, XPBands!A$2:G$10, 5, FALSE) - VLOOKUP($F710, XPBands!A$2:G$10, 4, FALSE), FLOOR(( $E710 - VLOOKUP($F710, XPBands!A$2:G$10, 2, FALSE) ) / VLOOKUP($F710, XPBands!A$2:G$10, 7, FALSE),1)))</f>
        <v/>
      </c>
      <c r="H710" s="27">
        <f>IF($D710="","",VLOOKUP($D710,RoleTitles!$A:$E,3,FALSE))</f>
        <v/>
      </c>
      <c r="I710" s="27">
        <f>IF($D710="","",IF($C710="Greek",VLOOKUP($D710,RoleTitles!$A:$E,4,FALSE),IF($C710="Aesir",VLOOKUP($D710,RoleTitles!$A:$E,5,FALSE),VLOOKUP($D710,RoleTitles!$A:$E,3,FALSE))))</f>
        <v/>
      </c>
      <c r="J710" s="27">
        <f>IF($D710="","",IF($E710&gt;=VLOOKUP($D710,RoleTitles!$A:$B,2,FALSE),"Yes","No"))</f>
        <v/>
      </c>
      <c r="K710" s="27">
        <f>IF($D710="","",IF($D710="T1","T2",IF($D710="T2","T3",IF($D710="T3","T4",IF($D710="T4","T5",IF($D710="T5","T6",IF($D710="T6","T7",IF($D710="T7","T8",IF($D710="T8","T9","")))))))))</f>
        <v/>
      </c>
      <c r="L710" s="28">
        <f>IF($K710="","",MAX(0,VLOOKUP($K710,RoleTitles!$A:$B,2,FALSE)-$E710))</f>
        <v/>
      </c>
    </row>
    <row r="711">
      <c r="A711" s="24">
        <f>IFERROR(INDEX(CoachRoster!$A$2:$A$1000,ROW()-1),"")</f>
        <v/>
      </c>
      <c r="B711" s="27">
        <f>IF($A711="","",VLOOKUP($A711,CoachRoster!$A:$E,2,FALSE))</f>
        <v/>
      </c>
      <c r="C711" s="27">
        <f>IF($A711="","",VLOOKUP($A711,CoachRoster!$A:$E,3,FALSE))</f>
        <v/>
      </c>
      <c r="D711" s="27">
        <f>IF($A711="","",VLOOKUP($A711,CoachRoster!$A:$E,4,FALSE))</f>
        <v/>
      </c>
      <c r="E711" s="27">
        <f>IF($A711="","",MIN(Settings!$B$8,IFERROR(SUMIF(Weekly_Coaching!$B:$B,$A711,Weekly_Coaching!$D:$D),0)+IFERROR(SUMIF(Monthly_Edu!$B:$B,$A711,Monthly_Edu!$D:$D),0)+IFERROR(SUMIF(Monthly_Ops!$B:$B,$A711,Monthly_Ops!$D:$D),0)+IFERROR(SUMIF(Monthly_Mentor!$B:$B,$A711,Monthly_Mentor!$D:$D),0)+IFERROR(SUMIF(Quarterly_Impact!$B:$B,$A711,Quarterly_Impact!$D:$D),0)+IFERROR(SUMIFS(XPLog!$M:$M,XPLog!$B:$B,$A711,XPLog!$J:$J,"Admin"),0)+IFERROR(SUMIFS(XPLog!$M:$M,XPLog!$B:$B,$A711,XPLog!$J:$J,"Seeding"),0)))</f>
        <v/>
      </c>
      <c r="F711" s="27">
        <f>IF($E711="","",LOOKUP($E711, XPBands!B$2:B$10, XPBands!A$2:A$10))</f>
        <v/>
      </c>
      <c r="G711" s="27">
        <f>IF($E711="","", VLOOKUP($F711, XPBands!A$2:G$10, 4, FALSE) + MIN(VLOOKUP($F711, XPBands!A$2:G$10, 5, FALSE) - VLOOKUP($F711, XPBands!A$2:G$10, 4, FALSE), FLOOR(( $E711 - VLOOKUP($F711, XPBands!A$2:G$10, 2, FALSE) ) / VLOOKUP($F711, XPBands!A$2:G$10, 7, FALSE),1)))</f>
        <v/>
      </c>
      <c r="H711" s="27">
        <f>IF($D711="","",VLOOKUP($D711,RoleTitles!$A:$E,3,FALSE))</f>
        <v/>
      </c>
      <c r="I711" s="27">
        <f>IF($D711="","",IF($C711="Greek",VLOOKUP($D711,RoleTitles!$A:$E,4,FALSE),IF($C711="Aesir",VLOOKUP($D711,RoleTitles!$A:$E,5,FALSE),VLOOKUP($D711,RoleTitles!$A:$E,3,FALSE))))</f>
        <v/>
      </c>
      <c r="J711" s="27">
        <f>IF($D711="","",IF($E711&gt;=VLOOKUP($D711,RoleTitles!$A:$B,2,FALSE),"Yes","No"))</f>
        <v/>
      </c>
      <c r="K711" s="27">
        <f>IF($D711="","",IF($D711="T1","T2",IF($D711="T2","T3",IF($D711="T3","T4",IF($D711="T4","T5",IF($D711="T5","T6",IF($D711="T6","T7",IF($D711="T7","T8",IF($D711="T8","T9","")))))))))</f>
        <v/>
      </c>
      <c r="L711" s="28">
        <f>IF($K711="","",MAX(0,VLOOKUP($K711,RoleTitles!$A:$B,2,FALSE)-$E711))</f>
        <v/>
      </c>
    </row>
    <row r="712">
      <c r="A712" s="24">
        <f>IFERROR(INDEX(CoachRoster!$A$2:$A$1000,ROW()-1),"")</f>
        <v/>
      </c>
      <c r="B712" s="27">
        <f>IF($A712="","",VLOOKUP($A712,CoachRoster!$A:$E,2,FALSE))</f>
        <v/>
      </c>
      <c r="C712" s="27">
        <f>IF($A712="","",VLOOKUP($A712,CoachRoster!$A:$E,3,FALSE))</f>
        <v/>
      </c>
      <c r="D712" s="27">
        <f>IF($A712="","",VLOOKUP($A712,CoachRoster!$A:$E,4,FALSE))</f>
        <v/>
      </c>
      <c r="E712" s="27">
        <f>IF($A712="","",MIN(Settings!$B$8,IFERROR(SUMIF(Weekly_Coaching!$B:$B,$A712,Weekly_Coaching!$D:$D),0)+IFERROR(SUMIF(Monthly_Edu!$B:$B,$A712,Monthly_Edu!$D:$D),0)+IFERROR(SUMIF(Monthly_Ops!$B:$B,$A712,Monthly_Ops!$D:$D),0)+IFERROR(SUMIF(Monthly_Mentor!$B:$B,$A712,Monthly_Mentor!$D:$D),0)+IFERROR(SUMIF(Quarterly_Impact!$B:$B,$A712,Quarterly_Impact!$D:$D),0)+IFERROR(SUMIFS(XPLog!$M:$M,XPLog!$B:$B,$A712,XPLog!$J:$J,"Admin"),0)+IFERROR(SUMIFS(XPLog!$M:$M,XPLog!$B:$B,$A712,XPLog!$J:$J,"Seeding"),0)))</f>
        <v/>
      </c>
      <c r="F712" s="27">
        <f>IF($E712="","",LOOKUP($E712, XPBands!B$2:B$10, XPBands!A$2:A$10))</f>
        <v/>
      </c>
      <c r="G712" s="27">
        <f>IF($E712="","", VLOOKUP($F712, XPBands!A$2:G$10, 4, FALSE) + MIN(VLOOKUP($F712, XPBands!A$2:G$10, 5, FALSE) - VLOOKUP($F712, XPBands!A$2:G$10, 4, FALSE), FLOOR(( $E712 - VLOOKUP($F712, XPBands!A$2:G$10, 2, FALSE) ) / VLOOKUP($F712, XPBands!A$2:G$10, 7, FALSE),1)))</f>
        <v/>
      </c>
      <c r="H712" s="27">
        <f>IF($D712="","",VLOOKUP($D712,RoleTitles!$A:$E,3,FALSE))</f>
        <v/>
      </c>
      <c r="I712" s="27">
        <f>IF($D712="","",IF($C712="Greek",VLOOKUP($D712,RoleTitles!$A:$E,4,FALSE),IF($C712="Aesir",VLOOKUP($D712,RoleTitles!$A:$E,5,FALSE),VLOOKUP($D712,RoleTitles!$A:$E,3,FALSE))))</f>
        <v/>
      </c>
      <c r="J712" s="27">
        <f>IF($D712="","",IF($E712&gt;=VLOOKUP($D712,RoleTitles!$A:$B,2,FALSE),"Yes","No"))</f>
        <v/>
      </c>
      <c r="K712" s="27">
        <f>IF($D712="","",IF($D712="T1","T2",IF($D712="T2","T3",IF($D712="T3","T4",IF($D712="T4","T5",IF($D712="T5","T6",IF($D712="T6","T7",IF($D712="T7","T8",IF($D712="T8","T9","")))))))))</f>
        <v/>
      </c>
      <c r="L712" s="28">
        <f>IF($K712="","",MAX(0,VLOOKUP($K712,RoleTitles!$A:$B,2,FALSE)-$E712))</f>
        <v/>
      </c>
    </row>
    <row r="713">
      <c r="A713" s="24">
        <f>IFERROR(INDEX(CoachRoster!$A$2:$A$1000,ROW()-1),"")</f>
        <v/>
      </c>
      <c r="B713" s="27">
        <f>IF($A713="","",VLOOKUP($A713,CoachRoster!$A:$E,2,FALSE))</f>
        <v/>
      </c>
      <c r="C713" s="27">
        <f>IF($A713="","",VLOOKUP($A713,CoachRoster!$A:$E,3,FALSE))</f>
        <v/>
      </c>
      <c r="D713" s="27">
        <f>IF($A713="","",VLOOKUP($A713,CoachRoster!$A:$E,4,FALSE))</f>
        <v/>
      </c>
      <c r="E713" s="27">
        <f>IF($A713="","",MIN(Settings!$B$8,IFERROR(SUMIF(Weekly_Coaching!$B:$B,$A713,Weekly_Coaching!$D:$D),0)+IFERROR(SUMIF(Monthly_Edu!$B:$B,$A713,Monthly_Edu!$D:$D),0)+IFERROR(SUMIF(Monthly_Ops!$B:$B,$A713,Monthly_Ops!$D:$D),0)+IFERROR(SUMIF(Monthly_Mentor!$B:$B,$A713,Monthly_Mentor!$D:$D),0)+IFERROR(SUMIF(Quarterly_Impact!$B:$B,$A713,Quarterly_Impact!$D:$D),0)+IFERROR(SUMIFS(XPLog!$M:$M,XPLog!$B:$B,$A713,XPLog!$J:$J,"Admin"),0)+IFERROR(SUMIFS(XPLog!$M:$M,XPLog!$B:$B,$A713,XPLog!$J:$J,"Seeding"),0)))</f>
        <v/>
      </c>
      <c r="F713" s="27">
        <f>IF($E713="","",LOOKUP($E713, XPBands!B$2:B$10, XPBands!A$2:A$10))</f>
        <v/>
      </c>
      <c r="G713" s="27">
        <f>IF($E713="","", VLOOKUP($F713, XPBands!A$2:G$10, 4, FALSE) + MIN(VLOOKUP($F713, XPBands!A$2:G$10, 5, FALSE) - VLOOKUP($F713, XPBands!A$2:G$10, 4, FALSE), FLOOR(( $E713 - VLOOKUP($F713, XPBands!A$2:G$10, 2, FALSE) ) / VLOOKUP($F713, XPBands!A$2:G$10, 7, FALSE),1)))</f>
        <v/>
      </c>
      <c r="H713" s="27">
        <f>IF($D713="","",VLOOKUP($D713,RoleTitles!$A:$E,3,FALSE))</f>
        <v/>
      </c>
      <c r="I713" s="27">
        <f>IF($D713="","",IF($C713="Greek",VLOOKUP($D713,RoleTitles!$A:$E,4,FALSE),IF($C713="Aesir",VLOOKUP($D713,RoleTitles!$A:$E,5,FALSE),VLOOKUP($D713,RoleTitles!$A:$E,3,FALSE))))</f>
        <v/>
      </c>
      <c r="J713" s="27">
        <f>IF($D713="","",IF($E713&gt;=VLOOKUP($D713,RoleTitles!$A:$B,2,FALSE),"Yes","No"))</f>
        <v/>
      </c>
      <c r="K713" s="27">
        <f>IF($D713="","",IF($D713="T1","T2",IF($D713="T2","T3",IF($D713="T3","T4",IF($D713="T4","T5",IF($D713="T5","T6",IF($D713="T6","T7",IF($D713="T7","T8",IF($D713="T8","T9","")))))))))</f>
        <v/>
      </c>
      <c r="L713" s="28">
        <f>IF($K713="","",MAX(0,VLOOKUP($K713,RoleTitles!$A:$B,2,FALSE)-$E713))</f>
        <v/>
      </c>
    </row>
    <row r="714">
      <c r="A714" s="24">
        <f>IFERROR(INDEX(CoachRoster!$A$2:$A$1000,ROW()-1),"")</f>
        <v/>
      </c>
      <c r="B714" s="27">
        <f>IF($A714="","",VLOOKUP($A714,CoachRoster!$A:$E,2,FALSE))</f>
        <v/>
      </c>
      <c r="C714" s="27">
        <f>IF($A714="","",VLOOKUP($A714,CoachRoster!$A:$E,3,FALSE))</f>
        <v/>
      </c>
      <c r="D714" s="27">
        <f>IF($A714="","",VLOOKUP($A714,CoachRoster!$A:$E,4,FALSE))</f>
        <v/>
      </c>
      <c r="E714" s="27">
        <f>IF($A714="","",MIN(Settings!$B$8,IFERROR(SUMIF(Weekly_Coaching!$B:$B,$A714,Weekly_Coaching!$D:$D),0)+IFERROR(SUMIF(Monthly_Edu!$B:$B,$A714,Monthly_Edu!$D:$D),0)+IFERROR(SUMIF(Monthly_Ops!$B:$B,$A714,Monthly_Ops!$D:$D),0)+IFERROR(SUMIF(Monthly_Mentor!$B:$B,$A714,Monthly_Mentor!$D:$D),0)+IFERROR(SUMIF(Quarterly_Impact!$B:$B,$A714,Quarterly_Impact!$D:$D),0)+IFERROR(SUMIFS(XPLog!$M:$M,XPLog!$B:$B,$A714,XPLog!$J:$J,"Admin"),0)+IFERROR(SUMIFS(XPLog!$M:$M,XPLog!$B:$B,$A714,XPLog!$J:$J,"Seeding"),0)))</f>
        <v/>
      </c>
      <c r="F714" s="27">
        <f>IF($E714="","",LOOKUP($E714, XPBands!B$2:B$10, XPBands!A$2:A$10))</f>
        <v/>
      </c>
      <c r="G714" s="27">
        <f>IF($E714="","", VLOOKUP($F714, XPBands!A$2:G$10, 4, FALSE) + MIN(VLOOKUP($F714, XPBands!A$2:G$10, 5, FALSE) - VLOOKUP($F714, XPBands!A$2:G$10, 4, FALSE), FLOOR(( $E714 - VLOOKUP($F714, XPBands!A$2:G$10, 2, FALSE) ) / VLOOKUP($F714, XPBands!A$2:G$10, 7, FALSE),1)))</f>
        <v/>
      </c>
      <c r="H714" s="27">
        <f>IF($D714="","",VLOOKUP($D714,RoleTitles!$A:$E,3,FALSE))</f>
        <v/>
      </c>
      <c r="I714" s="27">
        <f>IF($D714="","",IF($C714="Greek",VLOOKUP($D714,RoleTitles!$A:$E,4,FALSE),IF($C714="Aesir",VLOOKUP($D714,RoleTitles!$A:$E,5,FALSE),VLOOKUP($D714,RoleTitles!$A:$E,3,FALSE))))</f>
        <v/>
      </c>
      <c r="J714" s="27">
        <f>IF($D714="","",IF($E714&gt;=VLOOKUP($D714,RoleTitles!$A:$B,2,FALSE),"Yes","No"))</f>
        <v/>
      </c>
      <c r="K714" s="27">
        <f>IF($D714="","",IF($D714="T1","T2",IF($D714="T2","T3",IF($D714="T3","T4",IF($D714="T4","T5",IF($D714="T5","T6",IF($D714="T6","T7",IF($D714="T7","T8",IF($D714="T8","T9","")))))))))</f>
        <v/>
      </c>
      <c r="L714" s="28">
        <f>IF($K714="","",MAX(0,VLOOKUP($K714,RoleTitles!$A:$B,2,FALSE)-$E714))</f>
        <v/>
      </c>
    </row>
    <row r="715">
      <c r="A715" s="24">
        <f>IFERROR(INDEX(CoachRoster!$A$2:$A$1000,ROW()-1),"")</f>
        <v/>
      </c>
      <c r="B715" s="27">
        <f>IF($A715="","",VLOOKUP($A715,CoachRoster!$A:$E,2,FALSE))</f>
        <v/>
      </c>
      <c r="C715" s="27">
        <f>IF($A715="","",VLOOKUP($A715,CoachRoster!$A:$E,3,FALSE))</f>
        <v/>
      </c>
      <c r="D715" s="27">
        <f>IF($A715="","",VLOOKUP($A715,CoachRoster!$A:$E,4,FALSE))</f>
        <v/>
      </c>
      <c r="E715" s="27">
        <f>IF($A715="","",MIN(Settings!$B$8,IFERROR(SUMIF(Weekly_Coaching!$B:$B,$A715,Weekly_Coaching!$D:$D),0)+IFERROR(SUMIF(Monthly_Edu!$B:$B,$A715,Monthly_Edu!$D:$D),0)+IFERROR(SUMIF(Monthly_Ops!$B:$B,$A715,Monthly_Ops!$D:$D),0)+IFERROR(SUMIF(Monthly_Mentor!$B:$B,$A715,Monthly_Mentor!$D:$D),0)+IFERROR(SUMIF(Quarterly_Impact!$B:$B,$A715,Quarterly_Impact!$D:$D),0)+IFERROR(SUMIFS(XPLog!$M:$M,XPLog!$B:$B,$A715,XPLog!$J:$J,"Admin"),0)+IFERROR(SUMIFS(XPLog!$M:$M,XPLog!$B:$B,$A715,XPLog!$J:$J,"Seeding"),0)))</f>
        <v/>
      </c>
      <c r="F715" s="27">
        <f>IF($E715="","",LOOKUP($E715, XPBands!B$2:B$10, XPBands!A$2:A$10))</f>
        <v/>
      </c>
      <c r="G715" s="27">
        <f>IF($E715="","", VLOOKUP($F715, XPBands!A$2:G$10, 4, FALSE) + MIN(VLOOKUP($F715, XPBands!A$2:G$10, 5, FALSE) - VLOOKUP($F715, XPBands!A$2:G$10, 4, FALSE), FLOOR(( $E715 - VLOOKUP($F715, XPBands!A$2:G$10, 2, FALSE) ) / VLOOKUP($F715, XPBands!A$2:G$10, 7, FALSE),1)))</f>
        <v/>
      </c>
      <c r="H715" s="27">
        <f>IF($D715="","",VLOOKUP($D715,RoleTitles!$A:$E,3,FALSE))</f>
        <v/>
      </c>
      <c r="I715" s="27">
        <f>IF($D715="","",IF($C715="Greek",VLOOKUP($D715,RoleTitles!$A:$E,4,FALSE),IF($C715="Aesir",VLOOKUP($D715,RoleTitles!$A:$E,5,FALSE),VLOOKUP($D715,RoleTitles!$A:$E,3,FALSE))))</f>
        <v/>
      </c>
      <c r="J715" s="27">
        <f>IF($D715="","",IF($E715&gt;=VLOOKUP($D715,RoleTitles!$A:$B,2,FALSE),"Yes","No"))</f>
        <v/>
      </c>
      <c r="K715" s="27">
        <f>IF($D715="","",IF($D715="T1","T2",IF($D715="T2","T3",IF($D715="T3","T4",IF($D715="T4","T5",IF($D715="T5","T6",IF($D715="T6","T7",IF($D715="T7","T8",IF($D715="T8","T9","")))))))))</f>
        <v/>
      </c>
      <c r="L715" s="28">
        <f>IF($K715="","",MAX(0,VLOOKUP($K715,RoleTitles!$A:$B,2,FALSE)-$E715))</f>
        <v/>
      </c>
    </row>
    <row r="716">
      <c r="A716" s="24">
        <f>IFERROR(INDEX(CoachRoster!$A$2:$A$1000,ROW()-1),"")</f>
        <v/>
      </c>
      <c r="B716" s="27">
        <f>IF($A716="","",VLOOKUP($A716,CoachRoster!$A:$E,2,FALSE))</f>
        <v/>
      </c>
      <c r="C716" s="27">
        <f>IF($A716="","",VLOOKUP($A716,CoachRoster!$A:$E,3,FALSE))</f>
        <v/>
      </c>
      <c r="D716" s="27">
        <f>IF($A716="","",VLOOKUP($A716,CoachRoster!$A:$E,4,FALSE))</f>
        <v/>
      </c>
      <c r="E716" s="27">
        <f>IF($A716="","",MIN(Settings!$B$8,IFERROR(SUMIF(Weekly_Coaching!$B:$B,$A716,Weekly_Coaching!$D:$D),0)+IFERROR(SUMIF(Monthly_Edu!$B:$B,$A716,Monthly_Edu!$D:$D),0)+IFERROR(SUMIF(Monthly_Ops!$B:$B,$A716,Monthly_Ops!$D:$D),0)+IFERROR(SUMIF(Monthly_Mentor!$B:$B,$A716,Monthly_Mentor!$D:$D),0)+IFERROR(SUMIF(Quarterly_Impact!$B:$B,$A716,Quarterly_Impact!$D:$D),0)+IFERROR(SUMIFS(XPLog!$M:$M,XPLog!$B:$B,$A716,XPLog!$J:$J,"Admin"),0)+IFERROR(SUMIFS(XPLog!$M:$M,XPLog!$B:$B,$A716,XPLog!$J:$J,"Seeding"),0)))</f>
        <v/>
      </c>
      <c r="F716" s="27">
        <f>IF($E716="","",LOOKUP($E716, XPBands!B$2:B$10, XPBands!A$2:A$10))</f>
        <v/>
      </c>
      <c r="G716" s="27">
        <f>IF($E716="","", VLOOKUP($F716, XPBands!A$2:G$10, 4, FALSE) + MIN(VLOOKUP($F716, XPBands!A$2:G$10, 5, FALSE) - VLOOKUP($F716, XPBands!A$2:G$10, 4, FALSE), FLOOR(( $E716 - VLOOKUP($F716, XPBands!A$2:G$10, 2, FALSE) ) / VLOOKUP($F716, XPBands!A$2:G$10, 7, FALSE),1)))</f>
        <v/>
      </c>
      <c r="H716" s="27">
        <f>IF($D716="","",VLOOKUP($D716,RoleTitles!$A:$E,3,FALSE))</f>
        <v/>
      </c>
      <c r="I716" s="27">
        <f>IF($D716="","",IF($C716="Greek",VLOOKUP($D716,RoleTitles!$A:$E,4,FALSE),IF($C716="Aesir",VLOOKUP($D716,RoleTitles!$A:$E,5,FALSE),VLOOKUP($D716,RoleTitles!$A:$E,3,FALSE))))</f>
        <v/>
      </c>
      <c r="J716" s="27">
        <f>IF($D716="","",IF($E716&gt;=VLOOKUP($D716,RoleTitles!$A:$B,2,FALSE),"Yes","No"))</f>
        <v/>
      </c>
      <c r="K716" s="27">
        <f>IF($D716="","",IF($D716="T1","T2",IF($D716="T2","T3",IF($D716="T3","T4",IF($D716="T4","T5",IF($D716="T5","T6",IF($D716="T6","T7",IF($D716="T7","T8",IF($D716="T8","T9","")))))))))</f>
        <v/>
      </c>
      <c r="L716" s="28">
        <f>IF($K716="","",MAX(0,VLOOKUP($K716,RoleTitles!$A:$B,2,FALSE)-$E716))</f>
        <v/>
      </c>
    </row>
    <row r="717">
      <c r="A717" s="24">
        <f>IFERROR(INDEX(CoachRoster!$A$2:$A$1000,ROW()-1),"")</f>
        <v/>
      </c>
      <c r="B717" s="27">
        <f>IF($A717="","",VLOOKUP($A717,CoachRoster!$A:$E,2,FALSE))</f>
        <v/>
      </c>
      <c r="C717" s="27">
        <f>IF($A717="","",VLOOKUP($A717,CoachRoster!$A:$E,3,FALSE))</f>
        <v/>
      </c>
      <c r="D717" s="27">
        <f>IF($A717="","",VLOOKUP($A717,CoachRoster!$A:$E,4,FALSE))</f>
        <v/>
      </c>
      <c r="E717" s="27">
        <f>IF($A717="","",MIN(Settings!$B$8,IFERROR(SUMIF(Weekly_Coaching!$B:$B,$A717,Weekly_Coaching!$D:$D),0)+IFERROR(SUMIF(Monthly_Edu!$B:$B,$A717,Monthly_Edu!$D:$D),0)+IFERROR(SUMIF(Monthly_Ops!$B:$B,$A717,Monthly_Ops!$D:$D),0)+IFERROR(SUMIF(Monthly_Mentor!$B:$B,$A717,Monthly_Mentor!$D:$D),0)+IFERROR(SUMIF(Quarterly_Impact!$B:$B,$A717,Quarterly_Impact!$D:$D),0)+IFERROR(SUMIFS(XPLog!$M:$M,XPLog!$B:$B,$A717,XPLog!$J:$J,"Admin"),0)+IFERROR(SUMIFS(XPLog!$M:$M,XPLog!$B:$B,$A717,XPLog!$J:$J,"Seeding"),0)))</f>
        <v/>
      </c>
      <c r="F717" s="27">
        <f>IF($E717="","",LOOKUP($E717, XPBands!B$2:B$10, XPBands!A$2:A$10))</f>
        <v/>
      </c>
      <c r="G717" s="27">
        <f>IF($E717="","", VLOOKUP($F717, XPBands!A$2:G$10, 4, FALSE) + MIN(VLOOKUP($F717, XPBands!A$2:G$10, 5, FALSE) - VLOOKUP($F717, XPBands!A$2:G$10, 4, FALSE), FLOOR(( $E717 - VLOOKUP($F717, XPBands!A$2:G$10, 2, FALSE) ) / VLOOKUP($F717, XPBands!A$2:G$10, 7, FALSE),1)))</f>
        <v/>
      </c>
      <c r="H717" s="27">
        <f>IF($D717="","",VLOOKUP($D717,RoleTitles!$A:$E,3,FALSE))</f>
        <v/>
      </c>
      <c r="I717" s="27">
        <f>IF($D717="","",IF($C717="Greek",VLOOKUP($D717,RoleTitles!$A:$E,4,FALSE),IF($C717="Aesir",VLOOKUP($D717,RoleTitles!$A:$E,5,FALSE),VLOOKUP($D717,RoleTitles!$A:$E,3,FALSE))))</f>
        <v/>
      </c>
      <c r="J717" s="27">
        <f>IF($D717="","",IF($E717&gt;=VLOOKUP($D717,RoleTitles!$A:$B,2,FALSE),"Yes","No"))</f>
        <v/>
      </c>
      <c r="K717" s="27">
        <f>IF($D717="","",IF($D717="T1","T2",IF($D717="T2","T3",IF($D717="T3","T4",IF($D717="T4","T5",IF($D717="T5","T6",IF($D717="T6","T7",IF($D717="T7","T8",IF($D717="T8","T9","")))))))))</f>
        <v/>
      </c>
      <c r="L717" s="28">
        <f>IF($K717="","",MAX(0,VLOOKUP($K717,RoleTitles!$A:$B,2,FALSE)-$E717))</f>
        <v/>
      </c>
    </row>
    <row r="718">
      <c r="A718" s="24">
        <f>IFERROR(INDEX(CoachRoster!$A$2:$A$1000,ROW()-1),"")</f>
        <v/>
      </c>
      <c r="B718" s="27">
        <f>IF($A718="","",VLOOKUP($A718,CoachRoster!$A:$E,2,FALSE))</f>
        <v/>
      </c>
      <c r="C718" s="27">
        <f>IF($A718="","",VLOOKUP($A718,CoachRoster!$A:$E,3,FALSE))</f>
        <v/>
      </c>
      <c r="D718" s="27">
        <f>IF($A718="","",VLOOKUP($A718,CoachRoster!$A:$E,4,FALSE))</f>
        <v/>
      </c>
      <c r="E718" s="27">
        <f>IF($A718="","",MIN(Settings!$B$8,IFERROR(SUMIF(Weekly_Coaching!$B:$B,$A718,Weekly_Coaching!$D:$D),0)+IFERROR(SUMIF(Monthly_Edu!$B:$B,$A718,Monthly_Edu!$D:$D),0)+IFERROR(SUMIF(Monthly_Ops!$B:$B,$A718,Monthly_Ops!$D:$D),0)+IFERROR(SUMIF(Monthly_Mentor!$B:$B,$A718,Monthly_Mentor!$D:$D),0)+IFERROR(SUMIF(Quarterly_Impact!$B:$B,$A718,Quarterly_Impact!$D:$D),0)+IFERROR(SUMIFS(XPLog!$M:$M,XPLog!$B:$B,$A718,XPLog!$J:$J,"Admin"),0)+IFERROR(SUMIFS(XPLog!$M:$M,XPLog!$B:$B,$A718,XPLog!$J:$J,"Seeding"),0)))</f>
        <v/>
      </c>
      <c r="F718" s="27">
        <f>IF($E718="","",LOOKUP($E718, XPBands!B$2:B$10, XPBands!A$2:A$10))</f>
        <v/>
      </c>
      <c r="G718" s="27">
        <f>IF($E718="","", VLOOKUP($F718, XPBands!A$2:G$10, 4, FALSE) + MIN(VLOOKUP($F718, XPBands!A$2:G$10, 5, FALSE) - VLOOKUP($F718, XPBands!A$2:G$10, 4, FALSE), FLOOR(( $E718 - VLOOKUP($F718, XPBands!A$2:G$10, 2, FALSE) ) / VLOOKUP($F718, XPBands!A$2:G$10, 7, FALSE),1)))</f>
        <v/>
      </c>
      <c r="H718" s="27">
        <f>IF($D718="","",VLOOKUP($D718,RoleTitles!$A:$E,3,FALSE))</f>
        <v/>
      </c>
      <c r="I718" s="27">
        <f>IF($D718="","",IF($C718="Greek",VLOOKUP($D718,RoleTitles!$A:$E,4,FALSE),IF($C718="Aesir",VLOOKUP($D718,RoleTitles!$A:$E,5,FALSE),VLOOKUP($D718,RoleTitles!$A:$E,3,FALSE))))</f>
        <v/>
      </c>
      <c r="J718" s="27">
        <f>IF($D718="","",IF($E718&gt;=VLOOKUP($D718,RoleTitles!$A:$B,2,FALSE),"Yes","No"))</f>
        <v/>
      </c>
      <c r="K718" s="27">
        <f>IF($D718="","",IF($D718="T1","T2",IF($D718="T2","T3",IF($D718="T3","T4",IF($D718="T4","T5",IF($D718="T5","T6",IF($D718="T6","T7",IF($D718="T7","T8",IF($D718="T8","T9","")))))))))</f>
        <v/>
      </c>
      <c r="L718" s="28">
        <f>IF($K718="","",MAX(0,VLOOKUP($K718,RoleTitles!$A:$B,2,FALSE)-$E718))</f>
        <v/>
      </c>
    </row>
    <row r="719">
      <c r="A719" s="24">
        <f>IFERROR(INDEX(CoachRoster!$A$2:$A$1000,ROW()-1),"")</f>
        <v/>
      </c>
      <c r="B719" s="27">
        <f>IF($A719="","",VLOOKUP($A719,CoachRoster!$A:$E,2,FALSE))</f>
        <v/>
      </c>
      <c r="C719" s="27">
        <f>IF($A719="","",VLOOKUP($A719,CoachRoster!$A:$E,3,FALSE))</f>
        <v/>
      </c>
      <c r="D719" s="27">
        <f>IF($A719="","",VLOOKUP($A719,CoachRoster!$A:$E,4,FALSE))</f>
        <v/>
      </c>
      <c r="E719" s="27">
        <f>IF($A719="","",MIN(Settings!$B$8,IFERROR(SUMIF(Weekly_Coaching!$B:$B,$A719,Weekly_Coaching!$D:$D),0)+IFERROR(SUMIF(Monthly_Edu!$B:$B,$A719,Monthly_Edu!$D:$D),0)+IFERROR(SUMIF(Monthly_Ops!$B:$B,$A719,Monthly_Ops!$D:$D),0)+IFERROR(SUMIF(Monthly_Mentor!$B:$B,$A719,Monthly_Mentor!$D:$D),0)+IFERROR(SUMIF(Quarterly_Impact!$B:$B,$A719,Quarterly_Impact!$D:$D),0)+IFERROR(SUMIFS(XPLog!$M:$M,XPLog!$B:$B,$A719,XPLog!$J:$J,"Admin"),0)+IFERROR(SUMIFS(XPLog!$M:$M,XPLog!$B:$B,$A719,XPLog!$J:$J,"Seeding"),0)))</f>
        <v/>
      </c>
      <c r="F719" s="27">
        <f>IF($E719="","",LOOKUP($E719, XPBands!B$2:B$10, XPBands!A$2:A$10))</f>
        <v/>
      </c>
      <c r="G719" s="27">
        <f>IF($E719="","", VLOOKUP($F719, XPBands!A$2:G$10, 4, FALSE) + MIN(VLOOKUP($F719, XPBands!A$2:G$10, 5, FALSE) - VLOOKUP($F719, XPBands!A$2:G$10, 4, FALSE), FLOOR(( $E719 - VLOOKUP($F719, XPBands!A$2:G$10, 2, FALSE) ) / VLOOKUP($F719, XPBands!A$2:G$10, 7, FALSE),1)))</f>
        <v/>
      </c>
      <c r="H719" s="27">
        <f>IF($D719="","",VLOOKUP($D719,RoleTitles!$A:$E,3,FALSE))</f>
        <v/>
      </c>
      <c r="I719" s="27">
        <f>IF($D719="","",IF($C719="Greek",VLOOKUP($D719,RoleTitles!$A:$E,4,FALSE),IF($C719="Aesir",VLOOKUP($D719,RoleTitles!$A:$E,5,FALSE),VLOOKUP($D719,RoleTitles!$A:$E,3,FALSE))))</f>
        <v/>
      </c>
      <c r="J719" s="27">
        <f>IF($D719="","",IF($E719&gt;=VLOOKUP($D719,RoleTitles!$A:$B,2,FALSE),"Yes","No"))</f>
        <v/>
      </c>
      <c r="K719" s="27">
        <f>IF($D719="","",IF($D719="T1","T2",IF($D719="T2","T3",IF($D719="T3","T4",IF($D719="T4","T5",IF($D719="T5","T6",IF($D719="T6","T7",IF($D719="T7","T8",IF($D719="T8","T9","")))))))))</f>
        <v/>
      </c>
      <c r="L719" s="28">
        <f>IF($K719="","",MAX(0,VLOOKUP($K719,RoleTitles!$A:$B,2,FALSE)-$E719))</f>
        <v/>
      </c>
    </row>
    <row r="720">
      <c r="A720" s="24">
        <f>IFERROR(INDEX(CoachRoster!$A$2:$A$1000,ROW()-1),"")</f>
        <v/>
      </c>
      <c r="B720" s="27">
        <f>IF($A720="","",VLOOKUP($A720,CoachRoster!$A:$E,2,FALSE))</f>
        <v/>
      </c>
      <c r="C720" s="27">
        <f>IF($A720="","",VLOOKUP($A720,CoachRoster!$A:$E,3,FALSE))</f>
        <v/>
      </c>
      <c r="D720" s="27">
        <f>IF($A720="","",VLOOKUP($A720,CoachRoster!$A:$E,4,FALSE))</f>
        <v/>
      </c>
      <c r="E720" s="27">
        <f>IF($A720="","",MIN(Settings!$B$8,IFERROR(SUMIF(Weekly_Coaching!$B:$B,$A720,Weekly_Coaching!$D:$D),0)+IFERROR(SUMIF(Monthly_Edu!$B:$B,$A720,Monthly_Edu!$D:$D),0)+IFERROR(SUMIF(Monthly_Ops!$B:$B,$A720,Monthly_Ops!$D:$D),0)+IFERROR(SUMIF(Monthly_Mentor!$B:$B,$A720,Monthly_Mentor!$D:$D),0)+IFERROR(SUMIF(Quarterly_Impact!$B:$B,$A720,Quarterly_Impact!$D:$D),0)+IFERROR(SUMIFS(XPLog!$M:$M,XPLog!$B:$B,$A720,XPLog!$J:$J,"Admin"),0)+IFERROR(SUMIFS(XPLog!$M:$M,XPLog!$B:$B,$A720,XPLog!$J:$J,"Seeding"),0)))</f>
        <v/>
      </c>
      <c r="F720" s="27">
        <f>IF($E720="","",LOOKUP($E720, XPBands!B$2:B$10, XPBands!A$2:A$10))</f>
        <v/>
      </c>
      <c r="G720" s="27">
        <f>IF($E720="","", VLOOKUP($F720, XPBands!A$2:G$10, 4, FALSE) + MIN(VLOOKUP($F720, XPBands!A$2:G$10, 5, FALSE) - VLOOKUP($F720, XPBands!A$2:G$10, 4, FALSE), FLOOR(( $E720 - VLOOKUP($F720, XPBands!A$2:G$10, 2, FALSE) ) / VLOOKUP($F720, XPBands!A$2:G$10, 7, FALSE),1)))</f>
        <v/>
      </c>
      <c r="H720" s="27">
        <f>IF($D720="","",VLOOKUP($D720,RoleTitles!$A:$E,3,FALSE))</f>
        <v/>
      </c>
      <c r="I720" s="27">
        <f>IF($D720="","",IF($C720="Greek",VLOOKUP($D720,RoleTitles!$A:$E,4,FALSE),IF($C720="Aesir",VLOOKUP($D720,RoleTitles!$A:$E,5,FALSE),VLOOKUP($D720,RoleTitles!$A:$E,3,FALSE))))</f>
        <v/>
      </c>
      <c r="J720" s="27">
        <f>IF($D720="","",IF($E720&gt;=VLOOKUP($D720,RoleTitles!$A:$B,2,FALSE),"Yes","No"))</f>
        <v/>
      </c>
      <c r="K720" s="27">
        <f>IF($D720="","",IF($D720="T1","T2",IF($D720="T2","T3",IF($D720="T3","T4",IF($D720="T4","T5",IF($D720="T5","T6",IF($D720="T6","T7",IF($D720="T7","T8",IF($D720="T8","T9","")))))))))</f>
        <v/>
      </c>
      <c r="L720" s="28">
        <f>IF($K720="","",MAX(0,VLOOKUP($K720,RoleTitles!$A:$B,2,FALSE)-$E720))</f>
        <v/>
      </c>
    </row>
    <row r="721">
      <c r="A721" s="24">
        <f>IFERROR(INDEX(CoachRoster!$A$2:$A$1000,ROW()-1),"")</f>
        <v/>
      </c>
      <c r="B721" s="27">
        <f>IF($A721="","",VLOOKUP($A721,CoachRoster!$A:$E,2,FALSE))</f>
        <v/>
      </c>
      <c r="C721" s="27">
        <f>IF($A721="","",VLOOKUP($A721,CoachRoster!$A:$E,3,FALSE))</f>
        <v/>
      </c>
      <c r="D721" s="27">
        <f>IF($A721="","",VLOOKUP($A721,CoachRoster!$A:$E,4,FALSE))</f>
        <v/>
      </c>
      <c r="E721" s="27">
        <f>IF($A721="","",MIN(Settings!$B$8,IFERROR(SUMIF(Weekly_Coaching!$B:$B,$A721,Weekly_Coaching!$D:$D),0)+IFERROR(SUMIF(Monthly_Edu!$B:$B,$A721,Monthly_Edu!$D:$D),0)+IFERROR(SUMIF(Monthly_Ops!$B:$B,$A721,Monthly_Ops!$D:$D),0)+IFERROR(SUMIF(Monthly_Mentor!$B:$B,$A721,Monthly_Mentor!$D:$D),0)+IFERROR(SUMIF(Quarterly_Impact!$B:$B,$A721,Quarterly_Impact!$D:$D),0)+IFERROR(SUMIFS(XPLog!$M:$M,XPLog!$B:$B,$A721,XPLog!$J:$J,"Admin"),0)+IFERROR(SUMIFS(XPLog!$M:$M,XPLog!$B:$B,$A721,XPLog!$J:$J,"Seeding"),0)))</f>
        <v/>
      </c>
      <c r="F721" s="27">
        <f>IF($E721="","",LOOKUP($E721, XPBands!B$2:B$10, XPBands!A$2:A$10))</f>
        <v/>
      </c>
      <c r="G721" s="27">
        <f>IF($E721="","", VLOOKUP($F721, XPBands!A$2:G$10, 4, FALSE) + MIN(VLOOKUP($F721, XPBands!A$2:G$10, 5, FALSE) - VLOOKUP($F721, XPBands!A$2:G$10, 4, FALSE), FLOOR(( $E721 - VLOOKUP($F721, XPBands!A$2:G$10, 2, FALSE) ) / VLOOKUP($F721, XPBands!A$2:G$10, 7, FALSE),1)))</f>
        <v/>
      </c>
      <c r="H721" s="27">
        <f>IF($D721="","",VLOOKUP($D721,RoleTitles!$A:$E,3,FALSE))</f>
        <v/>
      </c>
      <c r="I721" s="27">
        <f>IF($D721="","",IF($C721="Greek",VLOOKUP($D721,RoleTitles!$A:$E,4,FALSE),IF($C721="Aesir",VLOOKUP($D721,RoleTitles!$A:$E,5,FALSE),VLOOKUP($D721,RoleTitles!$A:$E,3,FALSE))))</f>
        <v/>
      </c>
      <c r="J721" s="27">
        <f>IF($D721="","",IF($E721&gt;=VLOOKUP($D721,RoleTitles!$A:$B,2,FALSE),"Yes","No"))</f>
        <v/>
      </c>
      <c r="K721" s="27">
        <f>IF($D721="","",IF($D721="T1","T2",IF($D721="T2","T3",IF($D721="T3","T4",IF($D721="T4","T5",IF($D721="T5","T6",IF($D721="T6","T7",IF($D721="T7","T8",IF($D721="T8","T9","")))))))))</f>
        <v/>
      </c>
      <c r="L721" s="28">
        <f>IF($K721="","",MAX(0,VLOOKUP($K721,RoleTitles!$A:$B,2,FALSE)-$E721))</f>
        <v/>
      </c>
    </row>
    <row r="722">
      <c r="A722" s="24">
        <f>IFERROR(INDEX(CoachRoster!$A$2:$A$1000,ROW()-1),"")</f>
        <v/>
      </c>
      <c r="B722" s="27">
        <f>IF($A722="","",VLOOKUP($A722,CoachRoster!$A:$E,2,FALSE))</f>
        <v/>
      </c>
      <c r="C722" s="27">
        <f>IF($A722="","",VLOOKUP($A722,CoachRoster!$A:$E,3,FALSE))</f>
        <v/>
      </c>
      <c r="D722" s="27">
        <f>IF($A722="","",VLOOKUP($A722,CoachRoster!$A:$E,4,FALSE))</f>
        <v/>
      </c>
      <c r="E722" s="27">
        <f>IF($A722="","",MIN(Settings!$B$8,IFERROR(SUMIF(Weekly_Coaching!$B:$B,$A722,Weekly_Coaching!$D:$D),0)+IFERROR(SUMIF(Monthly_Edu!$B:$B,$A722,Monthly_Edu!$D:$D),0)+IFERROR(SUMIF(Monthly_Ops!$B:$B,$A722,Monthly_Ops!$D:$D),0)+IFERROR(SUMIF(Monthly_Mentor!$B:$B,$A722,Monthly_Mentor!$D:$D),0)+IFERROR(SUMIF(Quarterly_Impact!$B:$B,$A722,Quarterly_Impact!$D:$D),0)+IFERROR(SUMIFS(XPLog!$M:$M,XPLog!$B:$B,$A722,XPLog!$J:$J,"Admin"),0)+IFERROR(SUMIFS(XPLog!$M:$M,XPLog!$B:$B,$A722,XPLog!$J:$J,"Seeding"),0)))</f>
        <v/>
      </c>
      <c r="F722" s="27">
        <f>IF($E722="","",LOOKUP($E722, XPBands!B$2:B$10, XPBands!A$2:A$10))</f>
        <v/>
      </c>
      <c r="G722" s="27">
        <f>IF($E722="","", VLOOKUP($F722, XPBands!A$2:G$10, 4, FALSE) + MIN(VLOOKUP($F722, XPBands!A$2:G$10, 5, FALSE) - VLOOKUP($F722, XPBands!A$2:G$10, 4, FALSE), FLOOR(( $E722 - VLOOKUP($F722, XPBands!A$2:G$10, 2, FALSE) ) / VLOOKUP($F722, XPBands!A$2:G$10, 7, FALSE),1)))</f>
        <v/>
      </c>
      <c r="H722" s="27">
        <f>IF($D722="","",VLOOKUP($D722,RoleTitles!$A:$E,3,FALSE))</f>
        <v/>
      </c>
      <c r="I722" s="27">
        <f>IF($D722="","",IF($C722="Greek",VLOOKUP($D722,RoleTitles!$A:$E,4,FALSE),IF($C722="Aesir",VLOOKUP($D722,RoleTitles!$A:$E,5,FALSE),VLOOKUP($D722,RoleTitles!$A:$E,3,FALSE))))</f>
        <v/>
      </c>
      <c r="J722" s="27">
        <f>IF($D722="","",IF($E722&gt;=VLOOKUP($D722,RoleTitles!$A:$B,2,FALSE),"Yes","No"))</f>
        <v/>
      </c>
      <c r="K722" s="27">
        <f>IF($D722="","",IF($D722="T1","T2",IF($D722="T2","T3",IF($D722="T3","T4",IF($D722="T4","T5",IF($D722="T5","T6",IF($D722="T6","T7",IF($D722="T7","T8",IF($D722="T8","T9","")))))))))</f>
        <v/>
      </c>
      <c r="L722" s="28">
        <f>IF($K722="","",MAX(0,VLOOKUP($K722,RoleTitles!$A:$B,2,FALSE)-$E722))</f>
        <v/>
      </c>
    </row>
    <row r="723">
      <c r="A723" s="24">
        <f>IFERROR(INDEX(CoachRoster!$A$2:$A$1000,ROW()-1),"")</f>
        <v/>
      </c>
      <c r="B723" s="27">
        <f>IF($A723="","",VLOOKUP($A723,CoachRoster!$A:$E,2,FALSE))</f>
        <v/>
      </c>
      <c r="C723" s="27">
        <f>IF($A723="","",VLOOKUP($A723,CoachRoster!$A:$E,3,FALSE))</f>
        <v/>
      </c>
      <c r="D723" s="27">
        <f>IF($A723="","",VLOOKUP($A723,CoachRoster!$A:$E,4,FALSE))</f>
        <v/>
      </c>
      <c r="E723" s="27">
        <f>IF($A723="","",MIN(Settings!$B$8,IFERROR(SUMIF(Weekly_Coaching!$B:$B,$A723,Weekly_Coaching!$D:$D),0)+IFERROR(SUMIF(Monthly_Edu!$B:$B,$A723,Monthly_Edu!$D:$D),0)+IFERROR(SUMIF(Monthly_Ops!$B:$B,$A723,Monthly_Ops!$D:$D),0)+IFERROR(SUMIF(Monthly_Mentor!$B:$B,$A723,Monthly_Mentor!$D:$D),0)+IFERROR(SUMIF(Quarterly_Impact!$B:$B,$A723,Quarterly_Impact!$D:$D),0)+IFERROR(SUMIFS(XPLog!$M:$M,XPLog!$B:$B,$A723,XPLog!$J:$J,"Admin"),0)+IFERROR(SUMIFS(XPLog!$M:$M,XPLog!$B:$B,$A723,XPLog!$J:$J,"Seeding"),0)))</f>
        <v/>
      </c>
      <c r="F723" s="27">
        <f>IF($E723="","",LOOKUP($E723, XPBands!B$2:B$10, XPBands!A$2:A$10))</f>
        <v/>
      </c>
      <c r="G723" s="27">
        <f>IF($E723="","", VLOOKUP($F723, XPBands!A$2:G$10, 4, FALSE) + MIN(VLOOKUP($F723, XPBands!A$2:G$10, 5, FALSE) - VLOOKUP($F723, XPBands!A$2:G$10, 4, FALSE), FLOOR(( $E723 - VLOOKUP($F723, XPBands!A$2:G$10, 2, FALSE) ) / VLOOKUP($F723, XPBands!A$2:G$10, 7, FALSE),1)))</f>
        <v/>
      </c>
      <c r="H723" s="27">
        <f>IF($D723="","",VLOOKUP($D723,RoleTitles!$A:$E,3,FALSE))</f>
        <v/>
      </c>
      <c r="I723" s="27">
        <f>IF($D723="","",IF($C723="Greek",VLOOKUP($D723,RoleTitles!$A:$E,4,FALSE),IF($C723="Aesir",VLOOKUP($D723,RoleTitles!$A:$E,5,FALSE),VLOOKUP($D723,RoleTitles!$A:$E,3,FALSE))))</f>
        <v/>
      </c>
      <c r="J723" s="27">
        <f>IF($D723="","",IF($E723&gt;=VLOOKUP($D723,RoleTitles!$A:$B,2,FALSE),"Yes","No"))</f>
        <v/>
      </c>
      <c r="K723" s="27">
        <f>IF($D723="","",IF($D723="T1","T2",IF($D723="T2","T3",IF($D723="T3","T4",IF($D723="T4","T5",IF($D723="T5","T6",IF($D723="T6","T7",IF($D723="T7","T8",IF($D723="T8","T9","")))))))))</f>
        <v/>
      </c>
      <c r="L723" s="28">
        <f>IF($K723="","",MAX(0,VLOOKUP($K723,RoleTitles!$A:$B,2,FALSE)-$E723))</f>
        <v/>
      </c>
    </row>
    <row r="724">
      <c r="A724" s="24">
        <f>IFERROR(INDEX(CoachRoster!$A$2:$A$1000,ROW()-1),"")</f>
        <v/>
      </c>
      <c r="B724" s="27">
        <f>IF($A724="","",VLOOKUP($A724,CoachRoster!$A:$E,2,FALSE))</f>
        <v/>
      </c>
      <c r="C724" s="27">
        <f>IF($A724="","",VLOOKUP($A724,CoachRoster!$A:$E,3,FALSE))</f>
        <v/>
      </c>
      <c r="D724" s="27">
        <f>IF($A724="","",VLOOKUP($A724,CoachRoster!$A:$E,4,FALSE))</f>
        <v/>
      </c>
      <c r="E724" s="27">
        <f>IF($A724="","",MIN(Settings!$B$8,IFERROR(SUMIF(Weekly_Coaching!$B:$B,$A724,Weekly_Coaching!$D:$D),0)+IFERROR(SUMIF(Monthly_Edu!$B:$B,$A724,Monthly_Edu!$D:$D),0)+IFERROR(SUMIF(Monthly_Ops!$B:$B,$A724,Monthly_Ops!$D:$D),0)+IFERROR(SUMIF(Monthly_Mentor!$B:$B,$A724,Monthly_Mentor!$D:$D),0)+IFERROR(SUMIF(Quarterly_Impact!$B:$B,$A724,Quarterly_Impact!$D:$D),0)+IFERROR(SUMIFS(XPLog!$M:$M,XPLog!$B:$B,$A724,XPLog!$J:$J,"Admin"),0)+IFERROR(SUMIFS(XPLog!$M:$M,XPLog!$B:$B,$A724,XPLog!$J:$J,"Seeding"),0)))</f>
        <v/>
      </c>
      <c r="F724" s="27">
        <f>IF($E724="","",LOOKUP($E724, XPBands!B$2:B$10, XPBands!A$2:A$10))</f>
        <v/>
      </c>
      <c r="G724" s="27">
        <f>IF($E724="","", VLOOKUP($F724, XPBands!A$2:G$10, 4, FALSE) + MIN(VLOOKUP($F724, XPBands!A$2:G$10, 5, FALSE) - VLOOKUP($F724, XPBands!A$2:G$10, 4, FALSE), FLOOR(( $E724 - VLOOKUP($F724, XPBands!A$2:G$10, 2, FALSE) ) / VLOOKUP($F724, XPBands!A$2:G$10, 7, FALSE),1)))</f>
        <v/>
      </c>
      <c r="H724" s="27">
        <f>IF($D724="","",VLOOKUP($D724,RoleTitles!$A:$E,3,FALSE))</f>
        <v/>
      </c>
      <c r="I724" s="27">
        <f>IF($D724="","",IF($C724="Greek",VLOOKUP($D724,RoleTitles!$A:$E,4,FALSE),IF($C724="Aesir",VLOOKUP($D724,RoleTitles!$A:$E,5,FALSE),VLOOKUP($D724,RoleTitles!$A:$E,3,FALSE))))</f>
        <v/>
      </c>
      <c r="J724" s="27">
        <f>IF($D724="","",IF($E724&gt;=VLOOKUP($D724,RoleTitles!$A:$B,2,FALSE),"Yes","No"))</f>
        <v/>
      </c>
      <c r="K724" s="27">
        <f>IF($D724="","",IF($D724="T1","T2",IF($D724="T2","T3",IF($D724="T3","T4",IF($D724="T4","T5",IF($D724="T5","T6",IF($D724="T6","T7",IF($D724="T7","T8",IF($D724="T8","T9","")))))))))</f>
        <v/>
      </c>
      <c r="L724" s="28">
        <f>IF($K724="","",MAX(0,VLOOKUP($K724,RoleTitles!$A:$B,2,FALSE)-$E724))</f>
        <v/>
      </c>
    </row>
    <row r="725">
      <c r="A725" s="24">
        <f>IFERROR(INDEX(CoachRoster!$A$2:$A$1000,ROW()-1),"")</f>
        <v/>
      </c>
      <c r="B725" s="27">
        <f>IF($A725="","",VLOOKUP($A725,CoachRoster!$A:$E,2,FALSE))</f>
        <v/>
      </c>
      <c r="C725" s="27">
        <f>IF($A725="","",VLOOKUP($A725,CoachRoster!$A:$E,3,FALSE))</f>
        <v/>
      </c>
      <c r="D725" s="27">
        <f>IF($A725="","",VLOOKUP($A725,CoachRoster!$A:$E,4,FALSE))</f>
        <v/>
      </c>
      <c r="E725" s="27">
        <f>IF($A725="","",MIN(Settings!$B$8,IFERROR(SUMIF(Weekly_Coaching!$B:$B,$A725,Weekly_Coaching!$D:$D),0)+IFERROR(SUMIF(Monthly_Edu!$B:$B,$A725,Monthly_Edu!$D:$D),0)+IFERROR(SUMIF(Monthly_Ops!$B:$B,$A725,Monthly_Ops!$D:$D),0)+IFERROR(SUMIF(Monthly_Mentor!$B:$B,$A725,Monthly_Mentor!$D:$D),0)+IFERROR(SUMIF(Quarterly_Impact!$B:$B,$A725,Quarterly_Impact!$D:$D),0)+IFERROR(SUMIFS(XPLog!$M:$M,XPLog!$B:$B,$A725,XPLog!$J:$J,"Admin"),0)+IFERROR(SUMIFS(XPLog!$M:$M,XPLog!$B:$B,$A725,XPLog!$J:$J,"Seeding"),0)))</f>
        <v/>
      </c>
      <c r="F725" s="27">
        <f>IF($E725="","",LOOKUP($E725, XPBands!B$2:B$10, XPBands!A$2:A$10))</f>
        <v/>
      </c>
      <c r="G725" s="27">
        <f>IF($E725="","", VLOOKUP($F725, XPBands!A$2:G$10, 4, FALSE) + MIN(VLOOKUP($F725, XPBands!A$2:G$10, 5, FALSE) - VLOOKUP($F725, XPBands!A$2:G$10, 4, FALSE), FLOOR(( $E725 - VLOOKUP($F725, XPBands!A$2:G$10, 2, FALSE) ) / VLOOKUP($F725, XPBands!A$2:G$10, 7, FALSE),1)))</f>
        <v/>
      </c>
      <c r="H725" s="27">
        <f>IF($D725="","",VLOOKUP($D725,RoleTitles!$A:$E,3,FALSE))</f>
        <v/>
      </c>
      <c r="I725" s="27">
        <f>IF($D725="","",IF($C725="Greek",VLOOKUP($D725,RoleTitles!$A:$E,4,FALSE),IF($C725="Aesir",VLOOKUP($D725,RoleTitles!$A:$E,5,FALSE),VLOOKUP($D725,RoleTitles!$A:$E,3,FALSE))))</f>
        <v/>
      </c>
      <c r="J725" s="27">
        <f>IF($D725="","",IF($E725&gt;=VLOOKUP($D725,RoleTitles!$A:$B,2,FALSE),"Yes","No"))</f>
        <v/>
      </c>
      <c r="K725" s="27">
        <f>IF($D725="","",IF($D725="T1","T2",IF($D725="T2","T3",IF($D725="T3","T4",IF($D725="T4","T5",IF($D725="T5","T6",IF($D725="T6","T7",IF($D725="T7","T8",IF($D725="T8","T9","")))))))))</f>
        <v/>
      </c>
      <c r="L725" s="28">
        <f>IF($K725="","",MAX(0,VLOOKUP($K725,RoleTitles!$A:$B,2,FALSE)-$E725))</f>
        <v/>
      </c>
    </row>
    <row r="726">
      <c r="A726" s="24">
        <f>IFERROR(INDEX(CoachRoster!$A$2:$A$1000,ROW()-1),"")</f>
        <v/>
      </c>
      <c r="B726" s="27">
        <f>IF($A726="","",VLOOKUP($A726,CoachRoster!$A:$E,2,FALSE))</f>
        <v/>
      </c>
      <c r="C726" s="27">
        <f>IF($A726="","",VLOOKUP($A726,CoachRoster!$A:$E,3,FALSE))</f>
        <v/>
      </c>
      <c r="D726" s="27">
        <f>IF($A726="","",VLOOKUP($A726,CoachRoster!$A:$E,4,FALSE))</f>
        <v/>
      </c>
      <c r="E726" s="27">
        <f>IF($A726="","",MIN(Settings!$B$8,IFERROR(SUMIF(Weekly_Coaching!$B:$B,$A726,Weekly_Coaching!$D:$D),0)+IFERROR(SUMIF(Monthly_Edu!$B:$B,$A726,Monthly_Edu!$D:$D),0)+IFERROR(SUMIF(Monthly_Ops!$B:$B,$A726,Monthly_Ops!$D:$D),0)+IFERROR(SUMIF(Monthly_Mentor!$B:$B,$A726,Monthly_Mentor!$D:$D),0)+IFERROR(SUMIF(Quarterly_Impact!$B:$B,$A726,Quarterly_Impact!$D:$D),0)+IFERROR(SUMIFS(XPLog!$M:$M,XPLog!$B:$B,$A726,XPLog!$J:$J,"Admin"),0)+IFERROR(SUMIFS(XPLog!$M:$M,XPLog!$B:$B,$A726,XPLog!$J:$J,"Seeding"),0)))</f>
        <v/>
      </c>
      <c r="F726" s="27">
        <f>IF($E726="","",LOOKUP($E726, XPBands!B$2:B$10, XPBands!A$2:A$10))</f>
        <v/>
      </c>
      <c r="G726" s="27">
        <f>IF($E726="","", VLOOKUP($F726, XPBands!A$2:G$10, 4, FALSE) + MIN(VLOOKUP($F726, XPBands!A$2:G$10, 5, FALSE) - VLOOKUP($F726, XPBands!A$2:G$10, 4, FALSE), FLOOR(( $E726 - VLOOKUP($F726, XPBands!A$2:G$10, 2, FALSE) ) / VLOOKUP($F726, XPBands!A$2:G$10, 7, FALSE),1)))</f>
        <v/>
      </c>
      <c r="H726" s="27">
        <f>IF($D726="","",VLOOKUP($D726,RoleTitles!$A:$E,3,FALSE))</f>
        <v/>
      </c>
      <c r="I726" s="27">
        <f>IF($D726="","",IF($C726="Greek",VLOOKUP($D726,RoleTitles!$A:$E,4,FALSE),IF($C726="Aesir",VLOOKUP($D726,RoleTitles!$A:$E,5,FALSE),VLOOKUP($D726,RoleTitles!$A:$E,3,FALSE))))</f>
        <v/>
      </c>
      <c r="J726" s="27">
        <f>IF($D726="","",IF($E726&gt;=VLOOKUP($D726,RoleTitles!$A:$B,2,FALSE),"Yes","No"))</f>
        <v/>
      </c>
      <c r="K726" s="27">
        <f>IF($D726="","",IF($D726="T1","T2",IF($D726="T2","T3",IF($D726="T3","T4",IF($D726="T4","T5",IF($D726="T5","T6",IF($D726="T6","T7",IF($D726="T7","T8",IF($D726="T8","T9","")))))))))</f>
        <v/>
      </c>
      <c r="L726" s="28">
        <f>IF($K726="","",MAX(0,VLOOKUP($K726,RoleTitles!$A:$B,2,FALSE)-$E726))</f>
        <v/>
      </c>
    </row>
    <row r="727">
      <c r="A727" s="24">
        <f>IFERROR(INDEX(CoachRoster!$A$2:$A$1000,ROW()-1),"")</f>
        <v/>
      </c>
      <c r="B727" s="27">
        <f>IF($A727="","",VLOOKUP($A727,CoachRoster!$A:$E,2,FALSE))</f>
        <v/>
      </c>
      <c r="C727" s="27">
        <f>IF($A727="","",VLOOKUP($A727,CoachRoster!$A:$E,3,FALSE))</f>
        <v/>
      </c>
      <c r="D727" s="27">
        <f>IF($A727="","",VLOOKUP($A727,CoachRoster!$A:$E,4,FALSE))</f>
        <v/>
      </c>
      <c r="E727" s="27">
        <f>IF($A727="","",MIN(Settings!$B$8,IFERROR(SUMIF(Weekly_Coaching!$B:$B,$A727,Weekly_Coaching!$D:$D),0)+IFERROR(SUMIF(Monthly_Edu!$B:$B,$A727,Monthly_Edu!$D:$D),0)+IFERROR(SUMIF(Monthly_Ops!$B:$B,$A727,Monthly_Ops!$D:$D),0)+IFERROR(SUMIF(Monthly_Mentor!$B:$B,$A727,Monthly_Mentor!$D:$D),0)+IFERROR(SUMIF(Quarterly_Impact!$B:$B,$A727,Quarterly_Impact!$D:$D),0)+IFERROR(SUMIFS(XPLog!$M:$M,XPLog!$B:$B,$A727,XPLog!$J:$J,"Admin"),0)+IFERROR(SUMIFS(XPLog!$M:$M,XPLog!$B:$B,$A727,XPLog!$J:$J,"Seeding"),0)))</f>
        <v/>
      </c>
      <c r="F727" s="27">
        <f>IF($E727="","",LOOKUP($E727, XPBands!B$2:B$10, XPBands!A$2:A$10))</f>
        <v/>
      </c>
      <c r="G727" s="27">
        <f>IF($E727="","", VLOOKUP($F727, XPBands!A$2:G$10, 4, FALSE) + MIN(VLOOKUP($F727, XPBands!A$2:G$10, 5, FALSE) - VLOOKUP($F727, XPBands!A$2:G$10, 4, FALSE), FLOOR(( $E727 - VLOOKUP($F727, XPBands!A$2:G$10, 2, FALSE) ) / VLOOKUP($F727, XPBands!A$2:G$10, 7, FALSE),1)))</f>
        <v/>
      </c>
      <c r="H727" s="27">
        <f>IF($D727="","",VLOOKUP($D727,RoleTitles!$A:$E,3,FALSE))</f>
        <v/>
      </c>
      <c r="I727" s="27">
        <f>IF($D727="","",IF($C727="Greek",VLOOKUP($D727,RoleTitles!$A:$E,4,FALSE),IF($C727="Aesir",VLOOKUP($D727,RoleTitles!$A:$E,5,FALSE),VLOOKUP($D727,RoleTitles!$A:$E,3,FALSE))))</f>
        <v/>
      </c>
      <c r="J727" s="27">
        <f>IF($D727="","",IF($E727&gt;=VLOOKUP($D727,RoleTitles!$A:$B,2,FALSE),"Yes","No"))</f>
        <v/>
      </c>
      <c r="K727" s="27">
        <f>IF($D727="","",IF($D727="T1","T2",IF($D727="T2","T3",IF($D727="T3","T4",IF($D727="T4","T5",IF($D727="T5","T6",IF($D727="T6","T7",IF($D727="T7","T8",IF($D727="T8","T9","")))))))))</f>
        <v/>
      </c>
      <c r="L727" s="28">
        <f>IF($K727="","",MAX(0,VLOOKUP($K727,RoleTitles!$A:$B,2,FALSE)-$E727))</f>
        <v/>
      </c>
    </row>
    <row r="728">
      <c r="A728" s="24">
        <f>IFERROR(INDEX(CoachRoster!$A$2:$A$1000,ROW()-1),"")</f>
        <v/>
      </c>
      <c r="B728" s="27">
        <f>IF($A728="","",VLOOKUP($A728,CoachRoster!$A:$E,2,FALSE))</f>
        <v/>
      </c>
      <c r="C728" s="27">
        <f>IF($A728="","",VLOOKUP($A728,CoachRoster!$A:$E,3,FALSE))</f>
        <v/>
      </c>
      <c r="D728" s="27">
        <f>IF($A728="","",VLOOKUP($A728,CoachRoster!$A:$E,4,FALSE))</f>
        <v/>
      </c>
      <c r="E728" s="27">
        <f>IF($A728="","",MIN(Settings!$B$8,IFERROR(SUMIF(Weekly_Coaching!$B:$B,$A728,Weekly_Coaching!$D:$D),0)+IFERROR(SUMIF(Monthly_Edu!$B:$B,$A728,Monthly_Edu!$D:$D),0)+IFERROR(SUMIF(Monthly_Ops!$B:$B,$A728,Monthly_Ops!$D:$D),0)+IFERROR(SUMIF(Monthly_Mentor!$B:$B,$A728,Monthly_Mentor!$D:$D),0)+IFERROR(SUMIF(Quarterly_Impact!$B:$B,$A728,Quarterly_Impact!$D:$D),0)+IFERROR(SUMIFS(XPLog!$M:$M,XPLog!$B:$B,$A728,XPLog!$J:$J,"Admin"),0)+IFERROR(SUMIFS(XPLog!$M:$M,XPLog!$B:$B,$A728,XPLog!$J:$J,"Seeding"),0)))</f>
        <v/>
      </c>
      <c r="F728" s="27">
        <f>IF($E728="","",LOOKUP($E728, XPBands!B$2:B$10, XPBands!A$2:A$10))</f>
        <v/>
      </c>
      <c r="G728" s="27">
        <f>IF($E728="","", VLOOKUP($F728, XPBands!A$2:G$10, 4, FALSE) + MIN(VLOOKUP($F728, XPBands!A$2:G$10, 5, FALSE) - VLOOKUP($F728, XPBands!A$2:G$10, 4, FALSE), FLOOR(( $E728 - VLOOKUP($F728, XPBands!A$2:G$10, 2, FALSE) ) / VLOOKUP($F728, XPBands!A$2:G$10, 7, FALSE),1)))</f>
        <v/>
      </c>
      <c r="H728" s="27">
        <f>IF($D728="","",VLOOKUP($D728,RoleTitles!$A:$E,3,FALSE))</f>
        <v/>
      </c>
      <c r="I728" s="27">
        <f>IF($D728="","",IF($C728="Greek",VLOOKUP($D728,RoleTitles!$A:$E,4,FALSE),IF($C728="Aesir",VLOOKUP($D728,RoleTitles!$A:$E,5,FALSE),VLOOKUP($D728,RoleTitles!$A:$E,3,FALSE))))</f>
        <v/>
      </c>
      <c r="J728" s="27">
        <f>IF($D728="","",IF($E728&gt;=VLOOKUP($D728,RoleTitles!$A:$B,2,FALSE),"Yes","No"))</f>
        <v/>
      </c>
      <c r="K728" s="27">
        <f>IF($D728="","",IF($D728="T1","T2",IF($D728="T2","T3",IF($D728="T3","T4",IF($D728="T4","T5",IF($D728="T5","T6",IF($D728="T6","T7",IF($D728="T7","T8",IF($D728="T8","T9","")))))))))</f>
        <v/>
      </c>
      <c r="L728" s="28">
        <f>IF($K728="","",MAX(0,VLOOKUP($K728,RoleTitles!$A:$B,2,FALSE)-$E728))</f>
        <v/>
      </c>
    </row>
    <row r="729">
      <c r="A729" s="24">
        <f>IFERROR(INDEX(CoachRoster!$A$2:$A$1000,ROW()-1),"")</f>
        <v/>
      </c>
      <c r="B729" s="27">
        <f>IF($A729="","",VLOOKUP($A729,CoachRoster!$A:$E,2,FALSE))</f>
        <v/>
      </c>
      <c r="C729" s="27">
        <f>IF($A729="","",VLOOKUP($A729,CoachRoster!$A:$E,3,FALSE))</f>
        <v/>
      </c>
      <c r="D729" s="27">
        <f>IF($A729="","",VLOOKUP($A729,CoachRoster!$A:$E,4,FALSE))</f>
        <v/>
      </c>
      <c r="E729" s="27">
        <f>IF($A729="","",MIN(Settings!$B$8,IFERROR(SUMIF(Weekly_Coaching!$B:$B,$A729,Weekly_Coaching!$D:$D),0)+IFERROR(SUMIF(Monthly_Edu!$B:$B,$A729,Monthly_Edu!$D:$D),0)+IFERROR(SUMIF(Monthly_Ops!$B:$B,$A729,Monthly_Ops!$D:$D),0)+IFERROR(SUMIF(Monthly_Mentor!$B:$B,$A729,Monthly_Mentor!$D:$D),0)+IFERROR(SUMIF(Quarterly_Impact!$B:$B,$A729,Quarterly_Impact!$D:$D),0)+IFERROR(SUMIFS(XPLog!$M:$M,XPLog!$B:$B,$A729,XPLog!$J:$J,"Admin"),0)+IFERROR(SUMIFS(XPLog!$M:$M,XPLog!$B:$B,$A729,XPLog!$J:$J,"Seeding"),0)))</f>
        <v/>
      </c>
      <c r="F729" s="27">
        <f>IF($E729="","",LOOKUP($E729, XPBands!B$2:B$10, XPBands!A$2:A$10))</f>
        <v/>
      </c>
      <c r="G729" s="27">
        <f>IF($E729="","", VLOOKUP($F729, XPBands!A$2:G$10, 4, FALSE) + MIN(VLOOKUP($F729, XPBands!A$2:G$10, 5, FALSE) - VLOOKUP($F729, XPBands!A$2:G$10, 4, FALSE), FLOOR(( $E729 - VLOOKUP($F729, XPBands!A$2:G$10, 2, FALSE) ) / VLOOKUP($F729, XPBands!A$2:G$10, 7, FALSE),1)))</f>
        <v/>
      </c>
      <c r="H729" s="27">
        <f>IF($D729="","",VLOOKUP($D729,RoleTitles!$A:$E,3,FALSE))</f>
        <v/>
      </c>
      <c r="I729" s="27">
        <f>IF($D729="","",IF($C729="Greek",VLOOKUP($D729,RoleTitles!$A:$E,4,FALSE),IF($C729="Aesir",VLOOKUP($D729,RoleTitles!$A:$E,5,FALSE),VLOOKUP($D729,RoleTitles!$A:$E,3,FALSE))))</f>
        <v/>
      </c>
      <c r="J729" s="27">
        <f>IF($D729="","",IF($E729&gt;=VLOOKUP($D729,RoleTitles!$A:$B,2,FALSE),"Yes","No"))</f>
        <v/>
      </c>
      <c r="K729" s="27">
        <f>IF($D729="","",IF($D729="T1","T2",IF($D729="T2","T3",IF($D729="T3","T4",IF($D729="T4","T5",IF($D729="T5","T6",IF($D729="T6","T7",IF($D729="T7","T8",IF($D729="T8","T9","")))))))))</f>
        <v/>
      </c>
      <c r="L729" s="28">
        <f>IF($K729="","",MAX(0,VLOOKUP($K729,RoleTitles!$A:$B,2,FALSE)-$E729))</f>
        <v/>
      </c>
    </row>
    <row r="730">
      <c r="A730" s="24">
        <f>IFERROR(INDEX(CoachRoster!$A$2:$A$1000,ROW()-1),"")</f>
        <v/>
      </c>
      <c r="B730" s="27">
        <f>IF($A730="","",VLOOKUP($A730,CoachRoster!$A:$E,2,FALSE))</f>
        <v/>
      </c>
      <c r="C730" s="27">
        <f>IF($A730="","",VLOOKUP($A730,CoachRoster!$A:$E,3,FALSE))</f>
        <v/>
      </c>
      <c r="D730" s="27">
        <f>IF($A730="","",VLOOKUP($A730,CoachRoster!$A:$E,4,FALSE))</f>
        <v/>
      </c>
      <c r="E730" s="27">
        <f>IF($A730="","",MIN(Settings!$B$8,IFERROR(SUMIF(Weekly_Coaching!$B:$B,$A730,Weekly_Coaching!$D:$D),0)+IFERROR(SUMIF(Monthly_Edu!$B:$B,$A730,Monthly_Edu!$D:$D),0)+IFERROR(SUMIF(Monthly_Ops!$B:$B,$A730,Monthly_Ops!$D:$D),0)+IFERROR(SUMIF(Monthly_Mentor!$B:$B,$A730,Monthly_Mentor!$D:$D),0)+IFERROR(SUMIF(Quarterly_Impact!$B:$B,$A730,Quarterly_Impact!$D:$D),0)+IFERROR(SUMIFS(XPLog!$M:$M,XPLog!$B:$B,$A730,XPLog!$J:$J,"Admin"),0)+IFERROR(SUMIFS(XPLog!$M:$M,XPLog!$B:$B,$A730,XPLog!$J:$J,"Seeding"),0)))</f>
        <v/>
      </c>
      <c r="F730" s="27">
        <f>IF($E730="","",LOOKUP($E730, XPBands!B$2:B$10, XPBands!A$2:A$10))</f>
        <v/>
      </c>
      <c r="G730" s="27">
        <f>IF($E730="","", VLOOKUP($F730, XPBands!A$2:G$10, 4, FALSE) + MIN(VLOOKUP($F730, XPBands!A$2:G$10, 5, FALSE) - VLOOKUP($F730, XPBands!A$2:G$10, 4, FALSE), FLOOR(( $E730 - VLOOKUP($F730, XPBands!A$2:G$10, 2, FALSE) ) / VLOOKUP($F730, XPBands!A$2:G$10, 7, FALSE),1)))</f>
        <v/>
      </c>
      <c r="H730" s="27">
        <f>IF($D730="","",VLOOKUP($D730,RoleTitles!$A:$E,3,FALSE))</f>
        <v/>
      </c>
      <c r="I730" s="27">
        <f>IF($D730="","",IF($C730="Greek",VLOOKUP($D730,RoleTitles!$A:$E,4,FALSE),IF($C730="Aesir",VLOOKUP($D730,RoleTitles!$A:$E,5,FALSE),VLOOKUP($D730,RoleTitles!$A:$E,3,FALSE))))</f>
        <v/>
      </c>
      <c r="J730" s="27">
        <f>IF($D730="","",IF($E730&gt;=VLOOKUP($D730,RoleTitles!$A:$B,2,FALSE),"Yes","No"))</f>
        <v/>
      </c>
      <c r="K730" s="27">
        <f>IF($D730="","",IF($D730="T1","T2",IF($D730="T2","T3",IF($D730="T3","T4",IF($D730="T4","T5",IF($D730="T5","T6",IF($D730="T6","T7",IF($D730="T7","T8",IF($D730="T8","T9","")))))))))</f>
        <v/>
      </c>
      <c r="L730" s="28">
        <f>IF($K730="","",MAX(0,VLOOKUP($K730,RoleTitles!$A:$B,2,FALSE)-$E730))</f>
        <v/>
      </c>
    </row>
    <row r="731">
      <c r="A731" s="24">
        <f>IFERROR(INDEX(CoachRoster!$A$2:$A$1000,ROW()-1),"")</f>
        <v/>
      </c>
      <c r="B731" s="27">
        <f>IF($A731="","",VLOOKUP($A731,CoachRoster!$A:$E,2,FALSE))</f>
        <v/>
      </c>
      <c r="C731" s="27">
        <f>IF($A731="","",VLOOKUP($A731,CoachRoster!$A:$E,3,FALSE))</f>
        <v/>
      </c>
      <c r="D731" s="27">
        <f>IF($A731="","",VLOOKUP($A731,CoachRoster!$A:$E,4,FALSE))</f>
        <v/>
      </c>
      <c r="E731" s="27">
        <f>IF($A731="","",MIN(Settings!$B$8,IFERROR(SUMIF(Weekly_Coaching!$B:$B,$A731,Weekly_Coaching!$D:$D),0)+IFERROR(SUMIF(Monthly_Edu!$B:$B,$A731,Monthly_Edu!$D:$D),0)+IFERROR(SUMIF(Monthly_Ops!$B:$B,$A731,Monthly_Ops!$D:$D),0)+IFERROR(SUMIF(Monthly_Mentor!$B:$B,$A731,Monthly_Mentor!$D:$D),0)+IFERROR(SUMIF(Quarterly_Impact!$B:$B,$A731,Quarterly_Impact!$D:$D),0)+IFERROR(SUMIFS(XPLog!$M:$M,XPLog!$B:$B,$A731,XPLog!$J:$J,"Admin"),0)+IFERROR(SUMIFS(XPLog!$M:$M,XPLog!$B:$B,$A731,XPLog!$J:$J,"Seeding"),0)))</f>
        <v/>
      </c>
      <c r="F731" s="27">
        <f>IF($E731="","",LOOKUP($E731, XPBands!B$2:B$10, XPBands!A$2:A$10))</f>
        <v/>
      </c>
      <c r="G731" s="27">
        <f>IF($E731="","", VLOOKUP($F731, XPBands!A$2:G$10, 4, FALSE) + MIN(VLOOKUP($F731, XPBands!A$2:G$10, 5, FALSE) - VLOOKUP($F731, XPBands!A$2:G$10, 4, FALSE), FLOOR(( $E731 - VLOOKUP($F731, XPBands!A$2:G$10, 2, FALSE) ) / VLOOKUP($F731, XPBands!A$2:G$10, 7, FALSE),1)))</f>
        <v/>
      </c>
      <c r="H731" s="27">
        <f>IF($D731="","",VLOOKUP($D731,RoleTitles!$A:$E,3,FALSE))</f>
        <v/>
      </c>
      <c r="I731" s="27">
        <f>IF($D731="","",IF($C731="Greek",VLOOKUP($D731,RoleTitles!$A:$E,4,FALSE),IF($C731="Aesir",VLOOKUP($D731,RoleTitles!$A:$E,5,FALSE),VLOOKUP($D731,RoleTitles!$A:$E,3,FALSE))))</f>
        <v/>
      </c>
      <c r="J731" s="27">
        <f>IF($D731="","",IF($E731&gt;=VLOOKUP($D731,RoleTitles!$A:$B,2,FALSE),"Yes","No"))</f>
        <v/>
      </c>
      <c r="K731" s="27">
        <f>IF($D731="","",IF($D731="T1","T2",IF($D731="T2","T3",IF($D731="T3","T4",IF($D731="T4","T5",IF($D731="T5","T6",IF($D731="T6","T7",IF($D731="T7","T8",IF($D731="T8","T9","")))))))))</f>
        <v/>
      </c>
      <c r="L731" s="28">
        <f>IF($K731="","",MAX(0,VLOOKUP($K731,RoleTitles!$A:$B,2,FALSE)-$E731))</f>
        <v/>
      </c>
    </row>
    <row r="732">
      <c r="A732" s="24">
        <f>IFERROR(INDEX(CoachRoster!$A$2:$A$1000,ROW()-1),"")</f>
        <v/>
      </c>
      <c r="B732" s="27">
        <f>IF($A732="","",VLOOKUP($A732,CoachRoster!$A:$E,2,FALSE))</f>
        <v/>
      </c>
      <c r="C732" s="27">
        <f>IF($A732="","",VLOOKUP($A732,CoachRoster!$A:$E,3,FALSE))</f>
        <v/>
      </c>
      <c r="D732" s="27">
        <f>IF($A732="","",VLOOKUP($A732,CoachRoster!$A:$E,4,FALSE))</f>
        <v/>
      </c>
      <c r="E732" s="27">
        <f>IF($A732="","",MIN(Settings!$B$8,IFERROR(SUMIF(Weekly_Coaching!$B:$B,$A732,Weekly_Coaching!$D:$D),0)+IFERROR(SUMIF(Monthly_Edu!$B:$B,$A732,Monthly_Edu!$D:$D),0)+IFERROR(SUMIF(Monthly_Ops!$B:$B,$A732,Monthly_Ops!$D:$D),0)+IFERROR(SUMIF(Monthly_Mentor!$B:$B,$A732,Monthly_Mentor!$D:$D),0)+IFERROR(SUMIF(Quarterly_Impact!$B:$B,$A732,Quarterly_Impact!$D:$D),0)+IFERROR(SUMIFS(XPLog!$M:$M,XPLog!$B:$B,$A732,XPLog!$J:$J,"Admin"),0)+IFERROR(SUMIFS(XPLog!$M:$M,XPLog!$B:$B,$A732,XPLog!$J:$J,"Seeding"),0)))</f>
        <v/>
      </c>
      <c r="F732" s="27">
        <f>IF($E732="","",LOOKUP($E732, XPBands!B$2:B$10, XPBands!A$2:A$10))</f>
        <v/>
      </c>
      <c r="G732" s="27">
        <f>IF($E732="","", VLOOKUP($F732, XPBands!A$2:G$10, 4, FALSE) + MIN(VLOOKUP($F732, XPBands!A$2:G$10, 5, FALSE) - VLOOKUP($F732, XPBands!A$2:G$10, 4, FALSE), FLOOR(( $E732 - VLOOKUP($F732, XPBands!A$2:G$10, 2, FALSE) ) / VLOOKUP($F732, XPBands!A$2:G$10, 7, FALSE),1)))</f>
        <v/>
      </c>
      <c r="H732" s="27">
        <f>IF($D732="","",VLOOKUP($D732,RoleTitles!$A:$E,3,FALSE))</f>
        <v/>
      </c>
      <c r="I732" s="27">
        <f>IF($D732="","",IF($C732="Greek",VLOOKUP($D732,RoleTitles!$A:$E,4,FALSE),IF($C732="Aesir",VLOOKUP($D732,RoleTitles!$A:$E,5,FALSE),VLOOKUP($D732,RoleTitles!$A:$E,3,FALSE))))</f>
        <v/>
      </c>
      <c r="J732" s="27">
        <f>IF($D732="","",IF($E732&gt;=VLOOKUP($D732,RoleTitles!$A:$B,2,FALSE),"Yes","No"))</f>
        <v/>
      </c>
      <c r="K732" s="27">
        <f>IF($D732="","",IF($D732="T1","T2",IF($D732="T2","T3",IF($D732="T3","T4",IF($D732="T4","T5",IF($D732="T5","T6",IF($D732="T6","T7",IF($D732="T7","T8",IF($D732="T8","T9","")))))))))</f>
        <v/>
      </c>
      <c r="L732" s="28">
        <f>IF($K732="","",MAX(0,VLOOKUP($K732,RoleTitles!$A:$B,2,FALSE)-$E732))</f>
        <v/>
      </c>
    </row>
    <row r="733">
      <c r="A733" s="24">
        <f>IFERROR(INDEX(CoachRoster!$A$2:$A$1000,ROW()-1),"")</f>
        <v/>
      </c>
      <c r="B733" s="27">
        <f>IF($A733="","",VLOOKUP($A733,CoachRoster!$A:$E,2,FALSE))</f>
        <v/>
      </c>
      <c r="C733" s="27">
        <f>IF($A733="","",VLOOKUP($A733,CoachRoster!$A:$E,3,FALSE))</f>
        <v/>
      </c>
      <c r="D733" s="27">
        <f>IF($A733="","",VLOOKUP($A733,CoachRoster!$A:$E,4,FALSE))</f>
        <v/>
      </c>
      <c r="E733" s="27">
        <f>IF($A733="","",MIN(Settings!$B$8,IFERROR(SUMIF(Weekly_Coaching!$B:$B,$A733,Weekly_Coaching!$D:$D),0)+IFERROR(SUMIF(Monthly_Edu!$B:$B,$A733,Monthly_Edu!$D:$D),0)+IFERROR(SUMIF(Monthly_Ops!$B:$B,$A733,Monthly_Ops!$D:$D),0)+IFERROR(SUMIF(Monthly_Mentor!$B:$B,$A733,Monthly_Mentor!$D:$D),0)+IFERROR(SUMIF(Quarterly_Impact!$B:$B,$A733,Quarterly_Impact!$D:$D),0)+IFERROR(SUMIFS(XPLog!$M:$M,XPLog!$B:$B,$A733,XPLog!$J:$J,"Admin"),0)+IFERROR(SUMIFS(XPLog!$M:$M,XPLog!$B:$B,$A733,XPLog!$J:$J,"Seeding"),0)))</f>
        <v/>
      </c>
      <c r="F733" s="27">
        <f>IF($E733="","",LOOKUP($E733, XPBands!B$2:B$10, XPBands!A$2:A$10))</f>
        <v/>
      </c>
      <c r="G733" s="27">
        <f>IF($E733="","", VLOOKUP($F733, XPBands!A$2:G$10, 4, FALSE) + MIN(VLOOKUP($F733, XPBands!A$2:G$10, 5, FALSE) - VLOOKUP($F733, XPBands!A$2:G$10, 4, FALSE), FLOOR(( $E733 - VLOOKUP($F733, XPBands!A$2:G$10, 2, FALSE) ) / VLOOKUP($F733, XPBands!A$2:G$10, 7, FALSE),1)))</f>
        <v/>
      </c>
      <c r="H733" s="27">
        <f>IF($D733="","",VLOOKUP($D733,RoleTitles!$A:$E,3,FALSE))</f>
        <v/>
      </c>
      <c r="I733" s="27">
        <f>IF($D733="","",IF($C733="Greek",VLOOKUP($D733,RoleTitles!$A:$E,4,FALSE),IF($C733="Aesir",VLOOKUP($D733,RoleTitles!$A:$E,5,FALSE),VLOOKUP($D733,RoleTitles!$A:$E,3,FALSE))))</f>
        <v/>
      </c>
      <c r="J733" s="27">
        <f>IF($D733="","",IF($E733&gt;=VLOOKUP($D733,RoleTitles!$A:$B,2,FALSE),"Yes","No"))</f>
        <v/>
      </c>
      <c r="K733" s="27">
        <f>IF($D733="","",IF($D733="T1","T2",IF($D733="T2","T3",IF($D733="T3","T4",IF($D733="T4","T5",IF($D733="T5","T6",IF($D733="T6","T7",IF($D733="T7","T8",IF($D733="T8","T9","")))))))))</f>
        <v/>
      </c>
      <c r="L733" s="28">
        <f>IF($K733="","",MAX(0,VLOOKUP($K733,RoleTitles!$A:$B,2,FALSE)-$E733))</f>
        <v/>
      </c>
    </row>
    <row r="734">
      <c r="A734" s="24">
        <f>IFERROR(INDEX(CoachRoster!$A$2:$A$1000,ROW()-1),"")</f>
        <v/>
      </c>
      <c r="B734" s="27">
        <f>IF($A734="","",VLOOKUP($A734,CoachRoster!$A:$E,2,FALSE))</f>
        <v/>
      </c>
      <c r="C734" s="27">
        <f>IF($A734="","",VLOOKUP($A734,CoachRoster!$A:$E,3,FALSE))</f>
        <v/>
      </c>
      <c r="D734" s="27">
        <f>IF($A734="","",VLOOKUP($A734,CoachRoster!$A:$E,4,FALSE))</f>
        <v/>
      </c>
      <c r="E734" s="27">
        <f>IF($A734="","",MIN(Settings!$B$8,IFERROR(SUMIF(Weekly_Coaching!$B:$B,$A734,Weekly_Coaching!$D:$D),0)+IFERROR(SUMIF(Monthly_Edu!$B:$B,$A734,Monthly_Edu!$D:$D),0)+IFERROR(SUMIF(Monthly_Ops!$B:$B,$A734,Monthly_Ops!$D:$D),0)+IFERROR(SUMIF(Monthly_Mentor!$B:$B,$A734,Monthly_Mentor!$D:$D),0)+IFERROR(SUMIF(Quarterly_Impact!$B:$B,$A734,Quarterly_Impact!$D:$D),0)+IFERROR(SUMIFS(XPLog!$M:$M,XPLog!$B:$B,$A734,XPLog!$J:$J,"Admin"),0)+IFERROR(SUMIFS(XPLog!$M:$M,XPLog!$B:$B,$A734,XPLog!$J:$J,"Seeding"),0)))</f>
        <v/>
      </c>
      <c r="F734" s="27">
        <f>IF($E734="","",LOOKUP($E734, XPBands!B$2:B$10, XPBands!A$2:A$10))</f>
        <v/>
      </c>
      <c r="G734" s="27">
        <f>IF($E734="","", VLOOKUP($F734, XPBands!A$2:G$10, 4, FALSE) + MIN(VLOOKUP($F734, XPBands!A$2:G$10, 5, FALSE) - VLOOKUP($F734, XPBands!A$2:G$10, 4, FALSE), FLOOR(( $E734 - VLOOKUP($F734, XPBands!A$2:G$10, 2, FALSE) ) / VLOOKUP($F734, XPBands!A$2:G$10, 7, FALSE),1)))</f>
        <v/>
      </c>
      <c r="H734" s="27">
        <f>IF($D734="","",VLOOKUP($D734,RoleTitles!$A:$E,3,FALSE))</f>
        <v/>
      </c>
      <c r="I734" s="27">
        <f>IF($D734="","",IF($C734="Greek",VLOOKUP($D734,RoleTitles!$A:$E,4,FALSE),IF($C734="Aesir",VLOOKUP($D734,RoleTitles!$A:$E,5,FALSE),VLOOKUP($D734,RoleTitles!$A:$E,3,FALSE))))</f>
        <v/>
      </c>
      <c r="J734" s="27">
        <f>IF($D734="","",IF($E734&gt;=VLOOKUP($D734,RoleTitles!$A:$B,2,FALSE),"Yes","No"))</f>
        <v/>
      </c>
      <c r="K734" s="27">
        <f>IF($D734="","",IF($D734="T1","T2",IF($D734="T2","T3",IF($D734="T3","T4",IF($D734="T4","T5",IF($D734="T5","T6",IF($D734="T6","T7",IF($D734="T7","T8",IF($D734="T8","T9","")))))))))</f>
        <v/>
      </c>
      <c r="L734" s="28">
        <f>IF($K734="","",MAX(0,VLOOKUP($K734,RoleTitles!$A:$B,2,FALSE)-$E734))</f>
        <v/>
      </c>
    </row>
    <row r="735">
      <c r="A735" s="24">
        <f>IFERROR(INDEX(CoachRoster!$A$2:$A$1000,ROW()-1),"")</f>
        <v/>
      </c>
      <c r="B735" s="27">
        <f>IF($A735="","",VLOOKUP($A735,CoachRoster!$A:$E,2,FALSE))</f>
        <v/>
      </c>
      <c r="C735" s="27">
        <f>IF($A735="","",VLOOKUP($A735,CoachRoster!$A:$E,3,FALSE))</f>
        <v/>
      </c>
      <c r="D735" s="27">
        <f>IF($A735="","",VLOOKUP($A735,CoachRoster!$A:$E,4,FALSE))</f>
        <v/>
      </c>
      <c r="E735" s="27">
        <f>IF($A735="","",MIN(Settings!$B$8,IFERROR(SUMIF(Weekly_Coaching!$B:$B,$A735,Weekly_Coaching!$D:$D),0)+IFERROR(SUMIF(Monthly_Edu!$B:$B,$A735,Monthly_Edu!$D:$D),0)+IFERROR(SUMIF(Monthly_Ops!$B:$B,$A735,Monthly_Ops!$D:$D),0)+IFERROR(SUMIF(Monthly_Mentor!$B:$B,$A735,Monthly_Mentor!$D:$D),0)+IFERROR(SUMIF(Quarterly_Impact!$B:$B,$A735,Quarterly_Impact!$D:$D),0)+IFERROR(SUMIFS(XPLog!$M:$M,XPLog!$B:$B,$A735,XPLog!$J:$J,"Admin"),0)+IFERROR(SUMIFS(XPLog!$M:$M,XPLog!$B:$B,$A735,XPLog!$J:$J,"Seeding"),0)))</f>
        <v/>
      </c>
      <c r="F735" s="27">
        <f>IF($E735="","",LOOKUP($E735, XPBands!B$2:B$10, XPBands!A$2:A$10))</f>
        <v/>
      </c>
      <c r="G735" s="27">
        <f>IF($E735="","", VLOOKUP($F735, XPBands!A$2:G$10, 4, FALSE) + MIN(VLOOKUP($F735, XPBands!A$2:G$10, 5, FALSE) - VLOOKUP($F735, XPBands!A$2:G$10, 4, FALSE), FLOOR(( $E735 - VLOOKUP($F735, XPBands!A$2:G$10, 2, FALSE) ) / VLOOKUP($F735, XPBands!A$2:G$10, 7, FALSE),1)))</f>
        <v/>
      </c>
      <c r="H735" s="27">
        <f>IF($D735="","",VLOOKUP($D735,RoleTitles!$A:$E,3,FALSE))</f>
        <v/>
      </c>
      <c r="I735" s="27">
        <f>IF($D735="","",IF($C735="Greek",VLOOKUP($D735,RoleTitles!$A:$E,4,FALSE),IF($C735="Aesir",VLOOKUP($D735,RoleTitles!$A:$E,5,FALSE),VLOOKUP($D735,RoleTitles!$A:$E,3,FALSE))))</f>
        <v/>
      </c>
      <c r="J735" s="27">
        <f>IF($D735="","",IF($E735&gt;=VLOOKUP($D735,RoleTitles!$A:$B,2,FALSE),"Yes","No"))</f>
        <v/>
      </c>
      <c r="K735" s="27">
        <f>IF($D735="","",IF($D735="T1","T2",IF($D735="T2","T3",IF($D735="T3","T4",IF($D735="T4","T5",IF($D735="T5","T6",IF($D735="T6","T7",IF($D735="T7","T8",IF($D735="T8","T9","")))))))))</f>
        <v/>
      </c>
      <c r="L735" s="28">
        <f>IF($K735="","",MAX(0,VLOOKUP($K735,RoleTitles!$A:$B,2,FALSE)-$E735))</f>
        <v/>
      </c>
    </row>
    <row r="736">
      <c r="A736" s="24">
        <f>IFERROR(INDEX(CoachRoster!$A$2:$A$1000,ROW()-1),"")</f>
        <v/>
      </c>
      <c r="B736" s="27">
        <f>IF($A736="","",VLOOKUP($A736,CoachRoster!$A:$E,2,FALSE))</f>
        <v/>
      </c>
      <c r="C736" s="27">
        <f>IF($A736="","",VLOOKUP($A736,CoachRoster!$A:$E,3,FALSE))</f>
        <v/>
      </c>
      <c r="D736" s="27">
        <f>IF($A736="","",VLOOKUP($A736,CoachRoster!$A:$E,4,FALSE))</f>
        <v/>
      </c>
      <c r="E736" s="27">
        <f>IF($A736="","",MIN(Settings!$B$8,IFERROR(SUMIF(Weekly_Coaching!$B:$B,$A736,Weekly_Coaching!$D:$D),0)+IFERROR(SUMIF(Monthly_Edu!$B:$B,$A736,Monthly_Edu!$D:$D),0)+IFERROR(SUMIF(Monthly_Ops!$B:$B,$A736,Monthly_Ops!$D:$D),0)+IFERROR(SUMIF(Monthly_Mentor!$B:$B,$A736,Monthly_Mentor!$D:$D),0)+IFERROR(SUMIF(Quarterly_Impact!$B:$B,$A736,Quarterly_Impact!$D:$D),0)+IFERROR(SUMIFS(XPLog!$M:$M,XPLog!$B:$B,$A736,XPLog!$J:$J,"Admin"),0)+IFERROR(SUMIFS(XPLog!$M:$M,XPLog!$B:$B,$A736,XPLog!$J:$J,"Seeding"),0)))</f>
        <v/>
      </c>
      <c r="F736" s="27">
        <f>IF($E736="","",LOOKUP($E736, XPBands!B$2:B$10, XPBands!A$2:A$10))</f>
        <v/>
      </c>
      <c r="G736" s="27">
        <f>IF($E736="","", VLOOKUP($F736, XPBands!A$2:G$10, 4, FALSE) + MIN(VLOOKUP($F736, XPBands!A$2:G$10, 5, FALSE) - VLOOKUP($F736, XPBands!A$2:G$10, 4, FALSE), FLOOR(( $E736 - VLOOKUP($F736, XPBands!A$2:G$10, 2, FALSE) ) / VLOOKUP($F736, XPBands!A$2:G$10, 7, FALSE),1)))</f>
        <v/>
      </c>
      <c r="H736" s="27">
        <f>IF($D736="","",VLOOKUP($D736,RoleTitles!$A:$E,3,FALSE))</f>
        <v/>
      </c>
      <c r="I736" s="27">
        <f>IF($D736="","",IF($C736="Greek",VLOOKUP($D736,RoleTitles!$A:$E,4,FALSE),IF($C736="Aesir",VLOOKUP($D736,RoleTitles!$A:$E,5,FALSE),VLOOKUP($D736,RoleTitles!$A:$E,3,FALSE))))</f>
        <v/>
      </c>
      <c r="J736" s="27">
        <f>IF($D736="","",IF($E736&gt;=VLOOKUP($D736,RoleTitles!$A:$B,2,FALSE),"Yes","No"))</f>
        <v/>
      </c>
      <c r="K736" s="27">
        <f>IF($D736="","",IF($D736="T1","T2",IF($D736="T2","T3",IF($D736="T3","T4",IF($D736="T4","T5",IF($D736="T5","T6",IF($D736="T6","T7",IF($D736="T7","T8",IF($D736="T8","T9","")))))))))</f>
        <v/>
      </c>
      <c r="L736" s="28">
        <f>IF($K736="","",MAX(0,VLOOKUP($K736,RoleTitles!$A:$B,2,FALSE)-$E736))</f>
        <v/>
      </c>
    </row>
    <row r="737">
      <c r="A737" s="24">
        <f>IFERROR(INDEX(CoachRoster!$A$2:$A$1000,ROW()-1),"")</f>
        <v/>
      </c>
      <c r="B737" s="27">
        <f>IF($A737="","",VLOOKUP($A737,CoachRoster!$A:$E,2,FALSE))</f>
        <v/>
      </c>
      <c r="C737" s="27">
        <f>IF($A737="","",VLOOKUP($A737,CoachRoster!$A:$E,3,FALSE))</f>
        <v/>
      </c>
      <c r="D737" s="27">
        <f>IF($A737="","",VLOOKUP($A737,CoachRoster!$A:$E,4,FALSE))</f>
        <v/>
      </c>
      <c r="E737" s="27">
        <f>IF($A737="","",MIN(Settings!$B$8,IFERROR(SUMIF(Weekly_Coaching!$B:$B,$A737,Weekly_Coaching!$D:$D),0)+IFERROR(SUMIF(Monthly_Edu!$B:$B,$A737,Monthly_Edu!$D:$D),0)+IFERROR(SUMIF(Monthly_Ops!$B:$B,$A737,Monthly_Ops!$D:$D),0)+IFERROR(SUMIF(Monthly_Mentor!$B:$B,$A737,Monthly_Mentor!$D:$D),0)+IFERROR(SUMIF(Quarterly_Impact!$B:$B,$A737,Quarterly_Impact!$D:$D),0)+IFERROR(SUMIFS(XPLog!$M:$M,XPLog!$B:$B,$A737,XPLog!$J:$J,"Admin"),0)+IFERROR(SUMIFS(XPLog!$M:$M,XPLog!$B:$B,$A737,XPLog!$J:$J,"Seeding"),0)))</f>
        <v/>
      </c>
      <c r="F737" s="27">
        <f>IF($E737="","",LOOKUP($E737, XPBands!B$2:B$10, XPBands!A$2:A$10))</f>
        <v/>
      </c>
      <c r="G737" s="27">
        <f>IF($E737="","", VLOOKUP($F737, XPBands!A$2:G$10, 4, FALSE) + MIN(VLOOKUP($F737, XPBands!A$2:G$10, 5, FALSE) - VLOOKUP($F737, XPBands!A$2:G$10, 4, FALSE), FLOOR(( $E737 - VLOOKUP($F737, XPBands!A$2:G$10, 2, FALSE) ) / VLOOKUP($F737, XPBands!A$2:G$10, 7, FALSE),1)))</f>
        <v/>
      </c>
      <c r="H737" s="27">
        <f>IF($D737="","",VLOOKUP($D737,RoleTitles!$A:$E,3,FALSE))</f>
        <v/>
      </c>
      <c r="I737" s="27">
        <f>IF($D737="","",IF($C737="Greek",VLOOKUP($D737,RoleTitles!$A:$E,4,FALSE),IF($C737="Aesir",VLOOKUP($D737,RoleTitles!$A:$E,5,FALSE),VLOOKUP($D737,RoleTitles!$A:$E,3,FALSE))))</f>
        <v/>
      </c>
      <c r="J737" s="27">
        <f>IF($D737="","",IF($E737&gt;=VLOOKUP($D737,RoleTitles!$A:$B,2,FALSE),"Yes","No"))</f>
        <v/>
      </c>
      <c r="K737" s="27">
        <f>IF($D737="","",IF($D737="T1","T2",IF($D737="T2","T3",IF($D737="T3","T4",IF($D737="T4","T5",IF($D737="T5","T6",IF($D737="T6","T7",IF($D737="T7","T8",IF($D737="T8","T9","")))))))))</f>
        <v/>
      </c>
      <c r="L737" s="28">
        <f>IF($K737="","",MAX(0,VLOOKUP($K737,RoleTitles!$A:$B,2,FALSE)-$E737))</f>
        <v/>
      </c>
    </row>
    <row r="738">
      <c r="A738" s="24">
        <f>IFERROR(INDEX(CoachRoster!$A$2:$A$1000,ROW()-1),"")</f>
        <v/>
      </c>
      <c r="B738" s="27">
        <f>IF($A738="","",VLOOKUP($A738,CoachRoster!$A:$E,2,FALSE))</f>
        <v/>
      </c>
      <c r="C738" s="27">
        <f>IF($A738="","",VLOOKUP($A738,CoachRoster!$A:$E,3,FALSE))</f>
        <v/>
      </c>
      <c r="D738" s="27">
        <f>IF($A738="","",VLOOKUP($A738,CoachRoster!$A:$E,4,FALSE))</f>
        <v/>
      </c>
      <c r="E738" s="27">
        <f>IF($A738="","",MIN(Settings!$B$8,IFERROR(SUMIF(Weekly_Coaching!$B:$B,$A738,Weekly_Coaching!$D:$D),0)+IFERROR(SUMIF(Monthly_Edu!$B:$B,$A738,Monthly_Edu!$D:$D),0)+IFERROR(SUMIF(Monthly_Ops!$B:$B,$A738,Monthly_Ops!$D:$D),0)+IFERROR(SUMIF(Monthly_Mentor!$B:$B,$A738,Monthly_Mentor!$D:$D),0)+IFERROR(SUMIF(Quarterly_Impact!$B:$B,$A738,Quarterly_Impact!$D:$D),0)+IFERROR(SUMIFS(XPLog!$M:$M,XPLog!$B:$B,$A738,XPLog!$J:$J,"Admin"),0)+IFERROR(SUMIFS(XPLog!$M:$M,XPLog!$B:$B,$A738,XPLog!$J:$J,"Seeding"),0)))</f>
        <v/>
      </c>
      <c r="F738" s="27">
        <f>IF($E738="","",LOOKUP($E738, XPBands!B$2:B$10, XPBands!A$2:A$10))</f>
        <v/>
      </c>
      <c r="G738" s="27">
        <f>IF($E738="","", VLOOKUP($F738, XPBands!A$2:G$10, 4, FALSE) + MIN(VLOOKUP($F738, XPBands!A$2:G$10, 5, FALSE) - VLOOKUP($F738, XPBands!A$2:G$10, 4, FALSE), FLOOR(( $E738 - VLOOKUP($F738, XPBands!A$2:G$10, 2, FALSE) ) / VLOOKUP($F738, XPBands!A$2:G$10, 7, FALSE),1)))</f>
        <v/>
      </c>
      <c r="H738" s="27">
        <f>IF($D738="","",VLOOKUP($D738,RoleTitles!$A:$E,3,FALSE))</f>
        <v/>
      </c>
      <c r="I738" s="27">
        <f>IF($D738="","",IF($C738="Greek",VLOOKUP($D738,RoleTitles!$A:$E,4,FALSE),IF($C738="Aesir",VLOOKUP($D738,RoleTitles!$A:$E,5,FALSE),VLOOKUP($D738,RoleTitles!$A:$E,3,FALSE))))</f>
        <v/>
      </c>
      <c r="J738" s="27">
        <f>IF($D738="","",IF($E738&gt;=VLOOKUP($D738,RoleTitles!$A:$B,2,FALSE),"Yes","No"))</f>
        <v/>
      </c>
      <c r="K738" s="27">
        <f>IF($D738="","",IF($D738="T1","T2",IF($D738="T2","T3",IF($D738="T3","T4",IF($D738="T4","T5",IF($D738="T5","T6",IF($D738="T6","T7",IF($D738="T7","T8",IF($D738="T8","T9","")))))))))</f>
        <v/>
      </c>
      <c r="L738" s="28">
        <f>IF($K738="","",MAX(0,VLOOKUP($K738,RoleTitles!$A:$B,2,FALSE)-$E738))</f>
        <v/>
      </c>
    </row>
    <row r="739">
      <c r="A739" s="24">
        <f>IFERROR(INDEX(CoachRoster!$A$2:$A$1000,ROW()-1),"")</f>
        <v/>
      </c>
      <c r="B739" s="27">
        <f>IF($A739="","",VLOOKUP($A739,CoachRoster!$A:$E,2,FALSE))</f>
        <v/>
      </c>
      <c r="C739" s="27">
        <f>IF($A739="","",VLOOKUP($A739,CoachRoster!$A:$E,3,FALSE))</f>
        <v/>
      </c>
      <c r="D739" s="27">
        <f>IF($A739="","",VLOOKUP($A739,CoachRoster!$A:$E,4,FALSE))</f>
        <v/>
      </c>
      <c r="E739" s="27">
        <f>IF($A739="","",MIN(Settings!$B$8,IFERROR(SUMIF(Weekly_Coaching!$B:$B,$A739,Weekly_Coaching!$D:$D),0)+IFERROR(SUMIF(Monthly_Edu!$B:$B,$A739,Monthly_Edu!$D:$D),0)+IFERROR(SUMIF(Monthly_Ops!$B:$B,$A739,Monthly_Ops!$D:$D),0)+IFERROR(SUMIF(Monthly_Mentor!$B:$B,$A739,Monthly_Mentor!$D:$D),0)+IFERROR(SUMIF(Quarterly_Impact!$B:$B,$A739,Quarterly_Impact!$D:$D),0)+IFERROR(SUMIFS(XPLog!$M:$M,XPLog!$B:$B,$A739,XPLog!$J:$J,"Admin"),0)+IFERROR(SUMIFS(XPLog!$M:$M,XPLog!$B:$B,$A739,XPLog!$J:$J,"Seeding"),0)))</f>
        <v/>
      </c>
      <c r="F739" s="27">
        <f>IF($E739="","",LOOKUP($E739, XPBands!B$2:B$10, XPBands!A$2:A$10))</f>
        <v/>
      </c>
      <c r="G739" s="27">
        <f>IF($E739="","", VLOOKUP($F739, XPBands!A$2:G$10, 4, FALSE) + MIN(VLOOKUP($F739, XPBands!A$2:G$10, 5, FALSE) - VLOOKUP($F739, XPBands!A$2:G$10, 4, FALSE), FLOOR(( $E739 - VLOOKUP($F739, XPBands!A$2:G$10, 2, FALSE) ) / VLOOKUP($F739, XPBands!A$2:G$10, 7, FALSE),1)))</f>
        <v/>
      </c>
      <c r="H739" s="27">
        <f>IF($D739="","",VLOOKUP($D739,RoleTitles!$A:$E,3,FALSE))</f>
        <v/>
      </c>
      <c r="I739" s="27">
        <f>IF($D739="","",IF($C739="Greek",VLOOKUP($D739,RoleTitles!$A:$E,4,FALSE),IF($C739="Aesir",VLOOKUP($D739,RoleTitles!$A:$E,5,FALSE),VLOOKUP($D739,RoleTitles!$A:$E,3,FALSE))))</f>
        <v/>
      </c>
      <c r="J739" s="27">
        <f>IF($D739="","",IF($E739&gt;=VLOOKUP($D739,RoleTitles!$A:$B,2,FALSE),"Yes","No"))</f>
        <v/>
      </c>
      <c r="K739" s="27">
        <f>IF($D739="","",IF($D739="T1","T2",IF($D739="T2","T3",IF($D739="T3","T4",IF($D739="T4","T5",IF($D739="T5","T6",IF($D739="T6","T7",IF($D739="T7","T8",IF($D739="T8","T9","")))))))))</f>
        <v/>
      </c>
      <c r="L739" s="28">
        <f>IF($K739="","",MAX(0,VLOOKUP($K739,RoleTitles!$A:$B,2,FALSE)-$E739))</f>
        <v/>
      </c>
    </row>
    <row r="740">
      <c r="A740" s="24">
        <f>IFERROR(INDEX(CoachRoster!$A$2:$A$1000,ROW()-1),"")</f>
        <v/>
      </c>
      <c r="B740" s="27">
        <f>IF($A740="","",VLOOKUP($A740,CoachRoster!$A:$E,2,FALSE))</f>
        <v/>
      </c>
      <c r="C740" s="27">
        <f>IF($A740="","",VLOOKUP($A740,CoachRoster!$A:$E,3,FALSE))</f>
        <v/>
      </c>
      <c r="D740" s="27">
        <f>IF($A740="","",VLOOKUP($A740,CoachRoster!$A:$E,4,FALSE))</f>
        <v/>
      </c>
      <c r="E740" s="27">
        <f>IF($A740="","",MIN(Settings!$B$8,IFERROR(SUMIF(Weekly_Coaching!$B:$B,$A740,Weekly_Coaching!$D:$D),0)+IFERROR(SUMIF(Monthly_Edu!$B:$B,$A740,Monthly_Edu!$D:$D),0)+IFERROR(SUMIF(Monthly_Ops!$B:$B,$A740,Monthly_Ops!$D:$D),0)+IFERROR(SUMIF(Monthly_Mentor!$B:$B,$A740,Monthly_Mentor!$D:$D),0)+IFERROR(SUMIF(Quarterly_Impact!$B:$B,$A740,Quarterly_Impact!$D:$D),0)+IFERROR(SUMIFS(XPLog!$M:$M,XPLog!$B:$B,$A740,XPLog!$J:$J,"Admin"),0)+IFERROR(SUMIFS(XPLog!$M:$M,XPLog!$B:$B,$A740,XPLog!$J:$J,"Seeding"),0)))</f>
        <v/>
      </c>
      <c r="F740" s="27">
        <f>IF($E740="","",LOOKUP($E740, XPBands!B$2:B$10, XPBands!A$2:A$10))</f>
        <v/>
      </c>
      <c r="G740" s="27">
        <f>IF($E740="","", VLOOKUP($F740, XPBands!A$2:G$10, 4, FALSE) + MIN(VLOOKUP($F740, XPBands!A$2:G$10, 5, FALSE) - VLOOKUP($F740, XPBands!A$2:G$10, 4, FALSE), FLOOR(( $E740 - VLOOKUP($F740, XPBands!A$2:G$10, 2, FALSE) ) / VLOOKUP($F740, XPBands!A$2:G$10, 7, FALSE),1)))</f>
        <v/>
      </c>
      <c r="H740" s="27">
        <f>IF($D740="","",VLOOKUP($D740,RoleTitles!$A:$E,3,FALSE))</f>
        <v/>
      </c>
      <c r="I740" s="27">
        <f>IF($D740="","",IF($C740="Greek",VLOOKUP($D740,RoleTitles!$A:$E,4,FALSE),IF($C740="Aesir",VLOOKUP($D740,RoleTitles!$A:$E,5,FALSE),VLOOKUP($D740,RoleTitles!$A:$E,3,FALSE))))</f>
        <v/>
      </c>
      <c r="J740" s="27">
        <f>IF($D740="","",IF($E740&gt;=VLOOKUP($D740,RoleTitles!$A:$B,2,FALSE),"Yes","No"))</f>
        <v/>
      </c>
      <c r="K740" s="27">
        <f>IF($D740="","",IF($D740="T1","T2",IF($D740="T2","T3",IF($D740="T3","T4",IF($D740="T4","T5",IF($D740="T5","T6",IF($D740="T6","T7",IF($D740="T7","T8",IF($D740="T8","T9","")))))))))</f>
        <v/>
      </c>
      <c r="L740" s="28">
        <f>IF($K740="","",MAX(0,VLOOKUP($K740,RoleTitles!$A:$B,2,FALSE)-$E740))</f>
        <v/>
      </c>
    </row>
    <row r="741">
      <c r="A741" s="24">
        <f>IFERROR(INDEX(CoachRoster!$A$2:$A$1000,ROW()-1),"")</f>
        <v/>
      </c>
      <c r="B741" s="27">
        <f>IF($A741="","",VLOOKUP($A741,CoachRoster!$A:$E,2,FALSE))</f>
        <v/>
      </c>
      <c r="C741" s="27">
        <f>IF($A741="","",VLOOKUP($A741,CoachRoster!$A:$E,3,FALSE))</f>
        <v/>
      </c>
      <c r="D741" s="27">
        <f>IF($A741="","",VLOOKUP($A741,CoachRoster!$A:$E,4,FALSE))</f>
        <v/>
      </c>
      <c r="E741" s="27">
        <f>IF($A741="","",MIN(Settings!$B$8,IFERROR(SUMIF(Weekly_Coaching!$B:$B,$A741,Weekly_Coaching!$D:$D),0)+IFERROR(SUMIF(Monthly_Edu!$B:$B,$A741,Monthly_Edu!$D:$D),0)+IFERROR(SUMIF(Monthly_Ops!$B:$B,$A741,Monthly_Ops!$D:$D),0)+IFERROR(SUMIF(Monthly_Mentor!$B:$B,$A741,Monthly_Mentor!$D:$D),0)+IFERROR(SUMIF(Quarterly_Impact!$B:$B,$A741,Quarterly_Impact!$D:$D),0)+IFERROR(SUMIFS(XPLog!$M:$M,XPLog!$B:$B,$A741,XPLog!$J:$J,"Admin"),0)+IFERROR(SUMIFS(XPLog!$M:$M,XPLog!$B:$B,$A741,XPLog!$J:$J,"Seeding"),0)))</f>
        <v/>
      </c>
      <c r="F741" s="27">
        <f>IF($E741="","",LOOKUP($E741, XPBands!B$2:B$10, XPBands!A$2:A$10))</f>
        <v/>
      </c>
      <c r="G741" s="27">
        <f>IF($E741="","", VLOOKUP($F741, XPBands!A$2:G$10, 4, FALSE) + MIN(VLOOKUP($F741, XPBands!A$2:G$10, 5, FALSE) - VLOOKUP($F741, XPBands!A$2:G$10, 4, FALSE), FLOOR(( $E741 - VLOOKUP($F741, XPBands!A$2:G$10, 2, FALSE) ) / VLOOKUP($F741, XPBands!A$2:G$10, 7, FALSE),1)))</f>
        <v/>
      </c>
      <c r="H741" s="27">
        <f>IF($D741="","",VLOOKUP($D741,RoleTitles!$A:$E,3,FALSE))</f>
        <v/>
      </c>
      <c r="I741" s="27">
        <f>IF($D741="","",IF($C741="Greek",VLOOKUP($D741,RoleTitles!$A:$E,4,FALSE),IF($C741="Aesir",VLOOKUP($D741,RoleTitles!$A:$E,5,FALSE),VLOOKUP($D741,RoleTitles!$A:$E,3,FALSE))))</f>
        <v/>
      </c>
      <c r="J741" s="27">
        <f>IF($D741="","",IF($E741&gt;=VLOOKUP($D741,RoleTitles!$A:$B,2,FALSE),"Yes","No"))</f>
        <v/>
      </c>
      <c r="K741" s="27">
        <f>IF($D741="","",IF($D741="T1","T2",IF($D741="T2","T3",IF($D741="T3","T4",IF($D741="T4","T5",IF($D741="T5","T6",IF($D741="T6","T7",IF($D741="T7","T8",IF($D741="T8","T9","")))))))))</f>
        <v/>
      </c>
      <c r="L741" s="28">
        <f>IF($K741="","",MAX(0,VLOOKUP($K741,RoleTitles!$A:$B,2,FALSE)-$E741))</f>
        <v/>
      </c>
    </row>
    <row r="742">
      <c r="A742" s="24">
        <f>IFERROR(INDEX(CoachRoster!$A$2:$A$1000,ROW()-1),"")</f>
        <v/>
      </c>
      <c r="B742" s="27">
        <f>IF($A742="","",VLOOKUP($A742,CoachRoster!$A:$E,2,FALSE))</f>
        <v/>
      </c>
      <c r="C742" s="27">
        <f>IF($A742="","",VLOOKUP($A742,CoachRoster!$A:$E,3,FALSE))</f>
        <v/>
      </c>
      <c r="D742" s="27">
        <f>IF($A742="","",VLOOKUP($A742,CoachRoster!$A:$E,4,FALSE))</f>
        <v/>
      </c>
      <c r="E742" s="27">
        <f>IF($A742="","",MIN(Settings!$B$8,IFERROR(SUMIF(Weekly_Coaching!$B:$B,$A742,Weekly_Coaching!$D:$D),0)+IFERROR(SUMIF(Monthly_Edu!$B:$B,$A742,Monthly_Edu!$D:$D),0)+IFERROR(SUMIF(Monthly_Ops!$B:$B,$A742,Monthly_Ops!$D:$D),0)+IFERROR(SUMIF(Monthly_Mentor!$B:$B,$A742,Monthly_Mentor!$D:$D),0)+IFERROR(SUMIF(Quarterly_Impact!$B:$B,$A742,Quarterly_Impact!$D:$D),0)+IFERROR(SUMIFS(XPLog!$M:$M,XPLog!$B:$B,$A742,XPLog!$J:$J,"Admin"),0)+IFERROR(SUMIFS(XPLog!$M:$M,XPLog!$B:$B,$A742,XPLog!$J:$J,"Seeding"),0)))</f>
        <v/>
      </c>
      <c r="F742" s="27">
        <f>IF($E742="","",LOOKUP($E742, XPBands!B$2:B$10, XPBands!A$2:A$10))</f>
        <v/>
      </c>
      <c r="G742" s="27">
        <f>IF($E742="","", VLOOKUP($F742, XPBands!A$2:G$10, 4, FALSE) + MIN(VLOOKUP($F742, XPBands!A$2:G$10, 5, FALSE) - VLOOKUP($F742, XPBands!A$2:G$10, 4, FALSE), FLOOR(( $E742 - VLOOKUP($F742, XPBands!A$2:G$10, 2, FALSE) ) / VLOOKUP($F742, XPBands!A$2:G$10, 7, FALSE),1)))</f>
        <v/>
      </c>
      <c r="H742" s="27">
        <f>IF($D742="","",VLOOKUP($D742,RoleTitles!$A:$E,3,FALSE))</f>
        <v/>
      </c>
      <c r="I742" s="27">
        <f>IF($D742="","",IF($C742="Greek",VLOOKUP($D742,RoleTitles!$A:$E,4,FALSE),IF($C742="Aesir",VLOOKUP($D742,RoleTitles!$A:$E,5,FALSE),VLOOKUP($D742,RoleTitles!$A:$E,3,FALSE))))</f>
        <v/>
      </c>
      <c r="J742" s="27">
        <f>IF($D742="","",IF($E742&gt;=VLOOKUP($D742,RoleTitles!$A:$B,2,FALSE),"Yes","No"))</f>
        <v/>
      </c>
      <c r="K742" s="27">
        <f>IF($D742="","",IF($D742="T1","T2",IF($D742="T2","T3",IF($D742="T3","T4",IF($D742="T4","T5",IF($D742="T5","T6",IF($D742="T6","T7",IF($D742="T7","T8",IF($D742="T8","T9","")))))))))</f>
        <v/>
      </c>
      <c r="L742" s="28">
        <f>IF($K742="","",MAX(0,VLOOKUP($K742,RoleTitles!$A:$B,2,FALSE)-$E742))</f>
        <v/>
      </c>
    </row>
    <row r="743">
      <c r="A743" s="24">
        <f>IFERROR(INDEX(CoachRoster!$A$2:$A$1000,ROW()-1),"")</f>
        <v/>
      </c>
      <c r="B743" s="27">
        <f>IF($A743="","",VLOOKUP($A743,CoachRoster!$A:$E,2,FALSE))</f>
        <v/>
      </c>
      <c r="C743" s="27">
        <f>IF($A743="","",VLOOKUP($A743,CoachRoster!$A:$E,3,FALSE))</f>
        <v/>
      </c>
      <c r="D743" s="27">
        <f>IF($A743="","",VLOOKUP($A743,CoachRoster!$A:$E,4,FALSE))</f>
        <v/>
      </c>
      <c r="E743" s="27">
        <f>IF($A743="","",MIN(Settings!$B$8,IFERROR(SUMIF(Weekly_Coaching!$B:$B,$A743,Weekly_Coaching!$D:$D),0)+IFERROR(SUMIF(Monthly_Edu!$B:$B,$A743,Monthly_Edu!$D:$D),0)+IFERROR(SUMIF(Monthly_Ops!$B:$B,$A743,Monthly_Ops!$D:$D),0)+IFERROR(SUMIF(Monthly_Mentor!$B:$B,$A743,Monthly_Mentor!$D:$D),0)+IFERROR(SUMIF(Quarterly_Impact!$B:$B,$A743,Quarterly_Impact!$D:$D),0)+IFERROR(SUMIFS(XPLog!$M:$M,XPLog!$B:$B,$A743,XPLog!$J:$J,"Admin"),0)+IFERROR(SUMIFS(XPLog!$M:$M,XPLog!$B:$B,$A743,XPLog!$J:$J,"Seeding"),0)))</f>
        <v/>
      </c>
      <c r="F743" s="27">
        <f>IF($E743="","",LOOKUP($E743, XPBands!B$2:B$10, XPBands!A$2:A$10))</f>
        <v/>
      </c>
      <c r="G743" s="27">
        <f>IF($E743="","", VLOOKUP($F743, XPBands!A$2:G$10, 4, FALSE) + MIN(VLOOKUP($F743, XPBands!A$2:G$10, 5, FALSE) - VLOOKUP($F743, XPBands!A$2:G$10, 4, FALSE), FLOOR(( $E743 - VLOOKUP($F743, XPBands!A$2:G$10, 2, FALSE) ) / VLOOKUP($F743, XPBands!A$2:G$10, 7, FALSE),1)))</f>
        <v/>
      </c>
      <c r="H743" s="27">
        <f>IF($D743="","",VLOOKUP($D743,RoleTitles!$A:$E,3,FALSE))</f>
        <v/>
      </c>
      <c r="I743" s="27">
        <f>IF($D743="","",IF($C743="Greek",VLOOKUP($D743,RoleTitles!$A:$E,4,FALSE),IF($C743="Aesir",VLOOKUP($D743,RoleTitles!$A:$E,5,FALSE),VLOOKUP($D743,RoleTitles!$A:$E,3,FALSE))))</f>
        <v/>
      </c>
      <c r="J743" s="27">
        <f>IF($D743="","",IF($E743&gt;=VLOOKUP($D743,RoleTitles!$A:$B,2,FALSE),"Yes","No"))</f>
        <v/>
      </c>
      <c r="K743" s="27">
        <f>IF($D743="","",IF($D743="T1","T2",IF($D743="T2","T3",IF($D743="T3","T4",IF($D743="T4","T5",IF($D743="T5","T6",IF($D743="T6","T7",IF($D743="T7","T8",IF($D743="T8","T9","")))))))))</f>
        <v/>
      </c>
      <c r="L743" s="28">
        <f>IF($K743="","",MAX(0,VLOOKUP($K743,RoleTitles!$A:$B,2,FALSE)-$E743))</f>
        <v/>
      </c>
    </row>
    <row r="744">
      <c r="A744" s="24">
        <f>IFERROR(INDEX(CoachRoster!$A$2:$A$1000,ROW()-1),"")</f>
        <v/>
      </c>
      <c r="B744" s="27">
        <f>IF($A744="","",VLOOKUP($A744,CoachRoster!$A:$E,2,FALSE))</f>
        <v/>
      </c>
      <c r="C744" s="27">
        <f>IF($A744="","",VLOOKUP($A744,CoachRoster!$A:$E,3,FALSE))</f>
        <v/>
      </c>
      <c r="D744" s="27">
        <f>IF($A744="","",VLOOKUP($A744,CoachRoster!$A:$E,4,FALSE))</f>
        <v/>
      </c>
      <c r="E744" s="27">
        <f>IF($A744="","",MIN(Settings!$B$8,IFERROR(SUMIF(Weekly_Coaching!$B:$B,$A744,Weekly_Coaching!$D:$D),0)+IFERROR(SUMIF(Monthly_Edu!$B:$B,$A744,Monthly_Edu!$D:$D),0)+IFERROR(SUMIF(Monthly_Ops!$B:$B,$A744,Monthly_Ops!$D:$D),0)+IFERROR(SUMIF(Monthly_Mentor!$B:$B,$A744,Monthly_Mentor!$D:$D),0)+IFERROR(SUMIF(Quarterly_Impact!$B:$B,$A744,Quarterly_Impact!$D:$D),0)+IFERROR(SUMIFS(XPLog!$M:$M,XPLog!$B:$B,$A744,XPLog!$J:$J,"Admin"),0)+IFERROR(SUMIFS(XPLog!$M:$M,XPLog!$B:$B,$A744,XPLog!$J:$J,"Seeding"),0)))</f>
        <v/>
      </c>
      <c r="F744" s="27">
        <f>IF($E744="","",LOOKUP($E744, XPBands!B$2:B$10, XPBands!A$2:A$10))</f>
        <v/>
      </c>
      <c r="G744" s="27">
        <f>IF($E744="","", VLOOKUP($F744, XPBands!A$2:G$10, 4, FALSE) + MIN(VLOOKUP($F744, XPBands!A$2:G$10, 5, FALSE) - VLOOKUP($F744, XPBands!A$2:G$10, 4, FALSE), FLOOR(( $E744 - VLOOKUP($F744, XPBands!A$2:G$10, 2, FALSE) ) / VLOOKUP($F744, XPBands!A$2:G$10, 7, FALSE),1)))</f>
        <v/>
      </c>
      <c r="H744" s="27">
        <f>IF($D744="","",VLOOKUP($D744,RoleTitles!$A:$E,3,FALSE))</f>
        <v/>
      </c>
      <c r="I744" s="27">
        <f>IF($D744="","",IF($C744="Greek",VLOOKUP($D744,RoleTitles!$A:$E,4,FALSE),IF($C744="Aesir",VLOOKUP($D744,RoleTitles!$A:$E,5,FALSE),VLOOKUP($D744,RoleTitles!$A:$E,3,FALSE))))</f>
        <v/>
      </c>
      <c r="J744" s="27">
        <f>IF($D744="","",IF($E744&gt;=VLOOKUP($D744,RoleTitles!$A:$B,2,FALSE),"Yes","No"))</f>
        <v/>
      </c>
      <c r="K744" s="27">
        <f>IF($D744="","",IF($D744="T1","T2",IF($D744="T2","T3",IF($D744="T3","T4",IF($D744="T4","T5",IF($D744="T5","T6",IF($D744="T6","T7",IF($D744="T7","T8",IF($D744="T8","T9","")))))))))</f>
        <v/>
      </c>
      <c r="L744" s="28">
        <f>IF($K744="","",MAX(0,VLOOKUP($K744,RoleTitles!$A:$B,2,FALSE)-$E744))</f>
        <v/>
      </c>
    </row>
    <row r="745">
      <c r="A745" s="24">
        <f>IFERROR(INDEX(CoachRoster!$A$2:$A$1000,ROW()-1),"")</f>
        <v/>
      </c>
      <c r="B745" s="27">
        <f>IF($A745="","",VLOOKUP($A745,CoachRoster!$A:$E,2,FALSE))</f>
        <v/>
      </c>
      <c r="C745" s="27">
        <f>IF($A745="","",VLOOKUP($A745,CoachRoster!$A:$E,3,FALSE))</f>
        <v/>
      </c>
      <c r="D745" s="27">
        <f>IF($A745="","",VLOOKUP($A745,CoachRoster!$A:$E,4,FALSE))</f>
        <v/>
      </c>
      <c r="E745" s="27">
        <f>IF($A745="","",MIN(Settings!$B$8,IFERROR(SUMIF(Weekly_Coaching!$B:$B,$A745,Weekly_Coaching!$D:$D),0)+IFERROR(SUMIF(Monthly_Edu!$B:$B,$A745,Monthly_Edu!$D:$D),0)+IFERROR(SUMIF(Monthly_Ops!$B:$B,$A745,Monthly_Ops!$D:$D),0)+IFERROR(SUMIF(Monthly_Mentor!$B:$B,$A745,Monthly_Mentor!$D:$D),0)+IFERROR(SUMIF(Quarterly_Impact!$B:$B,$A745,Quarterly_Impact!$D:$D),0)+IFERROR(SUMIFS(XPLog!$M:$M,XPLog!$B:$B,$A745,XPLog!$J:$J,"Admin"),0)+IFERROR(SUMIFS(XPLog!$M:$M,XPLog!$B:$B,$A745,XPLog!$J:$J,"Seeding"),0)))</f>
        <v/>
      </c>
      <c r="F745" s="27">
        <f>IF($E745="","",LOOKUP($E745, XPBands!B$2:B$10, XPBands!A$2:A$10))</f>
        <v/>
      </c>
      <c r="G745" s="27">
        <f>IF($E745="","", VLOOKUP($F745, XPBands!A$2:G$10, 4, FALSE) + MIN(VLOOKUP($F745, XPBands!A$2:G$10, 5, FALSE) - VLOOKUP($F745, XPBands!A$2:G$10, 4, FALSE), FLOOR(( $E745 - VLOOKUP($F745, XPBands!A$2:G$10, 2, FALSE) ) / VLOOKUP($F745, XPBands!A$2:G$10, 7, FALSE),1)))</f>
        <v/>
      </c>
      <c r="H745" s="27">
        <f>IF($D745="","",VLOOKUP($D745,RoleTitles!$A:$E,3,FALSE))</f>
        <v/>
      </c>
      <c r="I745" s="27">
        <f>IF($D745="","",IF($C745="Greek",VLOOKUP($D745,RoleTitles!$A:$E,4,FALSE),IF($C745="Aesir",VLOOKUP($D745,RoleTitles!$A:$E,5,FALSE),VLOOKUP($D745,RoleTitles!$A:$E,3,FALSE))))</f>
        <v/>
      </c>
      <c r="J745" s="27">
        <f>IF($D745="","",IF($E745&gt;=VLOOKUP($D745,RoleTitles!$A:$B,2,FALSE),"Yes","No"))</f>
        <v/>
      </c>
      <c r="K745" s="27">
        <f>IF($D745="","",IF($D745="T1","T2",IF($D745="T2","T3",IF($D745="T3","T4",IF($D745="T4","T5",IF($D745="T5","T6",IF($D745="T6","T7",IF($D745="T7","T8",IF($D745="T8","T9","")))))))))</f>
        <v/>
      </c>
      <c r="L745" s="28">
        <f>IF($K745="","",MAX(0,VLOOKUP($K745,RoleTitles!$A:$B,2,FALSE)-$E745))</f>
        <v/>
      </c>
    </row>
    <row r="746">
      <c r="A746" s="24">
        <f>IFERROR(INDEX(CoachRoster!$A$2:$A$1000,ROW()-1),"")</f>
        <v/>
      </c>
      <c r="B746" s="27">
        <f>IF($A746="","",VLOOKUP($A746,CoachRoster!$A:$E,2,FALSE))</f>
        <v/>
      </c>
      <c r="C746" s="27">
        <f>IF($A746="","",VLOOKUP($A746,CoachRoster!$A:$E,3,FALSE))</f>
        <v/>
      </c>
      <c r="D746" s="27">
        <f>IF($A746="","",VLOOKUP($A746,CoachRoster!$A:$E,4,FALSE))</f>
        <v/>
      </c>
      <c r="E746" s="27">
        <f>IF($A746="","",MIN(Settings!$B$8,IFERROR(SUMIF(Weekly_Coaching!$B:$B,$A746,Weekly_Coaching!$D:$D),0)+IFERROR(SUMIF(Monthly_Edu!$B:$B,$A746,Monthly_Edu!$D:$D),0)+IFERROR(SUMIF(Monthly_Ops!$B:$B,$A746,Monthly_Ops!$D:$D),0)+IFERROR(SUMIF(Monthly_Mentor!$B:$B,$A746,Monthly_Mentor!$D:$D),0)+IFERROR(SUMIF(Quarterly_Impact!$B:$B,$A746,Quarterly_Impact!$D:$D),0)+IFERROR(SUMIFS(XPLog!$M:$M,XPLog!$B:$B,$A746,XPLog!$J:$J,"Admin"),0)+IFERROR(SUMIFS(XPLog!$M:$M,XPLog!$B:$B,$A746,XPLog!$J:$J,"Seeding"),0)))</f>
        <v/>
      </c>
      <c r="F746" s="27">
        <f>IF($E746="","",LOOKUP($E746, XPBands!B$2:B$10, XPBands!A$2:A$10))</f>
        <v/>
      </c>
      <c r="G746" s="27">
        <f>IF($E746="","", VLOOKUP($F746, XPBands!A$2:G$10, 4, FALSE) + MIN(VLOOKUP($F746, XPBands!A$2:G$10, 5, FALSE) - VLOOKUP($F746, XPBands!A$2:G$10, 4, FALSE), FLOOR(( $E746 - VLOOKUP($F746, XPBands!A$2:G$10, 2, FALSE) ) / VLOOKUP($F746, XPBands!A$2:G$10, 7, FALSE),1)))</f>
        <v/>
      </c>
      <c r="H746" s="27">
        <f>IF($D746="","",VLOOKUP($D746,RoleTitles!$A:$E,3,FALSE))</f>
        <v/>
      </c>
      <c r="I746" s="27">
        <f>IF($D746="","",IF($C746="Greek",VLOOKUP($D746,RoleTitles!$A:$E,4,FALSE),IF($C746="Aesir",VLOOKUP($D746,RoleTitles!$A:$E,5,FALSE),VLOOKUP($D746,RoleTitles!$A:$E,3,FALSE))))</f>
        <v/>
      </c>
      <c r="J746" s="27">
        <f>IF($D746="","",IF($E746&gt;=VLOOKUP($D746,RoleTitles!$A:$B,2,FALSE),"Yes","No"))</f>
        <v/>
      </c>
      <c r="K746" s="27">
        <f>IF($D746="","",IF($D746="T1","T2",IF($D746="T2","T3",IF($D746="T3","T4",IF($D746="T4","T5",IF($D746="T5","T6",IF($D746="T6","T7",IF($D746="T7","T8",IF($D746="T8","T9","")))))))))</f>
        <v/>
      </c>
      <c r="L746" s="28">
        <f>IF($K746="","",MAX(0,VLOOKUP($K746,RoleTitles!$A:$B,2,FALSE)-$E746))</f>
        <v/>
      </c>
    </row>
    <row r="747">
      <c r="A747" s="24">
        <f>IFERROR(INDEX(CoachRoster!$A$2:$A$1000,ROW()-1),"")</f>
        <v/>
      </c>
      <c r="B747" s="27">
        <f>IF($A747="","",VLOOKUP($A747,CoachRoster!$A:$E,2,FALSE))</f>
        <v/>
      </c>
      <c r="C747" s="27">
        <f>IF($A747="","",VLOOKUP($A747,CoachRoster!$A:$E,3,FALSE))</f>
        <v/>
      </c>
      <c r="D747" s="27">
        <f>IF($A747="","",VLOOKUP($A747,CoachRoster!$A:$E,4,FALSE))</f>
        <v/>
      </c>
      <c r="E747" s="27">
        <f>IF($A747="","",MIN(Settings!$B$8,IFERROR(SUMIF(Weekly_Coaching!$B:$B,$A747,Weekly_Coaching!$D:$D),0)+IFERROR(SUMIF(Monthly_Edu!$B:$B,$A747,Monthly_Edu!$D:$D),0)+IFERROR(SUMIF(Monthly_Ops!$B:$B,$A747,Monthly_Ops!$D:$D),0)+IFERROR(SUMIF(Monthly_Mentor!$B:$B,$A747,Monthly_Mentor!$D:$D),0)+IFERROR(SUMIF(Quarterly_Impact!$B:$B,$A747,Quarterly_Impact!$D:$D),0)+IFERROR(SUMIFS(XPLog!$M:$M,XPLog!$B:$B,$A747,XPLog!$J:$J,"Admin"),0)+IFERROR(SUMIFS(XPLog!$M:$M,XPLog!$B:$B,$A747,XPLog!$J:$J,"Seeding"),0)))</f>
        <v/>
      </c>
      <c r="F747" s="27">
        <f>IF($E747="","",LOOKUP($E747, XPBands!B$2:B$10, XPBands!A$2:A$10))</f>
        <v/>
      </c>
      <c r="G747" s="27">
        <f>IF($E747="","", VLOOKUP($F747, XPBands!A$2:G$10, 4, FALSE) + MIN(VLOOKUP($F747, XPBands!A$2:G$10, 5, FALSE) - VLOOKUP($F747, XPBands!A$2:G$10, 4, FALSE), FLOOR(( $E747 - VLOOKUP($F747, XPBands!A$2:G$10, 2, FALSE) ) / VLOOKUP($F747, XPBands!A$2:G$10, 7, FALSE),1)))</f>
        <v/>
      </c>
      <c r="H747" s="27">
        <f>IF($D747="","",VLOOKUP($D747,RoleTitles!$A:$E,3,FALSE))</f>
        <v/>
      </c>
      <c r="I747" s="27">
        <f>IF($D747="","",IF($C747="Greek",VLOOKUP($D747,RoleTitles!$A:$E,4,FALSE),IF($C747="Aesir",VLOOKUP($D747,RoleTitles!$A:$E,5,FALSE),VLOOKUP($D747,RoleTitles!$A:$E,3,FALSE))))</f>
        <v/>
      </c>
      <c r="J747" s="27">
        <f>IF($D747="","",IF($E747&gt;=VLOOKUP($D747,RoleTitles!$A:$B,2,FALSE),"Yes","No"))</f>
        <v/>
      </c>
      <c r="K747" s="27">
        <f>IF($D747="","",IF($D747="T1","T2",IF($D747="T2","T3",IF($D747="T3","T4",IF($D747="T4","T5",IF($D747="T5","T6",IF($D747="T6","T7",IF($D747="T7","T8",IF($D747="T8","T9","")))))))))</f>
        <v/>
      </c>
      <c r="L747" s="28">
        <f>IF($K747="","",MAX(0,VLOOKUP($K747,RoleTitles!$A:$B,2,FALSE)-$E747))</f>
        <v/>
      </c>
    </row>
    <row r="748">
      <c r="A748" s="24">
        <f>IFERROR(INDEX(CoachRoster!$A$2:$A$1000,ROW()-1),"")</f>
        <v/>
      </c>
      <c r="B748" s="27">
        <f>IF($A748="","",VLOOKUP($A748,CoachRoster!$A:$E,2,FALSE))</f>
        <v/>
      </c>
      <c r="C748" s="27">
        <f>IF($A748="","",VLOOKUP($A748,CoachRoster!$A:$E,3,FALSE))</f>
        <v/>
      </c>
      <c r="D748" s="27">
        <f>IF($A748="","",VLOOKUP($A748,CoachRoster!$A:$E,4,FALSE))</f>
        <v/>
      </c>
      <c r="E748" s="27">
        <f>IF($A748="","",MIN(Settings!$B$8,IFERROR(SUMIF(Weekly_Coaching!$B:$B,$A748,Weekly_Coaching!$D:$D),0)+IFERROR(SUMIF(Monthly_Edu!$B:$B,$A748,Monthly_Edu!$D:$D),0)+IFERROR(SUMIF(Monthly_Ops!$B:$B,$A748,Monthly_Ops!$D:$D),0)+IFERROR(SUMIF(Monthly_Mentor!$B:$B,$A748,Monthly_Mentor!$D:$D),0)+IFERROR(SUMIF(Quarterly_Impact!$B:$B,$A748,Quarterly_Impact!$D:$D),0)+IFERROR(SUMIFS(XPLog!$M:$M,XPLog!$B:$B,$A748,XPLog!$J:$J,"Admin"),0)+IFERROR(SUMIFS(XPLog!$M:$M,XPLog!$B:$B,$A748,XPLog!$J:$J,"Seeding"),0)))</f>
        <v/>
      </c>
      <c r="F748" s="27">
        <f>IF($E748="","",LOOKUP($E748, XPBands!B$2:B$10, XPBands!A$2:A$10))</f>
        <v/>
      </c>
      <c r="G748" s="27">
        <f>IF($E748="","", VLOOKUP($F748, XPBands!A$2:G$10, 4, FALSE) + MIN(VLOOKUP($F748, XPBands!A$2:G$10, 5, FALSE) - VLOOKUP($F748, XPBands!A$2:G$10, 4, FALSE), FLOOR(( $E748 - VLOOKUP($F748, XPBands!A$2:G$10, 2, FALSE) ) / VLOOKUP($F748, XPBands!A$2:G$10, 7, FALSE),1)))</f>
        <v/>
      </c>
      <c r="H748" s="27">
        <f>IF($D748="","",VLOOKUP($D748,RoleTitles!$A:$E,3,FALSE))</f>
        <v/>
      </c>
      <c r="I748" s="27">
        <f>IF($D748="","",IF($C748="Greek",VLOOKUP($D748,RoleTitles!$A:$E,4,FALSE),IF($C748="Aesir",VLOOKUP($D748,RoleTitles!$A:$E,5,FALSE),VLOOKUP($D748,RoleTitles!$A:$E,3,FALSE))))</f>
        <v/>
      </c>
      <c r="J748" s="27">
        <f>IF($D748="","",IF($E748&gt;=VLOOKUP($D748,RoleTitles!$A:$B,2,FALSE),"Yes","No"))</f>
        <v/>
      </c>
      <c r="K748" s="27">
        <f>IF($D748="","",IF($D748="T1","T2",IF($D748="T2","T3",IF($D748="T3","T4",IF($D748="T4","T5",IF($D748="T5","T6",IF($D748="T6","T7",IF($D748="T7","T8",IF($D748="T8","T9","")))))))))</f>
        <v/>
      </c>
      <c r="L748" s="28">
        <f>IF($K748="","",MAX(0,VLOOKUP($K748,RoleTitles!$A:$B,2,FALSE)-$E748))</f>
        <v/>
      </c>
    </row>
    <row r="749">
      <c r="A749" s="24">
        <f>IFERROR(INDEX(CoachRoster!$A$2:$A$1000,ROW()-1),"")</f>
        <v/>
      </c>
      <c r="B749" s="27">
        <f>IF($A749="","",VLOOKUP($A749,CoachRoster!$A:$E,2,FALSE))</f>
        <v/>
      </c>
      <c r="C749" s="27">
        <f>IF($A749="","",VLOOKUP($A749,CoachRoster!$A:$E,3,FALSE))</f>
        <v/>
      </c>
      <c r="D749" s="27">
        <f>IF($A749="","",VLOOKUP($A749,CoachRoster!$A:$E,4,FALSE))</f>
        <v/>
      </c>
      <c r="E749" s="27">
        <f>IF($A749="","",MIN(Settings!$B$8,IFERROR(SUMIF(Weekly_Coaching!$B:$B,$A749,Weekly_Coaching!$D:$D),0)+IFERROR(SUMIF(Monthly_Edu!$B:$B,$A749,Monthly_Edu!$D:$D),0)+IFERROR(SUMIF(Monthly_Ops!$B:$B,$A749,Monthly_Ops!$D:$D),0)+IFERROR(SUMIF(Monthly_Mentor!$B:$B,$A749,Monthly_Mentor!$D:$D),0)+IFERROR(SUMIF(Quarterly_Impact!$B:$B,$A749,Quarterly_Impact!$D:$D),0)+IFERROR(SUMIFS(XPLog!$M:$M,XPLog!$B:$B,$A749,XPLog!$J:$J,"Admin"),0)+IFERROR(SUMIFS(XPLog!$M:$M,XPLog!$B:$B,$A749,XPLog!$J:$J,"Seeding"),0)))</f>
        <v/>
      </c>
      <c r="F749" s="27">
        <f>IF($E749="","",LOOKUP($E749, XPBands!B$2:B$10, XPBands!A$2:A$10))</f>
        <v/>
      </c>
      <c r="G749" s="27">
        <f>IF($E749="","", VLOOKUP($F749, XPBands!A$2:G$10, 4, FALSE) + MIN(VLOOKUP($F749, XPBands!A$2:G$10, 5, FALSE) - VLOOKUP($F749, XPBands!A$2:G$10, 4, FALSE), FLOOR(( $E749 - VLOOKUP($F749, XPBands!A$2:G$10, 2, FALSE) ) / VLOOKUP($F749, XPBands!A$2:G$10, 7, FALSE),1)))</f>
        <v/>
      </c>
      <c r="H749" s="27">
        <f>IF($D749="","",VLOOKUP($D749,RoleTitles!$A:$E,3,FALSE))</f>
        <v/>
      </c>
      <c r="I749" s="27">
        <f>IF($D749="","",IF($C749="Greek",VLOOKUP($D749,RoleTitles!$A:$E,4,FALSE),IF($C749="Aesir",VLOOKUP($D749,RoleTitles!$A:$E,5,FALSE),VLOOKUP($D749,RoleTitles!$A:$E,3,FALSE))))</f>
        <v/>
      </c>
      <c r="J749" s="27">
        <f>IF($D749="","",IF($E749&gt;=VLOOKUP($D749,RoleTitles!$A:$B,2,FALSE),"Yes","No"))</f>
        <v/>
      </c>
      <c r="K749" s="27">
        <f>IF($D749="","",IF($D749="T1","T2",IF($D749="T2","T3",IF($D749="T3","T4",IF($D749="T4","T5",IF($D749="T5","T6",IF($D749="T6","T7",IF($D749="T7","T8",IF($D749="T8","T9","")))))))))</f>
        <v/>
      </c>
      <c r="L749" s="28">
        <f>IF($K749="","",MAX(0,VLOOKUP($K749,RoleTitles!$A:$B,2,FALSE)-$E749))</f>
        <v/>
      </c>
    </row>
    <row r="750">
      <c r="A750" s="24">
        <f>IFERROR(INDEX(CoachRoster!$A$2:$A$1000,ROW()-1),"")</f>
        <v/>
      </c>
      <c r="B750" s="27">
        <f>IF($A750="","",VLOOKUP($A750,CoachRoster!$A:$E,2,FALSE))</f>
        <v/>
      </c>
      <c r="C750" s="27">
        <f>IF($A750="","",VLOOKUP($A750,CoachRoster!$A:$E,3,FALSE))</f>
        <v/>
      </c>
      <c r="D750" s="27">
        <f>IF($A750="","",VLOOKUP($A750,CoachRoster!$A:$E,4,FALSE))</f>
        <v/>
      </c>
      <c r="E750" s="27">
        <f>IF($A750="","",MIN(Settings!$B$8,IFERROR(SUMIF(Weekly_Coaching!$B:$B,$A750,Weekly_Coaching!$D:$D),0)+IFERROR(SUMIF(Monthly_Edu!$B:$B,$A750,Monthly_Edu!$D:$D),0)+IFERROR(SUMIF(Monthly_Ops!$B:$B,$A750,Monthly_Ops!$D:$D),0)+IFERROR(SUMIF(Monthly_Mentor!$B:$B,$A750,Monthly_Mentor!$D:$D),0)+IFERROR(SUMIF(Quarterly_Impact!$B:$B,$A750,Quarterly_Impact!$D:$D),0)+IFERROR(SUMIFS(XPLog!$M:$M,XPLog!$B:$B,$A750,XPLog!$J:$J,"Admin"),0)+IFERROR(SUMIFS(XPLog!$M:$M,XPLog!$B:$B,$A750,XPLog!$J:$J,"Seeding"),0)))</f>
        <v/>
      </c>
      <c r="F750" s="27">
        <f>IF($E750="","",LOOKUP($E750, XPBands!B$2:B$10, XPBands!A$2:A$10))</f>
        <v/>
      </c>
      <c r="G750" s="27">
        <f>IF($E750="","", VLOOKUP($F750, XPBands!A$2:G$10, 4, FALSE) + MIN(VLOOKUP($F750, XPBands!A$2:G$10, 5, FALSE) - VLOOKUP($F750, XPBands!A$2:G$10, 4, FALSE), FLOOR(( $E750 - VLOOKUP($F750, XPBands!A$2:G$10, 2, FALSE) ) / VLOOKUP($F750, XPBands!A$2:G$10, 7, FALSE),1)))</f>
        <v/>
      </c>
      <c r="H750" s="27">
        <f>IF($D750="","",VLOOKUP($D750,RoleTitles!$A:$E,3,FALSE))</f>
        <v/>
      </c>
      <c r="I750" s="27">
        <f>IF($D750="","",IF($C750="Greek",VLOOKUP($D750,RoleTitles!$A:$E,4,FALSE),IF($C750="Aesir",VLOOKUP($D750,RoleTitles!$A:$E,5,FALSE),VLOOKUP($D750,RoleTitles!$A:$E,3,FALSE))))</f>
        <v/>
      </c>
      <c r="J750" s="27">
        <f>IF($D750="","",IF($E750&gt;=VLOOKUP($D750,RoleTitles!$A:$B,2,FALSE),"Yes","No"))</f>
        <v/>
      </c>
      <c r="K750" s="27">
        <f>IF($D750="","",IF($D750="T1","T2",IF($D750="T2","T3",IF($D750="T3","T4",IF($D750="T4","T5",IF($D750="T5","T6",IF($D750="T6","T7",IF($D750="T7","T8",IF($D750="T8","T9","")))))))))</f>
        <v/>
      </c>
      <c r="L750" s="28">
        <f>IF($K750="","",MAX(0,VLOOKUP($K750,RoleTitles!$A:$B,2,FALSE)-$E750))</f>
        <v/>
      </c>
    </row>
    <row r="751">
      <c r="A751" s="24">
        <f>IFERROR(INDEX(CoachRoster!$A$2:$A$1000,ROW()-1),"")</f>
        <v/>
      </c>
      <c r="B751" s="27">
        <f>IF($A751="","",VLOOKUP($A751,CoachRoster!$A:$E,2,FALSE))</f>
        <v/>
      </c>
      <c r="C751" s="27">
        <f>IF($A751="","",VLOOKUP($A751,CoachRoster!$A:$E,3,FALSE))</f>
        <v/>
      </c>
      <c r="D751" s="27">
        <f>IF($A751="","",VLOOKUP($A751,CoachRoster!$A:$E,4,FALSE))</f>
        <v/>
      </c>
      <c r="E751" s="27">
        <f>IF($A751="","",MIN(Settings!$B$8,IFERROR(SUMIF(Weekly_Coaching!$B:$B,$A751,Weekly_Coaching!$D:$D),0)+IFERROR(SUMIF(Monthly_Edu!$B:$B,$A751,Monthly_Edu!$D:$D),0)+IFERROR(SUMIF(Monthly_Ops!$B:$B,$A751,Monthly_Ops!$D:$D),0)+IFERROR(SUMIF(Monthly_Mentor!$B:$B,$A751,Monthly_Mentor!$D:$D),0)+IFERROR(SUMIF(Quarterly_Impact!$B:$B,$A751,Quarterly_Impact!$D:$D),0)+IFERROR(SUMIFS(XPLog!$M:$M,XPLog!$B:$B,$A751,XPLog!$J:$J,"Admin"),0)+IFERROR(SUMIFS(XPLog!$M:$M,XPLog!$B:$B,$A751,XPLog!$J:$J,"Seeding"),0)))</f>
        <v/>
      </c>
      <c r="F751" s="27">
        <f>IF($E751="","",LOOKUP($E751, XPBands!B$2:B$10, XPBands!A$2:A$10))</f>
        <v/>
      </c>
      <c r="G751" s="27">
        <f>IF($E751="","", VLOOKUP($F751, XPBands!A$2:G$10, 4, FALSE) + MIN(VLOOKUP($F751, XPBands!A$2:G$10, 5, FALSE) - VLOOKUP($F751, XPBands!A$2:G$10, 4, FALSE), FLOOR(( $E751 - VLOOKUP($F751, XPBands!A$2:G$10, 2, FALSE) ) / VLOOKUP($F751, XPBands!A$2:G$10, 7, FALSE),1)))</f>
        <v/>
      </c>
      <c r="H751" s="27">
        <f>IF($D751="","",VLOOKUP($D751,RoleTitles!$A:$E,3,FALSE))</f>
        <v/>
      </c>
      <c r="I751" s="27">
        <f>IF($D751="","",IF($C751="Greek",VLOOKUP($D751,RoleTitles!$A:$E,4,FALSE),IF($C751="Aesir",VLOOKUP($D751,RoleTitles!$A:$E,5,FALSE),VLOOKUP($D751,RoleTitles!$A:$E,3,FALSE))))</f>
        <v/>
      </c>
      <c r="J751" s="27">
        <f>IF($D751="","",IF($E751&gt;=VLOOKUP($D751,RoleTitles!$A:$B,2,FALSE),"Yes","No"))</f>
        <v/>
      </c>
      <c r="K751" s="27">
        <f>IF($D751="","",IF($D751="T1","T2",IF($D751="T2","T3",IF($D751="T3","T4",IF($D751="T4","T5",IF($D751="T5","T6",IF($D751="T6","T7",IF($D751="T7","T8",IF($D751="T8","T9","")))))))))</f>
        <v/>
      </c>
      <c r="L751" s="28">
        <f>IF($K751="","",MAX(0,VLOOKUP($K751,RoleTitles!$A:$B,2,FALSE)-$E751))</f>
        <v/>
      </c>
    </row>
    <row r="752">
      <c r="A752" s="24">
        <f>IFERROR(INDEX(CoachRoster!$A$2:$A$1000,ROW()-1),"")</f>
        <v/>
      </c>
      <c r="B752" s="27">
        <f>IF($A752="","",VLOOKUP($A752,CoachRoster!$A:$E,2,FALSE))</f>
        <v/>
      </c>
      <c r="C752" s="27">
        <f>IF($A752="","",VLOOKUP($A752,CoachRoster!$A:$E,3,FALSE))</f>
        <v/>
      </c>
      <c r="D752" s="27">
        <f>IF($A752="","",VLOOKUP($A752,CoachRoster!$A:$E,4,FALSE))</f>
        <v/>
      </c>
      <c r="E752" s="27">
        <f>IF($A752="","",MIN(Settings!$B$8,IFERROR(SUMIF(Weekly_Coaching!$B:$B,$A752,Weekly_Coaching!$D:$D),0)+IFERROR(SUMIF(Monthly_Edu!$B:$B,$A752,Monthly_Edu!$D:$D),0)+IFERROR(SUMIF(Monthly_Ops!$B:$B,$A752,Monthly_Ops!$D:$D),0)+IFERROR(SUMIF(Monthly_Mentor!$B:$B,$A752,Monthly_Mentor!$D:$D),0)+IFERROR(SUMIF(Quarterly_Impact!$B:$B,$A752,Quarterly_Impact!$D:$D),0)+IFERROR(SUMIFS(XPLog!$M:$M,XPLog!$B:$B,$A752,XPLog!$J:$J,"Admin"),0)+IFERROR(SUMIFS(XPLog!$M:$M,XPLog!$B:$B,$A752,XPLog!$J:$J,"Seeding"),0)))</f>
        <v/>
      </c>
      <c r="F752" s="27">
        <f>IF($E752="","",LOOKUP($E752, XPBands!B$2:B$10, XPBands!A$2:A$10))</f>
        <v/>
      </c>
      <c r="G752" s="27">
        <f>IF($E752="","", VLOOKUP($F752, XPBands!A$2:G$10, 4, FALSE) + MIN(VLOOKUP($F752, XPBands!A$2:G$10, 5, FALSE) - VLOOKUP($F752, XPBands!A$2:G$10, 4, FALSE), FLOOR(( $E752 - VLOOKUP($F752, XPBands!A$2:G$10, 2, FALSE) ) / VLOOKUP($F752, XPBands!A$2:G$10, 7, FALSE),1)))</f>
        <v/>
      </c>
      <c r="H752" s="27">
        <f>IF($D752="","",VLOOKUP($D752,RoleTitles!$A:$E,3,FALSE))</f>
        <v/>
      </c>
      <c r="I752" s="27">
        <f>IF($D752="","",IF($C752="Greek",VLOOKUP($D752,RoleTitles!$A:$E,4,FALSE),IF($C752="Aesir",VLOOKUP($D752,RoleTitles!$A:$E,5,FALSE),VLOOKUP($D752,RoleTitles!$A:$E,3,FALSE))))</f>
        <v/>
      </c>
      <c r="J752" s="27">
        <f>IF($D752="","",IF($E752&gt;=VLOOKUP($D752,RoleTitles!$A:$B,2,FALSE),"Yes","No"))</f>
        <v/>
      </c>
      <c r="K752" s="27">
        <f>IF($D752="","",IF($D752="T1","T2",IF($D752="T2","T3",IF($D752="T3","T4",IF($D752="T4","T5",IF($D752="T5","T6",IF($D752="T6","T7",IF($D752="T7","T8",IF($D752="T8","T9","")))))))))</f>
        <v/>
      </c>
      <c r="L752" s="28">
        <f>IF($K752="","",MAX(0,VLOOKUP($K752,RoleTitles!$A:$B,2,FALSE)-$E752))</f>
        <v/>
      </c>
    </row>
    <row r="753">
      <c r="A753" s="24">
        <f>IFERROR(INDEX(CoachRoster!$A$2:$A$1000,ROW()-1),"")</f>
        <v/>
      </c>
      <c r="B753" s="27">
        <f>IF($A753="","",VLOOKUP($A753,CoachRoster!$A:$E,2,FALSE))</f>
        <v/>
      </c>
      <c r="C753" s="27">
        <f>IF($A753="","",VLOOKUP($A753,CoachRoster!$A:$E,3,FALSE))</f>
        <v/>
      </c>
      <c r="D753" s="27">
        <f>IF($A753="","",VLOOKUP($A753,CoachRoster!$A:$E,4,FALSE))</f>
        <v/>
      </c>
      <c r="E753" s="27">
        <f>IF($A753="","",MIN(Settings!$B$8,IFERROR(SUMIF(Weekly_Coaching!$B:$B,$A753,Weekly_Coaching!$D:$D),0)+IFERROR(SUMIF(Monthly_Edu!$B:$B,$A753,Monthly_Edu!$D:$D),0)+IFERROR(SUMIF(Monthly_Ops!$B:$B,$A753,Monthly_Ops!$D:$D),0)+IFERROR(SUMIF(Monthly_Mentor!$B:$B,$A753,Monthly_Mentor!$D:$D),0)+IFERROR(SUMIF(Quarterly_Impact!$B:$B,$A753,Quarterly_Impact!$D:$D),0)+IFERROR(SUMIFS(XPLog!$M:$M,XPLog!$B:$B,$A753,XPLog!$J:$J,"Admin"),0)+IFERROR(SUMIFS(XPLog!$M:$M,XPLog!$B:$B,$A753,XPLog!$J:$J,"Seeding"),0)))</f>
        <v/>
      </c>
      <c r="F753" s="27">
        <f>IF($E753="","",LOOKUP($E753, XPBands!B$2:B$10, XPBands!A$2:A$10))</f>
        <v/>
      </c>
      <c r="G753" s="27">
        <f>IF($E753="","", VLOOKUP($F753, XPBands!A$2:G$10, 4, FALSE) + MIN(VLOOKUP($F753, XPBands!A$2:G$10, 5, FALSE) - VLOOKUP($F753, XPBands!A$2:G$10, 4, FALSE), FLOOR(( $E753 - VLOOKUP($F753, XPBands!A$2:G$10, 2, FALSE) ) / VLOOKUP($F753, XPBands!A$2:G$10, 7, FALSE),1)))</f>
        <v/>
      </c>
      <c r="H753" s="27">
        <f>IF($D753="","",VLOOKUP($D753,RoleTitles!$A:$E,3,FALSE))</f>
        <v/>
      </c>
      <c r="I753" s="27">
        <f>IF($D753="","",IF($C753="Greek",VLOOKUP($D753,RoleTitles!$A:$E,4,FALSE),IF($C753="Aesir",VLOOKUP($D753,RoleTitles!$A:$E,5,FALSE),VLOOKUP($D753,RoleTitles!$A:$E,3,FALSE))))</f>
        <v/>
      </c>
      <c r="J753" s="27">
        <f>IF($D753="","",IF($E753&gt;=VLOOKUP($D753,RoleTitles!$A:$B,2,FALSE),"Yes","No"))</f>
        <v/>
      </c>
      <c r="K753" s="27">
        <f>IF($D753="","",IF($D753="T1","T2",IF($D753="T2","T3",IF($D753="T3","T4",IF($D753="T4","T5",IF($D753="T5","T6",IF($D753="T6","T7",IF($D753="T7","T8",IF($D753="T8","T9","")))))))))</f>
        <v/>
      </c>
      <c r="L753" s="28">
        <f>IF($K753="","",MAX(0,VLOOKUP($K753,RoleTitles!$A:$B,2,FALSE)-$E753))</f>
        <v/>
      </c>
    </row>
    <row r="754">
      <c r="A754" s="24">
        <f>IFERROR(INDEX(CoachRoster!$A$2:$A$1000,ROW()-1),"")</f>
        <v/>
      </c>
      <c r="B754" s="27">
        <f>IF($A754="","",VLOOKUP($A754,CoachRoster!$A:$E,2,FALSE))</f>
        <v/>
      </c>
      <c r="C754" s="27">
        <f>IF($A754="","",VLOOKUP($A754,CoachRoster!$A:$E,3,FALSE))</f>
        <v/>
      </c>
      <c r="D754" s="27">
        <f>IF($A754="","",VLOOKUP($A754,CoachRoster!$A:$E,4,FALSE))</f>
        <v/>
      </c>
      <c r="E754" s="27">
        <f>IF($A754="","",MIN(Settings!$B$8,IFERROR(SUMIF(Weekly_Coaching!$B:$B,$A754,Weekly_Coaching!$D:$D),0)+IFERROR(SUMIF(Monthly_Edu!$B:$B,$A754,Monthly_Edu!$D:$D),0)+IFERROR(SUMIF(Monthly_Ops!$B:$B,$A754,Monthly_Ops!$D:$D),0)+IFERROR(SUMIF(Monthly_Mentor!$B:$B,$A754,Monthly_Mentor!$D:$D),0)+IFERROR(SUMIF(Quarterly_Impact!$B:$B,$A754,Quarterly_Impact!$D:$D),0)+IFERROR(SUMIFS(XPLog!$M:$M,XPLog!$B:$B,$A754,XPLog!$J:$J,"Admin"),0)+IFERROR(SUMIFS(XPLog!$M:$M,XPLog!$B:$B,$A754,XPLog!$J:$J,"Seeding"),0)))</f>
        <v/>
      </c>
      <c r="F754" s="27">
        <f>IF($E754="","",LOOKUP($E754, XPBands!B$2:B$10, XPBands!A$2:A$10))</f>
        <v/>
      </c>
      <c r="G754" s="27">
        <f>IF($E754="","", VLOOKUP($F754, XPBands!A$2:G$10, 4, FALSE) + MIN(VLOOKUP($F754, XPBands!A$2:G$10, 5, FALSE) - VLOOKUP($F754, XPBands!A$2:G$10, 4, FALSE), FLOOR(( $E754 - VLOOKUP($F754, XPBands!A$2:G$10, 2, FALSE) ) / VLOOKUP($F754, XPBands!A$2:G$10, 7, FALSE),1)))</f>
        <v/>
      </c>
      <c r="H754" s="27">
        <f>IF($D754="","",VLOOKUP($D754,RoleTitles!$A:$E,3,FALSE))</f>
        <v/>
      </c>
      <c r="I754" s="27">
        <f>IF($D754="","",IF($C754="Greek",VLOOKUP($D754,RoleTitles!$A:$E,4,FALSE),IF($C754="Aesir",VLOOKUP($D754,RoleTitles!$A:$E,5,FALSE),VLOOKUP($D754,RoleTitles!$A:$E,3,FALSE))))</f>
        <v/>
      </c>
      <c r="J754" s="27">
        <f>IF($D754="","",IF($E754&gt;=VLOOKUP($D754,RoleTitles!$A:$B,2,FALSE),"Yes","No"))</f>
        <v/>
      </c>
      <c r="K754" s="27">
        <f>IF($D754="","",IF($D754="T1","T2",IF($D754="T2","T3",IF($D754="T3","T4",IF($D754="T4","T5",IF($D754="T5","T6",IF($D754="T6","T7",IF($D754="T7","T8",IF($D754="T8","T9","")))))))))</f>
        <v/>
      </c>
      <c r="L754" s="28">
        <f>IF($K754="","",MAX(0,VLOOKUP($K754,RoleTitles!$A:$B,2,FALSE)-$E754))</f>
        <v/>
      </c>
    </row>
    <row r="755">
      <c r="A755" s="24">
        <f>IFERROR(INDEX(CoachRoster!$A$2:$A$1000,ROW()-1),"")</f>
        <v/>
      </c>
      <c r="B755" s="27">
        <f>IF($A755="","",VLOOKUP($A755,CoachRoster!$A:$E,2,FALSE))</f>
        <v/>
      </c>
      <c r="C755" s="27">
        <f>IF($A755="","",VLOOKUP($A755,CoachRoster!$A:$E,3,FALSE))</f>
        <v/>
      </c>
      <c r="D755" s="27">
        <f>IF($A755="","",VLOOKUP($A755,CoachRoster!$A:$E,4,FALSE))</f>
        <v/>
      </c>
      <c r="E755" s="27">
        <f>IF($A755="","",MIN(Settings!$B$8,IFERROR(SUMIF(Weekly_Coaching!$B:$B,$A755,Weekly_Coaching!$D:$D),0)+IFERROR(SUMIF(Monthly_Edu!$B:$B,$A755,Monthly_Edu!$D:$D),0)+IFERROR(SUMIF(Monthly_Ops!$B:$B,$A755,Monthly_Ops!$D:$D),0)+IFERROR(SUMIF(Monthly_Mentor!$B:$B,$A755,Monthly_Mentor!$D:$D),0)+IFERROR(SUMIF(Quarterly_Impact!$B:$B,$A755,Quarterly_Impact!$D:$D),0)+IFERROR(SUMIFS(XPLog!$M:$M,XPLog!$B:$B,$A755,XPLog!$J:$J,"Admin"),0)+IFERROR(SUMIFS(XPLog!$M:$M,XPLog!$B:$B,$A755,XPLog!$J:$J,"Seeding"),0)))</f>
        <v/>
      </c>
      <c r="F755" s="27">
        <f>IF($E755="","",LOOKUP($E755, XPBands!B$2:B$10, XPBands!A$2:A$10))</f>
        <v/>
      </c>
      <c r="G755" s="27">
        <f>IF($E755="","", VLOOKUP($F755, XPBands!A$2:G$10, 4, FALSE) + MIN(VLOOKUP($F755, XPBands!A$2:G$10, 5, FALSE) - VLOOKUP($F755, XPBands!A$2:G$10, 4, FALSE), FLOOR(( $E755 - VLOOKUP($F755, XPBands!A$2:G$10, 2, FALSE) ) / VLOOKUP($F755, XPBands!A$2:G$10, 7, FALSE),1)))</f>
        <v/>
      </c>
      <c r="H755" s="27">
        <f>IF($D755="","",VLOOKUP($D755,RoleTitles!$A:$E,3,FALSE))</f>
        <v/>
      </c>
      <c r="I755" s="27">
        <f>IF($D755="","",IF($C755="Greek",VLOOKUP($D755,RoleTitles!$A:$E,4,FALSE),IF($C755="Aesir",VLOOKUP($D755,RoleTitles!$A:$E,5,FALSE),VLOOKUP($D755,RoleTitles!$A:$E,3,FALSE))))</f>
        <v/>
      </c>
      <c r="J755" s="27">
        <f>IF($D755="","",IF($E755&gt;=VLOOKUP($D755,RoleTitles!$A:$B,2,FALSE),"Yes","No"))</f>
        <v/>
      </c>
      <c r="K755" s="27">
        <f>IF($D755="","",IF($D755="T1","T2",IF($D755="T2","T3",IF($D755="T3","T4",IF($D755="T4","T5",IF($D755="T5","T6",IF($D755="T6","T7",IF($D755="T7","T8",IF($D755="T8","T9","")))))))))</f>
        <v/>
      </c>
      <c r="L755" s="28">
        <f>IF($K755="","",MAX(0,VLOOKUP($K755,RoleTitles!$A:$B,2,FALSE)-$E755))</f>
        <v/>
      </c>
    </row>
    <row r="756">
      <c r="A756" s="24">
        <f>IFERROR(INDEX(CoachRoster!$A$2:$A$1000,ROW()-1),"")</f>
        <v/>
      </c>
      <c r="B756" s="27">
        <f>IF($A756="","",VLOOKUP($A756,CoachRoster!$A:$E,2,FALSE))</f>
        <v/>
      </c>
      <c r="C756" s="27">
        <f>IF($A756="","",VLOOKUP($A756,CoachRoster!$A:$E,3,FALSE))</f>
        <v/>
      </c>
      <c r="D756" s="27">
        <f>IF($A756="","",VLOOKUP($A756,CoachRoster!$A:$E,4,FALSE))</f>
        <v/>
      </c>
      <c r="E756" s="27">
        <f>IF($A756="","",MIN(Settings!$B$8,IFERROR(SUMIF(Weekly_Coaching!$B:$B,$A756,Weekly_Coaching!$D:$D),0)+IFERROR(SUMIF(Monthly_Edu!$B:$B,$A756,Monthly_Edu!$D:$D),0)+IFERROR(SUMIF(Monthly_Ops!$B:$B,$A756,Monthly_Ops!$D:$D),0)+IFERROR(SUMIF(Monthly_Mentor!$B:$B,$A756,Monthly_Mentor!$D:$D),0)+IFERROR(SUMIF(Quarterly_Impact!$B:$B,$A756,Quarterly_Impact!$D:$D),0)+IFERROR(SUMIFS(XPLog!$M:$M,XPLog!$B:$B,$A756,XPLog!$J:$J,"Admin"),0)+IFERROR(SUMIFS(XPLog!$M:$M,XPLog!$B:$B,$A756,XPLog!$J:$J,"Seeding"),0)))</f>
        <v/>
      </c>
      <c r="F756" s="27">
        <f>IF($E756="","",LOOKUP($E756, XPBands!B$2:B$10, XPBands!A$2:A$10))</f>
        <v/>
      </c>
      <c r="G756" s="27">
        <f>IF($E756="","", VLOOKUP($F756, XPBands!A$2:G$10, 4, FALSE) + MIN(VLOOKUP($F756, XPBands!A$2:G$10, 5, FALSE) - VLOOKUP($F756, XPBands!A$2:G$10, 4, FALSE), FLOOR(( $E756 - VLOOKUP($F756, XPBands!A$2:G$10, 2, FALSE) ) / VLOOKUP($F756, XPBands!A$2:G$10, 7, FALSE),1)))</f>
        <v/>
      </c>
      <c r="H756" s="27">
        <f>IF($D756="","",VLOOKUP($D756,RoleTitles!$A:$E,3,FALSE))</f>
        <v/>
      </c>
      <c r="I756" s="27">
        <f>IF($D756="","",IF($C756="Greek",VLOOKUP($D756,RoleTitles!$A:$E,4,FALSE),IF($C756="Aesir",VLOOKUP($D756,RoleTitles!$A:$E,5,FALSE),VLOOKUP($D756,RoleTitles!$A:$E,3,FALSE))))</f>
        <v/>
      </c>
      <c r="J756" s="27">
        <f>IF($D756="","",IF($E756&gt;=VLOOKUP($D756,RoleTitles!$A:$B,2,FALSE),"Yes","No"))</f>
        <v/>
      </c>
      <c r="K756" s="27">
        <f>IF($D756="","",IF($D756="T1","T2",IF($D756="T2","T3",IF($D756="T3","T4",IF($D756="T4","T5",IF($D756="T5","T6",IF($D756="T6","T7",IF($D756="T7","T8",IF($D756="T8","T9","")))))))))</f>
        <v/>
      </c>
      <c r="L756" s="28">
        <f>IF($K756="","",MAX(0,VLOOKUP($K756,RoleTitles!$A:$B,2,FALSE)-$E756))</f>
        <v/>
      </c>
    </row>
    <row r="757">
      <c r="A757" s="24">
        <f>IFERROR(INDEX(CoachRoster!$A$2:$A$1000,ROW()-1),"")</f>
        <v/>
      </c>
      <c r="B757" s="27">
        <f>IF($A757="","",VLOOKUP($A757,CoachRoster!$A:$E,2,FALSE))</f>
        <v/>
      </c>
      <c r="C757" s="27">
        <f>IF($A757="","",VLOOKUP($A757,CoachRoster!$A:$E,3,FALSE))</f>
        <v/>
      </c>
      <c r="D757" s="27">
        <f>IF($A757="","",VLOOKUP($A757,CoachRoster!$A:$E,4,FALSE))</f>
        <v/>
      </c>
      <c r="E757" s="27">
        <f>IF($A757="","",MIN(Settings!$B$8,IFERROR(SUMIF(Weekly_Coaching!$B:$B,$A757,Weekly_Coaching!$D:$D),0)+IFERROR(SUMIF(Monthly_Edu!$B:$B,$A757,Monthly_Edu!$D:$D),0)+IFERROR(SUMIF(Monthly_Ops!$B:$B,$A757,Monthly_Ops!$D:$D),0)+IFERROR(SUMIF(Monthly_Mentor!$B:$B,$A757,Monthly_Mentor!$D:$D),0)+IFERROR(SUMIF(Quarterly_Impact!$B:$B,$A757,Quarterly_Impact!$D:$D),0)+IFERROR(SUMIFS(XPLog!$M:$M,XPLog!$B:$B,$A757,XPLog!$J:$J,"Admin"),0)+IFERROR(SUMIFS(XPLog!$M:$M,XPLog!$B:$B,$A757,XPLog!$J:$J,"Seeding"),0)))</f>
        <v/>
      </c>
      <c r="F757" s="27">
        <f>IF($E757="","",LOOKUP($E757, XPBands!B$2:B$10, XPBands!A$2:A$10))</f>
        <v/>
      </c>
      <c r="G757" s="27">
        <f>IF($E757="","", VLOOKUP($F757, XPBands!A$2:G$10, 4, FALSE) + MIN(VLOOKUP($F757, XPBands!A$2:G$10, 5, FALSE) - VLOOKUP($F757, XPBands!A$2:G$10, 4, FALSE), FLOOR(( $E757 - VLOOKUP($F757, XPBands!A$2:G$10, 2, FALSE) ) / VLOOKUP($F757, XPBands!A$2:G$10, 7, FALSE),1)))</f>
        <v/>
      </c>
      <c r="H757" s="27">
        <f>IF($D757="","",VLOOKUP($D757,RoleTitles!$A:$E,3,FALSE))</f>
        <v/>
      </c>
      <c r="I757" s="27">
        <f>IF($D757="","",IF($C757="Greek",VLOOKUP($D757,RoleTitles!$A:$E,4,FALSE),IF($C757="Aesir",VLOOKUP($D757,RoleTitles!$A:$E,5,FALSE),VLOOKUP($D757,RoleTitles!$A:$E,3,FALSE))))</f>
        <v/>
      </c>
      <c r="J757" s="27">
        <f>IF($D757="","",IF($E757&gt;=VLOOKUP($D757,RoleTitles!$A:$B,2,FALSE),"Yes","No"))</f>
        <v/>
      </c>
      <c r="K757" s="27">
        <f>IF($D757="","",IF($D757="T1","T2",IF($D757="T2","T3",IF($D757="T3","T4",IF($D757="T4","T5",IF($D757="T5","T6",IF($D757="T6","T7",IF($D757="T7","T8",IF($D757="T8","T9","")))))))))</f>
        <v/>
      </c>
      <c r="L757" s="28">
        <f>IF($K757="","",MAX(0,VLOOKUP($K757,RoleTitles!$A:$B,2,FALSE)-$E757))</f>
        <v/>
      </c>
    </row>
    <row r="758">
      <c r="A758" s="24">
        <f>IFERROR(INDEX(CoachRoster!$A$2:$A$1000,ROW()-1),"")</f>
        <v/>
      </c>
      <c r="B758" s="27">
        <f>IF($A758="","",VLOOKUP($A758,CoachRoster!$A:$E,2,FALSE))</f>
        <v/>
      </c>
      <c r="C758" s="27">
        <f>IF($A758="","",VLOOKUP($A758,CoachRoster!$A:$E,3,FALSE))</f>
        <v/>
      </c>
      <c r="D758" s="27">
        <f>IF($A758="","",VLOOKUP($A758,CoachRoster!$A:$E,4,FALSE))</f>
        <v/>
      </c>
      <c r="E758" s="27">
        <f>IF($A758="","",MIN(Settings!$B$8,IFERROR(SUMIF(Weekly_Coaching!$B:$B,$A758,Weekly_Coaching!$D:$D),0)+IFERROR(SUMIF(Monthly_Edu!$B:$B,$A758,Monthly_Edu!$D:$D),0)+IFERROR(SUMIF(Monthly_Ops!$B:$B,$A758,Monthly_Ops!$D:$D),0)+IFERROR(SUMIF(Monthly_Mentor!$B:$B,$A758,Monthly_Mentor!$D:$D),0)+IFERROR(SUMIF(Quarterly_Impact!$B:$B,$A758,Quarterly_Impact!$D:$D),0)+IFERROR(SUMIFS(XPLog!$M:$M,XPLog!$B:$B,$A758,XPLog!$J:$J,"Admin"),0)+IFERROR(SUMIFS(XPLog!$M:$M,XPLog!$B:$B,$A758,XPLog!$J:$J,"Seeding"),0)))</f>
        <v/>
      </c>
      <c r="F758" s="27">
        <f>IF($E758="","",LOOKUP($E758, XPBands!B$2:B$10, XPBands!A$2:A$10))</f>
        <v/>
      </c>
      <c r="G758" s="27">
        <f>IF($E758="","", VLOOKUP($F758, XPBands!A$2:G$10, 4, FALSE) + MIN(VLOOKUP($F758, XPBands!A$2:G$10, 5, FALSE) - VLOOKUP($F758, XPBands!A$2:G$10, 4, FALSE), FLOOR(( $E758 - VLOOKUP($F758, XPBands!A$2:G$10, 2, FALSE) ) / VLOOKUP($F758, XPBands!A$2:G$10, 7, FALSE),1)))</f>
        <v/>
      </c>
      <c r="H758" s="27">
        <f>IF($D758="","",VLOOKUP($D758,RoleTitles!$A:$E,3,FALSE))</f>
        <v/>
      </c>
      <c r="I758" s="27">
        <f>IF($D758="","",IF($C758="Greek",VLOOKUP($D758,RoleTitles!$A:$E,4,FALSE),IF($C758="Aesir",VLOOKUP($D758,RoleTitles!$A:$E,5,FALSE),VLOOKUP($D758,RoleTitles!$A:$E,3,FALSE))))</f>
        <v/>
      </c>
      <c r="J758" s="27">
        <f>IF($D758="","",IF($E758&gt;=VLOOKUP($D758,RoleTitles!$A:$B,2,FALSE),"Yes","No"))</f>
        <v/>
      </c>
      <c r="K758" s="27">
        <f>IF($D758="","",IF($D758="T1","T2",IF($D758="T2","T3",IF($D758="T3","T4",IF($D758="T4","T5",IF($D758="T5","T6",IF($D758="T6","T7",IF($D758="T7","T8",IF($D758="T8","T9","")))))))))</f>
        <v/>
      </c>
      <c r="L758" s="28">
        <f>IF($K758="","",MAX(0,VLOOKUP($K758,RoleTitles!$A:$B,2,FALSE)-$E758))</f>
        <v/>
      </c>
    </row>
    <row r="759">
      <c r="A759" s="24">
        <f>IFERROR(INDEX(CoachRoster!$A$2:$A$1000,ROW()-1),"")</f>
        <v/>
      </c>
      <c r="B759" s="27">
        <f>IF($A759="","",VLOOKUP($A759,CoachRoster!$A:$E,2,FALSE))</f>
        <v/>
      </c>
      <c r="C759" s="27">
        <f>IF($A759="","",VLOOKUP($A759,CoachRoster!$A:$E,3,FALSE))</f>
        <v/>
      </c>
      <c r="D759" s="27">
        <f>IF($A759="","",VLOOKUP($A759,CoachRoster!$A:$E,4,FALSE))</f>
        <v/>
      </c>
      <c r="E759" s="27">
        <f>IF($A759="","",MIN(Settings!$B$8,IFERROR(SUMIF(Weekly_Coaching!$B:$B,$A759,Weekly_Coaching!$D:$D),0)+IFERROR(SUMIF(Monthly_Edu!$B:$B,$A759,Monthly_Edu!$D:$D),0)+IFERROR(SUMIF(Monthly_Ops!$B:$B,$A759,Monthly_Ops!$D:$D),0)+IFERROR(SUMIF(Monthly_Mentor!$B:$B,$A759,Monthly_Mentor!$D:$D),0)+IFERROR(SUMIF(Quarterly_Impact!$B:$B,$A759,Quarterly_Impact!$D:$D),0)+IFERROR(SUMIFS(XPLog!$M:$M,XPLog!$B:$B,$A759,XPLog!$J:$J,"Admin"),0)+IFERROR(SUMIFS(XPLog!$M:$M,XPLog!$B:$B,$A759,XPLog!$J:$J,"Seeding"),0)))</f>
        <v/>
      </c>
      <c r="F759" s="27">
        <f>IF($E759="","",LOOKUP($E759, XPBands!B$2:B$10, XPBands!A$2:A$10))</f>
        <v/>
      </c>
      <c r="G759" s="27">
        <f>IF($E759="","", VLOOKUP($F759, XPBands!A$2:G$10, 4, FALSE) + MIN(VLOOKUP($F759, XPBands!A$2:G$10, 5, FALSE) - VLOOKUP($F759, XPBands!A$2:G$10, 4, FALSE), FLOOR(( $E759 - VLOOKUP($F759, XPBands!A$2:G$10, 2, FALSE) ) / VLOOKUP($F759, XPBands!A$2:G$10, 7, FALSE),1)))</f>
        <v/>
      </c>
      <c r="H759" s="27">
        <f>IF($D759="","",VLOOKUP($D759,RoleTitles!$A:$E,3,FALSE))</f>
        <v/>
      </c>
      <c r="I759" s="27">
        <f>IF($D759="","",IF($C759="Greek",VLOOKUP($D759,RoleTitles!$A:$E,4,FALSE),IF($C759="Aesir",VLOOKUP($D759,RoleTitles!$A:$E,5,FALSE),VLOOKUP($D759,RoleTitles!$A:$E,3,FALSE))))</f>
        <v/>
      </c>
      <c r="J759" s="27">
        <f>IF($D759="","",IF($E759&gt;=VLOOKUP($D759,RoleTitles!$A:$B,2,FALSE),"Yes","No"))</f>
        <v/>
      </c>
      <c r="K759" s="27">
        <f>IF($D759="","",IF($D759="T1","T2",IF($D759="T2","T3",IF($D759="T3","T4",IF($D759="T4","T5",IF($D759="T5","T6",IF($D759="T6","T7",IF($D759="T7","T8",IF($D759="T8","T9","")))))))))</f>
        <v/>
      </c>
      <c r="L759" s="28">
        <f>IF($K759="","",MAX(0,VLOOKUP($K759,RoleTitles!$A:$B,2,FALSE)-$E759))</f>
        <v/>
      </c>
    </row>
    <row r="760">
      <c r="A760" s="24">
        <f>IFERROR(INDEX(CoachRoster!$A$2:$A$1000,ROW()-1),"")</f>
        <v/>
      </c>
      <c r="B760" s="27">
        <f>IF($A760="","",VLOOKUP($A760,CoachRoster!$A:$E,2,FALSE))</f>
        <v/>
      </c>
      <c r="C760" s="27">
        <f>IF($A760="","",VLOOKUP($A760,CoachRoster!$A:$E,3,FALSE))</f>
        <v/>
      </c>
      <c r="D760" s="27">
        <f>IF($A760="","",VLOOKUP($A760,CoachRoster!$A:$E,4,FALSE))</f>
        <v/>
      </c>
      <c r="E760" s="27">
        <f>IF($A760="","",MIN(Settings!$B$8,IFERROR(SUMIF(Weekly_Coaching!$B:$B,$A760,Weekly_Coaching!$D:$D),0)+IFERROR(SUMIF(Monthly_Edu!$B:$B,$A760,Monthly_Edu!$D:$D),0)+IFERROR(SUMIF(Monthly_Ops!$B:$B,$A760,Monthly_Ops!$D:$D),0)+IFERROR(SUMIF(Monthly_Mentor!$B:$B,$A760,Monthly_Mentor!$D:$D),0)+IFERROR(SUMIF(Quarterly_Impact!$B:$B,$A760,Quarterly_Impact!$D:$D),0)+IFERROR(SUMIFS(XPLog!$M:$M,XPLog!$B:$B,$A760,XPLog!$J:$J,"Admin"),0)+IFERROR(SUMIFS(XPLog!$M:$M,XPLog!$B:$B,$A760,XPLog!$J:$J,"Seeding"),0)))</f>
        <v/>
      </c>
      <c r="F760" s="27">
        <f>IF($E760="","",LOOKUP($E760, XPBands!B$2:B$10, XPBands!A$2:A$10))</f>
        <v/>
      </c>
      <c r="G760" s="27">
        <f>IF($E760="","", VLOOKUP($F760, XPBands!A$2:G$10, 4, FALSE) + MIN(VLOOKUP($F760, XPBands!A$2:G$10, 5, FALSE) - VLOOKUP($F760, XPBands!A$2:G$10, 4, FALSE), FLOOR(( $E760 - VLOOKUP($F760, XPBands!A$2:G$10, 2, FALSE) ) / VLOOKUP($F760, XPBands!A$2:G$10, 7, FALSE),1)))</f>
        <v/>
      </c>
      <c r="H760" s="27">
        <f>IF($D760="","",VLOOKUP($D760,RoleTitles!$A:$E,3,FALSE))</f>
        <v/>
      </c>
      <c r="I760" s="27">
        <f>IF($D760="","",IF($C760="Greek",VLOOKUP($D760,RoleTitles!$A:$E,4,FALSE),IF($C760="Aesir",VLOOKUP($D760,RoleTitles!$A:$E,5,FALSE),VLOOKUP($D760,RoleTitles!$A:$E,3,FALSE))))</f>
        <v/>
      </c>
      <c r="J760" s="27">
        <f>IF($D760="","",IF($E760&gt;=VLOOKUP($D760,RoleTitles!$A:$B,2,FALSE),"Yes","No"))</f>
        <v/>
      </c>
      <c r="K760" s="27">
        <f>IF($D760="","",IF($D760="T1","T2",IF($D760="T2","T3",IF($D760="T3","T4",IF($D760="T4","T5",IF($D760="T5","T6",IF($D760="T6","T7",IF($D760="T7","T8",IF($D760="T8","T9","")))))))))</f>
        <v/>
      </c>
      <c r="L760" s="28">
        <f>IF($K760="","",MAX(0,VLOOKUP($K760,RoleTitles!$A:$B,2,FALSE)-$E760))</f>
        <v/>
      </c>
    </row>
    <row r="761">
      <c r="A761" s="24">
        <f>IFERROR(INDEX(CoachRoster!$A$2:$A$1000,ROW()-1),"")</f>
        <v/>
      </c>
      <c r="B761" s="27">
        <f>IF($A761="","",VLOOKUP($A761,CoachRoster!$A:$E,2,FALSE))</f>
        <v/>
      </c>
      <c r="C761" s="27">
        <f>IF($A761="","",VLOOKUP($A761,CoachRoster!$A:$E,3,FALSE))</f>
        <v/>
      </c>
      <c r="D761" s="27">
        <f>IF($A761="","",VLOOKUP($A761,CoachRoster!$A:$E,4,FALSE))</f>
        <v/>
      </c>
      <c r="E761" s="27">
        <f>IF($A761="","",MIN(Settings!$B$8,IFERROR(SUMIF(Weekly_Coaching!$B:$B,$A761,Weekly_Coaching!$D:$D),0)+IFERROR(SUMIF(Monthly_Edu!$B:$B,$A761,Monthly_Edu!$D:$D),0)+IFERROR(SUMIF(Monthly_Ops!$B:$B,$A761,Monthly_Ops!$D:$D),0)+IFERROR(SUMIF(Monthly_Mentor!$B:$B,$A761,Monthly_Mentor!$D:$D),0)+IFERROR(SUMIF(Quarterly_Impact!$B:$B,$A761,Quarterly_Impact!$D:$D),0)+IFERROR(SUMIFS(XPLog!$M:$M,XPLog!$B:$B,$A761,XPLog!$J:$J,"Admin"),0)+IFERROR(SUMIFS(XPLog!$M:$M,XPLog!$B:$B,$A761,XPLog!$J:$J,"Seeding"),0)))</f>
        <v/>
      </c>
      <c r="F761" s="27">
        <f>IF($E761="","",LOOKUP($E761, XPBands!B$2:B$10, XPBands!A$2:A$10))</f>
        <v/>
      </c>
      <c r="G761" s="27">
        <f>IF($E761="","", VLOOKUP($F761, XPBands!A$2:G$10, 4, FALSE) + MIN(VLOOKUP($F761, XPBands!A$2:G$10, 5, FALSE) - VLOOKUP($F761, XPBands!A$2:G$10, 4, FALSE), FLOOR(( $E761 - VLOOKUP($F761, XPBands!A$2:G$10, 2, FALSE) ) / VLOOKUP($F761, XPBands!A$2:G$10, 7, FALSE),1)))</f>
        <v/>
      </c>
      <c r="H761" s="27">
        <f>IF($D761="","",VLOOKUP($D761,RoleTitles!$A:$E,3,FALSE))</f>
        <v/>
      </c>
      <c r="I761" s="27">
        <f>IF($D761="","",IF($C761="Greek",VLOOKUP($D761,RoleTitles!$A:$E,4,FALSE),IF($C761="Aesir",VLOOKUP($D761,RoleTitles!$A:$E,5,FALSE),VLOOKUP($D761,RoleTitles!$A:$E,3,FALSE))))</f>
        <v/>
      </c>
      <c r="J761" s="27">
        <f>IF($D761="","",IF($E761&gt;=VLOOKUP($D761,RoleTitles!$A:$B,2,FALSE),"Yes","No"))</f>
        <v/>
      </c>
      <c r="K761" s="27">
        <f>IF($D761="","",IF($D761="T1","T2",IF($D761="T2","T3",IF($D761="T3","T4",IF($D761="T4","T5",IF($D761="T5","T6",IF($D761="T6","T7",IF($D761="T7","T8",IF($D761="T8","T9","")))))))))</f>
        <v/>
      </c>
      <c r="L761" s="28">
        <f>IF($K761="","",MAX(0,VLOOKUP($K761,RoleTitles!$A:$B,2,FALSE)-$E761))</f>
        <v/>
      </c>
    </row>
    <row r="762">
      <c r="A762" s="24">
        <f>IFERROR(INDEX(CoachRoster!$A$2:$A$1000,ROW()-1),"")</f>
        <v/>
      </c>
      <c r="B762" s="27">
        <f>IF($A762="","",VLOOKUP($A762,CoachRoster!$A:$E,2,FALSE))</f>
        <v/>
      </c>
      <c r="C762" s="27">
        <f>IF($A762="","",VLOOKUP($A762,CoachRoster!$A:$E,3,FALSE))</f>
        <v/>
      </c>
      <c r="D762" s="27">
        <f>IF($A762="","",VLOOKUP($A762,CoachRoster!$A:$E,4,FALSE))</f>
        <v/>
      </c>
      <c r="E762" s="27">
        <f>IF($A762="","",MIN(Settings!$B$8,IFERROR(SUMIF(Weekly_Coaching!$B:$B,$A762,Weekly_Coaching!$D:$D),0)+IFERROR(SUMIF(Monthly_Edu!$B:$B,$A762,Monthly_Edu!$D:$D),0)+IFERROR(SUMIF(Monthly_Ops!$B:$B,$A762,Monthly_Ops!$D:$D),0)+IFERROR(SUMIF(Monthly_Mentor!$B:$B,$A762,Monthly_Mentor!$D:$D),0)+IFERROR(SUMIF(Quarterly_Impact!$B:$B,$A762,Quarterly_Impact!$D:$D),0)+IFERROR(SUMIFS(XPLog!$M:$M,XPLog!$B:$B,$A762,XPLog!$J:$J,"Admin"),0)+IFERROR(SUMIFS(XPLog!$M:$M,XPLog!$B:$B,$A762,XPLog!$J:$J,"Seeding"),0)))</f>
        <v/>
      </c>
      <c r="F762" s="27">
        <f>IF($E762="","",LOOKUP($E762, XPBands!B$2:B$10, XPBands!A$2:A$10))</f>
        <v/>
      </c>
      <c r="G762" s="27">
        <f>IF($E762="","", VLOOKUP($F762, XPBands!A$2:G$10, 4, FALSE) + MIN(VLOOKUP($F762, XPBands!A$2:G$10, 5, FALSE) - VLOOKUP($F762, XPBands!A$2:G$10, 4, FALSE), FLOOR(( $E762 - VLOOKUP($F762, XPBands!A$2:G$10, 2, FALSE) ) / VLOOKUP($F762, XPBands!A$2:G$10, 7, FALSE),1)))</f>
        <v/>
      </c>
      <c r="H762" s="27">
        <f>IF($D762="","",VLOOKUP($D762,RoleTitles!$A:$E,3,FALSE))</f>
        <v/>
      </c>
      <c r="I762" s="27">
        <f>IF($D762="","",IF($C762="Greek",VLOOKUP($D762,RoleTitles!$A:$E,4,FALSE),IF($C762="Aesir",VLOOKUP($D762,RoleTitles!$A:$E,5,FALSE),VLOOKUP($D762,RoleTitles!$A:$E,3,FALSE))))</f>
        <v/>
      </c>
      <c r="J762" s="27">
        <f>IF($D762="","",IF($E762&gt;=VLOOKUP($D762,RoleTitles!$A:$B,2,FALSE),"Yes","No"))</f>
        <v/>
      </c>
      <c r="K762" s="27">
        <f>IF($D762="","",IF($D762="T1","T2",IF($D762="T2","T3",IF($D762="T3","T4",IF($D762="T4","T5",IF($D762="T5","T6",IF($D762="T6","T7",IF($D762="T7","T8",IF($D762="T8","T9","")))))))))</f>
        <v/>
      </c>
      <c r="L762" s="28">
        <f>IF($K762="","",MAX(0,VLOOKUP($K762,RoleTitles!$A:$B,2,FALSE)-$E762))</f>
        <v/>
      </c>
    </row>
    <row r="763">
      <c r="A763" s="24">
        <f>IFERROR(INDEX(CoachRoster!$A$2:$A$1000,ROW()-1),"")</f>
        <v/>
      </c>
      <c r="B763" s="27">
        <f>IF($A763="","",VLOOKUP($A763,CoachRoster!$A:$E,2,FALSE))</f>
        <v/>
      </c>
      <c r="C763" s="27">
        <f>IF($A763="","",VLOOKUP($A763,CoachRoster!$A:$E,3,FALSE))</f>
        <v/>
      </c>
      <c r="D763" s="27">
        <f>IF($A763="","",VLOOKUP($A763,CoachRoster!$A:$E,4,FALSE))</f>
        <v/>
      </c>
      <c r="E763" s="27">
        <f>IF($A763="","",MIN(Settings!$B$8,IFERROR(SUMIF(Weekly_Coaching!$B:$B,$A763,Weekly_Coaching!$D:$D),0)+IFERROR(SUMIF(Monthly_Edu!$B:$B,$A763,Monthly_Edu!$D:$D),0)+IFERROR(SUMIF(Monthly_Ops!$B:$B,$A763,Monthly_Ops!$D:$D),0)+IFERROR(SUMIF(Monthly_Mentor!$B:$B,$A763,Monthly_Mentor!$D:$D),0)+IFERROR(SUMIF(Quarterly_Impact!$B:$B,$A763,Quarterly_Impact!$D:$D),0)+IFERROR(SUMIFS(XPLog!$M:$M,XPLog!$B:$B,$A763,XPLog!$J:$J,"Admin"),0)+IFERROR(SUMIFS(XPLog!$M:$M,XPLog!$B:$B,$A763,XPLog!$J:$J,"Seeding"),0)))</f>
        <v/>
      </c>
      <c r="F763" s="27">
        <f>IF($E763="","",LOOKUP($E763, XPBands!B$2:B$10, XPBands!A$2:A$10))</f>
        <v/>
      </c>
      <c r="G763" s="27">
        <f>IF($E763="","", VLOOKUP($F763, XPBands!A$2:G$10, 4, FALSE) + MIN(VLOOKUP($F763, XPBands!A$2:G$10, 5, FALSE) - VLOOKUP($F763, XPBands!A$2:G$10, 4, FALSE), FLOOR(( $E763 - VLOOKUP($F763, XPBands!A$2:G$10, 2, FALSE) ) / VLOOKUP($F763, XPBands!A$2:G$10, 7, FALSE),1)))</f>
        <v/>
      </c>
      <c r="H763" s="27">
        <f>IF($D763="","",VLOOKUP($D763,RoleTitles!$A:$E,3,FALSE))</f>
        <v/>
      </c>
      <c r="I763" s="27">
        <f>IF($D763="","",IF($C763="Greek",VLOOKUP($D763,RoleTitles!$A:$E,4,FALSE),IF($C763="Aesir",VLOOKUP($D763,RoleTitles!$A:$E,5,FALSE),VLOOKUP($D763,RoleTitles!$A:$E,3,FALSE))))</f>
        <v/>
      </c>
      <c r="J763" s="27">
        <f>IF($D763="","",IF($E763&gt;=VLOOKUP($D763,RoleTitles!$A:$B,2,FALSE),"Yes","No"))</f>
        <v/>
      </c>
      <c r="K763" s="27">
        <f>IF($D763="","",IF($D763="T1","T2",IF($D763="T2","T3",IF($D763="T3","T4",IF($D763="T4","T5",IF($D763="T5","T6",IF($D763="T6","T7",IF($D763="T7","T8",IF($D763="T8","T9","")))))))))</f>
        <v/>
      </c>
      <c r="L763" s="28">
        <f>IF($K763="","",MAX(0,VLOOKUP($K763,RoleTitles!$A:$B,2,FALSE)-$E763))</f>
        <v/>
      </c>
    </row>
    <row r="764">
      <c r="A764" s="24">
        <f>IFERROR(INDEX(CoachRoster!$A$2:$A$1000,ROW()-1),"")</f>
        <v/>
      </c>
      <c r="B764" s="27">
        <f>IF($A764="","",VLOOKUP($A764,CoachRoster!$A:$E,2,FALSE))</f>
        <v/>
      </c>
      <c r="C764" s="27">
        <f>IF($A764="","",VLOOKUP($A764,CoachRoster!$A:$E,3,FALSE))</f>
        <v/>
      </c>
      <c r="D764" s="27">
        <f>IF($A764="","",VLOOKUP($A764,CoachRoster!$A:$E,4,FALSE))</f>
        <v/>
      </c>
      <c r="E764" s="27">
        <f>IF($A764="","",MIN(Settings!$B$8,IFERROR(SUMIF(Weekly_Coaching!$B:$B,$A764,Weekly_Coaching!$D:$D),0)+IFERROR(SUMIF(Monthly_Edu!$B:$B,$A764,Monthly_Edu!$D:$D),0)+IFERROR(SUMIF(Monthly_Ops!$B:$B,$A764,Monthly_Ops!$D:$D),0)+IFERROR(SUMIF(Monthly_Mentor!$B:$B,$A764,Monthly_Mentor!$D:$D),0)+IFERROR(SUMIF(Quarterly_Impact!$B:$B,$A764,Quarterly_Impact!$D:$D),0)+IFERROR(SUMIFS(XPLog!$M:$M,XPLog!$B:$B,$A764,XPLog!$J:$J,"Admin"),0)+IFERROR(SUMIFS(XPLog!$M:$M,XPLog!$B:$B,$A764,XPLog!$J:$J,"Seeding"),0)))</f>
        <v/>
      </c>
      <c r="F764" s="27">
        <f>IF($E764="","",LOOKUP($E764, XPBands!B$2:B$10, XPBands!A$2:A$10))</f>
        <v/>
      </c>
      <c r="G764" s="27">
        <f>IF($E764="","", VLOOKUP($F764, XPBands!A$2:G$10, 4, FALSE) + MIN(VLOOKUP($F764, XPBands!A$2:G$10, 5, FALSE) - VLOOKUP($F764, XPBands!A$2:G$10, 4, FALSE), FLOOR(( $E764 - VLOOKUP($F764, XPBands!A$2:G$10, 2, FALSE) ) / VLOOKUP($F764, XPBands!A$2:G$10, 7, FALSE),1)))</f>
        <v/>
      </c>
      <c r="H764" s="27">
        <f>IF($D764="","",VLOOKUP($D764,RoleTitles!$A:$E,3,FALSE))</f>
        <v/>
      </c>
      <c r="I764" s="27">
        <f>IF($D764="","",IF($C764="Greek",VLOOKUP($D764,RoleTitles!$A:$E,4,FALSE),IF($C764="Aesir",VLOOKUP($D764,RoleTitles!$A:$E,5,FALSE),VLOOKUP($D764,RoleTitles!$A:$E,3,FALSE))))</f>
        <v/>
      </c>
      <c r="J764" s="27">
        <f>IF($D764="","",IF($E764&gt;=VLOOKUP($D764,RoleTitles!$A:$B,2,FALSE),"Yes","No"))</f>
        <v/>
      </c>
      <c r="K764" s="27">
        <f>IF($D764="","",IF($D764="T1","T2",IF($D764="T2","T3",IF($D764="T3","T4",IF($D764="T4","T5",IF($D764="T5","T6",IF($D764="T6","T7",IF($D764="T7","T8",IF($D764="T8","T9","")))))))))</f>
        <v/>
      </c>
      <c r="L764" s="28">
        <f>IF($K764="","",MAX(0,VLOOKUP($K764,RoleTitles!$A:$B,2,FALSE)-$E764))</f>
        <v/>
      </c>
    </row>
    <row r="765">
      <c r="A765" s="24">
        <f>IFERROR(INDEX(CoachRoster!$A$2:$A$1000,ROW()-1),"")</f>
        <v/>
      </c>
      <c r="B765" s="27">
        <f>IF($A765="","",VLOOKUP($A765,CoachRoster!$A:$E,2,FALSE))</f>
        <v/>
      </c>
      <c r="C765" s="27">
        <f>IF($A765="","",VLOOKUP($A765,CoachRoster!$A:$E,3,FALSE))</f>
        <v/>
      </c>
      <c r="D765" s="27">
        <f>IF($A765="","",VLOOKUP($A765,CoachRoster!$A:$E,4,FALSE))</f>
        <v/>
      </c>
      <c r="E765" s="27">
        <f>IF($A765="","",MIN(Settings!$B$8,IFERROR(SUMIF(Weekly_Coaching!$B:$B,$A765,Weekly_Coaching!$D:$D),0)+IFERROR(SUMIF(Monthly_Edu!$B:$B,$A765,Monthly_Edu!$D:$D),0)+IFERROR(SUMIF(Monthly_Ops!$B:$B,$A765,Monthly_Ops!$D:$D),0)+IFERROR(SUMIF(Monthly_Mentor!$B:$B,$A765,Monthly_Mentor!$D:$D),0)+IFERROR(SUMIF(Quarterly_Impact!$B:$B,$A765,Quarterly_Impact!$D:$D),0)+IFERROR(SUMIFS(XPLog!$M:$M,XPLog!$B:$B,$A765,XPLog!$J:$J,"Admin"),0)+IFERROR(SUMIFS(XPLog!$M:$M,XPLog!$B:$B,$A765,XPLog!$J:$J,"Seeding"),0)))</f>
        <v/>
      </c>
      <c r="F765" s="27">
        <f>IF($E765="","",LOOKUP($E765, XPBands!B$2:B$10, XPBands!A$2:A$10))</f>
        <v/>
      </c>
      <c r="G765" s="27">
        <f>IF($E765="","", VLOOKUP($F765, XPBands!A$2:G$10, 4, FALSE) + MIN(VLOOKUP($F765, XPBands!A$2:G$10, 5, FALSE) - VLOOKUP($F765, XPBands!A$2:G$10, 4, FALSE), FLOOR(( $E765 - VLOOKUP($F765, XPBands!A$2:G$10, 2, FALSE) ) / VLOOKUP($F765, XPBands!A$2:G$10, 7, FALSE),1)))</f>
        <v/>
      </c>
      <c r="H765" s="27">
        <f>IF($D765="","",VLOOKUP($D765,RoleTitles!$A:$E,3,FALSE))</f>
        <v/>
      </c>
      <c r="I765" s="27">
        <f>IF($D765="","",IF($C765="Greek",VLOOKUP($D765,RoleTitles!$A:$E,4,FALSE),IF($C765="Aesir",VLOOKUP($D765,RoleTitles!$A:$E,5,FALSE),VLOOKUP($D765,RoleTitles!$A:$E,3,FALSE))))</f>
        <v/>
      </c>
      <c r="J765" s="27">
        <f>IF($D765="","",IF($E765&gt;=VLOOKUP($D765,RoleTitles!$A:$B,2,FALSE),"Yes","No"))</f>
        <v/>
      </c>
      <c r="K765" s="27">
        <f>IF($D765="","",IF($D765="T1","T2",IF($D765="T2","T3",IF($D765="T3","T4",IF($D765="T4","T5",IF($D765="T5","T6",IF($D765="T6","T7",IF($D765="T7","T8",IF($D765="T8","T9","")))))))))</f>
        <v/>
      </c>
      <c r="L765" s="28">
        <f>IF($K765="","",MAX(0,VLOOKUP($K765,RoleTitles!$A:$B,2,FALSE)-$E765))</f>
        <v/>
      </c>
    </row>
    <row r="766">
      <c r="A766" s="24">
        <f>IFERROR(INDEX(CoachRoster!$A$2:$A$1000,ROW()-1),"")</f>
        <v/>
      </c>
      <c r="B766" s="27">
        <f>IF($A766="","",VLOOKUP($A766,CoachRoster!$A:$E,2,FALSE))</f>
        <v/>
      </c>
      <c r="C766" s="27">
        <f>IF($A766="","",VLOOKUP($A766,CoachRoster!$A:$E,3,FALSE))</f>
        <v/>
      </c>
      <c r="D766" s="27">
        <f>IF($A766="","",VLOOKUP($A766,CoachRoster!$A:$E,4,FALSE))</f>
        <v/>
      </c>
      <c r="E766" s="27">
        <f>IF($A766="","",MIN(Settings!$B$8,IFERROR(SUMIF(Weekly_Coaching!$B:$B,$A766,Weekly_Coaching!$D:$D),0)+IFERROR(SUMIF(Monthly_Edu!$B:$B,$A766,Monthly_Edu!$D:$D),0)+IFERROR(SUMIF(Monthly_Ops!$B:$B,$A766,Monthly_Ops!$D:$D),0)+IFERROR(SUMIF(Monthly_Mentor!$B:$B,$A766,Monthly_Mentor!$D:$D),0)+IFERROR(SUMIF(Quarterly_Impact!$B:$B,$A766,Quarterly_Impact!$D:$D),0)+IFERROR(SUMIFS(XPLog!$M:$M,XPLog!$B:$B,$A766,XPLog!$J:$J,"Admin"),0)+IFERROR(SUMIFS(XPLog!$M:$M,XPLog!$B:$B,$A766,XPLog!$J:$J,"Seeding"),0)))</f>
        <v/>
      </c>
      <c r="F766" s="27">
        <f>IF($E766="","",LOOKUP($E766, XPBands!B$2:B$10, XPBands!A$2:A$10))</f>
        <v/>
      </c>
      <c r="G766" s="27">
        <f>IF($E766="","", VLOOKUP($F766, XPBands!A$2:G$10, 4, FALSE) + MIN(VLOOKUP($F766, XPBands!A$2:G$10, 5, FALSE) - VLOOKUP($F766, XPBands!A$2:G$10, 4, FALSE), FLOOR(( $E766 - VLOOKUP($F766, XPBands!A$2:G$10, 2, FALSE) ) / VLOOKUP($F766, XPBands!A$2:G$10, 7, FALSE),1)))</f>
        <v/>
      </c>
      <c r="H766" s="27">
        <f>IF($D766="","",VLOOKUP($D766,RoleTitles!$A:$E,3,FALSE))</f>
        <v/>
      </c>
      <c r="I766" s="27">
        <f>IF($D766="","",IF($C766="Greek",VLOOKUP($D766,RoleTitles!$A:$E,4,FALSE),IF($C766="Aesir",VLOOKUP($D766,RoleTitles!$A:$E,5,FALSE),VLOOKUP($D766,RoleTitles!$A:$E,3,FALSE))))</f>
        <v/>
      </c>
      <c r="J766" s="27">
        <f>IF($D766="","",IF($E766&gt;=VLOOKUP($D766,RoleTitles!$A:$B,2,FALSE),"Yes","No"))</f>
        <v/>
      </c>
      <c r="K766" s="27">
        <f>IF($D766="","",IF($D766="T1","T2",IF($D766="T2","T3",IF($D766="T3","T4",IF($D766="T4","T5",IF($D766="T5","T6",IF($D766="T6","T7",IF($D766="T7","T8",IF($D766="T8","T9","")))))))))</f>
        <v/>
      </c>
      <c r="L766" s="28">
        <f>IF($K766="","",MAX(0,VLOOKUP($K766,RoleTitles!$A:$B,2,FALSE)-$E766))</f>
        <v/>
      </c>
    </row>
    <row r="767">
      <c r="A767" s="24">
        <f>IFERROR(INDEX(CoachRoster!$A$2:$A$1000,ROW()-1),"")</f>
        <v/>
      </c>
      <c r="B767" s="27">
        <f>IF($A767="","",VLOOKUP($A767,CoachRoster!$A:$E,2,FALSE))</f>
        <v/>
      </c>
      <c r="C767" s="27">
        <f>IF($A767="","",VLOOKUP($A767,CoachRoster!$A:$E,3,FALSE))</f>
        <v/>
      </c>
      <c r="D767" s="27">
        <f>IF($A767="","",VLOOKUP($A767,CoachRoster!$A:$E,4,FALSE))</f>
        <v/>
      </c>
      <c r="E767" s="27">
        <f>IF($A767="","",MIN(Settings!$B$8,IFERROR(SUMIF(Weekly_Coaching!$B:$B,$A767,Weekly_Coaching!$D:$D),0)+IFERROR(SUMIF(Monthly_Edu!$B:$B,$A767,Monthly_Edu!$D:$D),0)+IFERROR(SUMIF(Monthly_Ops!$B:$B,$A767,Monthly_Ops!$D:$D),0)+IFERROR(SUMIF(Monthly_Mentor!$B:$B,$A767,Monthly_Mentor!$D:$D),0)+IFERROR(SUMIF(Quarterly_Impact!$B:$B,$A767,Quarterly_Impact!$D:$D),0)+IFERROR(SUMIFS(XPLog!$M:$M,XPLog!$B:$B,$A767,XPLog!$J:$J,"Admin"),0)+IFERROR(SUMIFS(XPLog!$M:$M,XPLog!$B:$B,$A767,XPLog!$J:$J,"Seeding"),0)))</f>
        <v/>
      </c>
      <c r="F767" s="27">
        <f>IF($E767="","",LOOKUP($E767, XPBands!B$2:B$10, XPBands!A$2:A$10))</f>
        <v/>
      </c>
      <c r="G767" s="27">
        <f>IF($E767="","", VLOOKUP($F767, XPBands!A$2:G$10, 4, FALSE) + MIN(VLOOKUP($F767, XPBands!A$2:G$10, 5, FALSE) - VLOOKUP($F767, XPBands!A$2:G$10, 4, FALSE), FLOOR(( $E767 - VLOOKUP($F767, XPBands!A$2:G$10, 2, FALSE) ) / VLOOKUP($F767, XPBands!A$2:G$10, 7, FALSE),1)))</f>
        <v/>
      </c>
      <c r="H767" s="27">
        <f>IF($D767="","",VLOOKUP($D767,RoleTitles!$A:$E,3,FALSE))</f>
        <v/>
      </c>
      <c r="I767" s="27">
        <f>IF($D767="","",IF($C767="Greek",VLOOKUP($D767,RoleTitles!$A:$E,4,FALSE),IF($C767="Aesir",VLOOKUP($D767,RoleTitles!$A:$E,5,FALSE),VLOOKUP($D767,RoleTitles!$A:$E,3,FALSE))))</f>
        <v/>
      </c>
      <c r="J767" s="27">
        <f>IF($D767="","",IF($E767&gt;=VLOOKUP($D767,RoleTitles!$A:$B,2,FALSE),"Yes","No"))</f>
        <v/>
      </c>
      <c r="K767" s="27">
        <f>IF($D767="","",IF($D767="T1","T2",IF($D767="T2","T3",IF($D767="T3","T4",IF($D767="T4","T5",IF($D767="T5","T6",IF($D767="T6","T7",IF($D767="T7","T8",IF($D767="T8","T9","")))))))))</f>
        <v/>
      </c>
      <c r="L767" s="28">
        <f>IF($K767="","",MAX(0,VLOOKUP($K767,RoleTitles!$A:$B,2,FALSE)-$E767))</f>
        <v/>
      </c>
    </row>
    <row r="768">
      <c r="A768" s="24">
        <f>IFERROR(INDEX(CoachRoster!$A$2:$A$1000,ROW()-1),"")</f>
        <v/>
      </c>
      <c r="B768" s="27">
        <f>IF($A768="","",VLOOKUP($A768,CoachRoster!$A:$E,2,FALSE))</f>
        <v/>
      </c>
      <c r="C768" s="27">
        <f>IF($A768="","",VLOOKUP($A768,CoachRoster!$A:$E,3,FALSE))</f>
        <v/>
      </c>
      <c r="D768" s="27">
        <f>IF($A768="","",VLOOKUP($A768,CoachRoster!$A:$E,4,FALSE))</f>
        <v/>
      </c>
      <c r="E768" s="27">
        <f>IF($A768="","",MIN(Settings!$B$8,IFERROR(SUMIF(Weekly_Coaching!$B:$B,$A768,Weekly_Coaching!$D:$D),0)+IFERROR(SUMIF(Monthly_Edu!$B:$B,$A768,Monthly_Edu!$D:$D),0)+IFERROR(SUMIF(Monthly_Ops!$B:$B,$A768,Monthly_Ops!$D:$D),0)+IFERROR(SUMIF(Monthly_Mentor!$B:$B,$A768,Monthly_Mentor!$D:$D),0)+IFERROR(SUMIF(Quarterly_Impact!$B:$B,$A768,Quarterly_Impact!$D:$D),0)+IFERROR(SUMIFS(XPLog!$M:$M,XPLog!$B:$B,$A768,XPLog!$J:$J,"Admin"),0)+IFERROR(SUMIFS(XPLog!$M:$M,XPLog!$B:$B,$A768,XPLog!$J:$J,"Seeding"),0)))</f>
        <v/>
      </c>
      <c r="F768" s="27">
        <f>IF($E768="","",LOOKUP($E768, XPBands!B$2:B$10, XPBands!A$2:A$10))</f>
        <v/>
      </c>
      <c r="G768" s="27">
        <f>IF($E768="","", VLOOKUP($F768, XPBands!A$2:G$10, 4, FALSE) + MIN(VLOOKUP($F768, XPBands!A$2:G$10, 5, FALSE) - VLOOKUP($F768, XPBands!A$2:G$10, 4, FALSE), FLOOR(( $E768 - VLOOKUP($F768, XPBands!A$2:G$10, 2, FALSE) ) / VLOOKUP($F768, XPBands!A$2:G$10, 7, FALSE),1)))</f>
        <v/>
      </c>
      <c r="H768" s="27">
        <f>IF($D768="","",VLOOKUP($D768,RoleTitles!$A:$E,3,FALSE))</f>
        <v/>
      </c>
      <c r="I768" s="27">
        <f>IF($D768="","",IF($C768="Greek",VLOOKUP($D768,RoleTitles!$A:$E,4,FALSE),IF($C768="Aesir",VLOOKUP($D768,RoleTitles!$A:$E,5,FALSE),VLOOKUP($D768,RoleTitles!$A:$E,3,FALSE))))</f>
        <v/>
      </c>
      <c r="J768" s="27">
        <f>IF($D768="","",IF($E768&gt;=VLOOKUP($D768,RoleTitles!$A:$B,2,FALSE),"Yes","No"))</f>
        <v/>
      </c>
      <c r="K768" s="27">
        <f>IF($D768="","",IF($D768="T1","T2",IF($D768="T2","T3",IF($D768="T3","T4",IF($D768="T4","T5",IF($D768="T5","T6",IF($D768="T6","T7",IF($D768="T7","T8",IF($D768="T8","T9","")))))))))</f>
        <v/>
      </c>
      <c r="L768" s="28">
        <f>IF($K768="","",MAX(0,VLOOKUP($K768,RoleTitles!$A:$B,2,FALSE)-$E768))</f>
        <v/>
      </c>
    </row>
    <row r="769">
      <c r="A769" s="24">
        <f>IFERROR(INDEX(CoachRoster!$A$2:$A$1000,ROW()-1),"")</f>
        <v/>
      </c>
      <c r="B769" s="27">
        <f>IF($A769="","",VLOOKUP($A769,CoachRoster!$A:$E,2,FALSE))</f>
        <v/>
      </c>
      <c r="C769" s="27">
        <f>IF($A769="","",VLOOKUP($A769,CoachRoster!$A:$E,3,FALSE))</f>
        <v/>
      </c>
      <c r="D769" s="27">
        <f>IF($A769="","",VLOOKUP($A769,CoachRoster!$A:$E,4,FALSE))</f>
        <v/>
      </c>
      <c r="E769" s="27">
        <f>IF($A769="","",MIN(Settings!$B$8,IFERROR(SUMIF(Weekly_Coaching!$B:$B,$A769,Weekly_Coaching!$D:$D),0)+IFERROR(SUMIF(Monthly_Edu!$B:$B,$A769,Monthly_Edu!$D:$D),0)+IFERROR(SUMIF(Monthly_Ops!$B:$B,$A769,Monthly_Ops!$D:$D),0)+IFERROR(SUMIF(Monthly_Mentor!$B:$B,$A769,Monthly_Mentor!$D:$D),0)+IFERROR(SUMIF(Quarterly_Impact!$B:$B,$A769,Quarterly_Impact!$D:$D),0)+IFERROR(SUMIFS(XPLog!$M:$M,XPLog!$B:$B,$A769,XPLog!$J:$J,"Admin"),0)+IFERROR(SUMIFS(XPLog!$M:$M,XPLog!$B:$B,$A769,XPLog!$J:$J,"Seeding"),0)))</f>
        <v/>
      </c>
      <c r="F769" s="27">
        <f>IF($E769="","",LOOKUP($E769, XPBands!B$2:B$10, XPBands!A$2:A$10))</f>
        <v/>
      </c>
      <c r="G769" s="27">
        <f>IF($E769="","", VLOOKUP($F769, XPBands!A$2:G$10, 4, FALSE) + MIN(VLOOKUP($F769, XPBands!A$2:G$10, 5, FALSE) - VLOOKUP($F769, XPBands!A$2:G$10, 4, FALSE), FLOOR(( $E769 - VLOOKUP($F769, XPBands!A$2:G$10, 2, FALSE) ) / VLOOKUP($F769, XPBands!A$2:G$10, 7, FALSE),1)))</f>
        <v/>
      </c>
      <c r="H769" s="27">
        <f>IF($D769="","",VLOOKUP($D769,RoleTitles!$A:$E,3,FALSE))</f>
        <v/>
      </c>
      <c r="I769" s="27">
        <f>IF($D769="","",IF($C769="Greek",VLOOKUP($D769,RoleTitles!$A:$E,4,FALSE),IF($C769="Aesir",VLOOKUP($D769,RoleTitles!$A:$E,5,FALSE),VLOOKUP($D769,RoleTitles!$A:$E,3,FALSE))))</f>
        <v/>
      </c>
      <c r="J769" s="27">
        <f>IF($D769="","",IF($E769&gt;=VLOOKUP($D769,RoleTitles!$A:$B,2,FALSE),"Yes","No"))</f>
        <v/>
      </c>
      <c r="K769" s="27">
        <f>IF($D769="","",IF($D769="T1","T2",IF($D769="T2","T3",IF($D769="T3","T4",IF($D769="T4","T5",IF($D769="T5","T6",IF($D769="T6","T7",IF($D769="T7","T8",IF($D769="T8","T9","")))))))))</f>
        <v/>
      </c>
      <c r="L769" s="28">
        <f>IF($K769="","",MAX(0,VLOOKUP($K769,RoleTitles!$A:$B,2,FALSE)-$E769))</f>
        <v/>
      </c>
    </row>
    <row r="770">
      <c r="A770" s="24">
        <f>IFERROR(INDEX(CoachRoster!$A$2:$A$1000,ROW()-1),"")</f>
        <v/>
      </c>
      <c r="B770" s="27">
        <f>IF($A770="","",VLOOKUP($A770,CoachRoster!$A:$E,2,FALSE))</f>
        <v/>
      </c>
      <c r="C770" s="27">
        <f>IF($A770="","",VLOOKUP($A770,CoachRoster!$A:$E,3,FALSE))</f>
        <v/>
      </c>
      <c r="D770" s="27">
        <f>IF($A770="","",VLOOKUP($A770,CoachRoster!$A:$E,4,FALSE))</f>
        <v/>
      </c>
      <c r="E770" s="27">
        <f>IF($A770="","",MIN(Settings!$B$8,IFERROR(SUMIF(Weekly_Coaching!$B:$B,$A770,Weekly_Coaching!$D:$D),0)+IFERROR(SUMIF(Monthly_Edu!$B:$B,$A770,Monthly_Edu!$D:$D),0)+IFERROR(SUMIF(Monthly_Ops!$B:$B,$A770,Monthly_Ops!$D:$D),0)+IFERROR(SUMIF(Monthly_Mentor!$B:$B,$A770,Monthly_Mentor!$D:$D),0)+IFERROR(SUMIF(Quarterly_Impact!$B:$B,$A770,Quarterly_Impact!$D:$D),0)+IFERROR(SUMIFS(XPLog!$M:$M,XPLog!$B:$B,$A770,XPLog!$J:$J,"Admin"),0)+IFERROR(SUMIFS(XPLog!$M:$M,XPLog!$B:$B,$A770,XPLog!$J:$J,"Seeding"),0)))</f>
        <v/>
      </c>
      <c r="F770" s="27">
        <f>IF($E770="","",LOOKUP($E770, XPBands!B$2:B$10, XPBands!A$2:A$10))</f>
        <v/>
      </c>
      <c r="G770" s="27">
        <f>IF($E770="","", VLOOKUP($F770, XPBands!A$2:G$10, 4, FALSE) + MIN(VLOOKUP($F770, XPBands!A$2:G$10, 5, FALSE) - VLOOKUP($F770, XPBands!A$2:G$10, 4, FALSE), FLOOR(( $E770 - VLOOKUP($F770, XPBands!A$2:G$10, 2, FALSE) ) / VLOOKUP($F770, XPBands!A$2:G$10, 7, FALSE),1)))</f>
        <v/>
      </c>
      <c r="H770" s="27">
        <f>IF($D770="","",VLOOKUP($D770,RoleTitles!$A:$E,3,FALSE))</f>
        <v/>
      </c>
      <c r="I770" s="27">
        <f>IF($D770="","",IF($C770="Greek",VLOOKUP($D770,RoleTitles!$A:$E,4,FALSE),IF($C770="Aesir",VLOOKUP($D770,RoleTitles!$A:$E,5,FALSE),VLOOKUP($D770,RoleTitles!$A:$E,3,FALSE))))</f>
        <v/>
      </c>
      <c r="J770" s="27">
        <f>IF($D770="","",IF($E770&gt;=VLOOKUP($D770,RoleTitles!$A:$B,2,FALSE),"Yes","No"))</f>
        <v/>
      </c>
      <c r="K770" s="27">
        <f>IF($D770="","",IF($D770="T1","T2",IF($D770="T2","T3",IF($D770="T3","T4",IF($D770="T4","T5",IF($D770="T5","T6",IF($D770="T6","T7",IF($D770="T7","T8",IF($D770="T8","T9","")))))))))</f>
        <v/>
      </c>
      <c r="L770" s="28">
        <f>IF($K770="","",MAX(0,VLOOKUP($K770,RoleTitles!$A:$B,2,FALSE)-$E770))</f>
        <v/>
      </c>
    </row>
    <row r="771">
      <c r="A771" s="24">
        <f>IFERROR(INDEX(CoachRoster!$A$2:$A$1000,ROW()-1),"")</f>
        <v/>
      </c>
      <c r="B771" s="27">
        <f>IF($A771="","",VLOOKUP($A771,CoachRoster!$A:$E,2,FALSE))</f>
        <v/>
      </c>
      <c r="C771" s="27">
        <f>IF($A771="","",VLOOKUP($A771,CoachRoster!$A:$E,3,FALSE))</f>
        <v/>
      </c>
      <c r="D771" s="27">
        <f>IF($A771="","",VLOOKUP($A771,CoachRoster!$A:$E,4,FALSE))</f>
        <v/>
      </c>
      <c r="E771" s="27">
        <f>IF($A771="","",MIN(Settings!$B$8,IFERROR(SUMIF(Weekly_Coaching!$B:$B,$A771,Weekly_Coaching!$D:$D),0)+IFERROR(SUMIF(Monthly_Edu!$B:$B,$A771,Monthly_Edu!$D:$D),0)+IFERROR(SUMIF(Monthly_Ops!$B:$B,$A771,Monthly_Ops!$D:$D),0)+IFERROR(SUMIF(Monthly_Mentor!$B:$B,$A771,Monthly_Mentor!$D:$D),0)+IFERROR(SUMIF(Quarterly_Impact!$B:$B,$A771,Quarterly_Impact!$D:$D),0)+IFERROR(SUMIFS(XPLog!$M:$M,XPLog!$B:$B,$A771,XPLog!$J:$J,"Admin"),0)+IFERROR(SUMIFS(XPLog!$M:$M,XPLog!$B:$B,$A771,XPLog!$J:$J,"Seeding"),0)))</f>
        <v/>
      </c>
      <c r="F771" s="27">
        <f>IF($E771="","",LOOKUP($E771, XPBands!B$2:B$10, XPBands!A$2:A$10))</f>
        <v/>
      </c>
      <c r="G771" s="27">
        <f>IF($E771="","", VLOOKUP($F771, XPBands!A$2:G$10, 4, FALSE) + MIN(VLOOKUP($F771, XPBands!A$2:G$10, 5, FALSE) - VLOOKUP($F771, XPBands!A$2:G$10, 4, FALSE), FLOOR(( $E771 - VLOOKUP($F771, XPBands!A$2:G$10, 2, FALSE) ) / VLOOKUP($F771, XPBands!A$2:G$10, 7, FALSE),1)))</f>
        <v/>
      </c>
      <c r="H771" s="27">
        <f>IF($D771="","",VLOOKUP($D771,RoleTitles!$A:$E,3,FALSE))</f>
        <v/>
      </c>
      <c r="I771" s="27">
        <f>IF($D771="","",IF($C771="Greek",VLOOKUP($D771,RoleTitles!$A:$E,4,FALSE),IF($C771="Aesir",VLOOKUP($D771,RoleTitles!$A:$E,5,FALSE),VLOOKUP($D771,RoleTitles!$A:$E,3,FALSE))))</f>
        <v/>
      </c>
      <c r="J771" s="27">
        <f>IF($D771="","",IF($E771&gt;=VLOOKUP($D771,RoleTitles!$A:$B,2,FALSE),"Yes","No"))</f>
        <v/>
      </c>
      <c r="K771" s="27">
        <f>IF($D771="","",IF($D771="T1","T2",IF($D771="T2","T3",IF($D771="T3","T4",IF($D771="T4","T5",IF($D771="T5","T6",IF($D771="T6","T7",IF($D771="T7","T8",IF($D771="T8","T9","")))))))))</f>
        <v/>
      </c>
      <c r="L771" s="28">
        <f>IF($K771="","",MAX(0,VLOOKUP($K771,RoleTitles!$A:$B,2,FALSE)-$E771))</f>
        <v/>
      </c>
    </row>
    <row r="772">
      <c r="A772" s="24">
        <f>IFERROR(INDEX(CoachRoster!$A$2:$A$1000,ROW()-1),"")</f>
        <v/>
      </c>
      <c r="B772" s="27">
        <f>IF($A772="","",VLOOKUP($A772,CoachRoster!$A:$E,2,FALSE))</f>
        <v/>
      </c>
      <c r="C772" s="27">
        <f>IF($A772="","",VLOOKUP($A772,CoachRoster!$A:$E,3,FALSE))</f>
        <v/>
      </c>
      <c r="D772" s="27">
        <f>IF($A772="","",VLOOKUP($A772,CoachRoster!$A:$E,4,FALSE))</f>
        <v/>
      </c>
      <c r="E772" s="27">
        <f>IF($A772="","",MIN(Settings!$B$8,IFERROR(SUMIF(Weekly_Coaching!$B:$B,$A772,Weekly_Coaching!$D:$D),0)+IFERROR(SUMIF(Monthly_Edu!$B:$B,$A772,Monthly_Edu!$D:$D),0)+IFERROR(SUMIF(Monthly_Ops!$B:$B,$A772,Monthly_Ops!$D:$D),0)+IFERROR(SUMIF(Monthly_Mentor!$B:$B,$A772,Monthly_Mentor!$D:$D),0)+IFERROR(SUMIF(Quarterly_Impact!$B:$B,$A772,Quarterly_Impact!$D:$D),0)+IFERROR(SUMIFS(XPLog!$M:$M,XPLog!$B:$B,$A772,XPLog!$J:$J,"Admin"),0)+IFERROR(SUMIFS(XPLog!$M:$M,XPLog!$B:$B,$A772,XPLog!$J:$J,"Seeding"),0)))</f>
        <v/>
      </c>
      <c r="F772" s="27">
        <f>IF($E772="","",LOOKUP($E772, XPBands!B$2:B$10, XPBands!A$2:A$10))</f>
        <v/>
      </c>
      <c r="G772" s="27">
        <f>IF($E772="","", VLOOKUP($F772, XPBands!A$2:G$10, 4, FALSE) + MIN(VLOOKUP($F772, XPBands!A$2:G$10, 5, FALSE) - VLOOKUP($F772, XPBands!A$2:G$10, 4, FALSE), FLOOR(( $E772 - VLOOKUP($F772, XPBands!A$2:G$10, 2, FALSE) ) / VLOOKUP($F772, XPBands!A$2:G$10, 7, FALSE),1)))</f>
        <v/>
      </c>
      <c r="H772" s="27">
        <f>IF($D772="","",VLOOKUP($D772,RoleTitles!$A:$E,3,FALSE))</f>
        <v/>
      </c>
      <c r="I772" s="27">
        <f>IF($D772="","",IF($C772="Greek",VLOOKUP($D772,RoleTitles!$A:$E,4,FALSE),IF($C772="Aesir",VLOOKUP($D772,RoleTitles!$A:$E,5,FALSE),VLOOKUP($D772,RoleTitles!$A:$E,3,FALSE))))</f>
        <v/>
      </c>
      <c r="J772" s="27">
        <f>IF($D772="","",IF($E772&gt;=VLOOKUP($D772,RoleTitles!$A:$B,2,FALSE),"Yes","No"))</f>
        <v/>
      </c>
      <c r="K772" s="27">
        <f>IF($D772="","",IF($D772="T1","T2",IF($D772="T2","T3",IF($D772="T3","T4",IF($D772="T4","T5",IF($D772="T5","T6",IF($D772="T6","T7",IF($D772="T7","T8",IF($D772="T8","T9","")))))))))</f>
        <v/>
      </c>
      <c r="L772" s="28">
        <f>IF($K772="","",MAX(0,VLOOKUP($K772,RoleTitles!$A:$B,2,FALSE)-$E772))</f>
        <v/>
      </c>
    </row>
    <row r="773">
      <c r="A773" s="24">
        <f>IFERROR(INDEX(CoachRoster!$A$2:$A$1000,ROW()-1),"")</f>
        <v/>
      </c>
      <c r="B773" s="27">
        <f>IF($A773="","",VLOOKUP($A773,CoachRoster!$A:$E,2,FALSE))</f>
        <v/>
      </c>
      <c r="C773" s="27">
        <f>IF($A773="","",VLOOKUP($A773,CoachRoster!$A:$E,3,FALSE))</f>
        <v/>
      </c>
      <c r="D773" s="27">
        <f>IF($A773="","",VLOOKUP($A773,CoachRoster!$A:$E,4,FALSE))</f>
        <v/>
      </c>
      <c r="E773" s="27">
        <f>IF($A773="","",MIN(Settings!$B$8,IFERROR(SUMIF(Weekly_Coaching!$B:$B,$A773,Weekly_Coaching!$D:$D),0)+IFERROR(SUMIF(Monthly_Edu!$B:$B,$A773,Monthly_Edu!$D:$D),0)+IFERROR(SUMIF(Monthly_Ops!$B:$B,$A773,Monthly_Ops!$D:$D),0)+IFERROR(SUMIF(Monthly_Mentor!$B:$B,$A773,Monthly_Mentor!$D:$D),0)+IFERROR(SUMIF(Quarterly_Impact!$B:$B,$A773,Quarterly_Impact!$D:$D),0)+IFERROR(SUMIFS(XPLog!$M:$M,XPLog!$B:$B,$A773,XPLog!$J:$J,"Admin"),0)+IFERROR(SUMIFS(XPLog!$M:$M,XPLog!$B:$B,$A773,XPLog!$J:$J,"Seeding"),0)))</f>
        <v/>
      </c>
      <c r="F773" s="27">
        <f>IF($E773="","",LOOKUP($E773, XPBands!B$2:B$10, XPBands!A$2:A$10))</f>
        <v/>
      </c>
      <c r="G773" s="27">
        <f>IF($E773="","", VLOOKUP($F773, XPBands!A$2:G$10, 4, FALSE) + MIN(VLOOKUP($F773, XPBands!A$2:G$10, 5, FALSE) - VLOOKUP($F773, XPBands!A$2:G$10, 4, FALSE), FLOOR(( $E773 - VLOOKUP($F773, XPBands!A$2:G$10, 2, FALSE) ) / VLOOKUP($F773, XPBands!A$2:G$10, 7, FALSE),1)))</f>
        <v/>
      </c>
      <c r="H773" s="27">
        <f>IF($D773="","",VLOOKUP($D773,RoleTitles!$A:$E,3,FALSE))</f>
        <v/>
      </c>
      <c r="I773" s="27">
        <f>IF($D773="","",IF($C773="Greek",VLOOKUP($D773,RoleTitles!$A:$E,4,FALSE),IF($C773="Aesir",VLOOKUP($D773,RoleTitles!$A:$E,5,FALSE),VLOOKUP($D773,RoleTitles!$A:$E,3,FALSE))))</f>
        <v/>
      </c>
      <c r="J773" s="27">
        <f>IF($D773="","",IF($E773&gt;=VLOOKUP($D773,RoleTitles!$A:$B,2,FALSE),"Yes","No"))</f>
        <v/>
      </c>
      <c r="K773" s="27">
        <f>IF($D773="","",IF($D773="T1","T2",IF($D773="T2","T3",IF($D773="T3","T4",IF($D773="T4","T5",IF($D773="T5","T6",IF($D773="T6","T7",IF($D773="T7","T8",IF($D773="T8","T9","")))))))))</f>
        <v/>
      </c>
      <c r="L773" s="28">
        <f>IF($K773="","",MAX(0,VLOOKUP($K773,RoleTitles!$A:$B,2,FALSE)-$E773))</f>
        <v/>
      </c>
    </row>
    <row r="774">
      <c r="A774" s="24">
        <f>IFERROR(INDEX(CoachRoster!$A$2:$A$1000,ROW()-1),"")</f>
        <v/>
      </c>
      <c r="B774" s="27">
        <f>IF($A774="","",VLOOKUP($A774,CoachRoster!$A:$E,2,FALSE))</f>
        <v/>
      </c>
      <c r="C774" s="27">
        <f>IF($A774="","",VLOOKUP($A774,CoachRoster!$A:$E,3,FALSE))</f>
        <v/>
      </c>
      <c r="D774" s="27">
        <f>IF($A774="","",VLOOKUP($A774,CoachRoster!$A:$E,4,FALSE))</f>
        <v/>
      </c>
      <c r="E774" s="27">
        <f>IF($A774="","",MIN(Settings!$B$8,IFERROR(SUMIF(Weekly_Coaching!$B:$B,$A774,Weekly_Coaching!$D:$D),0)+IFERROR(SUMIF(Monthly_Edu!$B:$B,$A774,Monthly_Edu!$D:$D),0)+IFERROR(SUMIF(Monthly_Ops!$B:$B,$A774,Monthly_Ops!$D:$D),0)+IFERROR(SUMIF(Monthly_Mentor!$B:$B,$A774,Monthly_Mentor!$D:$D),0)+IFERROR(SUMIF(Quarterly_Impact!$B:$B,$A774,Quarterly_Impact!$D:$D),0)+IFERROR(SUMIFS(XPLog!$M:$M,XPLog!$B:$B,$A774,XPLog!$J:$J,"Admin"),0)+IFERROR(SUMIFS(XPLog!$M:$M,XPLog!$B:$B,$A774,XPLog!$J:$J,"Seeding"),0)))</f>
        <v/>
      </c>
      <c r="F774" s="27">
        <f>IF($E774="","",LOOKUP($E774, XPBands!B$2:B$10, XPBands!A$2:A$10))</f>
        <v/>
      </c>
      <c r="G774" s="27">
        <f>IF($E774="","", VLOOKUP($F774, XPBands!A$2:G$10, 4, FALSE) + MIN(VLOOKUP($F774, XPBands!A$2:G$10, 5, FALSE) - VLOOKUP($F774, XPBands!A$2:G$10, 4, FALSE), FLOOR(( $E774 - VLOOKUP($F774, XPBands!A$2:G$10, 2, FALSE) ) / VLOOKUP($F774, XPBands!A$2:G$10, 7, FALSE),1)))</f>
        <v/>
      </c>
      <c r="H774" s="27">
        <f>IF($D774="","",VLOOKUP($D774,RoleTitles!$A:$E,3,FALSE))</f>
        <v/>
      </c>
      <c r="I774" s="27">
        <f>IF($D774="","",IF($C774="Greek",VLOOKUP($D774,RoleTitles!$A:$E,4,FALSE),IF($C774="Aesir",VLOOKUP($D774,RoleTitles!$A:$E,5,FALSE),VLOOKUP($D774,RoleTitles!$A:$E,3,FALSE))))</f>
        <v/>
      </c>
      <c r="J774" s="27">
        <f>IF($D774="","",IF($E774&gt;=VLOOKUP($D774,RoleTitles!$A:$B,2,FALSE),"Yes","No"))</f>
        <v/>
      </c>
      <c r="K774" s="27">
        <f>IF($D774="","",IF($D774="T1","T2",IF($D774="T2","T3",IF($D774="T3","T4",IF($D774="T4","T5",IF($D774="T5","T6",IF($D774="T6","T7",IF($D774="T7","T8",IF($D774="T8","T9","")))))))))</f>
        <v/>
      </c>
      <c r="L774" s="28">
        <f>IF($K774="","",MAX(0,VLOOKUP($K774,RoleTitles!$A:$B,2,FALSE)-$E774))</f>
        <v/>
      </c>
    </row>
    <row r="775">
      <c r="A775" s="24">
        <f>IFERROR(INDEX(CoachRoster!$A$2:$A$1000,ROW()-1),"")</f>
        <v/>
      </c>
      <c r="B775" s="27">
        <f>IF($A775="","",VLOOKUP($A775,CoachRoster!$A:$E,2,FALSE))</f>
        <v/>
      </c>
      <c r="C775" s="27">
        <f>IF($A775="","",VLOOKUP($A775,CoachRoster!$A:$E,3,FALSE))</f>
        <v/>
      </c>
      <c r="D775" s="27">
        <f>IF($A775="","",VLOOKUP($A775,CoachRoster!$A:$E,4,FALSE))</f>
        <v/>
      </c>
      <c r="E775" s="27">
        <f>IF($A775="","",MIN(Settings!$B$8,IFERROR(SUMIF(Weekly_Coaching!$B:$B,$A775,Weekly_Coaching!$D:$D),0)+IFERROR(SUMIF(Monthly_Edu!$B:$B,$A775,Monthly_Edu!$D:$D),0)+IFERROR(SUMIF(Monthly_Ops!$B:$B,$A775,Monthly_Ops!$D:$D),0)+IFERROR(SUMIF(Monthly_Mentor!$B:$B,$A775,Monthly_Mentor!$D:$D),0)+IFERROR(SUMIF(Quarterly_Impact!$B:$B,$A775,Quarterly_Impact!$D:$D),0)+IFERROR(SUMIFS(XPLog!$M:$M,XPLog!$B:$B,$A775,XPLog!$J:$J,"Admin"),0)+IFERROR(SUMIFS(XPLog!$M:$M,XPLog!$B:$B,$A775,XPLog!$J:$J,"Seeding"),0)))</f>
        <v/>
      </c>
      <c r="F775" s="27">
        <f>IF($E775="","",LOOKUP($E775, XPBands!B$2:B$10, XPBands!A$2:A$10))</f>
        <v/>
      </c>
      <c r="G775" s="27">
        <f>IF($E775="","", VLOOKUP($F775, XPBands!A$2:G$10, 4, FALSE) + MIN(VLOOKUP($F775, XPBands!A$2:G$10, 5, FALSE) - VLOOKUP($F775, XPBands!A$2:G$10, 4, FALSE), FLOOR(( $E775 - VLOOKUP($F775, XPBands!A$2:G$10, 2, FALSE) ) / VLOOKUP($F775, XPBands!A$2:G$10, 7, FALSE),1)))</f>
        <v/>
      </c>
      <c r="H775" s="27">
        <f>IF($D775="","",VLOOKUP($D775,RoleTitles!$A:$E,3,FALSE))</f>
        <v/>
      </c>
      <c r="I775" s="27">
        <f>IF($D775="","",IF($C775="Greek",VLOOKUP($D775,RoleTitles!$A:$E,4,FALSE),IF($C775="Aesir",VLOOKUP($D775,RoleTitles!$A:$E,5,FALSE),VLOOKUP($D775,RoleTitles!$A:$E,3,FALSE))))</f>
        <v/>
      </c>
      <c r="J775" s="27">
        <f>IF($D775="","",IF($E775&gt;=VLOOKUP($D775,RoleTitles!$A:$B,2,FALSE),"Yes","No"))</f>
        <v/>
      </c>
      <c r="K775" s="27">
        <f>IF($D775="","",IF($D775="T1","T2",IF($D775="T2","T3",IF($D775="T3","T4",IF($D775="T4","T5",IF($D775="T5","T6",IF($D775="T6","T7",IF($D775="T7","T8",IF($D775="T8","T9","")))))))))</f>
        <v/>
      </c>
      <c r="L775" s="28">
        <f>IF($K775="","",MAX(0,VLOOKUP($K775,RoleTitles!$A:$B,2,FALSE)-$E775))</f>
        <v/>
      </c>
    </row>
    <row r="776">
      <c r="A776" s="24">
        <f>IFERROR(INDEX(CoachRoster!$A$2:$A$1000,ROW()-1),"")</f>
        <v/>
      </c>
      <c r="B776" s="27">
        <f>IF($A776="","",VLOOKUP($A776,CoachRoster!$A:$E,2,FALSE))</f>
        <v/>
      </c>
      <c r="C776" s="27">
        <f>IF($A776="","",VLOOKUP($A776,CoachRoster!$A:$E,3,FALSE))</f>
        <v/>
      </c>
      <c r="D776" s="27">
        <f>IF($A776="","",VLOOKUP($A776,CoachRoster!$A:$E,4,FALSE))</f>
        <v/>
      </c>
      <c r="E776" s="27">
        <f>IF($A776="","",MIN(Settings!$B$8,IFERROR(SUMIF(Weekly_Coaching!$B:$B,$A776,Weekly_Coaching!$D:$D),0)+IFERROR(SUMIF(Monthly_Edu!$B:$B,$A776,Monthly_Edu!$D:$D),0)+IFERROR(SUMIF(Monthly_Ops!$B:$B,$A776,Monthly_Ops!$D:$D),0)+IFERROR(SUMIF(Monthly_Mentor!$B:$B,$A776,Monthly_Mentor!$D:$D),0)+IFERROR(SUMIF(Quarterly_Impact!$B:$B,$A776,Quarterly_Impact!$D:$D),0)+IFERROR(SUMIFS(XPLog!$M:$M,XPLog!$B:$B,$A776,XPLog!$J:$J,"Admin"),0)+IFERROR(SUMIFS(XPLog!$M:$M,XPLog!$B:$B,$A776,XPLog!$J:$J,"Seeding"),0)))</f>
        <v/>
      </c>
      <c r="F776" s="27">
        <f>IF($E776="","",LOOKUP($E776, XPBands!B$2:B$10, XPBands!A$2:A$10))</f>
        <v/>
      </c>
      <c r="G776" s="27">
        <f>IF($E776="","", VLOOKUP($F776, XPBands!A$2:G$10, 4, FALSE) + MIN(VLOOKUP($F776, XPBands!A$2:G$10, 5, FALSE) - VLOOKUP($F776, XPBands!A$2:G$10, 4, FALSE), FLOOR(( $E776 - VLOOKUP($F776, XPBands!A$2:G$10, 2, FALSE) ) / VLOOKUP($F776, XPBands!A$2:G$10, 7, FALSE),1)))</f>
        <v/>
      </c>
      <c r="H776" s="27">
        <f>IF($D776="","",VLOOKUP($D776,RoleTitles!$A:$E,3,FALSE))</f>
        <v/>
      </c>
      <c r="I776" s="27">
        <f>IF($D776="","",IF($C776="Greek",VLOOKUP($D776,RoleTitles!$A:$E,4,FALSE),IF($C776="Aesir",VLOOKUP($D776,RoleTitles!$A:$E,5,FALSE),VLOOKUP($D776,RoleTitles!$A:$E,3,FALSE))))</f>
        <v/>
      </c>
      <c r="J776" s="27">
        <f>IF($D776="","",IF($E776&gt;=VLOOKUP($D776,RoleTitles!$A:$B,2,FALSE),"Yes","No"))</f>
        <v/>
      </c>
      <c r="K776" s="27">
        <f>IF($D776="","",IF($D776="T1","T2",IF($D776="T2","T3",IF($D776="T3","T4",IF($D776="T4","T5",IF($D776="T5","T6",IF($D776="T6","T7",IF($D776="T7","T8",IF($D776="T8","T9","")))))))))</f>
        <v/>
      </c>
      <c r="L776" s="28">
        <f>IF($K776="","",MAX(0,VLOOKUP($K776,RoleTitles!$A:$B,2,FALSE)-$E776))</f>
        <v/>
      </c>
    </row>
    <row r="777">
      <c r="A777" s="24">
        <f>IFERROR(INDEX(CoachRoster!$A$2:$A$1000,ROW()-1),"")</f>
        <v/>
      </c>
      <c r="B777" s="27">
        <f>IF($A777="","",VLOOKUP($A777,CoachRoster!$A:$E,2,FALSE))</f>
        <v/>
      </c>
      <c r="C777" s="27">
        <f>IF($A777="","",VLOOKUP($A777,CoachRoster!$A:$E,3,FALSE))</f>
        <v/>
      </c>
      <c r="D777" s="27">
        <f>IF($A777="","",VLOOKUP($A777,CoachRoster!$A:$E,4,FALSE))</f>
        <v/>
      </c>
      <c r="E777" s="27">
        <f>IF($A777="","",MIN(Settings!$B$8,IFERROR(SUMIF(Weekly_Coaching!$B:$B,$A777,Weekly_Coaching!$D:$D),0)+IFERROR(SUMIF(Monthly_Edu!$B:$B,$A777,Monthly_Edu!$D:$D),0)+IFERROR(SUMIF(Monthly_Ops!$B:$B,$A777,Monthly_Ops!$D:$D),0)+IFERROR(SUMIF(Monthly_Mentor!$B:$B,$A777,Monthly_Mentor!$D:$D),0)+IFERROR(SUMIF(Quarterly_Impact!$B:$B,$A777,Quarterly_Impact!$D:$D),0)+IFERROR(SUMIFS(XPLog!$M:$M,XPLog!$B:$B,$A777,XPLog!$J:$J,"Admin"),0)+IFERROR(SUMIFS(XPLog!$M:$M,XPLog!$B:$B,$A777,XPLog!$J:$J,"Seeding"),0)))</f>
        <v/>
      </c>
      <c r="F777" s="27">
        <f>IF($E777="","",LOOKUP($E777, XPBands!B$2:B$10, XPBands!A$2:A$10))</f>
        <v/>
      </c>
      <c r="G777" s="27">
        <f>IF($E777="","", VLOOKUP($F777, XPBands!A$2:G$10, 4, FALSE) + MIN(VLOOKUP($F777, XPBands!A$2:G$10, 5, FALSE) - VLOOKUP($F777, XPBands!A$2:G$10, 4, FALSE), FLOOR(( $E777 - VLOOKUP($F777, XPBands!A$2:G$10, 2, FALSE) ) / VLOOKUP($F777, XPBands!A$2:G$10, 7, FALSE),1)))</f>
        <v/>
      </c>
      <c r="H777" s="27">
        <f>IF($D777="","",VLOOKUP($D777,RoleTitles!$A:$E,3,FALSE))</f>
        <v/>
      </c>
      <c r="I777" s="27">
        <f>IF($D777="","",IF($C777="Greek",VLOOKUP($D777,RoleTitles!$A:$E,4,FALSE),IF($C777="Aesir",VLOOKUP($D777,RoleTitles!$A:$E,5,FALSE),VLOOKUP($D777,RoleTitles!$A:$E,3,FALSE))))</f>
        <v/>
      </c>
      <c r="J777" s="27">
        <f>IF($D777="","",IF($E777&gt;=VLOOKUP($D777,RoleTitles!$A:$B,2,FALSE),"Yes","No"))</f>
        <v/>
      </c>
      <c r="K777" s="27">
        <f>IF($D777="","",IF($D777="T1","T2",IF($D777="T2","T3",IF($D777="T3","T4",IF($D777="T4","T5",IF($D777="T5","T6",IF($D777="T6","T7",IF($D777="T7","T8",IF($D777="T8","T9","")))))))))</f>
        <v/>
      </c>
      <c r="L777" s="28">
        <f>IF($K777="","",MAX(0,VLOOKUP($K777,RoleTitles!$A:$B,2,FALSE)-$E777))</f>
        <v/>
      </c>
    </row>
    <row r="778">
      <c r="A778" s="24">
        <f>IFERROR(INDEX(CoachRoster!$A$2:$A$1000,ROW()-1),"")</f>
        <v/>
      </c>
      <c r="B778" s="27">
        <f>IF($A778="","",VLOOKUP($A778,CoachRoster!$A:$E,2,FALSE))</f>
        <v/>
      </c>
      <c r="C778" s="27">
        <f>IF($A778="","",VLOOKUP($A778,CoachRoster!$A:$E,3,FALSE))</f>
        <v/>
      </c>
      <c r="D778" s="27">
        <f>IF($A778="","",VLOOKUP($A778,CoachRoster!$A:$E,4,FALSE))</f>
        <v/>
      </c>
      <c r="E778" s="27">
        <f>IF($A778="","",MIN(Settings!$B$8,IFERROR(SUMIF(Weekly_Coaching!$B:$B,$A778,Weekly_Coaching!$D:$D),0)+IFERROR(SUMIF(Monthly_Edu!$B:$B,$A778,Monthly_Edu!$D:$D),0)+IFERROR(SUMIF(Monthly_Ops!$B:$B,$A778,Monthly_Ops!$D:$D),0)+IFERROR(SUMIF(Monthly_Mentor!$B:$B,$A778,Monthly_Mentor!$D:$D),0)+IFERROR(SUMIF(Quarterly_Impact!$B:$B,$A778,Quarterly_Impact!$D:$D),0)+IFERROR(SUMIFS(XPLog!$M:$M,XPLog!$B:$B,$A778,XPLog!$J:$J,"Admin"),0)+IFERROR(SUMIFS(XPLog!$M:$M,XPLog!$B:$B,$A778,XPLog!$J:$J,"Seeding"),0)))</f>
        <v/>
      </c>
      <c r="F778" s="27">
        <f>IF($E778="","",LOOKUP($E778, XPBands!B$2:B$10, XPBands!A$2:A$10))</f>
        <v/>
      </c>
      <c r="G778" s="27">
        <f>IF($E778="","", VLOOKUP($F778, XPBands!A$2:G$10, 4, FALSE) + MIN(VLOOKUP($F778, XPBands!A$2:G$10, 5, FALSE) - VLOOKUP($F778, XPBands!A$2:G$10, 4, FALSE), FLOOR(( $E778 - VLOOKUP($F778, XPBands!A$2:G$10, 2, FALSE) ) / VLOOKUP($F778, XPBands!A$2:G$10, 7, FALSE),1)))</f>
        <v/>
      </c>
      <c r="H778" s="27">
        <f>IF($D778="","",VLOOKUP($D778,RoleTitles!$A:$E,3,FALSE))</f>
        <v/>
      </c>
      <c r="I778" s="27">
        <f>IF($D778="","",IF($C778="Greek",VLOOKUP($D778,RoleTitles!$A:$E,4,FALSE),IF($C778="Aesir",VLOOKUP($D778,RoleTitles!$A:$E,5,FALSE),VLOOKUP($D778,RoleTitles!$A:$E,3,FALSE))))</f>
        <v/>
      </c>
      <c r="J778" s="27">
        <f>IF($D778="","",IF($E778&gt;=VLOOKUP($D778,RoleTitles!$A:$B,2,FALSE),"Yes","No"))</f>
        <v/>
      </c>
      <c r="K778" s="27">
        <f>IF($D778="","",IF($D778="T1","T2",IF($D778="T2","T3",IF($D778="T3","T4",IF($D778="T4","T5",IF($D778="T5","T6",IF($D778="T6","T7",IF($D778="T7","T8",IF($D778="T8","T9","")))))))))</f>
        <v/>
      </c>
      <c r="L778" s="28">
        <f>IF($K778="","",MAX(0,VLOOKUP($K778,RoleTitles!$A:$B,2,FALSE)-$E778))</f>
        <v/>
      </c>
    </row>
    <row r="779">
      <c r="A779" s="24">
        <f>IFERROR(INDEX(CoachRoster!$A$2:$A$1000,ROW()-1),"")</f>
        <v/>
      </c>
      <c r="B779" s="27">
        <f>IF($A779="","",VLOOKUP($A779,CoachRoster!$A:$E,2,FALSE))</f>
        <v/>
      </c>
      <c r="C779" s="27">
        <f>IF($A779="","",VLOOKUP($A779,CoachRoster!$A:$E,3,FALSE))</f>
        <v/>
      </c>
      <c r="D779" s="27">
        <f>IF($A779="","",VLOOKUP($A779,CoachRoster!$A:$E,4,FALSE))</f>
        <v/>
      </c>
      <c r="E779" s="27">
        <f>IF($A779="","",MIN(Settings!$B$8,IFERROR(SUMIF(Weekly_Coaching!$B:$B,$A779,Weekly_Coaching!$D:$D),0)+IFERROR(SUMIF(Monthly_Edu!$B:$B,$A779,Monthly_Edu!$D:$D),0)+IFERROR(SUMIF(Monthly_Ops!$B:$B,$A779,Monthly_Ops!$D:$D),0)+IFERROR(SUMIF(Monthly_Mentor!$B:$B,$A779,Monthly_Mentor!$D:$D),0)+IFERROR(SUMIF(Quarterly_Impact!$B:$B,$A779,Quarterly_Impact!$D:$D),0)+IFERROR(SUMIFS(XPLog!$M:$M,XPLog!$B:$B,$A779,XPLog!$J:$J,"Admin"),0)+IFERROR(SUMIFS(XPLog!$M:$M,XPLog!$B:$B,$A779,XPLog!$J:$J,"Seeding"),0)))</f>
        <v/>
      </c>
      <c r="F779" s="27">
        <f>IF($E779="","",LOOKUP($E779, XPBands!B$2:B$10, XPBands!A$2:A$10))</f>
        <v/>
      </c>
      <c r="G779" s="27">
        <f>IF($E779="","", VLOOKUP($F779, XPBands!A$2:G$10, 4, FALSE) + MIN(VLOOKUP($F779, XPBands!A$2:G$10, 5, FALSE) - VLOOKUP($F779, XPBands!A$2:G$10, 4, FALSE), FLOOR(( $E779 - VLOOKUP($F779, XPBands!A$2:G$10, 2, FALSE) ) / VLOOKUP($F779, XPBands!A$2:G$10, 7, FALSE),1)))</f>
        <v/>
      </c>
      <c r="H779" s="27">
        <f>IF($D779="","",VLOOKUP($D779,RoleTitles!$A:$E,3,FALSE))</f>
        <v/>
      </c>
      <c r="I779" s="27">
        <f>IF($D779="","",IF($C779="Greek",VLOOKUP($D779,RoleTitles!$A:$E,4,FALSE),IF($C779="Aesir",VLOOKUP($D779,RoleTitles!$A:$E,5,FALSE),VLOOKUP($D779,RoleTitles!$A:$E,3,FALSE))))</f>
        <v/>
      </c>
      <c r="J779" s="27">
        <f>IF($D779="","",IF($E779&gt;=VLOOKUP($D779,RoleTitles!$A:$B,2,FALSE),"Yes","No"))</f>
        <v/>
      </c>
      <c r="K779" s="27">
        <f>IF($D779="","",IF($D779="T1","T2",IF($D779="T2","T3",IF($D779="T3","T4",IF($D779="T4","T5",IF($D779="T5","T6",IF($D779="T6","T7",IF($D779="T7","T8",IF($D779="T8","T9","")))))))))</f>
        <v/>
      </c>
      <c r="L779" s="28">
        <f>IF($K779="","",MAX(0,VLOOKUP($K779,RoleTitles!$A:$B,2,FALSE)-$E779))</f>
        <v/>
      </c>
    </row>
    <row r="780">
      <c r="A780" s="24">
        <f>IFERROR(INDEX(CoachRoster!$A$2:$A$1000,ROW()-1),"")</f>
        <v/>
      </c>
      <c r="B780" s="27">
        <f>IF($A780="","",VLOOKUP($A780,CoachRoster!$A:$E,2,FALSE))</f>
        <v/>
      </c>
      <c r="C780" s="27">
        <f>IF($A780="","",VLOOKUP($A780,CoachRoster!$A:$E,3,FALSE))</f>
        <v/>
      </c>
      <c r="D780" s="27">
        <f>IF($A780="","",VLOOKUP($A780,CoachRoster!$A:$E,4,FALSE))</f>
        <v/>
      </c>
      <c r="E780" s="27">
        <f>IF($A780="","",MIN(Settings!$B$8,IFERROR(SUMIF(Weekly_Coaching!$B:$B,$A780,Weekly_Coaching!$D:$D),0)+IFERROR(SUMIF(Monthly_Edu!$B:$B,$A780,Monthly_Edu!$D:$D),0)+IFERROR(SUMIF(Monthly_Ops!$B:$B,$A780,Monthly_Ops!$D:$D),0)+IFERROR(SUMIF(Monthly_Mentor!$B:$B,$A780,Monthly_Mentor!$D:$D),0)+IFERROR(SUMIF(Quarterly_Impact!$B:$B,$A780,Quarterly_Impact!$D:$D),0)+IFERROR(SUMIFS(XPLog!$M:$M,XPLog!$B:$B,$A780,XPLog!$J:$J,"Admin"),0)+IFERROR(SUMIFS(XPLog!$M:$M,XPLog!$B:$B,$A780,XPLog!$J:$J,"Seeding"),0)))</f>
        <v/>
      </c>
      <c r="F780" s="27">
        <f>IF($E780="","",LOOKUP($E780, XPBands!B$2:B$10, XPBands!A$2:A$10))</f>
        <v/>
      </c>
      <c r="G780" s="27">
        <f>IF($E780="","", VLOOKUP($F780, XPBands!A$2:G$10, 4, FALSE) + MIN(VLOOKUP($F780, XPBands!A$2:G$10, 5, FALSE) - VLOOKUP($F780, XPBands!A$2:G$10, 4, FALSE), FLOOR(( $E780 - VLOOKUP($F780, XPBands!A$2:G$10, 2, FALSE) ) / VLOOKUP($F780, XPBands!A$2:G$10, 7, FALSE),1)))</f>
        <v/>
      </c>
      <c r="H780" s="27">
        <f>IF($D780="","",VLOOKUP($D780,RoleTitles!$A:$E,3,FALSE))</f>
        <v/>
      </c>
      <c r="I780" s="27">
        <f>IF($D780="","",IF($C780="Greek",VLOOKUP($D780,RoleTitles!$A:$E,4,FALSE),IF($C780="Aesir",VLOOKUP($D780,RoleTitles!$A:$E,5,FALSE),VLOOKUP($D780,RoleTitles!$A:$E,3,FALSE))))</f>
        <v/>
      </c>
      <c r="J780" s="27">
        <f>IF($D780="","",IF($E780&gt;=VLOOKUP($D780,RoleTitles!$A:$B,2,FALSE),"Yes","No"))</f>
        <v/>
      </c>
      <c r="K780" s="27">
        <f>IF($D780="","",IF($D780="T1","T2",IF($D780="T2","T3",IF($D780="T3","T4",IF($D780="T4","T5",IF($D780="T5","T6",IF($D780="T6","T7",IF($D780="T7","T8",IF($D780="T8","T9","")))))))))</f>
        <v/>
      </c>
      <c r="L780" s="28">
        <f>IF($K780="","",MAX(0,VLOOKUP($K780,RoleTitles!$A:$B,2,FALSE)-$E780))</f>
        <v/>
      </c>
    </row>
    <row r="781">
      <c r="A781" s="24">
        <f>IFERROR(INDEX(CoachRoster!$A$2:$A$1000,ROW()-1),"")</f>
        <v/>
      </c>
      <c r="B781" s="27">
        <f>IF($A781="","",VLOOKUP($A781,CoachRoster!$A:$E,2,FALSE))</f>
        <v/>
      </c>
      <c r="C781" s="27">
        <f>IF($A781="","",VLOOKUP($A781,CoachRoster!$A:$E,3,FALSE))</f>
        <v/>
      </c>
      <c r="D781" s="27">
        <f>IF($A781="","",VLOOKUP($A781,CoachRoster!$A:$E,4,FALSE))</f>
        <v/>
      </c>
      <c r="E781" s="27">
        <f>IF($A781="","",MIN(Settings!$B$8,IFERROR(SUMIF(Weekly_Coaching!$B:$B,$A781,Weekly_Coaching!$D:$D),0)+IFERROR(SUMIF(Monthly_Edu!$B:$B,$A781,Monthly_Edu!$D:$D),0)+IFERROR(SUMIF(Monthly_Ops!$B:$B,$A781,Monthly_Ops!$D:$D),0)+IFERROR(SUMIF(Monthly_Mentor!$B:$B,$A781,Monthly_Mentor!$D:$D),0)+IFERROR(SUMIF(Quarterly_Impact!$B:$B,$A781,Quarterly_Impact!$D:$D),0)+IFERROR(SUMIFS(XPLog!$M:$M,XPLog!$B:$B,$A781,XPLog!$J:$J,"Admin"),0)+IFERROR(SUMIFS(XPLog!$M:$M,XPLog!$B:$B,$A781,XPLog!$J:$J,"Seeding"),0)))</f>
        <v/>
      </c>
      <c r="F781" s="27">
        <f>IF($E781="","",LOOKUP($E781, XPBands!B$2:B$10, XPBands!A$2:A$10))</f>
        <v/>
      </c>
      <c r="G781" s="27">
        <f>IF($E781="","", VLOOKUP($F781, XPBands!A$2:G$10, 4, FALSE) + MIN(VLOOKUP($F781, XPBands!A$2:G$10, 5, FALSE) - VLOOKUP($F781, XPBands!A$2:G$10, 4, FALSE), FLOOR(( $E781 - VLOOKUP($F781, XPBands!A$2:G$10, 2, FALSE) ) / VLOOKUP($F781, XPBands!A$2:G$10, 7, FALSE),1)))</f>
        <v/>
      </c>
      <c r="H781" s="27">
        <f>IF($D781="","",VLOOKUP($D781,RoleTitles!$A:$E,3,FALSE))</f>
        <v/>
      </c>
      <c r="I781" s="27">
        <f>IF($D781="","",IF($C781="Greek",VLOOKUP($D781,RoleTitles!$A:$E,4,FALSE),IF($C781="Aesir",VLOOKUP($D781,RoleTitles!$A:$E,5,FALSE),VLOOKUP($D781,RoleTitles!$A:$E,3,FALSE))))</f>
        <v/>
      </c>
      <c r="J781" s="27">
        <f>IF($D781="","",IF($E781&gt;=VLOOKUP($D781,RoleTitles!$A:$B,2,FALSE),"Yes","No"))</f>
        <v/>
      </c>
      <c r="K781" s="27">
        <f>IF($D781="","",IF($D781="T1","T2",IF($D781="T2","T3",IF($D781="T3","T4",IF($D781="T4","T5",IF($D781="T5","T6",IF($D781="T6","T7",IF($D781="T7","T8",IF($D781="T8","T9","")))))))))</f>
        <v/>
      </c>
      <c r="L781" s="28">
        <f>IF($K781="","",MAX(0,VLOOKUP($K781,RoleTitles!$A:$B,2,FALSE)-$E781))</f>
        <v/>
      </c>
    </row>
    <row r="782">
      <c r="A782" s="24">
        <f>IFERROR(INDEX(CoachRoster!$A$2:$A$1000,ROW()-1),"")</f>
        <v/>
      </c>
      <c r="B782" s="27">
        <f>IF($A782="","",VLOOKUP($A782,CoachRoster!$A:$E,2,FALSE))</f>
        <v/>
      </c>
      <c r="C782" s="27">
        <f>IF($A782="","",VLOOKUP($A782,CoachRoster!$A:$E,3,FALSE))</f>
        <v/>
      </c>
      <c r="D782" s="27">
        <f>IF($A782="","",VLOOKUP($A782,CoachRoster!$A:$E,4,FALSE))</f>
        <v/>
      </c>
      <c r="E782" s="27">
        <f>IF($A782="","",MIN(Settings!$B$8,IFERROR(SUMIF(Weekly_Coaching!$B:$B,$A782,Weekly_Coaching!$D:$D),0)+IFERROR(SUMIF(Monthly_Edu!$B:$B,$A782,Monthly_Edu!$D:$D),0)+IFERROR(SUMIF(Monthly_Ops!$B:$B,$A782,Monthly_Ops!$D:$D),0)+IFERROR(SUMIF(Monthly_Mentor!$B:$B,$A782,Monthly_Mentor!$D:$D),0)+IFERROR(SUMIF(Quarterly_Impact!$B:$B,$A782,Quarterly_Impact!$D:$D),0)+IFERROR(SUMIFS(XPLog!$M:$M,XPLog!$B:$B,$A782,XPLog!$J:$J,"Admin"),0)+IFERROR(SUMIFS(XPLog!$M:$M,XPLog!$B:$B,$A782,XPLog!$J:$J,"Seeding"),0)))</f>
        <v/>
      </c>
      <c r="F782" s="27">
        <f>IF($E782="","",LOOKUP($E782, XPBands!B$2:B$10, XPBands!A$2:A$10))</f>
        <v/>
      </c>
      <c r="G782" s="27">
        <f>IF($E782="","", VLOOKUP($F782, XPBands!A$2:G$10, 4, FALSE) + MIN(VLOOKUP($F782, XPBands!A$2:G$10, 5, FALSE) - VLOOKUP($F782, XPBands!A$2:G$10, 4, FALSE), FLOOR(( $E782 - VLOOKUP($F782, XPBands!A$2:G$10, 2, FALSE) ) / VLOOKUP($F782, XPBands!A$2:G$10, 7, FALSE),1)))</f>
        <v/>
      </c>
      <c r="H782" s="27">
        <f>IF($D782="","",VLOOKUP($D782,RoleTitles!$A:$E,3,FALSE))</f>
        <v/>
      </c>
      <c r="I782" s="27">
        <f>IF($D782="","",IF($C782="Greek",VLOOKUP($D782,RoleTitles!$A:$E,4,FALSE),IF($C782="Aesir",VLOOKUP($D782,RoleTitles!$A:$E,5,FALSE),VLOOKUP($D782,RoleTitles!$A:$E,3,FALSE))))</f>
        <v/>
      </c>
      <c r="J782" s="27">
        <f>IF($D782="","",IF($E782&gt;=VLOOKUP($D782,RoleTitles!$A:$B,2,FALSE),"Yes","No"))</f>
        <v/>
      </c>
      <c r="K782" s="27">
        <f>IF($D782="","",IF($D782="T1","T2",IF($D782="T2","T3",IF($D782="T3","T4",IF($D782="T4","T5",IF($D782="T5","T6",IF($D782="T6","T7",IF($D782="T7","T8",IF($D782="T8","T9","")))))))))</f>
        <v/>
      </c>
      <c r="L782" s="28">
        <f>IF($K782="","",MAX(0,VLOOKUP($K782,RoleTitles!$A:$B,2,FALSE)-$E782))</f>
        <v/>
      </c>
    </row>
    <row r="783">
      <c r="A783" s="24">
        <f>IFERROR(INDEX(CoachRoster!$A$2:$A$1000,ROW()-1),"")</f>
        <v/>
      </c>
      <c r="B783" s="27">
        <f>IF($A783="","",VLOOKUP($A783,CoachRoster!$A:$E,2,FALSE))</f>
        <v/>
      </c>
      <c r="C783" s="27">
        <f>IF($A783="","",VLOOKUP($A783,CoachRoster!$A:$E,3,FALSE))</f>
        <v/>
      </c>
      <c r="D783" s="27">
        <f>IF($A783="","",VLOOKUP($A783,CoachRoster!$A:$E,4,FALSE))</f>
        <v/>
      </c>
      <c r="E783" s="27">
        <f>IF($A783="","",MIN(Settings!$B$8,IFERROR(SUMIF(Weekly_Coaching!$B:$B,$A783,Weekly_Coaching!$D:$D),0)+IFERROR(SUMIF(Monthly_Edu!$B:$B,$A783,Monthly_Edu!$D:$D),0)+IFERROR(SUMIF(Monthly_Ops!$B:$B,$A783,Monthly_Ops!$D:$D),0)+IFERROR(SUMIF(Monthly_Mentor!$B:$B,$A783,Monthly_Mentor!$D:$D),0)+IFERROR(SUMIF(Quarterly_Impact!$B:$B,$A783,Quarterly_Impact!$D:$D),0)+IFERROR(SUMIFS(XPLog!$M:$M,XPLog!$B:$B,$A783,XPLog!$J:$J,"Admin"),0)+IFERROR(SUMIFS(XPLog!$M:$M,XPLog!$B:$B,$A783,XPLog!$J:$J,"Seeding"),0)))</f>
        <v/>
      </c>
      <c r="F783" s="27">
        <f>IF($E783="","",LOOKUP($E783, XPBands!B$2:B$10, XPBands!A$2:A$10))</f>
        <v/>
      </c>
      <c r="G783" s="27">
        <f>IF($E783="","", VLOOKUP($F783, XPBands!A$2:G$10, 4, FALSE) + MIN(VLOOKUP($F783, XPBands!A$2:G$10, 5, FALSE) - VLOOKUP($F783, XPBands!A$2:G$10, 4, FALSE), FLOOR(( $E783 - VLOOKUP($F783, XPBands!A$2:G$10, 2, FALSE) ) / VLOOKUP($F783, XPBands!A$2:G$10, 7, FALSE),1)))</f>
        <v/>
      </c>
      <c r="H783" s="27">
        <f>IF($D783="","",VLOOKUP($D783,RoleTitles!$A:$E,3,FALSE))</f>
        <v/>
      </c>
      <c r="I783" s="27">
        <f>IF($D783="","",IF($C783="Greek",VLOOKUP($D783,RoleTitles!$A:$E,4,FALSE),IF($C783="Aesir",VLOOKUP($D783,RoleTitles!$A:$E,5,FALSE),VLOOKUP($D783,RoleTitles!$A:$E,3,FALSE))))</f>
        <v/>
      </c>
      <c r="J783" s="27">
        <f>IF($D783="","",IF($E783&gt;=VLOOKUP($D783,RoleTitles!$A:$B,2,FALSE),"Yes","No"))</f>
        <v/>
      </c>
      <c r="K783" s="27">
        <f>IF($D783="","",IF($D783="T1","T2",IF($D783="T2","T3",IF($D783="T3","T4",IF($D783="T4","T5",IF($D783="T5","T6",IF($D783="T6","T7",IF($D783="T7","T8",IF($D783="T8","T9","")))))))))</f>
        <v/>
      </c>
      <c r="L783" s="28">
        <f>IF($K783="","",MAX(0,VLOOKUP($K783,RoleTitles!$A:$B,2,FALSE)-$E783))</f>
        <v/>
      </c>
    </row>
    <row r="784">
      <c r="A784" s="24">
        <f>IFERROR(INDEX(CoachRoster!$A$2:$A$1000,ROW()-1),"")</f>
        <v/>
      </c>
      <c r="B784" s="27">
        <f>IF($A784="","",VLOOKUP($A784,CoachRoster!$A:$E,2,FALSE))</f>
        <v/>
      </c>
      <c r="C784" s="27">
        <f>IF($A784="","",VLOOKUP($A784,CoachRoster!$A:$E,3,FALSE))</f>
        <v/>
      </c>
      <c r="D784" s="27">
        <f>IF($A784="","",VLOOKUP($A784,CoachRoster!$A:$E,4,FALSE))</f>
        <v/>
      </c>
      <c r="E784" s="27">
        <f>IF($A784="","",MIN(Settings!$B$8,IFERROR(SUMIF(Weekly_Coaching!$B:$B,$A784,Weekly_Coaching!$D:$D),0)+IFERROR(SUMIF(Monthly_Edu!$B:$B,$A784,Monthly_Edu!$D:$D),0)+IFERROR(SUMIF(Monthly_Ops!$B:$B,$A784,Monthly_Ops!$D:$D),0)+IFERROR(SUMIF(Monthly_Mentor!$B:$B,$A784,Monthly_Mentor!$D:$D),0)+IFERROR(SUMIF(Quarterly_Impact!$B:$B,$A784,Quarterly_Impact!$D:$D),0)+IFERROR(SUMIFS(XPLog!$M:$M,XPLog!$B:$B,$A784,XPLog!$J:$J,"Admin"),0)+IFERROR(SUMIFS(XPLog!$M:$M,XPLog!$B:$B,$A784,XPLog!$J:$J,"Seeding"),0)))</f>
        <v/>
      </c>
      <c r="F784" s="27">
        <f>IF($E784="","",LOOKUP($E784, XPBands!B$2:B$10, XPBands!A$2:A$10))</f>
        <v/>
      </c>
      <c r="G784" s="27">
        <f>IF($E784="","", VLOOKUP($F784, XPBands!A$2:G$10, 4, FALSE) + MIN(VLOOKUP($F784, XPBands!A$2:G$10, 5, FALSE) - VLOOKUP($F784, XPBands!A$2:G$10, 4, FALSE), FLOOR(( $E784 - VLOOKUP($F784, XPBands!A$2:G$10, 2, FALSE) ) / VLOOKUP($F784, XPBands!A$2:G$10, 7, FALSE),1)))</f>
        <v/>
      </c>
      <c r="H784" s="27">
        <f>IF($D784="","",VLOOKUP($D784,RoleTitles!$A:$E,3,FALSE))</f>
        <v/>
      </c>
      <c r="I784" s="27">
        <f>IF($D784="","",IF($C784="Greek",VLOOKUP($D784,RoleTitles!$A:$E,4,FALSE),IF($C784="Aesir",VLOOKUP($D784,RoleTitles!$A:$E,5,FALSE),VLOOKUP($D784,RoleTitles!$A:$E,3,FALSE))))</f>
        <v/>
      </c>
      <c r="J784" s="27">
        <f>IF($D784="","",IF($E784&gt;=VLOOKUP($D784,RoleTitles!$A:$B,2,FALSE),"Yes","No"))</f>
        <v/>
      </c>
      <c r="K784" s="27">
        <f>IF($D784="","",IF($D784="T1","T2",IF($D784="T2","T3",IF($D784="T3","T4",IF($D784="T4","T5",IF($D784="T5","T6",IF($D784="T6","T7",IF($D784="T7","T8",IF($D784="T8","T9","")))))))))</f>
        <v/>
      </c>
      <c r="L784" s="28">
        <f>IF($K784="","",MAX(0,VLOOKUP($K784,RoleTitles!$A:$B,2,FALSE)-$E784))</f>
        <v/>
      </c>
    </row>
    <row r="785">
      <c r="A785" s="24">
        <f>IFERROR(INDEX(CoachRoster!$A$2:$A$1000,ROW()-1),"")</f>
        <v/>
      </c>
      <c r="B785" s="27">
        <f>IF($A785="","",VLOOKUP($A785,CoachRoster!$A:$E,2,FALSE))</f>
        <v/>
      </c>
      <c r="C785" s="27">
        <f>IF($A785="","",VLOOKUP($A785,CoachRoster!$A:$E,3,FALSE))</f>
        <v/>
      </c>
      <c r="D785" s="27">
        <f>IF($A785="","",VLOOKUP($A785,CoachRoster!$A:$E,4,FALSE))</f>
        <v/>
      </c>
      <c r="E785" s="27">
        <f>IF($A785="","",MIN(Settings!$B$8,IFERROR(SUMIF(Weekly_Coaching!$B:$B,$A785,Weekly_Coaching!$D:$D),0)+IFERROR(SUMIF(Monthly_Edu!$B:$B,$A785,Monthly_Edu!$D:$D),0)+IFERROR(SUMIF(Monthly_Ops!$B:$B,$A785,Monthly_Ops!$D:$D),0)+IFERROR(SUMIF(Monthly_Mentor!$B:$B,$A785,Monthly_Mentor!$D:$D),0)+IFERROR(SUMIF(Quarterly_Impact!$B:$B,$A785,Quarterly_Impact!$D:$D),0)+IFERROR(SUMIFS(XPLog!$M:$M,XPLog!$B:$B,$A785,XPLog!$J:$J,"Admin"),0)+IFERROR(SUMIFS(XPLog!$M:$M,XPLog!$B:$B,$A785,XPLog!$J:$J,"Seeding"),0)))</f>
        <v/>
      </c>
      <c r="F785" s="27">
        <f>IF($E785="","",LOOKUP($E785, XPBands!B$2:B$10, XPBands!A$2:A$10))</f>
        <v/>
      </c>
      <c r="G785" s="27">
        <f>IF($E785="","", VLOOKUP($F785, XPBands!A$2:G$10, 4, FALSE) + MIN(VLOOKUP($F785, XPBands!A$2:G$10, 5, FALSE) - VLOOKUP($F785, XPBands!A$2:G$10, 4, FALSE), FLOOR(( $E785 - VLOOKUP($F785, XPBands!A$2:G$10, 2, FALSE) ) / VLOOKUP($F785, XPBands!A$2:G$10, 7, FALSE),1)))</f>
        <v/>
      </c>
      <c r="H785" s="27">
        <f>IF($D785="","",VLOOKUP($D785,RoleTitles!$A:$E,3,FALSE))</f>
        <v/>
      </c>
      <c r="I785" s="27">
        <f>IF($D785="","",IF($C785="Greek",VLOOKUP($D785,RoleTitles!$A:$E,4,FALSE),IF($C785="Aesir",VLOOKUP($D785,RoleTitles!$A:$E,5,FALSE),VLOOKUP($D785,RoleTitles!$A:$E,3,FALSE))))</f>
        <v/>
      </c>
      <c r="J785" s="27">
        <f>IF($D785="","",IF($E785&gt;=VLOOKUP($D785,RoleTitles!$A:$B,2,FALSE),"Yes","No"))</f>
        <v/>
      </c>
      <c r="K785" s="27">
        <f>IF($D785="","",IF($D785="T1","T2",IF($D785="T2","T3",IF($D785="T3","T4",IF($D785="T4","T5",IF($D785="T5","T6",IF($D785="T6","T7",IF($D785="T7","T8",IF($D785="T8","T9","")))))))))</f>
        <v/>
      </c>
      <c r="L785" s="28">
        <f>IF($K785="","",MAX(0,VLOOKUP($K785,RoleTitles!$A:$B,2,FALSE)-$E785))</f>
        <v/>
      </c>
    </row>
    <row r="786">
      <c r="A786" s="24">
        <f>IFERROR(INDEX(CoachRoster!$A$2:$A$1000,ROW()-1),"")</f>
        <v/>
      </c>
      <c r="B786" s="27">
        <f>IF($A786="","",VLOOKUP($A786,CoachRoster!$A:$E,2,FALSE))</f>
        <v/>
      </c>
      <c r="C786" s="27">
        <f>IF($A786="","",VLOOKUP($A786,CoachRoster!$A:$E,3,FALSE))</f>
        <v/>
      </c>
      <c r="D786" s="27">
        <f>IF($A786="","",VLOOKUP($A786,CoachRoster!$A:$E,4,FALSE))</f>
        <v/>
      </c>
      <c r="E786" s="27">
        <f>IF($A786="","",MIN(Settings!$B$8,IFERROR(SUMIF(Weekly_Coaching!$B:$B,$A786,Weekly_Coaching!$D:$D),0)+IFERROR(SUMIF(Monthly_Edu!$B:$B,$A786,Monthly_Edu!$D:$D),0)+IFERROR(SUMIF(Monthly_Ops!$B:$B,$A786,Monthly_Ops!$D:$D),0)+IFERROR(SUMIF(Monthly_Mentor!$B:$B,$A786,Monthly_Mentor!$D:$D),0)+IFERROR(SUMIF(Quarterly_Impact!$B:$B,$A786,Quarterly_Impact!$D:$D),0)+IFERROR(SUMIFS(XPLog!$M:$M,XPLog!$B:$B,$A786,XPLog!$J:$J,"Admin"),0)+IFERROR(SUMIFS(XPLog!$M:$M,XPLog!$B:$B,$A786,XPLog!$J:$J,"Seeding"),0)))</f>
        <v/>
      </c>
      <c r="F786" s="27">
        <f>IF($E786="","",LOOKUP($E786, XPBands!B$2:B$10, XPBands!A$2:A$10))</f>
        <v/>
      </c>
      <c r="G786" s="27">
        <f>IF($E786="","", VLOOKUP($F786, XPBands!A$2:G$10, 4, FALSE) + MIN(VLOOKUP($F786, XPBands!A$2:G$10, 5, FALSE) - VLOOKUP($F786, XPBands!A$2:G$10, 4, FALSE), FLOOR(( $E786 - VLOOKUP($F786, XPBands!A$2:G$10, 2, FALSE) ) / VLOOKUP($F786, XPBands!A$2:G$10, 7, FALSE),1)))</f>
        <v/>
      </c>
      <c r="H786" s="27">
        <f>IF($D786="","",VLOOKUP($D786,RoleTitles!$A:$E,3,FALSE))</f>
        <v/>
      </c>
      <c r="I786" s="27">
        <f>IF($D786="","",IF($C786="Greek",VLOOKUP($D786,RoleTitles!$A:$E,4,FALSE),IF($C786="Aesir",VLOOKUP($D786,RoleTitles!$A:$E,5,FALSE),VLOOKUP($D786,RoleTitles!$A:$E,3,FALSE))))</f>
        <v/>
      </c>
      <c r="J786" s="27">
        <f>IF($D786="","",IF($E786&gt;=VLOOKUP($D786,RoleTitles!$A:$B,2,FALSE),"Yes","No"))</f>
        <v/>
      </c>
      <c r="K786" s="27">
        <f>IF($D786="","",IF($D786="T1","T2",IF($D786="T2","T3",IF($D786="T3","T4",IF($D786="T4","T5",IF($D786="T5","T6",IF($D786="T6","T7",IF($D786="T7","T8",IF($D786="T8","T9","")))))))))</f>
        <v/>
      </c>
      <c r="L786" s="28">
        <f>IF($K786="","",MAX(0,VLOOKUP($K786,RoleTitles!$A:$B,2,FALSE)-$E786))</f>
        <v/>
      </c>
    </row>
    <row r="787">
      <c r="A787" s="24">
        <f>IFERROR(INDEX(CoachRoster!$A$2:$A$1000,ROW()-1),"")</f>
        <v/>
      </c>
      <c r="B787" s="27">
        <f>IF($A787="","",VLOOKUP($A787,CoachRoster!$A:$E,2,FALSE))</f>
        <v/>
      </c>
      <c r="C787" s="27">
        <f>IF($A787="","",VLOOKUP($A787,CoachRoster!$A:$E,3,FALSE))</f>
        <v/>
      </c>
      <c r="D787" s="27">
        <f>IF($A787="","",VLOOKUP($A787,CoachRoster!$A:$E,4,FALSE))</f>
        <v/>
      </c>
      <c r="E787" s="27">
        <f>IF($A787="","",MIN(Settings!$B$8,IFERROR(SUMIF(Weekly_Coaching!$B:$B,$A787,Weekly_Coaching!$D:$D),0)+IFERROR(SUMIF(Monthly_Edu!$B:$B,$A787,Monthly_Edu!$D:$D),0)+IFERROR(SUMIF(Monthly_Ops!$B:$B,$A787,Monthly_Ops!$D:$D),0)+IFERROR(SUMIF(Monthly_Mentor!$B:$B,$A787,Monthly_Mentor!$D:$D),0)+IFERROR(SUMIF(Quarterly_Impact!$B:$B,$A787,Quarterly_Impact!$D:$D),0)+IFERROR(SUMIFS(XPLog!$M:$M,XPLog!$B:$B,$A787,XPLog!$J:$J,"Admin"),0)+IFERROR(SUMIFS(XPLog!$M:$M,XPLog!$B:$B,$A787,XPLog!$J:$J,"Seeding"),0)))</f>
        <v/>
      </c>
      <c r="F787" s="27">
        <f>IF($E787="","",LOOKUP($E787, XPBands!B$2:B$10, XPBands!A$2:A$10))</f>
        <v/>
      </c>
      <c r="G787" s="27">
        <f>IF($E787="","", VLOOKUP($F787, XPBands!A$2:G$10, 4, FALSE) + MIN(VLOOKUP($F787, XPBands!A$2:G$10, 5, FALSE) - VLOOKUP($F787, XPBands!A$2:G$10, 4, FALSE), FLOOR(( $E787 - VLOOKUP($F787, XPBands!A$2:G$10, 2, FALSE) ) / VLOOKUP($F787, XPBands!A$2:G$10, 7, FALSE),1)))</f>
        <v/>
      </c>
      <c r="H787" s="27">
        <f>IF($D787="","",VLOOKUP($D787,RoleTitles!$A:$E,3,FALSE))</f>
        <v/>
      </c>
      <c r="I787" s="27">
        <f>IF($D787="","",IF($C787="Greek",VLOOKUP($D787,RoleTitles!$A:$E,4,FALSE),IF($C787="Aesir",VLOOKUP($D787,RoleTitles!$A:$E,5,FALSE),VLOOKUP($D787,RoleTitles!$A:$E,3,FALSE))))</f>
        <v/>
      </c>
      <c r="J787" s="27">
        <f>IF($D787="","",IF($E787&gt;=VLOOKUP($D787,RoleTitles!$A:$B,2,FALSE),"Yes","No"))</f>
        <v/>
      </c>
      <c r="K787" s="27">
        <f>IF($D787="","",IF($D787="T1","T2",IF($D787="T2","T3",IF($D787="T3","T4",IF($D787="T4","T5",IF($D787="T5","T6",IF($D787="T6","T7",IF($D787="T7","T8",IF($D787="T8","T9","")))))))))</f>
        <v/>
      </c>
      <c r="L787" s="28">
        <f>IF($K787="","",MAX(0,VLOOKUP($K787,RoleTitles!$A:$B,2,FALSE)-$E787))</f>
        <v/>
      </c>
    </row>
    <row r="788">
      <c r="A788" s="24">
        <f>IFERROR(INDEX(CoachRoster!$A$2:$A$1000,ROW()-1),"")</f>
        <v/>
      </c>
      <c r="B788" s="27">
        <f>IF($A788="","",VLOOKUP($A788,CoachRoster!$A:$E,2,FALSE))</f>
        <v/>
      </c>
      <c r="C788" s="27">
        <f>IF($A788="","",VLOOKUP($A788,CoachRoster!$A:$E,3,FALSE))</f>
        <v/>
      </c>
      <c r="D788" s="27">
        <f>IF($A788="","",VLOOKUP($A788,CoachRoster!$A:$E,4,FALSE))</f>
        <v/>
      </c>
      <c r="E788" s="27">
        <f>IF($A788="","",MIN(Settings!$B$8,IFERROR(SUMIF(Weekly_Coaching!$B:$B,$A788,Weekly_Coaching!$D:$D),0)+IFERROR(SUMIF(Monthly_Edu!$B:$B,$A788,Monthly_Edu!$D:$D),0)+IFERROR(SUMIF(Monthly_Ops!$B:$B,$A788,Monthly_Ops!$D:$D),0)+IFERROR(SUMIF(Monthly_Mentor!$B:$B,$A788,Monthly_Mentor!$D:$D),0)+IFERROR(SUMIF(Quarterly_Impact!$B:$B,$A788,Quarterly_Impact!$D:$D),0)+IFERROR(SUMIFS(XPLog!$M:$M,XPLog!$B:$B,$A788,XPLog!$J:$J,"Admin"),0)+IFERROR(SUMIFS(XPLog!$M:$M,XPLog!$B:$B,$A788,XPLog!$J:$J,"Seeding"),0)))</f>
        <v/>
      </c>
      <c r="F788" s="27">
        <f>IF($E788="","",LOOKUP($E788, XPBands!B$2:B$10, XPBands!A$2:A$10))</f>
        <v/>
      </c>
      <c r="G788" s="27">
        <f>IF($E788="","", VLOOKUP($F788, XPBands!A$2:G$10, 4, FALSE) + MIN(VLOOKUP($F788, XPBands!A$2:G$10, 5, FALSE) - VLOOKUP($F788, XPBands!A$2:G$10, 4, FALSE), FLOOR(( $E788 - VLOOKUP($F788, XPBands!A$2:G$10, 2, FALSE) ) / VLOOKUP($F788, XPBands!A$2:G$10, 7, FALSE),1)))</f>
        <v/>
      </c>
      <c r="H788" s="27">
        <f>IF($D788="","",VLOOKUP($D788,RoleTitles!$A:$E,3,FALSE))</f>
        <v/>
      </c>
      <c r="I788" s="27">
        <f>IF($D788="","",IF($C788="Greek",VLOOKUP($D788,RoleTitles!$A:$E,4,FALSE),IF($C788="Aesir",VLOOKUP($D788,RoleTitles!$A:$E,5,FALSE),VLOOKUP($D788,RoleTitles!$A:$E,3,FALSE))))</f>
        <v/>
      </c>
      <c r="J788" s="27">
        <f>IF($D788="","",IF($E788&gt;=VLOOKUP($D788,RoleTitles!$A:$B,2,FALSE),"Yes","No"))</f>
        <v/>
      </c>
      <c r="K788" s="27">
        <f>IF($D788="","",IF($D788="T1","T2",IF($D788="T2","T3",IF($D788="T3","T4",IF($D788="T4","T5",IF($D788="T5","T6",IF($D788="T6","T7",IF($D788="T7","T8",IF($D788="T8","T9","")))))))))</f>
        <v/>
      </c>
      <c r="L788" s="28">
        <f>IF($K788="","",MAX(0,VLOOKUP($K788,RoleTitles!$A:$B,2,FALSE)-$E788))</f>
        <v/>
      </c>
    </row>
    <row r="789">
      <c r="A789" s="24">
        <f>IFERROR(INDEX(CoachRoster!$A$2:$A$1000,ROW()-1),"")</f>
        <v/>
      </c>
      <c r="B789" s="27">
        <f>IF($A789="","",VLOOKUP($A789,CoachRoster!$A:$E,2,FALSE))</f>
        <v/>
      </c>
      <c r="C789" s="27">
        <f>IF($A789="","",VLOOKUP($A789,CoachRoster!$A:$E,3,FALSE))</f>
        <v/>
      </c>
      <c r="D789" s="27">
        <f>IF($A789="","",VLOOKUP($A789,CoachRoster!$A:$E,4,FALSE))</f>
        <v/>
      </c>
      <c r="E789" s="27">
        <f>IF($A789="","",MIN(Settings!$B$8,IFERROR(SUMIF(Weekly_Coaching!$B:$B,$A789,Weekly_Coaching!$D:$D),0)+IFERROR(SUMIF(Monthly_Edu!$B:$B,$A789,Monthly_Edu!$D:$D),0)+IFERROR(SUMIF(Monthly_Ops!$B:$B,$A789,Monthly_Ops!$D:$D),0)+IFERROR(SUMIF(Monthly_Mentor!$B:$B,$A789,Monthly_Mentor!$D:$D),0)+IFERROR(SUMIF(Quarterly_Impact!$B:$B,$A789,Quarterly_Impact!$D:$D),0)+IFERROR(SUMIFS(XPLog!$M:$M,XPLog!$B:$B,$A789,XPLog!$J:$J,"Admin"),0)+IFERROR(SUMIFS(XPLog!$M:$M,XPLog!$B:$B,$A789,XPLog!$J:$J,"Seeding"),0)))</f>
        <v/>
      </c>
      <c r="F789" s="27">
        <f>IF($E789="","",LOOKUP($E789, XPBands!B$2:B$10, XPBands!A$2:A$10))</f>
        <v/>
      </c>
      <c r="G789" s="27">
        <f>IF($E789="","", VLOOKUP($F789, XPBands!A$2:G$10, 4, FALSE) + MIN(VLOOKUP($F789, XPBands!A$2:G$10, 5, FALSE) - VLOOKUP($F789, XPBands!A$2:G$10, 4, FALSE), FLOOR(( $E789 - VLOOKUP($F789, XPBands!A$2:G$10, 2, FALSE) ) / VLOOKUP($F789, XPBands!A$2:G$10, 7, FALSE),1)))</f>
        <v/>
      </c>
      <c r="H789" s="27">
        <f>IF($D789="","",VLOOKUP($D789,RoleTitles!$A:$E,3,FALSE))</f>
        <v/>
      </c>
      <c r="I789" s="27">
        <f>IF($D789="","",IF($C789="Greek",VLOOKUP($D789,RoleTitles!$A:$E,4,FALSE),IF($C789="Aesir",VLOOKUP($D789,RoleTitles!$A:$E,5,FALSE),VLOOKUP($D789,RoleTitles!$A:$E,3,FALSE))))</f>
        <v/>
      </c>
      <c r="J789" s="27">
        <f>IF($D789="","",IF($E789&gt;=VLOOKUP($D789,RoleTitles!$A:$B,2,FALSE),"Yes","No"))</f>
        <v/>
      </c>
      <c r="K789" s="27">
        <f>IF($D789="","",IF($D789="T1","T2",IF($D789="T2","T3",IF($D789="T3","T4",IF($D789="T4","T5",IF($D789="T5","T6",IF($D789="T6","T7",IF($D789="T7","T8",IF($D789="T8","T9","")))))))))</f>
        <v/>
      </c>
      <c r="L789" s="28">
        <f>IF($K789="","",MAX(0,VLOOKUP($K789,RoleTitles!$A:$B,2,FALSE)-$E789))</f>
        <v/>
      </c>
    </row>
    <row r="790">
      <c r="A790" s="24">
        <f>IFERROR(INDEX(CoachRoster!$A$2:$A$1000,ROW()-1),"")</f>
        <v/>
      </c>
      <c r="B790" s="27">
        <f>IF($A790="","",VLOOKUP($A790,CoachRoster!$A:$E,2,FALSE))</f>
        <v/>
      </c>
      <c r="C790" s="27">
        <f>IF($A790="","",VLOOKUP($A790,CoachRoster!$A:$E,3,FALSE))</f>
        <v/>
      </c>
      <c r="D790" s="27">
        <f>IF($A790="","",VLOOKUP($A790,CoachRoster!$A:$E,4,FALSE))</f>
        <v/>
      </c>
      <c r="E790" s="27">
        <f>IF($A790="","",MIN(Settings!$B$8,IFERROR(SUMIF(Weekly_Coaching!$B:$B,$A790,Weekly_Coaching!$D:$D),0)+IFERROR(SUMIF(Monthly_Edu!$B:$B,$A790,Monthly_Edu!$D:$D),0)+IFERROR(SUMIF(Monthly_Ops!$B:$B,$A790,Monthly_Ops!$D:$D),0)+IFERROR(SUMIF(Monthly_Mentor!$B:$B,$A790,Monthly_Mentor!$D:$D),0)+IFERROR(SUMIF(Quarterly_Impact!$B:$B,$A790,Quarterly_Impact!$D:$D),0)+IFERROR(SUMIFS(XPLog!$M:$M,XPLog!$B:$B,$A790,XPLog!$J:$J,"Admin"),0)+IFERROR(SUMIFS(XPLog!$M:$M,XPLog!$B:$B,$A790,XPLog!$J:$J,"Seeding"),0)))</f>
        <v/>
      </c>
      <c r="F790" s="27">
        <f>IF($E790="","",LOOKUP($E790, XPBands!B$2:B$10, XPBands!A$2:A$10))</f>
        <v/>
      </c>
      <c r="G790" s="27">
        <f>IF($E790="","", VLOOKUP($F790, XPBands!A$2:G$10, 4, FALSE) + MIN(VLOOKUP($F790, XPBands!A$2:G$10, 5, FALSE) - VLOOKUP($F790, XPBands!A$2:G$10, 4, FALSE), FLOOR(( $E790 - VLOOKUP($F790, XPBands!A$2:G$10, 2, FALSE) ) / VLOOKUP($F790, XPBands!A$2:G$10, 7, FALSE),1)))</f>
        <v/>
      </c>
      <c r="H790" s="27">
        <f>IF($D790="","",VLOOKUP($D790,RoleTitles!$A:$E,3,FALSE))</f>
        <v/>
      </c>
      <c r="I790" s="27">
        <f>IF($D790="","",IF($C790="Greek",VLOOKUP($D790,RoleTitles!$A:$E,4,FALSE),IF($C790="Aesir",VLOOKUP($D790,RoleTitles!$A:$E,5,FALSE),VLOOKUP($D790,RoleTitles!$A:$E,3,FALSE))))</f>
        <v/>
      </c>
      <c r="J790" s="27">
        <f>IF($D790="","",IF($E790&gt;=VLOOKUP($D790,RoleTitles!$A:$B,2,FALSE),"Yes","No"))</f>
        <v/>
      </c>
      <c r="K790" s="27">
        <f>IF($D790="","",IF($D790="T1","T2",IF($D790="T2","T3",IF($D790="T3","T4",IF($D790="T4","T5",IF($D790="T5","T6",IF($D790="T6","T7",IF($D790="T7","T8",IF($D790="T8","T9","")))))))))</f>
        <v/>
      </c>
      <c r="L790" s="28">
        <f>IF($K790="","",MAX(0,VLOOKUP($K790,RoleTitles!$A:$B,2,FALSE)-$E790))</f>
        <v/>
      </c>
    </row>
    <row r="791">
      <c r="A791" s="24">
        <f>IFERROR(INDEX(CoachRoster!$A$2:$A$1000,ROW()-1),"")</f>
        <v/>
      </c>
      <c r="B791" s="27">
        <f>IF($A791="","",VLOOKUP($A791,CoachRoster!$A:$E,2,FALSE))</f>
        <v/>
      </c>
      <c r="C791" s="27">
        <f>IF($A791="","",VLOOKUP($A791,CoachRoster!$A:$E,3,FALSE))</f>
        <v/>
      </c>
      <c r="D791" s="27">
        <f>IF($A791="","",VLOOKUP($A791,CoachRoster!$A:$E,4,FALSE))</f>
        <v/>
      </c>
      <c r="E791" s="27">
        <f>IF($A791="","",MIN(Settings!$B$8,IFERROR(SUMIF(Weekly_Coaching!$B:$B,$A791,Weekly_Coaching!$D:$D),0)+IFERROR(SUMIF(Monthly_Edu!$B:$B,$A791,Monthly_Edu!$D:$D),0)+IFERROR(SUMIF(Monthly_Ops!$B:$B,$A791,Monthly_Ops!$D:$D),0)+IFERROR(SUMIF(Monthly_Mentor!$B:$B,$A791,Monthly_Mentor!$D:$D),0)+IFERROR(SUMIF(Quarterly_Impact!$B:$B,$A791,Quarterly_Impact!$D:$D),0)+IFERROR(SUMIFS(XPLog!$M:$M,XPLog!$B:$B,$A791,XPLog!$J:$J,"Admin"),0)+IFERROR(SUMIFS(XPLog!$M:$M,XPLog!$B:$B,$A791,XPLog!$J:$J,"Seeding"),0)))</f>
        <v/>
      </c>
      <c r="F791" s="27">
        <f>IF($E791="","",LOOKUP($E791, XPBands!B$2:B$10, XPBands!A$2:A$10))</f>
        <v/>
      </c>
      <c r="G791" s="27">
        <f>IF($E791="","", VLOOKUP($F791, XPBands!A$2:G$10, 4, FALSE) + MIN(VLOOKUP($F791, XPBands!A$2:G$10, 5, FALSE) - VLOOKUP($F791, XPBands!A$2:G$10, 4, FALSE), FLOOR(( $E791 - VLOOKUP($F791, XPBands!A$2:G$10, 2, FALSE) ) / VLOOKUP($F791, XPBands!A$2:G$10, 7, FALSE),1)))</f>
        <v/>
      </c>
      <c r="H791" s="27">
        <f>IF($D791="","",VLOOKUP($D791,RoleTitles!$A:$E,3,FALSE))</f>
        <v/>
      </c>
      <c r="I791" s="27">
        <f>IF($D791="","",IF($C791="Greek",VLOOKUP($D791,RoleTitles!$A:$E,4,FALSE),IF($C791="Aesir",VLOOKUP($D791,RoleTitles!$A:$E,5,FALSE),VLOOKUP($D791,RoleTitles!$A:$E,3,FALSE))))</f>
        <v/>
      </c>
      <c r="J791" s="27">
        <f>IF($D791="","",IF($E791&gt;=VLOOKUP($D791,RoleTitles!$A:$B,2,FALSE),"Yes","No"))</f>
        <v/>
      </c>
      <c r="K791" s="27">
        <f>IF($D791="","",IF($D791="T1","T2",IF($D791="T2","T3",IF($D791="T3","T4",IF($D791="T4","T5",IF($D791="T5","T6",IF($D791="T6","T7",IF($D791="T7","T8",IF($D791="T8","T9","")))))))))</f>
        <v/>
      </c>
      <c r="L791" s="28">
        <f>IF($K791="","",MAX(0,VLOOKUP($K791,RoleTitles!$A:$B,2,FALSE)-$E791))</f>
        <v/>
      </c>
    </row>
    <row r="792">
      <c r="A792" s="24">
        <f>IFERROR(INDEX(CoachRoster!$A$2:$A$1000,ROW()-1),"")</f>
        <v/>
      </c>
      <c r="B792" s="27">
        <f>IF($A792="","",VLOOKUP($A792,CoachRoster!$A:$E,2,FALSE))</f>
        <v/>
      </c>
      <c r="C792" s="27">
        <f>IF($A792="","",VLOOKUP($A792,CoachRoster!$A:$E,3,FALSE))</f>
        <v/>
      </c>
      <c r="D792" s="27">
        <f>IF($A792="","",VLOOKUP($A792,CoachRoster!$A:$E,4,FALSE))</f>
        <v/>
      </c>
      <c r="E792" s="27">
        <f>IF($A792="","",MIN(Settings!$B$8,IFERROR(SUMIF(Weekly_Coaching!$B:$B,$A792,Weekly_Coaching!$D:$D),0)+IFERROR(SUMIF(Monthly_Edu!$B:$B,$A792,Monthly_Edu!$D:$D),0)+IFERROR(SUMIF(Monthly_Ops!$B:$B,$A792,Monthly_Ops!$D:$D),0)+IFERROR(SUMIF(Monthly_Mentor!$B:$B,$A792,Monthly_Mentor!$D:$D),0)+IFERROR(SUMIF(Quarterly_Impact!$B:$B,$A792,Quarterly_Impact!$D:$D),0)+IFERROR(SUMIFS(XPLog!$M:$M,XPLog!$B:$B,$A792,XPLog!$J:$J,"Admin"),0)+IFERROR(SUMIFS(XPLog!$M:$M,XPLog!$B:$B,$A792,XPLog!$J:$J,"Seeding"),0)))</f>
        <v/>
      </c>
      <c r="F792" s="27">
        <f>IF($E792="","",LOOKUP($E792, XPBands!B$2:B$10, XPBands!A$2:A$10))</f>
        <v/>
      </c>
      <c r="G792" s="27">
        <f>IF($E792="","", VLOOKUP($F792, XPBands!A$2:G$10, 4, FALSE) + MIN(VLOOKUP($F792, XPBands!A$2:G$10, 5, FALSE) - VLOOKUP($F792, XPBands!A$2:G$10, 4, FALSE), FLOOR(( $E792 - VLOOKUP($F792, XPBands!A$2:G$10, 2, FALSE) ) / VLOOKUP($F792, XPBands!A$2:G$10, 7, FALSE),1)))</f>
        <v/>
      </c>
      <c r="H792" s="27">
        <f>IF($D792="","",VLOOKUP($D792,RoleTitles!$A:$E,3,FALSE))</f>
        <v/>
      </c>
      <c r="I792" s="27">
        <f>IF($D792="","",IF($C792="Greek",VLOOKUP($D792,RoleTitles!$A:$E,4,FALSE),IF($C792="Aesir",VLOOKUP($D792,RoleTitles!$A:$E,5,FALSE),VLOOKUP($D792,RoleTitles!$A:$E,3,FALSE))))</f>
        <v/>
      </c>
      <c r="J792" s="27">
        <f>IF($D792="","",IF($E792&gt;=VLOOKUP($D792,RoleTitles!$A:$B,2,FALSE),"Yes","No"))</f>
        <v/>
      </c>
      <c r="K792" s="27">
        <f>IF($D792="","",IF($D792="T1","T2",IF($D792="T2","T3",IF($D792="T3","T4",IF($D792="T4","T5",IF($D792="T5","T6",IF($D792="T6","T7",IF($D792="T7","T8",IF($D792="T8","T9","")))))))))</f>
        <v/>
      </c>
      <c r="L792" s="28">
        <f>IF($K792="","",MAX(0,VLOOKUP($K792,RoleTitles!$A:$B,2,FALSE)-$E792))</f>
        <v/>
      </c>
    </row>
    <row r="793">
      <c r="A793" s="24">
        <f>IFERROR(INDEX(CoachRoster!$A$2:$A$1000,ROW()-1),"")</f>
        <v/>
      </c>
      <c r="B793" s="27">
        <f>IF($A793="","",VLOOKUP($A793,CoachRoster!$A:$E,2,FALSE))</f>
        <v/>
      </c>
      <c r="C793" s="27">
        <f>IF($A793="","",VLOOKUP($A793,CoachRoster!$A:$E,3,FALSE))</f>
        <v/>
      </c>
      <c r="D793" s="27">
        <f>IF($A793="","",VLOOKUP($A793,CoachRoster!$A:$E,4,FALSE))</f>
        <v/>
      </c>
      <c r="E793" s="27">
        <f>IF($A793="","",MIN(Settings!$B$8,IFERROR(SUMIF(Weekly_Coaching!$B:$B,$A793,Weekly_Coaching!$D:$D),0)+IFERROR(SUMIF(Monthly_Edu!$B:$B,$A793,Monthly_Edu!$D:$D),0)+IFERROR(SUMIF(Monthly_Ops!$B:$B,$A793,Monthly_Ops!$D:$D),0)+IFERROR(SUMIF(Monthly_Mentor!$B:$B,$A793,Monthly_Mentor!$D:$D),0)+IFERROR(SUMIF(Quarterly_Impact!$B:$B,$A793,Quarterly_Impact!$D:$D),0)+IFERROR(SUMIFS(XPLog!$M:$M,XPLog!$B:$B,$A793,XPLog!$J:$J,"Admin"),0)+IFERROR(SUMIFS(XPLog!$M:$M,XPLog!$B:$B,$A793,XPLog!$J:$J,"Seeding"),0)))</f>
        <v/>
      </c>
      <c r="F793" s="27">
        <f>IF($E793="","",LOOKUP($E793, XPBands!B$2:B$10, XPBands!A$2:A$10))</f>
        <v/>
      </c>
      <c r="G793" s="27">
        <f>IF($E793="","", VLOOKUP($F793, XPBands!A$2:G$10, 4, FALSE) + MIN(VLOOKUP($F793, XPBands!A$2:G$10, 5, FALSE) - VLOOKUP($F793, XPBands!A$2:G$10, 4, FALSE), FLOOR(( $E793 - VLOOKUP($F793, XPBands!A$2:G$10, 2, FALSE) ) / VLOOKUP($F793, XPBands!A$2:G$10, 7, FALSE),1)))</f>
        <v/>
      </c>
      <c r="H793" s="27">
        <f>IF($D793="","",VLOOKUP($D793,RoleTitles!$A:$E,3,FALSE))</f>
        <v/>
      </c>
      <c r="I793" s="27">
        <f>IF($D793="","",IF($C793="Greek",VLOOKUP($D793,RoleTitles!$A:$E,4,FALSE),IF($C793="Aesir",VLOOKUP($D793,RoleTitles!$A:$E,5,FALSE),VLOOKUP($D793,RoleTitles!$A:$E,3,FALSE))))</f>
        <v/>
      </c>
      <c r="J793" s="27">
        <f>IF($D793="","",IF($E793&gt;=VLOOKUP($D793,RoleTitles!$A:$B,2,FALSE),"Yes","No"))</f>
        <v/>
      </c>
      <c r="K793" s="27">
        <f>IF($D793="","",IF($D793="T1","T2",IF($D793="T2","T3",IF($D793="T3","T4",IF($D793="T4","T5",IF($D793="T5","T6",IF($D793="T6","T7",IF($D793="T7","T8",IF($D793="T8","T9","")))))))))</f>
        <v/>
      </c>
      <c r="L793" s="28">
        <f>IF($K793="","",MAX(0,VLOOKUP($K793,RoleTitles!$A:$B,2,FALSE)-$E793))</f>
        <v/>
      </c>
    </row>
    <row r="794">
      <c r="A794" s="24">
        <f>IFERROR(INDEX(CoachRoster!$A$2:$A$1000,ROW()-1),"")</f>
        <v/>
      </c>
      <c r="B794" s="27">
        <f>IF($A794="","",VLOOKUP($A794,CoachRoster!$A:$E,2,FALSE))</f>
        <v/>
      </c>
      <c r="C794" s="27">
        <f>IF($A794="","",VLOOKUP($A794,CoachRoster!$A:$E,3,FALSE))</f>
        <v/>
      </c>
      <c r="D794" s="27">
        <f>IF($A794="","",VLOOKUP($A794,CoachRoster!$A:$E,4,FALSE))</f>
        <v/>
      </c>
      <c r="E794" s="27">
        <f>IF($A794="","",MIN(Settings!$B$8,IFERROR(SUMIF(Weekly_Coaching!$B:$B,$A794,Weekly_Coaching!$D:$D),0)+IFERROR(SUMIF(Monthly_Edu!$B:$B,$A794,Monthly_Edu!$D:$D),0)+IFERROR(SUMIF(Monthly_Ops!$B:$B,$A794,Monthly_Ops!$D:$D),0)+IFERROR(SUMIF(Monthly_Mentor!$B:$B,$A794,Monthly_Mentor!$D:$D),0)+IFERROR(SUMIF(Quarterly_Impact!$B:$B,$A794,Quarterly_Impact!$D:$D),0)+IFERROR(SUMIFS(XPLog!$M:$M,XPLog!$B:$B,$A794,XPLog!$J:$J,"Admin"),0)+IFERROR(SUMIFS(XPLog!$M:$M,XPLog!$B:$B,$A794,XPLog!$J:$J,"Seeding"),0)))</f>
        <v/>
      </c>
      <c r="F794" s="27">
        <f>IF($E794="","",LOOKUP($E794, XPBands!B$2:B$10, XPBands!A$2:A$10))</f>
        <v/>
      </c>
      <c r="G794" s="27">
        <f>IF($E794="","", VLOOKUP($F794, XPBands!A$2:G$10, 4, FALSE) + MIN(VLOOKUP($F794, XPBands!A$2:G$10, 5, FALSE) - VLOOKUP($F794, XPBands!A$2:G$10, 4, FALSE), FLOOR(( $E794 - VLOOKUP($F794, XPBands!A$2:G$10, 2, FALSE) ) / VLOOKUP($F794, XPBands!A$2:G$10, 7, FALSE),1)))</f>
        <v/>
      </c>
      <c r="H794" s="27">
        <f>IF($D794="","",VLOOKUP($D794,RoleTitles!$A:$E,3,FALSE))</f>
        <v/>
      </c>
      <c r="I794" s="27">
        <f>IF($D794="","",IF($C794="Greek",VLOOKUP($D794,RoleTitles!$A:$E,4,FALSE),IF($C794="Aesir",VLOOKUP($D794,RoleTitles!$A:$E,5,FALSE),VLOOKUP($D794,RoleTitles!$A:$E,3,FALSE))))</f>
        <v/>
      </c>
      <c r="J794" s="27">
        <f>IF($D794="","",IF($E794&gt;=VLOOKUP($D794,RoleTitles!$A:$B,2,FALSE),"Yes","No"))</f>
        <v/>
      </c>
      <c r="K794" s="27">
        <f>IF($D794="","",IF($D794="T1","T2",IF($D794="T2","T3",IF($D794="T3","T4",IF($D794="T4","T5",IF($D794="T5","T6",IF($D794="T6","T7",IF($D794="T7","T8",IF($D794="T8","T9","")))))))))</f>
        <v/>
      </c>
      <c r="L794" s="28">
        <f>IF($K794="","",MAX(0,VLOOKUP($K794,RoleTitles!$A:$B,2,FALSE)-$E794))</f>
        <v/>
      </c>
    </row>
    <row r="795">
      <c r="A795" s="24">
        <f>IFERROR(INDEX(CoachRoster!$A$2:$A$1000,ROW()-1),"")</f>
        <v/>
      </c>
      <c r="B795" s="27">
        <f>IF($A795="","",VLOOKUP($A795,CoachRoster!$A:$E,2,FALSE))</f>
        <v/>
      </c>
      <c r="C795" s="27">
        <f>IF($A795="","",VLOOKUP($A795,CoachRoster!$A:$E,3,FALSE))</f>
        <v/>
      </c>
      <c r="D795" s="27">
        <f>IF($A795="","",VLOOKUP($A795,CoachRoster!$A:$E,4,FALSE))</f>
        <v/>
      </c>
      <c r="E795" s="27">
        <f>IF($A795="","",MIN(Settings!$B$8,IFERROR(SUMIF(Weekly_Coaching!$B:$B,$A795,Weekly_Coaching!$D:$D),0)+IFERROR(SUMIF(Monthly_Edu!$B:$B,$A795,Monthly_Edu!$D:$D),0)+IFERROR(SUMIF(Monthly_Ops!$B:$B,$A795,Monthly_Ops!$D:$D),0)+IFERROR(SUMIF(Monthly_Mentor!$B:$B,$A795,Monthly_Mentor!$D:$D),0)+IFERROR(SUMIF(Quarterly_Impact!$B:$B,$A795,Quarterly_Impact!$D:$D),0)+IFERROR(SUMIFS(XPLog!$M:$M,XPLog!$B:$B,$A795,XPLog!$J:$J,"Admin"),0)+IFERROR(SUMIFS(XPLog!$M:$M,XPLog!$B:$B,$A795,XPLog!$J:$J,"Seeding"),0)))</f>
        <v/>
      </c>
      <c r="F795" s="27">
        <f>IF($E795="","",LOOKUP($E795, XPBands!B$2:B$10, XPBands!A$2:A$10))</f>
        <v/>
      </c>
      <c r="G795" s="27">
        <f>IF($E795="","", VLOOKUP($F795, XPBands!A$2:G$10, 4, FALSE) + MIN(VLOOKUP($F795, XPBands!A$2:G$10, 5, FALSE) - VLOOKUP($F795, XPBands!A$2:G$10, 4, FALSE), FLOOR(( $E795 - VLOOKUP($F795, XPBands!A$2:G$10, 2, FALSE) ) / VLOOKUP($F795, XPBands!A$2:G$10, 7, FALSE),1)))</f>
        <v/>
      </c>
      <c r="H795" s="27">
        <f>IF($D795="","",VLOOKUP($D795,RoleTitles!$A:$E,3,FALSE))</f>
        <v/>
      </c>
      <c r="I795" s="27">
        <f>IF($D795="","",IF($C795="Greek",VLOOKUP($D795,RoleTitles!$A:$E,4,FALSE),IF($C795="Aesir",VLOOKUP($D795,RoleTitles!$A:$E,5,FALSE),VLOOKUP($D795,RoleTitles!$A:$E,3,FALSE))))</f>
        <v/>
      </c>
      <c r="J795" s="27">
        <f>IF($D795="","",IF($E795&gt;=VLOOKUP($D795,RoleTitles!$A:$B,2,FALSE),"Yes","No"))</f>
        <v/>
      </c>
      <c r="K795" s="27">
        <f>IF($D795="","",IF($D795="T1","T2",IF($D795="T2","T3",IF($D795="T3","T4",IF($D795="T4","T5",IF($D795="T5","T6",IF($D795="T6","T7",IF($D795="T7","T8",IF($D795="T8","T9","")))))))))</f>
        <v/>
      </c>
      <c r="L795" s="28">
        <f>IF($K795="","",MAX(0,VLOOKUP($K795,RoleTitles!$A:$B,2,FALSE)-$E795))</f>
        <v/>
      </c>
    </row>
    <row r="796">
      <c r="A796" s="24">
        <f>IFERROR(INDEX(CoachRoster!$A$2:$A$1000,ROW()-1),"")</f>
        <v/>
      </c>
      <c r="B796" s="27">
        <f>IF($A796="","",VLOOKUP($A796,CoachRoster!$A:$E,2,FALSE))</f>
        <v/>
      </c>
      <c r="C796" s="27">
        <f>IF($A796="","",VLOOKUP($A796,CoachRoster!$A:$E,3,FALSE))</f>
        <v/>
      </c>
      <c r="D796" s="27">
        <f>IF($A796="","",VLOOKUP($A796,CoachRoster!$A:$E,4,FALSE))</f>
        <v/>
      </c>
      <c r="E796" s="27">
        <f>IF($A796="","",MIN(Settings!$B$8,IFERROR(SUMIF(Weekly_Coaching!$B:$B,$A796,Weekly_Coaching!$D:$D),0)+IFERROR(SUMIF(Monthly_Edu!$B:$B,$A796,Monthly_Edu!$D:$D),0)+IFERROR(SUMIF(Monthly_Ops!$B:$B,$A796,Monthly_Ops!$D:$D),0)+IFERROR(SUMIF(Monthly_Mentor!$B:$B,$A796,Monthly_Mentor!$D:$D),0)+IFERROR(SUMIF(Quarterly_Impact!$B:$B,$A796,Quarterly_Impact!$D:$D),0)+IFERROR(SUMIFS(XPLog!$M:$M,XPLog!$B:$B,$A796,XPLog!$J:$J,"Admin"),0)+IFERROR(SUMIFS(XPLog!$M:$M,XPLog!$B:$B,$A796,XPLog!$J:$J,"Seeding"),0)))</f>
        <v/>
      </c>
      <c r="F796" s="27">
        <f>IF($E796="","",LOOKUP($E796, XPBands!B$2:B$10, XPBands!A$2:A$10))</f>
        <v/>
      </c>
      <c r="G796" s="27">
        <f>IF($E796="","", VLOOKUP($F796, XPBands!A$2:G$10, 4, FALSE) + MIN(VLOOKUP($F796, XPBands!A$2:G$10, 5, FALSE) - VLOOKUP($F796, XPBands!A$2:G$10, 4, FALSE), FLOOR(( $E796 - VLOOKUP($F796, XPBands!A$2:G$10, 2, FALSE) ) / VLOOKUP($F796, XPBands!A$2:G$10, 7, FALSE),1)))</f>
        <v/>
      </c>
      <c r="H796" s="27">
        <f>IF($D796="","",VLOOKUP($D796,RoleTitles!$A:$E,3,FALSE))</f>
        <v/>
      </c>
      <c r="I796" s="27">
        <f>IF($D796="","",IF($C796="Greek",VLOOKUP($D796,RoleTitles!$A:$E,4,FALSE),IF($C796="Aesir",VLOOKUP($D796,RoleTitles!$A:$E,5,FALSE),VLOOKUP($D796,RoleTitles!$A:$E,3,FALSE))))</f>
        <v/>
      </c>
      <c r="J796" s="27">
        <f>IF($D796="","",IF($E796&gt;=VLOOKUP($D796,RoleTitles!$A:$B,2,FALSE),"Yes","No"))</f>
        <v/>
      </c>
      <c r="K796" s="27">
        <f>IF($D796="","",IF($D796="T1","T2",IF($D796="T2","T3",IF($D796="T3","T4",IF($D796="T4","T5",IF($D796="T5","T6",IF($D796="T6","T7",IF($D796="T7","T8",IF($D796="T8","T9","")))))))))</f>
        <v/>
      </c>
      <c r="L796" s="28">
        <f>IF($K796="","",MAX(0,VLOOKUP($K796,RoleTitles!$A:$B,2,FALSE)-$E796))</f>
        <v/>
      </c>
    </row>
    <row r="797">
      <c r="A797" s="24">
        <f>IFERROR(INDEX(CoachRoster!$A$2:$A$1000,ROW()-1),"")</f>
        <v/>
      </c>
      <c r="B797" s="27">
        <f>IF($A797="","",VLOOKUP($A797,CoachRoster!$A:$E,2,FALSE))</f>
        <v/>
      </c>
      <c r="C797" s="27">
        <f>IF($A797="","",VLOOKUP($A797,CoachRoster!$A:$E,3,FALSE))</f>
        <v/>
      </c>
      <c r="D797" s="27">
        <f>IF($A797="","",VLOOKUP($A797,CoachRoster!$A:$E,4,FALSE))</f>
        <v/>
      </c>
      <c r="E797" s="27">
        <f>IF($A797="","",MIN(Settings!$B$8,IFERROR(SUMIF(Weekly_Coaching!$B:$B,$A797,Weekly_Coaching!$D:$D),0)+IFERROR(SUMIF(Monthly_Edu!$B:$B,$A797,Monthly_Edu!$D:$D),0)+IFERROR(SUMIF(Monthly_Ops!$B:$B,$A797,Monthly_Ops!$D:$D),0)+IFERROR(SUMIF(Monthly_Mentor!$B:$B,$A797,Monthly_Mentor!$D:$D),0)+IFERROR(SUMIF(Quarterly_Impact!$B:$B,$A797,Quarterly_Impact!$D:$D),0)+IFERROR(SUMIFS(XPLog!$M:$M,XPLog!$B:$B,$A797,XPLog!$J:$J,"Admin"),0)+IFERROR(SUMIFS(XPLog!$M:$M,XPLog!$B:$B,$A797,XPLog!$J:$J,"Seeding"),0)))</f>
        <v/>
      </c>
      <c r="F797" s="27">
        <f>IF($E797="","",LOOKUP($E797, XPBands!B$2:B$10, XPBands!A$2:A$10))</f>
        <v/>
      </c>
      <c r="G797" s="27">
        <f>IF($E797="","", VLOOKUP($F797, XPBands!A$2:G$10, 4, FALSE) + MIN(VLOOKUP($F797, XPBands!A$2:G$10, 5, FALSE) - VLOOKUP($F797, XPBands!A$2:G$10, 4, FALSE), FLOOR(( $E797 - VLOOKUP($F797, XPBands!A$2:G$10, 2, FALSE) ) / VLOOKUP($F797, XPBands!A$2:G$10, 7, FALSE),1)))</f>
        <v/>
      </c>
      <c r="H797" s="27">
        <f>IF($D797="","",VLOOKUP($D797,RoleTitles!$A:$E,3,FALSE))</f>
        <v/>
      </c>
      <c r="I797" s="27">
        <f>IF($D797="","",IF($C797="Greek",VLOOKUP($D797,RoleTitles!$A:$E,4,FALSE),IF($C797="Aesir",VLOOKUP($D797,RoleTitles!$A:$E,5,FALSE),VLOOKUP($D797,RoleTitles!$A:$E,3,FALSE))))</f>
        <v/>
      </c>
      <c r="J797" s="27">
        <f>IF($D797="","",IF($E797&gt;=VLOOKUP($D797,RoleTitles!$A:$B,2,FALSE),"Yes","No"))</f>
        <v/>
      </c>
      <c r="K797" s="27">
        <f>IF($D797="","",IF($D797="T1","T2",IF($D797="T2","T3",IF($D797="T3","T4",IF($D797="T4","T5",IF($D797="T5","T6",IF($D797="T6","T7",IF($D797="T7","T8",IF($D797="T8","T9","")))))))))</f>
        <v/>
      </c>
      <c r="L797" s="28">
        <f>IF($K797="","",MAX(0,VLOOKUP($K797,RoleTitles!$A:$B,2,FALSE)-$E797))</f>
        <v/>
      </c>
    </row>
    <row r="798">
      <c r="A798" s="24">
        <f>IFERROR(INDEX(CoachRoster!$A$2:$A$1000,ROW()-1),"")</f>
        <v/>
      </c>
      <c r="B798" s="27">
        <f>IF($A798="","",VLOOKUP($A798,CoachRoster!$A:$E,2,FALSE))</f>
        <v/>
      </c>
      <c r="C798" s="27">
        <f>IF($A798="","",VLOOKUP($A798,CoachRoster!$A:$E,3,FALSE))</f>
        <v/>
      </c>
      <c r="D798" s="27">
        <f>IF($A798="","",VLOOKUP($A798,CoachRoster!$A:$E,4,FALSE))</f>
        <v/>
      </c>
      <c r="E798" s="27">
        <f>IF($A798="","",MIN(Settings!$B$8,IFERROR(SUMIF(Weekly_Coaching!$B:$B,$A798,Weekly_Coaching!$D:$D),0)+IFERROR(SUMIF(Monthly_Edu!$B:$B,$A798,Monthly_Edu!$D:$D),0)+IFERROR(SUMIF(Monthly_Ops!$B:$B,$A798,Monthly_Ops!$D:$D),0)+IFERROR(SUMIF(Monthly_Mentor!$B:$B,$A798,Monthly_Mentor!$D:$D),0)+IFERROR(SUMIF(Quarterly_Impact!$B:$B,$A798,Quarterly_Impact!$D:$D),0)+IFERROR(SUMIFS(XPLog!$M:$M,XPLog!$B:$B,$A798,XPLog!$J:$J,"Admin"),0)+IFERROR(SUMIFS(XPLog!$M:$M,XPLog!$B:$B,$A798,XPLog!$J:$J,"Seeding"),0)))</f>
        <v/>
      </c>
      <c r="F798" s="27">
        <f>IF($E798="","",LOOKUP($E798, XPBands!B$2:B$10, XPBands!A$2:A$10))</f>
        <v/>
      </c>
      <c r="G798" s="27">
        <f>IF($E798="","", VLOOKUP($F798, XPBands!A$2:G$10, 4, FALSE) + MIN(VLOOKUP($F798, XPBands!A$2:G$10, 5, FALSE) - VLOOKUP($F798, XPBands!A$2:G$10, 4, FALSE), FLOOR(( $E798 - VLOOKUP($F798, XPBands!A$2:G$10, 2, FALSE) ) / VLOOKUP($F798, XPBands!A$2:G$10, 7, FALSE),1)))</f>
        <v/>
      </c>
      <c r="H798" s="27">
        <f>IF($D798="","",VLOOKUP($D798,RoleTitles!$A:$E,3,FALSE))</f>
        <v/>
      </c>
      <c r="I798" s="27">
        <f>IF($D798="","",IF($C798="Greek",VLOOKUP($D798,RoleTitles!$A:$E,4,FALSE),IF($C798="Aesir",VLOOKUP($D798,RoleTitles!$A:$E,5,FALSE),VLOOKUP($D798,RoleTitles!$A:$E,3,FALSE))))</f>
        <v/>
      </c>
      <c r="J798" s="27">
        <f>IF($D798="","",IF($E798&gt;=VLOOKUP($D798,RoleTitles!$A:$B,2,FALSE),"Yes","No"))</f>
        <v/>
      </c>
      <c r="K798" s="27">
        <f>IF($D798="","",IF($D798="T1","T2",IF($D798="T2","T3",IF($D798="T3","T4",IF($D798="T4","T5",IF($D798="T5","T6",IF($D798="T6","T7",IF($D798="T7","T8",IF($D798="T8","T9","")))))))))</f>
        <v/>
      </c>
      <c r="L798" s="28">
        <f>IF($K798="","",MAX(0,VLOOKUP($K798,RoleTitles!$A:$B,2,FALSE)-$E798))</f>
        <v/>
      </c>
    </row>
    <row r="799">
      <c r="A799" s="24">
        <f>IFERROR(INDEX(CoachRoster!$A$2:$A$1000,ROW()-1),"")</f>
        <v/>
      </c>
      <c r="B799" s="27">
        <f>IF($A799="","",VLOOKUP($A799,CoachRoster!$A:$E,2,FALSE))</f>
        <v/>
      </c>
      <c r="C799" s="27">
        <f>IF($A799="","",VLOOKUP($A799,CoachRoster!$A:$E,3,FALSE))</f>
        <v/>
      </c>
      <c r="D799" s="27">
        <f>IF($A799="","",VLOOKUP($A799,CoachRoster!$A:$E,4,FALSE))</f>
        <v/>
      </c>
      <c r="E799" s="27">
        <f>IF($A799="","",MIN(Settings!$B$8,IFERROR(SUMIF(Weekly_Coaching!$B:$B,$A799,Weekly_Coaching!$D:$D),0)+IFERROR(SUMIF(Monthly_Edu!$B:$B,$A799,Monthly_Edu!$D:$D),0)+IFERROR(SUMIF(Monthly_Ops!$B:$B,$A799,Monthly_Ops!$D:$D),0)+IFERROR(SUMIF(Monthly_Mentor!$B:$B,$A799,Monthly_Mentor!$D:$D),0)+IFERROR(SUMIF(Quarterly_Impact!$B:$B,$A799,Quarterly_Impact!$D:$D),0)+IFERROR(SUMIFS(XPLog!$M:$M,XPLog!$B:$B,$A799,XPLog!$J:$J,"Admin"),0)+IFERROR(SUMIFS(XPLog!$M:$M,XPLog!$B:$B,$A799,XPLog!$J:$J,"Seeding"),0)))</f>
        <v/>
      </c>
      <c r="F799" s="27">
        <f>IF($E799="","",LOOKUP($E799, XPBands!B$2:B$10, XPBands!A$2:A$10))</f>
        <v/>
      </c>
      <c r="G799" s="27">
        <f>IF($E799="","", VLOOKUP($F799, XPBands!A$2:G$10, 4, FALSE) + MIN(VLOOKUP($F799, XPBands!A$2:G$10, 5, FALSE) - VLOOKUP($F799, XPBands!A$2:G$10, 4, FALSE), FLOOR(( $E799 - VLOOKUP($F799, XPBands!A$2:G$10, 2, FALSE) ) / VLOOKUP($F799, XPBands!A$2:G$10, 7, FALSE),1)))</f>
        <v/>
      </c>
      <c r="H799" s="27">
        <f>IF($D799="","",VLOOKUP($D799,RoleTitles!$A:$E,3,FALSE))</f>
        <v/>
      </c>
      <c r="I799" s="27">
        <f>IF($D799="","",IF($C799="Greek",VLOOKUP($D799,RoleTitles!$A:$E,4,FALSE),IF($C799="Aesir",VLOOKUP($D799,RoleTitles!$A:$E,5,FALSE),VLOOKUP($D799,RoleTitles!$A:$E,3,FALSE))))</f>
        <v/>
      </c>
      <c r="J799" s="27">
        <f>IF($D799="","",IF($E799&gt;=VLOOKUP($D799,RoleTitles!$A:$B,2,FALSE),"Yes","No"))</f>
        <v/>
      </c>
      <c r="K799" s="27">
        <f>IF($D799="","",IF($D799="T1","T2",IF($D799="T2","T3",IF($D799="T3","T4",IF($D799="T4","T5",IF($D799="T5","T6",IF($D799="T6","T7",IF($D799="T7","T8",IF($D799="T8","T9","")))))))))</f>
        <v/>
      </c>
      <c r="L799" s="28">
        <f>IF($K799="","",MAX(0,VLOOKUP($K799,RoleTitles!$A:$B,2,FALSE)-$E799))</f>
        <v/>
      </c>
    </row>
    <row r="800">
      <c r="A800" s="24">
        <f>IFERROR(INDEX(CoachRoster!$A$2:$A$1000,ROW()-1),"")</f>
        <v/>
      </c>
      <c r="B800" s="27">
        <f>IF($A800="","",VLOOKUP($A800,CoachRoster!$A:$E,2,FALSE))</f>
        <v/>
      </c>
      <c r="C800" s="27">
        <f>IF($A800="","",VLOOKUP($A800,CoachRoster!$A:$E,3,FALSE))</f>
        <v/>
      </c>
      <c r="D800" s="27">
        <f>IF($A800="","",VLOOKUP($A800,CoachRoster!$A:$E,4,FALSE))</f>
        <v/>
      </c>
      <c r="E800" s="27">
        <f>IF($A800="","",MIN(Settings!$B$8,IFERROR(SUMIF(Weekly_Coaching!$B:$B,$A800,Weekly_Coaching!$D:$D),0)+IFERROR(SUMIF(Monthly_Edu!$B:$B,$A800,Monthly_Edu!$D:$D),0)+IFERROR(SUMIF(Monthly_Ops!$B:$B,$A800,Monthly_Ops!$D:$D),0)+IFERROR(SUMIF(Monthly_Mentor!$B:$B,$A800,Monthly_Mentor!$D:$D),0)+IFERROR(SUMIF(Quarterly_Impact!$B:$B,$A800,Quarterly_Impact!$D:$D),0)+IFERROR(SUMIFS(XPLog!$M:$M,XPLog!$B:$B,$A800,XPLog!$J:$J,"Admin"),0)+IFERROR(SUMIFS(XPLog!$M:$M,XPLog!$B:$B,$A800,XPLog!$J:$J,"Seeding"),0)))</f>
        <v/>
      </c>
      <c r="F800" s="27">
        <f>IF($E800="","",LOOKUP($E800, XPBands!B$2:B$10, XPBands!A$2:A$10))</f>
        <v/>
      </c>
      <c r="G800" s="27">
        <f>IF($E800="","", VLOOKUP($F800, XPBands!A$2:G$10, 4, FALSE) + MIN(VLOOKUP($F800, XPBands!A$2:G$10, 5, FALSE) - VLOOKUP($F800, XPBands!A$2:G$10, 4, FALSE), FLOOR(( $E800 - VLOOKUP($F800, XPBands!A$2:G$10, 2, FALSE) ) / VLOOKUP($F800, XPBands!A$2:G$10, 7, FALSE),1)))</f>
        <v/>
      </c>
      <c r="H800" s="27">
        <f>IF($D800="","",VLOOKUP($D800,RoleTitles!$A:$E,3,FALSE))</f>
        <v/>
      </c>
      <c r="I800" s="27">
        <f>IF($D800="","",IF($C800="Greek",VLOOKUP($D800,RoleTitles!$A:$E,4,FALSE),IF($C800="Aesir",VLOOKUP($D800,RoleTitles!$A:$E,5,FALSE),VLOOKUP($D800,RoleTitles!$A:$E,3,FALSE))))</f>
        <v/>
      </c>
      <c r="J800" s="27">
        <f>IF($D800="","",IF($E800&gt;=VLOOKUP($D800,RoleTitles!$A:$B,2,FALSE),"Yes","No"))</f>
        <v/>
      </c>
      <c r="K800" s="27">
        <f>IF($D800="","",IF($D800="T1","T2",IF($D800="T2","T3",IF($D800="T3","T4",IF($D800="T4","T5",IF($D800="T5","T6",IF($D800="T6","T7",IF($D800="T7","T8",IF($D800="T8","T9","")))))))))</f>
        <v/>
      </c>
      <c r="L800" s="28">
        <f>IF($K800="","",MAX(0,VLOOKUP($K800,RoleTitles!$A:$B,2,FALSE)-$E800))</f>
        <v/>
      </c>
    </row>
    <row r="801">
      <c r="A801" s="24">
        <f>IFERROR(INDEX(CoachRoster!$A$2:$A$1000,ROW()-1),"")</f>
        <v/>
      </c>
      <c r="B801" s="27">
        <f>IF($A801="","",VLOOKUP($A801,CoachRoster!$A:$E,2,FALSE))</f>
        <v/>
      </c>
      <c r="C801" s="27">
        <f>IF($A801="","",VLOOKUP($A801,CoachRoster!$A:$E,3,FALSE))</f>
        <v/>
      </c>
      <c r="D801" s="27">
        <f>IF($A801="","",VLOOKUP($A801,CoachRoster!$A:$E,4,FALSE))</f>
        <v/>
      </c>
      <c r="E801" s="27">
        <f>IF($A801="","",MIN(Settings!$B$8,IFERROR(SUMIF(Weekly_Coaching!$B:$B,$A801,Weekly_Coaching!$D:$D),0)+IFERROR(SUMIF(Monthly_Edu!$B:$B,$A801,Monthly_Edu!$D:$D),0)+IFERROR(SUMIF(Monthly_Ops!$B:$B,$A801,Monthly_Ops!$D:$D),0)+IFERROR(SUMIF(Monthly_Mentor!$B:$B,$A801,Monthly_Mentor!$D:$D),0)+IFERROR(SUMIF(Quarterly_Impact!$B:$B,$A801,Quarterly_Impact!$D:$D),0)+IFERROR(SUMIFS(XPLog!$M:$M,XPLog!$B:$B,$A801,XPLog!$J:$J,"Admin"),0)+IFERROR(SUMIFS(XPLog!$M:$M,XPLog!$B:$B,$A801,XPLog!$J:$J,"Seeding"),0)))</f>
        <v/>
      </c>
      <c r="F801" s="27">
        <f>IF($E801="","",LOOKUP($E801, XPBands!B$2:B$10, XPBands!A$2:A$10))</f>
        <v/>
      </c>
      <c r="G801" s="27">
        <f>IF($E801="","", VLOOKUP($F801, XPBands!A$2:G$10, 4, FALSE) + MIN(VLOOKUP($F801, XPBands!A$2:G$10, 5, FALSE) - VLOOKUP($F801, XPBands!A$2:G$10, 4, FALSE), FLOOR(( $E801 - VLOOKUP($F801, XPBands!A$2:G$10, 2, FALSE) ) / VLOOKUP($F801, XPBands!A$2:G$10, 7, FALSE),1)))</f>
        <v/>
      </c>
      <c r="H801" s="27">
        <f>IF($D801="","",VLOOKUP($D801,RoleTitles!$A:$E,3,FALSE))</f>
        <v/>
      </c>
      <c r="I801" s="27">
        <f>IF($D801="","",IF($C801="Greek",VLOOKUP($D801,RoleTitles!$A:$E,4,FALSE),IF($C801="Aesir",VLOOKUP($D801,RoleTitles!$A:$E,5,FALSE),VLOOKUP($D801,RoleTitles!$A:$E,3,FALSE))))</f>
        <v/>
      </c>
      <c r="J801" s="27">
        <f>IF($D801="","",IF($E801&gt;=VLOOKUP($D801,RoleTitles!$A:$B,2,FALSE),"Yes","No"))</f>
        <v/>
      </c>
      <c r="K801" s="27">
        <f>IF($D801="","",IF($D801="T1","T2",IF($D801="T2","T3",IF($D801="T3","T4",IF($D801="T4","T5",IF($D801="T5","T6",IF($D801="T6","T7",IF($D801="T7","T8",IF($D801="T8","T9","")))))))))</f>
        <v/>
      </c>
      <c r="L801" s="28">
        <f>IF($K801="","",MAX(0,VLOOKUP($K801,RoleTitles!$A:$B,2,FALSE)-$E801))</f>
        <v/>
      </c>
    </row>
    <row r="802">
      <c r="A802" s="24">
        <f>IFERROR(INDEX(CoachRoster!$A$2:$A$1000,ROW()-1),"")</f>
        <v/>
      </c>
      <c r="B802" s="27">
        <f>IF($A802="","",VLOOKUP($A802,CoachRoster!$A:$E,2,FALSE))</f>
        <v/>
      </c>
      <c r="C802" s="27">
        <f>IF($A802="","",VLOOKUP($A802,CoachRoster!$A:$E,3,FALSE))</f>
        <v/>
      </c>
      <c r="D802" s="27">
        <f>IF($A802="","",VLOOKUP($A802,CoachRoster!$A:$E,4,FALSE))</f>
        <v/>
      </c>
      <c r="E802" s="27">
        <f>IF($A802="","",MIN(Settings!$B$8,IFERROR(SUMIF(Weekly_Coaching!$B:$B,$A802,Weekly_Coaching!$D:$D),0)+IFERROR(SUMIF(Monthly_Edu!$B:$B,$A802,Monthly_Edu!$D:$D),0)+IFERROR(SUMIF(Monthly_Ops!$B:$B,$A802,Monthly_Ops!$D:$D),0)+IFERROR(SUMIF(Monthly_Mentor!$B:$B,$A802,Monthly_Mentor!$D:$D),0)+IFERROR(SUMIF(Quarterly_Impact!$B:$B,$A802,Quarterly_Impact!$D:$D),0)+IFERROR(SUMIFS(XPLog!$M:$M,XPLog!$B:$B,$A802,XPLog!$J:$J,"Admin"),0)+IFERROR(SUMIFS(XPLog!$M:$M,XPLog!$B:$B,$A802,XPLog!$J:$J,"Seeding"),0)))</f>
        <v/>
      </c>
      <c r="F802" s="27">
        <f>IF($E802="","",LOOKUP($E802, XPBands!B$2:B$10, XPBands!A$2:A$10))</f>
        <v/>
      </c>
      <c r="G802" s="27">
        <f>IF($E802="","", VLOOKUP($F802, XPBands!A$2:G$10, 4, FALSE) + MIN(VLOOKUP($F802, XPBands!A$2:G$10, 5, FALSE) - VLOOKUP($F802, XPBands!A$2:G$10, 4, FALSE), FLOOR(( $E802 - VLOOKUP($F802, XPBands!A$2:G$10, 2, FALSE) ) / VLOOKUP($F802, XPBands!A$2:G$10, 7, FALSE),1)))</f>
        <v/>
      </c>
      <c r="H802" s="27">
        <f>IF($D802="","",VLOOKUP($D802,RoleTitles!$A:$E,3,FALSE))</f>
        <v/>
      </c>
      <c r="I802" s="27">
        <f>IF($D802="","",IF($C802="Greek",VLOOKUP($D802,RoleTitles!$A:$E,4,FALSE),IF($C802="Aesir",VLOOKUP($D802,RoleTitles!$A:$E,5,FALSE),VLOOKUP($D802,RoleTitles!$A:$E,3,FALSE))))</f>
        <v/>
      </c>
      <c r="J802" s="27">
        <f>IF($D802="","",IF($E802&gt;=VLOOKUP($D802,RoleTitles!$A:$B,2,FALSE),"Yes","No"))</f>
        <v/>
      </c>
      <c r="K802" s="27">
        <f>IF($D802="","",IF($D802="T1","T2",IF($D802="T2","T3",IF($D802="T3","T4",IF($D802="T4","T5",IF($D802="T5","T6",IF($D802="T6","T7",IF($D802="T7","T8",IF($D802="T8","T9","")))))))))</f>
        <v/>
      </c>
      <c r="L802" s="28">
        <f>IF($K802="","",MAX(0,VLOOKUP($K802,RoleTitles!$A:$B,2,FALSE)-$E802))</f>
        <v/>
      </c>
    </row>
    <row r="803">
      <c r="A803" s="24">
        <f>IFERROR(INDEX(CoachRoster!$A$2:$A$1000,ROW()-1),"")</f>
        <v/>
      </c>
      <c r="B803" s="27">
        <f>IF($A803="","",VLOOKUP($A803,CoachRoster!$A:$E,2,FALSE))</f>
        <v/>
      </c>
      <c r="C803" s="27">
        <f>IF($A803="","",VLOOKUP($A803,CoachRoster!$A:$E,3,FALSE))</f>
        <v/>
      </c>
      <c r="D803" s="27">
        <f>IF($A803="","",VLOOKUP($A803,CoachRoster!$A:$E,4,FALSE))</f>
        <v/>
      </c>
      <c r="E803" s="27">
        <f>IF($A803="","",MIN(Settings!$B$8,IFERROR(SUMIF(Weekly_Coaching!$B:$B,$A803,Weekly_Coaching!$D:$D),0)+IFERROR(SUMIF(Monthly_Edu!$B:$B,$A803,Monthly_Edu!$D:$D),0)+IFERROR(SUMIF(Monthly_Ops!$B:$B,$A803,Monthly_Ops!$D:$D),0)+IFERROR(SUMIF(Monthly_Mentor!$B:$B,$A803,Monthly_Mentor!$D:$D),0)+IFERROR(SUMIF(Quarterly_Impact!$B:$B,$A803,Quarterly_Impact!$D:$D),0)+IFERROR(SUMIFS(XPLog!$M:$M,XPLog!$B:$B,$A803,XPLog!$J:$J,"Admin"),0)+IFERROR(SUMIFS(XPLog!$M:$M,XPLog!$B:$B,$A803,XPLog!$J:$J,"Seeding"),0)))</f>
        <v/>
      </c>
      <c r="F803" s="27">
        <f>IF($E803="","",LOOKUP($E803, XPBands!B$2:B$10, XPBands!A$2:A$10))</f>
        <v/>
      </c>
      <c r="G803" s="27">
        <f>IF($E803="","", VLOOKUP($F803, XPBands!A$2:G$10, 4, FALSE) + MIN(VLOOKUP($F803, XPBands!A$2:G$10, 5, FALSE) - VLOOKUP($F803, XPBands!A$2:G$10, 4, FALSE), FLOOR(( $E803 - VLOOKUP($F803, XPBands!A$2:G$10, 2, FALSE) ) / VLOOKUP($F803, XPBands!A$2:G$10, 7, FALSE),1)))</f>
        <v/>
      </c>
      <c r="H803" s="27">
        <f>IF($D803="","",VLOOKUP($D803,RoleTitles!$A:$E,3,FALSE))</f>
        <v/>
      </c>
      <c r="I803" s="27">
        <f>IF($D803="","",IF($C803="Greek",VLOOKUP($D803,RoleTitles!$A:$E,4,FALSE),IF($C803="Aesir",VLOOKUP($D803,RoleTitles!$A:$E,5,FALSE),VLOOKUP($D803,RoleTitles!$A:$E,3,FALSE))))</f>
        <v/>
      </c>
      <c r="J803" s="27">
        <f>IF($D803="","",IF($E803&gt;=VLOOKUP($D803,RoleTitles!$A:$B,2,FALSE),"Yes","No"))</f>
        <v/>
      </c>
      <c r="K803" s="27">
        <f>IF($D803="","",IF($D803="T1","T2",IF($D803="T2","T3",IF($D803="T3","T4",IF($D803="T4","T5",IF($D803="T5","T6",IF($D803="T6","T7",IF($D803="T7","T8",IF($D803="T8","T9","")))))))))</f>
        <v/>
      </c>
      <c r="L803" s="28">
        <f>IF($K803="","",MAX(0,VLOOKUP($K803,RoleTitles!$A:$B,2,FALSE)-$E803))</f>
        <v/>
      </c>
    </row>
    <row r="804">
      <c r="A804" s="24">
        <f>IFERROR(INDEX(CoachRoster!$A$2:$A$1000,ROW()-1),"")</f>
        <v/>
      </c>
      <c r="B804" s="27">
        <f>IF($A804="","",VLOOKUP($A804,CoachRoster!$A:$E,2,FALSE))</f>
        <v/>
      </c>
      <c r="C804" s="27">
        <f>IF($A804="","",VLOOKUP($A804,CoachRoster!$A:$E,3,FALSE))</f>
        <v/>
      </c>
      <c r="D804" s="27">
        <f>IF($A804="","",VLOOKUP($A804,CoachRoster!$A:$E,4,FALSE))</f>
        <v/>
      </c>
      <c r="E804" s="27">
        <f>IF($A804="","",MIN(Settings!$B$8,IFERROR(SUMIF(Weekly_Coaching!$B:$B,$A804,Weekly_Coaching!$D:$D),0)+IFERROR(SUMIF(Monthly_Edu!$B:$B,$A804,Monthly_Edu!$D:$D),0)+IFERROR(SUMIF(Monthly_Ops!$B:$B,$A804,Monthly_Ops!$D:$D),0)+IFERROR(SUMIF(Monthly_Mentor!$B:$B,$A804,Monthly_Mentor!$D:$D),0)+IFERROR(SUMIF(Quarterly_Impact!$B:$B,$A804,Quarterly_Impact!$D:$D),0)+IFERROR(SUMIFS(XPLog!$M:$M,XPLog!$B:$B,$A804,XPLog!$J:$J,"Admin"),0)+IFERROR(SUMIFS(XPLog!$M:$M,XPLog!$B:$B,$A804,XPLog!$J:$J,"Seeding"),0)))</f>
        <v/>
      </c>
      <c r="F804" s="27">
        <f>IF($E804="","",LOOKUP($E804, XPBands!B$2:B$10, XPBands!A$2:A$10))</f>
        <v/>
      </c>
      <c r="G804" s="27">
        <f>IF($E804="","", VLOOKUP($F804, XPBands!A$2:G$10, 4, FALSE) + MIN(VLOOKUP($F804, XPBands!A$2:G$10, 5, FALSE) - VLOOKUP($F804, XPBands!A$2:G$10, 4, FALSE), FLOOR(( $E804 - VLOOKUP($F804, XPBands!A$2:G$10, 2, FALSE) ) / VLOOKUP($F804, XPBands!A$2:G$10, 7, FALSE),1)))</f>
        <v/>
      </c>
      <c r="H804" s="27">
        <f>IF($D804="","",VLOOKUP($D804,RoleTitles!$A:$E,3,FALSE))</f>
        <v/>
      </c>
      <c r="I804" s="27">
        <f>IF($D804="","",IF($C804="Greek",VLOOKUP($D804,RoleTitles!$A:$E,4,FALSE),IF($C804="Aesir",VLOOKUP($D804,RoleTitles!$A:$E,5,FALSE),VLOOKUP($D804,RoleTitles!$A:$E,3,FALSE))))</f>
        <v/>
      </c>
      <c r="J804" s="27">
        <f>IF($D804="","",IF($E804&gt;=VLOOKUP($D804,RoleTitles!$A:$B,2,FALSE),"Yes","No"))</f>
        <v/>
      </c>
      <c r="K804" s="27">
        <f>IF($D804="","",IF($D804="T1","T2",IF($D804="T2","T3",IF($D804="T3","T4",IF($D804="T4","T5",IF($D804="T5","T6",IF($D804="T6","T7",IF($D804="T7","T8",IF($D804="T8","T9","")))))))))</f>
        <v/>
      </c>
      <c r="L804" s="28">
        <f>IF($K804="","",MAX(0,VLOOKUP($K804,RoleTitles!$A:$B,2,FALSE)-$E804))</f>
        <v/>
      </c>
    </row>
    <row r="805">
      <c r="A805" s="24">
        <f>IFERROR(INDEX(CoachRoster!$A$2:$A$1000,ROW()-1),"")</f>
        <v/>
      </c>
      <c r="B805" s="27">
        <f>IF($A805="","",VLOOKUP($A805,CoachRoster!$A:$E,2,FALSE))</f>
        <v/>
      </c>
      <c r="C805" s="27">
        <f>IF($A805="","",VLOOKUP($A805,CoachRoster!$A:$E,3,FALSE))</f>
        <v/>
      </c>
      <c r="D805" s="27">
        <f>IF($A805="","",VLOOKUP($A805,CoachRoster!$A:$E,4,FALSE))</f>
        <v/>
      </c>
      <c r="E805" s="27">
        <f>IF($A805="","",MIN(Settings!$B$8,IFERROR(SUMIF(Weekly_Coaching!$B:$B,$A805,Weekly_Coaching!$D:$D),0)+IFERROR(SUMIF(Monthly_Edu!$B:$B,$A805,Monthly_Edu!$D:$D),0)+IFERROR(SUMIF(Monthly_Ops!$B:$B,$A805,Monthly_Ops!$D:$D),0)+IFERROR(SUMIF(Monthly_Mentor!$B:$B,$A805,Monthly_Mentor!$D:$D),0)+IFERROR(SUMIF(Quarterly_Impact!$B:$B,$A805,Quarterly_Impact!$D:$D),0)+IFERROR(SUMIFS(XPLog!$M:$M,XPLog!$B:$B,$A805,XPLog!$J:$J,"Admin"),0)+IFERROR(SUMIFS(XPLog!$M:$M,XPLog!$B:$B,$A805,XPLog!$J:$J,"Seeding"),0)))</f>
        <v/>
      </c>
      <c r="F805" s="27">
        <f>IF($E805="","",LOOKUP($E805, XPBands!B$2:B$10, XPBands!A$2:A$10))</f>
        <v/>
      </c>
      <c r="G805" s="27">
        <f>IF($E805="","", VLOOKUP($F805, XPBands!A$2:G$10, 4, FALSE) + MIN(VLOOKUP($F805, XPBands!A$2:G$10, 5, FALSE) - VLOOKUP($F805, XPBands!A$2:G$10, 4, FALSE), FLOOR(( $E805 - VLOOKUP($F805, XPBands!A$2:G$10, 2, FALSE) ) / VLOOKUP($F805, XPBands!A$2:G$10, 7, FALSE),1)))</f>
        <v/>
      </c>
      <c r="H805" s="27">
        <f>IF($D805="","",VLOOKUP($D805,RoleTitles!$A:$E,3,FALSE))</f>
        <v/>
      </c>
      <c r="I805" s="27">
        <f>IF($D805="","",IF($C805="Greek",VLOOKUP($D805,RoleTitles!$A:$E,4,FALSE),IF($C805="Aesir",VLOOKUP($D805,RoleTitles!$A:$E,5,FALSE),VLOOKUP($D805,RoleTitles!$A:$E,3,FALSE))))</f>
        <v/>
      </c>
      <c r="J805" s="27">
        <f>IF($D805="","",IF($E805&gt;=VLOOKUP($D805,RoleTitles!$A:$B,2,FALSE),"Yes","No"))</f>
        <v/>
      </c>
      <c r="K805" s="27">
        <f>IF($D805="","",IF($D805="T1","T2",IF($D805="T2","T3",IF($D805="T3","T4",IF($D805="T4","T5",IF($D805="T5","T6",IF($D805="T6","T7",IF($D805="T7","T8",IF($D805="T8","T9","")))))))))</f>
        <v/>
      </c>
      <c r="L805" s="28">
        <f>IF($K805="","",MAX(0,VLOOKUP($K805,RoleTitles!$A:$B,2,FALSE)-$E805))</f>
        <v/>
      </c>
    </row>
    <row r="806">
      <c r="A806" s="24">
        <f>IFERROR(INDEX(CoachRoster!$A$2:$A$1000,ROW()-1),"")</f>
        <v/>
      </c>
      <c r="B806" s="27">
        <f>IF($A806="","",VLOOKUP($A806,CoachRoster!$A:$E,2,FALSE))</f>
        <v/>
      </c>
      <c r="C806" s="27">
        <f>IF($A806="","",VLOOKUP($A806,CoachRoster!$A:$E,3,FALSE))</f>
        <v/>
      </c>
      <c r="D806" s="27">
        <f>IF($A806="","",VLOOKUP($A806,CoachRoster!$A:$E,4,FALSE))</f>
        <v/>
      </c>
      <c r="E806" s="27">
        <f>IF($A806="","",MIN(Settings!$B$8,IFERROR(SUMIF(Weekly_Coaching!$B:$B,$A806,Weekly_Coaching!$D:$D),0)+IFERROR(SUMIF(Monthly_Edu!$B:$B,$A806,Monthly_Edu!$D:$D),0)+IFERROR(SUMIF(Monthly_Ops!$B:$B,$A806,Monthly_Ops!$D:$D),0)+IFERROR(SUMIF(Monthly_Mentor!$B:$B,$A806,Monthly_Mentor!$D:$D),0)+IFERROR(SUMIF(Quarterly_Impact!$B:$B,$A806,Quarterly_Impact!$D:$D),0)+IFERROR(SUMIFS(XPLog!$M:$M,XPLog!$B:$B,$A806,XPLog!$J:$J,"Admin"),0)+IFERROR(SUMIFS(XPLog!$M:$M,XPLog!$B:$B,$A806,XPLog!$J:$J,"Seeding"),0)))</f>
        <v/>
      </c>
      <c r="F806" s="27">
        <f>IF($E806="","",LOOKUP($E806, XPBands!B$2:B$10, XPBands!A$2:A$10))</f>
        <v/>
      </c>
      <c r="G806" s="27">
        <f>IF($E806="","", VLOOKUP($F806, XPBands!A$2:G$10, 4, FALSE) + MIN(VLOOKUP($F806, XPBands!A$2:G$10, 5, FALSE) - VLOOKUP($F806, XPBands!A$2:G$10, 4, FALSE), FLOOR(( $E806 - VLOOKUP($F806, XPBands!A$2:G$10, 2, FALSE) ) / VLOOKUP($F806, XPBands!A$2:G$10, 7, FALSE),1)))</f>
        <v/>
      </c>
      <c r="H806" s="27">
        <f>IF($D806="","",VLOOKUP($D806,RoleTitles!$A:$E,3,FALSE))</f>
        <v/>
      </c>
      <c r="I806" s="27">
        <f>IF($D806="","",IF($C806="Greek",VLOOKUP($D806,RoleTitles!$A:$E,4,FALSE),IF($C806="Aesir",VLOOKUP($D806,RoleTitles!$A:$E,5,FALSE),VLOOKUP($D806,RoleTitles!$A:$E,3,FALSE))))</f>
        <v/>
      </c>
      <c r="J806" s="27">
        <f>IF($D806="","",IF($E806&gt;=VLOOKUP($D806,RoleTitles!$A:$B,2,FALSE),"Yes","No"))</f>
        <v/>
      </c>
      <c r="K806" s="27">
        <f>IF($D806="","",IF($D806="T1","T2",IF($D806="T2","T3",IF($D806="T3","T4",IF($D806="T4","T5",IF($D806="T5","T6",IF($D806="T6","T7",IF($D806="T7","T8",IF($D806="T8","T9","")))))))))</f>
        <v/>
      </c>
      <c r="L806" s="28">
        <f>IF($K806="","",MAX(0,VLOOKUP($K806,RoleTitles!$A:$B,2,FALSE)-$E806))</f>
        <v/>
      </c>
    </row>
    <row r="807">
      <c r="A807" s="24">
        <f>IFERROR(INDEX(CoachRoster!$A$2:$A$1000,ROW()-1),"")</f>
        <v/>
      </c>
      <c r="B807" s="27">
        <f>IF($A807="","",VLOOKUP($A807,CoachRoster!$A:$E,2,FALSE))</f>
        <v/>
      </c>
      <c r="C807" s="27">
        <f>IF($A807="","",VLOOKUP($A807,CoachRoster!$A:$E,3,FALSE))</f>
        <v/>
      </c>
      <c r="D807" s="27">
        <f>IF($A807="","",VLOOKUP($A807,CoachRoster!$A:$E,4,FALSE))</f>
        <v/>
      </c>
      <c r="E807" s="27">
        <f>IF($A807="","",MIN(Settings!$B$8,IFERROR(SUMIF(Weekly_Coaching!$B:$B,$A807,Weekly_Coaching!$D:$D),0)+IFERROR(SUMIF(Monthly_Edu!$B:$B,$A807,Monthly_Edu!$D:$D),0)+IFERROR(SUMIF(Monthly_Ops!$B:$B,$A807,Monthly_Ops!$D:$D),0)+IFERROR(SUMIF(Monthly_Mentor!$B:$B,$A807,Monthly_Mentor!$D:$D),0)+IFERROR(SUMIF(Quarterly_Impact!$B:$B,$A807,Quarterly_Impact!$D:$D),0)+IFERROR(SUMIFS(XPLog!$M:$M,XPLog!$B:$B,$A807,XPLog!$J:$J,"Admin"),0)+IFERROR(SUMIFS(XPLog!$M:$M,XPLog!$B:$B,$A807,XPLog!$J:$J,"Seeding"),0)))</f>
        <v/>
      </c>
      <c r="F807" s="27">
        <f>IF($E807="","",LOOKUP($E807, XPBands!B$2:B$10, XPBands!A$2:A$10))</f>
        <v/>
      </c>
      <c r="G807" s="27">
        <f>IF($E807="","", VLOOKUP($F807, XPBands!A$2:G$10, 4, FALSE) + MIN(VLOOKUP($F807, XPBands!A$2:G$10, 5, FALSE) - VLOOKUP($F807, XPBands!A$2:G$10, 4, FALSE), FLOOR(( $E807 - VLOOKUP($F807, XPBands!A$2:G$10, 2, FALSE) ) / VLOOKUP($F807, XPBands!A$2:G$10, 7, FALSE),1)))</f>
        <v/>
      </c>
      <c r="H807" s="27">
        <f>IF($D807="","",VLOOKUP($D807,RoleTitles!$A:$E,3,FALSE))</f>
        <v/>
      </c>
      <c r="I807" s="27">
        <f>IF($D807="","",IF($C807="Greek",VLOOKUP($D807,RoleTitles!$A:$E,4,FALSE),IF($C807="Aesir",VLOOKUP($D807,RoleTitles!$A:$E,5,FALSE),VLOOKUP($D807,RoleTitles!$A:$E,3,FALSE))))</f>
        <v/>
      </c>
      <c r="J807" s="27">
        <f>IF($D807="","",IF($E807&gt;=VLOOKUP($D807,RoleTitles!$A:$B,2,FALSE),"Yes","No"))</f>
        <v/>
      </c>
      <c r="K807" s="27">
        <f>IF($D807="","",IF($D807="T1","T2",IF($D807="T2","T3",IF($D807="T3","T4",IF($D807="T4","T5",IF($D807="T5","T6",IF($D807="T6","T7",IF($D807="T7","T8",IF($D807="T8","T9","")))))))))</f>
        <v/>
      </c>
      <c r="L807" s="28">
        <f>IF($K807="","",MAX(0,VLOOKUP($K807,RoleTitles!$A:$B,2,FALSE)-$E807))</f>
        <v/>
      </c>
    </row>
    <row r="808">
      <c r="A808" s="24">
        <f>IFERROR(INDEX(CoachRoster!$A$2:$A$1000,ROW()-1),"")</f>
        <v/>
      </c>
      <c r="B808" s="27">
        <f>IF($A808="","",VLOOKUP($A808,CoachRoster!$A:$E,2,FALSE))</f>
        <v/>
      </c>
      <c r="C808" s="27">
        <f>IF($A808="","",VLOOKUP($A808,CoachRoster!$A:$E,3,FALSE))</f>
        <v/>
      </c>
      <c r="D808" s="27">
        <f>IF($A808="","",VLOOKUP($A808,CoachRoster!$A:$E,4,FALSE))</f>
        <v/>
      </c>
      <c r="E808" s="27">
        <f>IF($A808="","",MIN(Settings!$B$8,IFERROR(SUMIF(Weekly_Coaching!$B:$B,$A808,Weekly_Coaching!$D:$D),0)+IFERROR(SUMIF(Monthly_Edu!$B:$B,$A808,Monthly_Edu!$D:$D),0)+IFERROR(SUMIF(Monthly_Ops!$B:$B,$A808,Monthly_Ops!$D:$D),0)+IFERROR(SUMIF(Monthly_Mentor!$B:$B,$A808,Monthly_Mentor!$D:$D),0)+IFERROR(SUMIF(Quarterly_Impact!$B:$B,$A808,Quarterly_Impact!$D:$D),0)+IFERROR(SUMIFS(XPLog!$M:$M,XPLog!$B:$B,$A808,XPLog!$J:$J,"Admin"),0)+IFERROR(SUMIFS(XPLog!$M:$M,XPLog!$B:$B,$A808,XPLog!$J:$J,"Seeding"),0)))</f>
        <v/>
      </c>
      <c r="F808" s="27">
        <f>IF($E808="","",LOOKUP($E808, XPBands!B$2:B$10, XPBands!A$2:A$10))</f>
        <v/>
      </c>
      <c r="G808" s="27">
        <f>IF($E808="","", VLOOKUP($F808, XPBands!A$2:G$10, 4, FALSE) + MIN(VLOOKUP($F808, XPBands!A$2:G$10, 5, FALSE) - VLOOKUP($F808, XPBands!A$2:G$10, 4, FALSE), FLOOR(( $E808 - VLOOKUP($F808, XPBands!A$2:G$10, 2, FALSE) ) / VLOOKUP($F808, XPBands!A$2:G$10, 7, FALSE),1)))</f>
        <v/>
      </c>
      <c r="H808" s="27">
        <f>IF($D808="","",VLOOKUP($D808,RoleTitles!$A:$E,3,FALSE))</f>
        <v/>
      </c>
      <c r="I808" s="27">
        <f>IF($D808="","",IF($C808="Greek",VLOOKUP($D808,RoleTitles!$A:$E,4,FALSE),IF($C808="Aesir",VLOOKUP($D808,RoleTitles!$A:$E,5,FALSE),VLOOKUP($D808,RoleTitles!$A:$E,3,FALSE))))</f>
        <v/>
      </c>
      <c r="J808" s="27">
        <f>IF($D808="","",IF($E808&gt;=VLOOKUP($D808,RoleTitles!$A:$B,2,FALSE),"Yes","No"))</f>
        <v/>
      </c>
      <c r="K808" s="27">
        <f>IF($D808="","",IF($D808="T1","T2",IF($D808="T2","T3",IF($D808="T3","T4",IF($D808="T4","T5",IF($D808="T5","T6",IF($D808="T6","T7",IF($D808="T7","T8",IF($D808="T8","T9","")))))))))</f>
        <v/>
      </c>
      <c r="L808" s="28">
        <f>IF($K808="","",MAX(0,VLOOKUP($K808,RoleTitles!$A:$B,2,FALSE)-$E808))</f>
        <v/>
      </c>
    </row>
    <row r="809">
      <c r="A809" s="24">
        <f>IFERROR(INDEX(CoachRoster!$A$2:$A$1000,ROW()-1),"")</f>
        <v/>
      </c>
      <c r="B809" s="27">
        <f>IF($A809="","",VLOOKUP($A809,CoachRoster!$A:$E,2,FALSE))</f>
        <v/>
      </c>
      <c r="C809" s="27">
        <f>IF($A809="","",VLOOKUP($A809,CoachRoster!$A:$E,3,FALSE))</f>
        <v/>
      </c>
      <c r="D809" s="27">
        <f>IF($A809="","",VLOOKUP($A809,CoachRoster!$A:$E,4,FALSE))</f>
        <v/>
      </c>
      <c r="E809" s="27">
        <f>IF($A809="","",MIN(Settings!$B$8,IFERROR(SUMIF(Weekly_Coaching!$B:$B,$A809,Weekly_Coaching!$D:$D),0)+IFERROR(SUMIF(Monthly_Edu!$B:$B,$A809,Monthly_Edu!$D:$D),0)+IFERROR(SUMIF(Monthly_Ops!$B:$B,$A809,Monthly_Ops!$D:$D),0)+IFERROR(SUMIF(Monthly_Mentor!$B:$B,$A809,Monthly_Mentor!$D:$D),0)+IFERROR(SUMIF(Quarterly_Impact!$B:$B,$A809,Quarterly_Impact!$D:$D),0)+IFERROR(SUMIFS(XPLog!$M:$M,XPLog!$B:$B,$A809,XPLog!$J:$J,"Admin"),0)+IFERROR(SUMIFS(XPLog!$M:$M,XPLog!$B:$B,$A809,XPLog!$J:$J,"Seeding"),0)))</f>
        <v/>
      </c>
      <c r="F809" s="27">
        <f>IF($E809="","",LOOKUP($E809, XPBands!B$2:B$10, XPBands!A$2:A$10))</f>
        <v/>
      </c>
      <c r="G809" s="27">
        <f>IF($E809="","", VLOOKUP($F809, XPBands!A$2:G$10, 4, FALSE) + MIN(VLOOKUP($F809, XPBands!A$2:G$10, 5, FALSE) - VLOOKUP($F809, XPBands!A$2:G$10, 4, FALSE), FLOOR(( $E809 - VLOOKUP($F809, XPBands!A$2:G$10, 2, FALSE) ) / VLOOKUP($F809, XPBands!A$2:G$10, 7, FALSE),1)))</f>
        <v/>
      </c>
      <c r="H809" s="27">
        <f>IF($D809="","",VLOOKUP($D809,RoleTitles!$A:$E,3,FALSE))</f>
        <v/>
      </c>
      <c r="I809" s="27">
        <f>IF($D809="","",IF($C809="Greek",VLOOKUP($D809,RoleTitles!$A:$E,4,FALSE),IF($C809="Aesir",VLOOKUP($D809,RoleTitles!$A:$E,5,FALSE),VLOOKUP($D809,RoleTitles!$A:$E,3,FALSE))))</f>
        <v/>
      </c>
      <c r="J809" s="27">
        <f>IF($D809="","",IF($E809&gt;=VLOOKUP($D809,RoleTitles!$A:$B,2,FALSE),"Yes","No"))</f>
        <v/>
      </c>
      <c r="K809" s="27">
        <f>IF($D809="","",IF($D809="T1","T2",IF($D809="T2","T3",IF($D809="T3","T4",IF($D809="T4","T5",IF($D809="T5","T6",IF($D809="T6","T7",IF($D809="T7","T8",IF($D809="T8","T9","")))))))))</f>
        <v/>
      </c>
      <c r="L809" s="28">
        <f>IF($K809="","",MAX(0,VLOOKUP($K809,RoleTitles!$A:$B,2,FALSE)-$E809))</f>
        <v/>
      </c>
    </row>
    <row r="810">
      <c r="A810" s="24">
        <f>IFERROR(INDEX(CoachRoster!$A$2:$A$1000,ROW()-1),"")</f>
        <v/>
      </c>
      <c r="B810" s="27">
        <f>IF($A810="","",VLOOKUP($A810,CoachRoster!$A:$E,2,FALSE))</f>
        <v/>
      </c>
      <c r="C810" s="27">
        <f>IF($A810="","",VLOOKUP($A810,CoachRoster!$A:$E,3,FALSE))</f>
        <v/>
      </c>
      <c r="D810" s="27">
        <f>IF($A810="","",VLOOKUP($A810,CoachRoster!$A:$E,4,FALSE))</f>
        <v/>
      </c>
      <c r="E810" s="27">
        <f>IF($A810="","",MIN(Settings!$B$8,IFERROR(SUMIF(Weekly_Coaching!$B:$B,$A810,Weekly_Coaching!$D:$D),0)+IFERROR(SUMIF(Monthly_Edu!$B:$B,$A810,Monthly_Edu!$D:$D),0)+IFERROR(SUMIF(Monthly_Ops!$B:$B,$A810,Monthly_Ops!$D:$D),0)+IFERROR(SUMIF(Monthly_Mentor!$B:$B,$A810,Monthly_Mentor!$D:$D),0)+IFERROR(SUMIF(Quarterly_Impact!$B:$B,$A810,Quarterly_Impact!$D:$D),0)+IFERROR(SUMIFS(XPLog!$M:$M,XPLog!$B:$B,$A810,XPLog!$J:$J,"Admin"),0)+IFERROR(SUMIFS(XPLog!$M:$M,XPLog!$B:$B,$A810,XPLog!$J:$J,"Seeding"),0)))</f>
        <v/>
      </c>
      <c r="F810" s="27">
        <f>IF($E810="","",LOOKUP($E810, XPBands!B$2:B$10, XPBands!A$2:A$10))</f>
        <v/>
      </c>
      <c r="G810" s="27">
        <f>IF($E810="","", VLOOKUP($F810, XPBands!A$2:G$10, 4, FALSE) + MIN(VLOOKUP($F810, XPBands!A$2:G$10, 5, FALSE) - VLOOKUP($F810, XPBands!A$2:G$10, 4, FALSE), FLOOR(( $E810 - VLOOKUP($F810, XPBands!A$2:G$10, 2, FALSE) ) / VLOOKUP($F810, XPBands!A$2:G$10, 7, FALSE),1)))</f>
        <v/>
      </c>
      <c r="H810" s="27">
        <f>IF($D810="","",VLOOKUP($D810,RoleTitles!$A:$E,3,FALSE))</f>
        <v/>
      </c>
      <c r="I810" s="27">
        <f>IF($D810="","",IF($C810="Greek",VLOOKUP($D810,RoleTitles!$A:$E,4,FALSE),IF($C810="Aesir",VLOOKUP($D810,RoleTitles!$A:$E,5,FALSE),VLOOKUP($D810,RoleTitles!$A:$E,3,FALSE))))</f>
        <v/>
      </c>
      <c r="J810" s="27">
        <f>IF($D810="","",IF($E810&gt;=VLOOKUP($D810,RoleTitles!$A:$B,2,FALSE),"Yes","No"))</f>
        <v/>
      </c>
      <c r="K810" s="27">
        <f>IF($D810="","",IF($D810="T1","T2",IF($D810="T2","T3",IF($D810="T3","T4",IF($D810="T4","T5",IF($D810="T5","T6",IF($D810="T6","T7",IF($D810="T7","T8",IF($D810="T8","T9","")))))))))</f>
        <v/>
      </c>
      <c r="L810" s="28">
        <f>IF($K810="","",MAX(0,VLOOKUP($K810,RoleTitles!$A:$B,2,FALSE)-$E810))</f>
        <v/>
      </c>
    </row>
    <row r="811">
      <c r="A811" s="24">
        <f>IFERROR(INDEX(CoachRoster!$A$2:$A$1000,ROW()-1),"")</f>
        <v/>
      </c>
      <c r="B811" s="27">
        <f>IF($A811="","",VLOOKUP($A811,CoachRoster!$A:$E,2,FALSE))</f>
        <v/>
      </c>
      <c r="C811" s="27">
        <f>IF($A811="","",VLOOKUP($A811,CoachRoster!$A:$E,3,FALSE))</f>
        <v/>
      </c>
      <c r="D811" s="27">
        <f>IF($A811="","",VLOOKUP($A811,CoachRoster!$A:$E,4,FALSE))</f>
        <v/>
      </c>
      <c r="E811" s="27">
        <f>IF($A811="","",MIN(Settings!$B$8,IFERROR(SUMIF(Weekly_Coaching!$B:$B,$A811,Weekly_Coaching!$D:$D),0)+IFERROR(SUMIF(Monthly_Edu!$B:$B,$A811,Monthly_Edu!$D:$D),0)+IFERROR(SUMIF(Monthly_Ops!$B:$B,$A811,Monthly_Ops!$D:$D),0)+IFERROR(SUMIF(Monthly_Mentor!$B:$B,$A811,Monthly_Mentor!$D:$D),0)+IFERROR(SUMIF(Quarterly_Impact!$B:$B,$A811,Quarterly_Impact!$D:$D),0)+IFERROR(SUMIFS(XPLog!$M:$M,XPLog!$B:$B,$A811,XPLog!$J:$J,"Admin"),0)+IFERROR(SUMIFS(XPLog!$M:$M,XPLog!$B:$B,$A811,XPLog!$J:$J,"Seeding"),0)))</f>
        <v/>
      </c>
      <c r="F811" s="27">
        <f>IF($E811="","",LOOKUP($E811, XPBands!B$2:B$10, XPBands!A$2:A$10))</f>
        <v/>
      </c>
      <c r="G811" s="27">
        <f>IF($E811="","", VLOOKUP($F811, XPBands!A$2:G$10, 4, FALSE) + MIN(VLOOKUP($F811, XPBands!A$2:G$10, 5, FALSE) - VLOOKUP($F811, XPBands!A$2:G$10, 4, FALSE), FLOOR(( $E811 - VLOOKUP($F811, XPBands!A$2:G$10, 2, FALSE) ) / VLOOKUP($F811, XPBands!A$2:G$10, 7, FALSE),1)))</f>
        <v/>
      </c>
      <c r="H811" s="27">
        <f>IF($D811="","",VLOOKUP($D811,RoleTitles!$A:$E,3,FALSE))</f>
        <v/>
      </c>
      <c r="I811" s="27">
        <f>IF($D811="","",IF($C811="Greek",VLOOKUP($D811,RoleTitles!$A:$E,4,FALSE),IF($C811="Aesir",VLOOKUP($D811,RoleTitles!$A:$E,5,FALSE),VLOOKUP($D811,RoleTitles!$A:$E,3,FALSE))))</f>
        <v/>
      </c>
      <c r="J811" s="27">
        <f>IF($D811="","",IF($E811&gt;=VLOOKUP($D811,RoleTitles!$A:$B,2,FALSE),"Yes","No"))</f>
        <v/>
      </c>
      <c r="K811" s="27">
        <f>IF($D811="","",IF($D811="T1","T2",IF($D811="T2","T3",IF($D811="T3","T4",IF($D811="T4","T5",IF($D811="T5","T6",IF($D811="T6","T7",IF($D811="T7","T8",IF($D811="T8","T9","")))))))))</f>
        <v/>
      </c>
      <c r="L811" s="28">
        <f>IF($K811="","",MAX(0,VLOOKUP($K811,RoleTitles!$A:$B,2,FALSE)-$E811))</f>
        <v/>
      </c>
    </row>
    <row r="812">
      <c r="A812" s="24">
        <f>IFERROR(INDEX(CoachRoster!$A$2:$A$1000,ROW()-1),"")</f>
        <v/>
      </c>
      <c r="B812" s="27">
        <f>IF($A812="","",VLOOKUP($A812,CoachRoster!$A:$E,2,FALSE))</f>
        <v/>
      </c>
      <c r="C812" s="27">
        <f>IF($A812="","",VLOOKUP($A812,CoachRoster!$A:$E,3,FALSE))</f>
        <v/>
      </c>
      <c r="D812" s="27">
        <f>IF($A812="","",VLOOKUP($A812,CoachRoster!$A:$E,4,FALSE))</f>
        <v/>
      </c>
      <c r="E812" s="27">
        <f>IF($A812="","",MIN(Settings!$B$8,IFERROR(SUMIF(Weekly_Coaching!$B:$B,$A812,Weekly_Coaching!$D:$D),0)+IFERROR(SUMIF(Monthly_Edu!$B:$B,$A812,Monthly_Edu!$D:$D),0)+IFERROR(SUMIF(Monthly_Ops!$B:$B,$A812,Monthly_Ops!$D:$D),0)+IFERROR(SUMIF(Monthly_Mentor!$B:$B,$A812,Monthly_Mentor!$D:$D),0)+IFERROR(SUMIF(Quarterly_Impact!$B:$B,$A812,Quarterly_Impact!$D:$D),0)+IFERROR(SUMIFS(XPLog!$M:$M,XPLog!$B:$B,$A812,XPLog!$J:$J,"Admin"),0)+IFERROR(SUMIFS(XPLog!$M:$M,XPLog!$B:$B,$A812,XPLog!$J:$J,"Seeding"),0)))</f>
        <v/>
      </c>
      <c r="F812" s="27">
        <f>IF($E812="","",LOOKUP($E812, XPBands!B$2:B$10, XPBands!A$2:A$10))</f>
        <v/>
      </c>
      <c r="G812" s="27">
        <f>IF($E812="","", VLOOKUP($F812, XPBands!A$2:G$10, 4, FALSE) + MIN(VLOOKUP($F812, XPBands!A$2:G$10, 5, FALSE) - VLOOKUP($F812, XPBands!A$2:G$10, 4, FALSE), FLOOR(( $E812 - VLOOKUP($F812, XPBands!A$2:G$10, 2, FALSE) ) / VLOOKUP($F812, XPBands!A$2:G$10, 7, FALSE),1)))</f>
        <v/>
      </c>
      <c r="H812" s="27">
        <f>IF($D812="","",VLOOKUP($D812,RoleTitles!$A:$E,3,FALSE))</f>
        <v/>
      </c>
      <c r="I812" s="27">
        <f>IF($D812="","",IF($C812="Greek",VLOOKUP($D812,RoleTitles!$A:$E,4,FALSE),IF($C812="Aesir",VLOOKUP($D812,RoleTitles!$A:$E,5,FALSE),VLOOKUP($D812,RoleTitles!$A:$E,3,FALSE))))</f>
        <v/>
      </c>
      <c r="J812" s="27">
        <f>IF($D812="","",IF($E812&gt;=VLOOKUP($D812,RoleTitles!$A:$B,2,FALSE),"Yes","No"))</f>
        <v/>
      </c>
      <c r="K812" s="27">
        <f>IF($D812="","",IF($D812="T1","T2",IF($D812="T2","T3",IF($D812="T3","T4",IF($D812="T4","T5",IF($D812="T5","T6",IF($D812="T6","T7",IF($D812="T7","T8",IF($D812="T8","T9","")))))))))</f>
        <v/>
      </c>
      <c r="L812" s="28">
        <f>IF($K812="","",MAX(0,VLOOKUP($K812,RoleTitles!$A:$B,2,FALSE)-$E812))</f>
        <v/>
      </c>
    </row>
    <row r="813">
      <c r="A813" s="24">
        <f>IFERROR(INDEX(CoachRoster!$A$2:$A$1000,ROW()-1),"")</f>
        <v/>
      </c>
      <c r="B813" s="27">
        <f>IF($A813="","",VLOOKUP($A813,CoachRoster!$A:$E,2,FALSE))</f>
        <v/>
      </c>
      <c r="C813" s="27">
        <f>IF($A813="","",VLOOKUP($A813,CoachRoster!$A:$E,3,FALSE))</f>
        <v/>
      </c>
      <c r="D813" s="27">
        <f>IF($A813="","",VLOOKUP($A813,CoachRoster!$A:$E,4,FALSE))</f>
        <v/>
      </c>
      <c r="E813" s="27">
        <f>IF($A813="","",MIN(Settings!$B$8,IFERROR(SUMIF(Weekly_Coaching!$B:$B,$A813,Weekly_Coaching!$D:$D),0)+IFERROR(SUMIF(Monthly_Edu!$B:$B,$A813,Monthly_Edu!$D:$D),0)+IFERROR(SUMIF(Monthly_Ops!$B:$B,$A813,Monthly_Ops!$D:$D),0)+IFERROR(SUMIF(Monthly_Mentor!$B:$B,$A813,Monthly_Mentor!$D:$D),0)+IFERROR(SUMIF(Quarterly_Impact!$B:$B,$A813,Quarterly_Impact!$D:$D),0)+IFERROR(SUMIFS(XPLog!$M:$M,XPLog!$B:$B,$A813,XPLog!$J:$J,"Admin"),0)+IFERROR(SUMIFS(XPLog!$M:$M,XPLog!$B:$B,$A813,XPLog!$J:$J,"Seeding"),0)))</f>
        <v/>
      </c>
      <c r="F813" s="27">
        <f>IF($E813="","",LOOKUP($E813, XPBands!B$2:B$10, XPBands!A$2:A$10))</f>
        <v/>
      </c>
      <c r="G813" s="27">
        <f>IF($E813="","", VLOOKUP($F813, XPBands!A$2:G$10, 4, FALSE) + MIN(VLOOKUP($F813, XPBands!A$2:G$10, 5, FALSE) - VLOOKUP($F813, XPBands!A$2:G$10, 4, FALSE), FLOOR(( $E813 - VLOOKUP($F813, XPBands!A$2:G$10, 2, FALSE) ) / VLOOKUP($F813, XPBands!A$2:G$10, 7, FALSE),1)))</f>
        <v/>
      </c>
      <c r="H813" s="27">
        <f>IF($D813="","",VLOOKUP($D813,RoleTitles!$A:$E,3,FALSE))</f>
        <v/>
      </c>
      <c r="I813" s="27">
        <f>IF($D813="","",IF($C813="Greek",VLOOKUP($D813,RoleTitles!$A:$E,4,FALSE),IF($C813="Aesir",VLOOKUP($D813,RoleTitles!$A:$E,5,FALSE),VLOOKUP($D813,RoleTitles!$A:$E,3,FALSE))))</f>
        <v/>
      </c>
      <c r="J813" s="27">
        <f>IF($D813="","",IF($E813&gt;=VLOOKUP($D813,RoleTitles!$A:$B,2,FALSE),"Yes","No"))</f>
        <v/>
      </c>
      <c r="K813" s="27">
        <f>IF($D813="","",IF($D813="T1","T2",IF($D813="T2","T3",IF($D813="T3","T4",IF($D813="T4","T5",IF($D813="T5","T6",IF($D813="T6","T7",IF($D813="T7","T8",IF($D813="T8","T9","")))))))))</f>
        <v/>
      </c>
      <c r="L813" s="28">
        <f>IF($K813="","",MAX(0,VLOOKUP($K813,RoleTitles!$A:$B,2,FALSE)-$E813))</f>
        <v/>
      </c>
    </row>
    <row r="814">
      <c r="A814" s="24">
        <f>IFERROR(INDEX(CoachRoster!$A$2:$A$1000,ROW()-1),"")</f>
        <v/>
      </c>
      <c r="B814" s="27">
        <f>IF($A814="","",VLOOKUP($A814,CoachRoster!$A:$E,2,FALSE))</f>
        <v/>
      </c>
      <c r="C814" s="27">
        <f>IF($A814="","",VLOOKUP($A814,CoachRoster!$A:$E,3,FALSE))</f>
        <v/>
      </c>
      <c r="D814" s="27">
        <f>IF($A814="","",VLOOKUP($A814,CoachRoster!$A:$E,4,FALSE))</f>
        <v/>
      </c>
      <c r="E814" s="27">
        <f>IF($A814="","",MIN(Settings!$B$8,IFERROR(SUMIF(Weekly_Coaching!$B:$B,$A814,Weekly_Coaching!$D:$D),0)+IFERROR(SUMIF(Monthly_Edu!$B:$B,$A814,Monthly_Edu!$D:$D),0)+IFERROR(SUMIF(Monthly_Ops!$B:$B,$A814,Monthly_Ops!$D:$D),0)+IFERROR(SUMIF(Monthly_Mentor!$B:$B,$A814,Monthly_Mentor!$D:$D),0)+IFERROR(SUMIF(Quarterly_Impact!$B:$B,$A814,Quarterly_Impact!$D:$D),0)+IFERROR(SUMIFS(XPLog!$M:$M,XPLog!$B:$B,$A814,XPLog!$J:$J,"Admin"),0)+IFERROR(SUMIFS(XPLog!$M:$M,XPLog!$B:$B,$A814,XPLog!$J:$J,"Seeding"),0)))</f>
        <v/>
      </c>
      <c r="F814" s="27">
        <f>IF($E814="","",LOOKUP($E814, XPBands!B$2:B$10, XPBands!A$2:A$10))</f>
        <v/>
      </c>
      <c r="G814" s="27">
        <f>IF($E814="","", VLOOKUP($F814, XPBands!A$2:G$10, 4, FALSE) + MIN(VLOOKUP($F814, XPBands!A$2:G$10, 5, FALSE) - VLOOKUP($F814, XPBands!A$2:G$10, 4, FALSE), FLOOR(( $E814 - VLOOKUP($F814, XPBands!A$2:G$10, 2, FALSE) ) / VLOOKUP($F814, XPBands!A$2:G$10, 7, FALSE),1)))</f>
        <v/>
      </c>
      <c r="H814" s="27">
        <f>IF($D814="","",VLOOKUP($D814,RoleTitles!$A:$E,3,FALSE))</f>
        <v/>
      </c>
      <c r="I814" s="27">
        <f>IF($D814="","",IF($C814="Greek",VLOOKUP($D814,RoleTitles!$A:$E,4,FALSE),IF($C814="Aesir",VLOOKUP($D814,RoleTitles!$A:$E,5,FALSE),VLOOKUP($D814,RoleTitles!$A:$E,3,FALSE))))</f>
        <v/>
      </c>
      <c r="J814" s="27">
        <f>IF($D814="","",IF($E814&gt;=VLOOKUP($D814,RoleTitles!$A:$B,2,FALSE),"Yes","No"))</f>
        <v/>
      </c>
      <c r="K814" s="27">
        <f>IF($D814="","",IF($D814="T1","T2",IF($D814="T2","T3",IF($D814="T3","T4",IF($D814="T4","T5",IF($D814="T5","T6",IF($D814="T6","T7",IF($D814="T7","T8",IF($D814="T8","T9","")))))))))</f>
        <v/>
      </c>
      <c r="L814" s="28">
        <f>IF($K814="","",MAX(0,VLOOKUP($K814,RoleTitles!$A:$B,2,FALSE)-$E814))</f>
        <v/>
      </c>
    </row>
    <row r="815">
      <c r="A815" s="24">
        <f>IFERROR(INDEX(CoachRoster!$A$2:$A$1000,ROW()-1),"")</f>
        <v/>
      </c>
      <c r="B815" s="27">
        <f>IF($A815="","",VLOOKUP($A815,CoachRoster!$A:$E,2,FALSE))</f>
        <v/>
      </c>
      <c r="C815" s="27">
        <f>IF($A815="","",VLOOKUP($A815,CoachRoster!$A:$E,3,FALSE))</f>
        <v/>
      </c>
      <c r="D815" s="27">
        <f>IF($A815="","",VLOOKUP($A815,CoachRoster!$A:$E,4,FALSE))</f>
        <v/>
      </c>
      <c r="E815" s="27">
        <f>IF($A815="","",MIN(Settings!$B$8,IFERROR(SUMIF(Weekly_Coaching!$B:$B,$A815,Weekly_Coaching!$D:$D),0)+IFERROR(SUMIF(Monthly_Edu!$B:$B,$A815,Monthly_Edu!$D:$D),0)+IFERROR(SUMIF(Monthly_Ops!$B:$B,$A815,Monthly_Ops!$D:$D),0)+IFERROR(SUMIF(Monthly_Mentor!$B:$B,$A815,Monthly_Mentor!$D:$D),0)+IFERROR(SUMIF(Quarterly_Impact!$B:$B,$A815,Quarterly_Impact!$D:$D),0)+IFERROR(SUMIFS(XPLog!$M:$M,XPLog!$B:$B,$A815,XPLog!$J:$J,"Admin"),0)+IFERROR(SUMIFS(XPLog!$M:$M,XPLog!$B:$B,$A815,XPLog!$J:$J,"Seeding"),0)))</f>
        <v/>
      </c>
      <c r="F815" s="27">
        <f>IF($E815="","",LOOKUP($E815, XPBands!B$2:B$10, XPBands!A$2:A$10))</f>
        <v/>
      </c>
      <c r="G815" s="27">
        <f>IF($E815="","", VLOOKUP($F815, XPBands!A$2:G$10, 4, FALSE) + MIN(VLOOKUP($F815, XPBands!A$2:G$10, 5, FALSE) - VLOOKUP($F815, XPBands!A$2:G$10, 4, FALSE), FLOOR(( $E815 - VLOOKUP($F815, XPBands!A$2:G$10, 2, FALSE) ) / VLOOKUP($F815, XPBands!A$2:G$10, 7, FALSE),1)))</f>
        <v/>
      </c>
      <c r="H815" s="27">
        <f>IF($D815="","",VLOOKUP($D815,RoleTitles!$A:$E,3,FALSE))</f>
        <v/>
      </c>
      <c r="I815" s="27">
        <f>IF($D815="","",IF($C815="Greek",VLOOKUP($D815,RoleTitles!$A:$E,4,FALSE),IF($C815="Aesir",VLOOKUP($D815,RoleTitles!$A:$E,5,FALSE),VLOOKUP($D815,RoleTitles!$A:$E,3,FALSE))))</f>
        <v/>
      </c>
      <c r="J815" s="27">
        <f>IF($D815="","",IF($E815&gt;=VLOOKUP($D815,RoleTitles!$A:$B,2,FALSE),"Yes","No"))</f>
        <v/>
      </c>
      <c r="K815" s="27">
        <f>IF($D815="","",IF($D815="T1","T2",IF($D815="T2","T3",IF($D815="T3","T4",IF($D815="T4","T5",IF($D815="T5","T6",IF($D815="T6","T7",IF($D815="T7","T8",IF($D815="T8","T9","")))))))))</f>
        <v/>
      </c>
      <c r="L815" s="28">
        <f>IF($K815="","",MAX(0,VLOOKUP($K815,RoleTitles!$A:$B,2,FALSE)-$E815))</f>
        <v/>
      </c>
    </row>
    <row r="816">
      <c r="A816" s="24">
        <f>IFERROR(INDEX(CoachRoster!$A$2:$A$1000,ROW()-1),"")</f>
        <v/>
      </c>
      <c r="B816" s="27">
        <f>IF($A816="","",VLOOKUP($A816,CoachRoster!$A:$E,2,FALSE))</f>
        <v/>
      </c>
      <c r="C816" s="27">
        <f>IF($A816="","",VLOOKUP($A816,CoachRoster!$A:$E,3,FALSE))</f>
        <v/>
      </c>
      <c r="D816" s="27">
        <f>IF($A816="","",VLOOKUP($A816,CoachRoster!$A:$E,4,FALSE))</f>
        <v/>
      </c>
      <c r="E816" s="27">
        <f>IF($A816="","",MIN(Settings!$B$8,IFERROR(SUMIF(Weekly_Coaching!$B:$B,$A816,Weekly_Coaching!$D:$D),0)+IFERROR(SUMIF(Monthly_Edu!$B:$B,$A816,Monthly_Edu!$D:$D),0)+IFERROR(SUMIF(Monthly_Ops!$B:$B,$A816,Monthly_Ops!$D:$D),0)+IFERROR(SUMIF(Monthly_Mentor!$B:$B,$A816,Monthly_Mentor!$D:$D),0)+IFERROR(SUMIF(Quarterly_Impact!$B:$B,$A816,Quarterly_Impact!$D:$D),0)+IFERROR(SUMIFS(XPLog!$M:$M,XPLog!$B:$B,$A816,XPLog!$J:$J,"Admin"),0)+IFERROR(SUMIFS(XPLog!$M:$M,XPLog!$B:$B,$A816,XPLog!$J:$J,"Seeding"),0)))</f>
        <v/>
      </c>
      <c r="F816" s="27">
        <f>IF($E816="","",LOOKUP($E816, XPBands!B$2:B$10, XPBands!A$2:A$10))</f>
        <v/>
      </c>
      <c r="G816" s="27">
        <f>IF($E816="","", VLOOKUP($F816, XPBands!A$2:G$10, 4, FALSE) + MIN(VLOOKUP($F816, XPBands!A$2:G$10, 5, FALSE) - VLOOKUP($F816, XPBands!A$2:G$10, 4, FALSE), FLOOR(( $E816 - VLOOKUP($F816, XPBands!A$2:G$10, 2, FALSE) ) / VLOOKUP($F816, XPBands!A$2:G$10, 7, FALSE),1)))</f>
        <v/>
      </c>
      <c r="H816" s="27">
        <f>IF($D816="","",VLOOKUP($D816,RoleTitles!$A:$E,3,FALSE))</f>
        <v/>
      </c>
      <c r="I816" s="27">
        <f>IF($D816="","",IF($C816="Greek",VLOOKUP($D816,RoleTitles!$A:$E,4,FALSE),IF($C816="Aesir",VLOOKUP($D816,RoleTitles!$A:$E,5,FALSE),VLOOKUP($D816,RoleTitles!$A:$E,3,FALSE))))</f>
        <v/>
      </c>
      <c r="J816" s="27">
        <f>IF($D816="","",IF($E816&gt;=VLOOKUP($D816,RoleTitles!$A:$B,2,FALSE),"Yes","No"))</f>
        <v/>
      </c>
      <c r="K816" s="27">
        <f>IF($D816="","",IF($D816="T1","T2",IF($D816="T2","T3",IF($D816="T3","T4",IF($D816="T4","T5",IF($D816="T5","T6",IF($D816="T6","T7",IF($D816="T7","T8",IF($D816="T8","T9","")))))))))</f>
        <v/>
      </c>
      <c r="L816" s="28">
        <f>IF($K816="","",MAX(0,VLOOKUP($K816,RoleTitles!$A:$B,2,FALSE)-$E816))</f>
        <v/>
      </c>
    </row>
    <row r="817">
      <c r="A817" s="24">
        <f>IFERROR(INDEX(CoachRoster!$A$2:$A$1000,ROW()-1),"")</f>
        <v/>
      </c>
      <c r="B817" s="27">
        <f>IF($A817="","",VLOOKUP($A817,CoachRoster!$A:$E,2,FALSE))</f>
        <v/>
      </c>
      <c r="C817" s="27">
        <f>IF($A817="","",VLOOKUP($A817,CoachRoster!$A:$E,3,FALSE))</f>
        <v/>
      </c>
      <c r="D817" s="27">
        <f>IF($A817="","",VLOOKUP($A817,CoachRoster!$A:$E,4,FALSE))</f>
        <v/>
      </c>
      <c r="E817" s="27">
        <f>IF($A817="","",MIN(Settings!$B$8,IFERROR(SUMIF(Weekly_Coaching!$B:$B,$A817,Weekly_Coaching!$D:$D),0)+IFERROR(SUMIF(Monthly_Edu!$B:$B,$A817,Monthly_Edu!$D:$D),0)+IFERROR(SUMIF(Monthly_Ops!$B:$B,$A817,Monthly_Ops!$D:$D),0)+IFERROR(SUMIF(Monthly_Mentor!$B:$B,$A817,Monthly_Mentor!$D:$D),0)+IFERROR(SUMIF(Quarterly_Impact!$B:$B,$A817,Quarterly_Impact!$D:$D),0)+IFERROR(SUMIFS(XPLog!$M:$M,XPLog!$B:$B,$A817,XPLog!$J:$J,"Admin"),0)+IFERROR(SUMIFS(XPLog!$M:$M,XPLog!$B:$B,$A817,XPLog!$J:$J,"Seeding"),0)))</f>
        <v/>
      </c>
      <c r="F817" s="27">
        <f>IF($E817="","",LOOKUP($E817, XPBands!B$2:B$10, XPBands!A$2:A$10))</f>
        <v/>
      </c>
      <c r="G817" s="27">
        <f>IF($E817="","", VLOOKUP($F817, XPBands!A$2:G$10, 4, FALSE) + MIN(VLOOKUP($F817, XPBands!A$2:G$10, 5, FALSE) - VLOOKUP($F817, XPBands!A$2:G$10, 4, FALSE), FLOOR(( $E817 - VLOOKUP($F817, XPBands!A$2:G$10, 2, FALSE) ) / VLOOKUP($F817, XPBands!A$2:G$10, 7, FALSE),1)))</f>
        <v/>
      </c>
      <c r="H817" s="27">
        <f>IF($D817="","",VLOOKUP($D817,RoleTitles!$A:$E,3,FALSE))</f>
        <v/>
      </c>
      <c r="I817" s="27">
        <f>IF($D817="","",IF($C817="Greek",VLOOKUP($D817,RoleTitles!$A:$E,4,FALSE),IF($C817="Aesir",VLOOKUP($D817,RoleTitles!$A:$E,5,FALSE),VLOOKUP($D817,RoleTitles!$A:$E,3,FALSE))))</f>
        <v/>
      </c>
      <c r="J817" s="27">
        <f>IF($D817="","",IF($E817&gt;=VLOOKUP($D817,RoleTitles!$A:$B,2,FALSE),"Yes","No"))</f>
        <v/>
      </c>
      <c r="K817" s="27">
        <f>IF($D817="","",IF($D817="T1","T2",IF($D817="T2","T3",IF($D817="T3","T4",IF($D817="T4","T5",IF($D817="T5","T6",IF($D817="T6","T7",IF($D817="T7","T8",IF($D817="T8","T9","")))))))))</f>
        <v/>
      </c>
      <c r="L817" s="28">
        <f>IF($K817="","",MAX(0,VLOOKUP($K817,RoleTitles!$A:$B,2,FALSE)-$E817))</f>
        <v/>
      </c>
    </row>
    <row r="818">
      <c r="A818" s="24">
        <f>IFERROR(INDEX(CoachRoster!$A$2:$A$1000,ROW()-1),"")</f>
        <v/>
      </c>
      <c r="B818" s="27">
        <f>IF($A818="","",VLOOKUP($A818,CoachRoster!$A:$E,2,FALSE))</f>
        <v/>
      </c>
      <c r="C818" s="27">
        <f>IF($A818="","",VLOOKUP($A818,CoachRoster!$A:$E,3,FALSE))</f>
        <v/>
      </c>
      <c r="D818" s="27">
        <f>IF($A818="","",VLOOKUP($A818,CoachRoster!$A:$E,4,FALSE))</f>
        <v/>
      </c>
      <c r="E818" s="27">
        <f>IF($A818="","",MIN(Settings!$B$8,IFERROR(SUMIF(Weekly_Coaching!$B:$B,$A818,Weekly_Coaching!$D:$D),0)+IFERROR(SUMIF(Monthly_Edu!$B:$B,$A818,Monthly_Edu!$D:$D),0)+IFERROR(SUMIF(Monthly_Ops!$B:$B,$A818,Monthly_Ops!$D:$D),0)+IFERROR(SUMIF(Monthly_Mentor!$B:$B,$A818,Monthly_Mentor!$D:$D),0)+IFERROR(SUMIF(Quarterly_Impact!$B:$B,$A818,Quarterly_Impact!$D:$D),0)+IFERROR(SUMIFS(XPLog!$M:$M,XPLog!$B:$B,$A818,XPLog!$J:$J,"Admin"),0)+IFERROR(SUMIFS(XPLog!$M:$M,XPLog!$B:$B,$A818,XPLog!$J:$J,"Seeding"),0)))</f>
        <v/>
      </c>
      <c r="F818" s="27">
        <f>IF($E818="","",LOOKUP($E818, XPBands!B$2:B$10, XPBands!A$2:A$10))</f>
        <v/>
      </c>
      <c r="G818" s="27">
        <f>IF($E818="","", VLOOKUP($F818, XPBands!A$2:G$10, 4, FALSE) + MIN(VLOOKUP($F818, XPBands!A$2:G$10, 5, FALSE) - VLOOKUP($F818, XPBands!A$2:G$10, 4, FALSE), FLOOR(( $E818 - VLOOKUP($F818, XPBands!A$2:G$10, 2, FALSE) ) / VLOOKUP($F818, XPBands!A$2:G$10, 7, FALSE),1)))</f>
        <v/>
      </c>
      <c r="H818" s="27">
        <f>IF($D818="","",VLOOKUP($D818,RoleTitles!$A:$E,3,FALSE))</f>
        <v/>
      </c>
      <c r="I818" s="27">
        <f>IF($D818="","",IF($C818="Greek",VLOOKUP($D818,RoleTitles!$A:$E,4,FALSE),IF($C818="Aesir",VLOOKUP($D818,RoleTitles!$A:$E,5,FALSE),VLOOKUP($D818,RoleTitles!$A:$E,3,FALSE))))</f>
        <v/>
      </c>
      <c r="J818" s="27">
        <f>IF($D818="","",IF($E818&gt;=VLOOKUP($D818,RoleTitles!$A:$B,2,FALSE),"Yes","No"))</f>
        <v/>
      </c>
      <c r="K818" s="27">
        <f>IF($D818="","",IF($D818="T1","T2",IF($D818="T2","T3",IF($D818="T3","T4",IF($D818="T4","T5",IF($D818="T5","T6",IF($D818="T6","T7",IF($D818="T7","T8",IF($D818="T8","T9","")))))))))</f>
        <v/>
      </c>
      <c r="L818" s="28">
        <f>IF($K818="","",MAX(0,VLOOKUP($K818,RoleTitles!$A:$B,2,FALSE)-$E818))</f>
        <v/>
      </c>
    </row>
    <row r="819">
      <c r="A819" s="24">
        <f>IFERROR(INDEX(CoachRoster!$A$2:$A$1000,ROW()-1),"")</f>
        <v/>
      </c>
      <c r="B819" s="27">
        <f>IF($A819="","",VLOOKUP($A819,CoachRoster!$A:$E,2,FALSE))</f>
        <v/>
      </c>
      <c r="C819" s="27">
        <f>IF($A819="","",VLOOKUP($A819,CoachRoster!$A:$E,3,FALSE))</f>
        <v/>
      </c>
      <c r="D819" s="27">
        <f>IF($A819="","",VLOOKUP($A819,CoachRoster!$A:$E,4,FALSE))</f>
        <v/>
      </c>
      <c r="E819" s="27">
        <f>IF($A819="","",MIN(Settings!$B$8,IFERROR(SUMIF(Weekly_Coaching!$B:$B,$A819,Weekly_Coaching!$D:$D),0)+IFERROR(SUMIF(Monthly_Edu!$B:$B,$A819,Monthly_Edu!$D:$D),0)+IFERROR(SUMIF(Monthly_Ops!$B:$B,$A819,Monthly_Ops!$D:$D),0)+IFERROR(SUMIF(Monthly_Mentor!$B:$B,$A819,Monthly_Mentor!$D:$D),0)+IFERROR(SUMIF(Quarterly_Impact!$B:$B,$A819,Quarterly_Impact!$D:$D),0)+IFERROR(SUMIFS(XPLog!$M:$M,XPLog!$B:$B,$A819,XPLog!$J:$J,"Admin"),0)+IFERROR(SUMIFS(XPLog!$M:$M,XPLog!$B:$B,$A819,XPLog!$J:$J,"Seeding"),0)))</f>
        <v/>
      </c>
      <c r="F819" s="27">
        <f>IF($E819="","",LOOKUP($E819, XPBands!B$2:B$10, XPBands!A$2:A$10))</f>
        <v/>
      </c>
      <c r="G819" s="27">
        <f>IF($E819="","", VLOOKUP($F819, XPBands!A$2:G$10, 4, FALSE) + MIN(VLOOKUP($F819, XPBands!A$2:G$10, 5, FALSE) - VLOOKUP($F819, XPBands!A$2:G$10, 4, FALSE), FLOOR(( $E819 - VLOOKUP($F819, XPBands!A$2:G$10, 2, FALSE) ) / VLOOKUP($F819, XPBands!A$2:G$10, 7, FALSE),1)))</f>
        <v/>
      </c>
      <c r="H819" s="27">
        <f>IF($D819="","",VLOOKUP($D819,RoleTitles!$A:$E,3,FALSE))</f>
        <v/>
      </c>
      <c r="I819" s="27">
        <f>IF($D819="","",IF($C819="Greek",VLOOKUP($D819,RoleTitles!$A:$E,4,FALSE),IF($C819="Aesir",VLOOKUP($D819,RoleTitles!$A:$E,5,FALSE),VLOOKUP($D819,RoleTitles!$A:$E,3,FALSE))))</f>
        <v/>
      </c>
      <c r="J819" s="27">
        <f>IF($D819="","",IF($E819&gt;=VLOOKUP($D819,RoleTitles!$A:$B,2,FALSE),"Yes","No"))</f>
        <v/>
      </c>
      <c r="K819" s="27">
        <f>IF($D819="","",IF($D819="T1","T2",IF($D819="T2","T3",IF($D819="T3","T4",IF($D819="T4","T5",IF($D819="T5","T6",IF($D819="T6","T7",IF($D819="T7","T8",IF($D819="T8","T9","")))))))))</f>
        <v/>
      </c>
      <c r="L819" s="28">
        <f>IF($K819="","",MAX(0,VLOOKUP($K819,RoleTitles!$A:$B,2,FALSE)-$E819))</f>
        <v/>
      </c>
    </row>
    <row r="820">
      <c r="A820" s="24">
        <f>IFERROR(INDEX(CoachRoster!$A$2:$A$1000,ROW()-1),"")</f>
        <v/>
      </c>
      <c r="B820" s="27">
        <f>IF($A820="","",VLOOKUP($A820,CoachRoster!$A:$E,2,FALSE))</f>
        <v/>
      </c>
      <c r="C820" s="27">
        <f>IF($A820="","",VLOOKUP($A820,CoachRoster!$A:$E,3,FALSE))</f>
        <v/>
      </c>
      <c r="D820" s="27">
        <f>IF($A820="","",VLOOKUP($A820,CoachRoster!$A:$E,4,FALSE))</f>
        <v/>
      </c>
      <c r="E820" s="27">
        <f>IF($A820="","",MIN(Settings!$B$8,IFERROR(SUMIF(Weekly_Coaching!$B:$B,$A820,Weekly_Coaching!$D:$D),0)+IFERROR(SUMIF(Monthly_Edu!$B:$B,$A820,Monthly_Edu!$D:$D),0)+IFERROR(SUMIF(Monthly_Ops!$B:$B,$A820,Monthly_Ops!$D:$D),0)+IFERROR(SUMIF(Monthly_Mentor!$B:$B,$A820,Monthly_Mentor!$D:$D),0)+IFERROR(SUMIF(Quarterly_Impact!$B:$B,$A820,Quarterly_Impact!$D:$D),0)+IFERROR(SUMIFS(XPLog!$M:$M,XPLog!$B:$B,$A820,XPLog!$J:$J,"Admin"),0)+IFERROR(SUMIFS(XPLog!$M:$M,XPLog!$B:$B,$A820,XPLog!$J:$J,"Seeding"),0)))</f>
        <v/>
      </c>
      <c r="F820" s="27">
        <f>IF($E820="","",LOOKUP($E820, XPBands!B$2:B$10, XPBands!A$2:A$10))</f>
        <v/>
      </c>
      <c r="G820" s="27">
        <f>IF($E820="","", VLOOKUP($F820, XPBands!A$2:G$10, 4, FALSE) + MIN(VLOOKUP($F820, XPBands!A$2:G$10, 5, FALSE) - VLOOKUP($F820, XPBands!A$2:G$10, 4, FALSE), FLOOR(( $E820 - VLOOKUP($F820, XPBands!A$2:G$10, 2, FALSE) ) / VLOOKUP($F820, XPBands!A$2:G$10, 7, FALSE),1)))</f>
        <v/>
      </c>
      <c r="H820" s="27">
        <f>IF($D820="","",VLOOKUP($D820,RoleTitles!$A:$E,3,FALSE))</f>
        <v/>
      </c>
      <c r="I820" s="27">
        <f>IF($D820="","",IF($C820="Greek",VLOOKUP($D820,RoleTitles!$A:$E,4,FALSE),IF($C820="Aesir",VLOOKUP($D820,RoleTitles!$A:$E,5,FALSE),VLOOKUP($D820,RoleTitles!$A:$E,3,FALSE))))</f>
        <v/>
      </c>
      <c r="J820" s="27">
        <f>IF($D820="","",IF($E820&gt;=VLOOKUP($D820,RoleTitles!$A:$B,2,FALSE),"Yes","No"))</f>
        <v/>
      </c>
      <c r="K820" s="27">
        <f>IF($D820="","",IF($D820="T1","T2",IF($D820="T2","T3",IF($D820="T3","T4",IF($D820="T4","T5",IF($D820="T5","T6",IF($D820="T6","T7",IF($D820="T7","T8",IF($D820="T8","T9","")))))))))</f>
        <v/>
      </c>
      <c r="L820" s="28">
        <f>IF($K820="","",MAX(0,VLOOKUP($K820,RoleTitles!$A:$B,2,FALSE)-$E820))</f>
        <v/>
      </c>
    </row>
    <row r="821">
      <c r="A821" s="24">
        <f>IFERROR(INDEX(CoachRoster!$A$2:$A$1000,ROW()-1),"")</f>
        <v/>
      </c>
      <c r="B821" s="27">
        <f>IF($A821="","",VLOOKUP($A821,CoachRoster!$A:$E,2,FALSE))</f>
        <v/>
      </c>
      <c r="C821" s="27">
        <f>IF($A821="","",VLOOKUP($A821,CoachRoster!$A:$E,3,FALSE))</f>
        <v/>
      </c>
      <c r="D821" s="27">
        <f>IF($A821="","",VLOOKUP($A821,CoachRoster!$A:$E,4,FALSE))</f>
        <v/>
      </c>
      <c r="E821" s="27">
        <f>IF($A821="","",MIN(Settings!$B$8,IFERROR(SUMIF(Weekly_Coaching!$B:$B,$A821,Weekly_Coaching!$D:$D),0)+IFERROR(SUMIF(Monthly_Edu!$B:$B,$A821,Monthly_Edu!$D:$D),0)+IFERROR(SUMIF(Monthly_Ops!$B:$B,$A821,Monthly_Ops!$D:$D),0)+IFERROR(SUMIF(Monthly_Mentor!$B:$B,$A821,Monthly_Mentor!$D:$D),0)+IFERROR(SUMIF(Quarterly_Impact!$B:$B,$A821,Quarterly_Impact!$D:$D),0)+IFERROR(SUMIFS(XPLog!$M:$M,XPLog!$B:$B,$A821,XPLog!$J:$J,"Admin"),0)+IFERROR(SUMIFS(XPLog!$M:$M,XPLog!$B:$B,$A821,XPLog!$J:$J,"Seeding"),0)))</f>
        <v/>
      </c>
      <c r="F821" s="27">
        <f>IF($E821="","",LOOKUP($E821, XPBands!B$2:B$10, XPBands!A$2:A$10))</f>
        <v/>
      </c>
      <c r="G821" s="27">
        <f>IF($E821="","", VLOOKUP($F821, XPBands!A$2:G$10, 4, FALSE) + MIN(VLOOKUP($F821, XPBands!A$2:G$10, 5, FALSE) - VLOOKUP($F821, XPBands!A$2:G$10, 4, FALSE), FLOOR(( $E821 - VLOOKUP($F821, XPBands!A$2:G$10, 2, FALSE) ) / VLOOKUP($F821, XPBands!A$2:G$10, 7, FALSE),1)))</f>
        <v/>
      </c>
      <c r="H821" s="27">
        <f>IF($D821="","",VLOOKUP($D821,RoleTitles!$A:$E,3,FALSE))</f>
        <v/>
      </c>
      <c r="I821" s="27">
        <f>IF($D821="","",IF($C821="Greek",VLOOKUP($D821,RoleTitles!$A:$E,4,FALSE),IF($C821="Aesir",VLOOKUP($D821,RoleTitles!$A:$E,5,FALSE),VLOOKUP($D821,RoleTitles!$A:$E,3,FALSE))))</f>
        <v/>
      </c>
      <c r="J821" s="27">
        <f>IF($D821="","",IF($E821&gt;=VLOOKUP($D821,RoleTitles!$A:$B,2,FALSE),"Yes","No"))</f>
        <v/>
      </c>
      <c r="K821" s="27">
        <f>IF($D821="","",IF($D821="T1","T2",IF($D821="T2","T3",IF($D821="T3","T4",IF($D821="T4","T5",IF($D821="T5","T6",IF($D821="T6","T7",IF($D821="T7","T8",IF($D821="T8","T9","")))))))))</f>
        <v/>
      </c>
      <c r="L821" s="28">
        <f>IF($K821="","",MAX(0,VLOOKUP($K821,RoleTitles!$A:$B,2,FALSE)-$E821))</f>
        <v/>
      </c>
    </row>
    <row r="822">
      <c r="A822" s="24">
        <f>IFERROR(INDEX(CoachRoster!$A$2:$A$1000,ROW()-1),"")</f>
        <v/>
      </c>
      <c r="B822" s="27">
        <f>IF($A822="","",VLOOKUP($A822,CoachRoster!$A:$E,2,FALSE))</f>
        <v/>
      </c>
      <c r="C822" s="27">
        <f>IF($A822="","",VLOOKUP($A822,CoachRoster!$A:$E,3,FALSE))</f>
        <v/>
      </c>
      <c r="D822" s="27">
        <f>IF($A822="","",VLOOKUP($A822,CoachRoster!$A:$E,4,FALSE))</f>
        <v/>
      </c>
      <c r="E822" s="27">
        <f>IF($A822="","",MIN(Settings!$B$8,IFERROR(SUMIF(Weekly_Coaching!$B:$B,$A822,Weekly_Coaching!$D:$D),0)+IFERROR(SUMIF(Monthly_Edu!$B:$B,$A822,Monthly_Edu!$D:$D),0)+IFERROR(SUMIF(Monthly_Ops!$B:$B,$A822,Monthly_Ops!$D:$D),0)+IFERROR(SUMIF(Monthly_Mentor!$B:$B,$A822,Monthly_Mentor!$D:$D),0)+IFERROR(SUMIF(Quarterly_Impact!$B:$B,$A822,Quarterly_Impact!$D:$D),0)+IFERROR(SUMIFS(XPLog!$M:$M,XPLog!$B:$B,$A822,XPLog!$J:$J,"Admin"),0)+IFERROR(SUMIFS(XPLog!$M:$M,XPLog!$B:$B,$A822,XPLog!$J:$J,"Seeding"),0)))</f>
        <v/>
      </c>
      <c r="F822" s="27">
        <f>IF($E822="","",LOOKUP($E822, XPBands!B$2:B$10, XPBands!A$2:A$10))</f>
        <v/>
      </c>
      <c r="G822" s="27">
        <f>IF($E822="","", VLOOKUP($F822, XPBands!A$2:G$10, 4, FALSE) + MIN(VLOOKUP($F822, XPBands!A$2:G$10, 5, FALSE) - VLOOKUP($F822, XPBands!A$2:G$10, 4, FALSE), FLOOR(( $E822 - VLOOKUP($F822, XPBands!A$2:G$10, 2, FALSE) ) / VLOOKUP($F822, XPBands!A$2:G$10, 7, FALSE),1)))</f>
        <v/>
      </c>
      <c r="H822" s="27">
        <f>IF($D822="","",VLOOKUP($D822,RoleTitles!$A:$E,3,FALSE))</f>
        <v/>
      </c>
      <c r="I822" s="27">
        <f>IF($D822="","",IF($C822="Greek",VLOOKUP($D822,RoleTitles!$A:$E,4,FALSE),IF($C822="Aesir",VLOOKUP($D822,RoleTitles!$A:$E,5,FALSE),VLOOKUP($D822,RoleTitles!$A:$E,3,FALSE))))</f>
        <v/>
      </c>
      <c r="J822" s="27">
        <f>IF($D822="","",IF($E822&gt;=VLOOKUP($D822,RoleTitles!$A:$B,2,FALSE),"Yes","No"))</f>
        <v/>
      </c>
      <c r="K822" s="27">
        <f>IF($D822="","",IF($D822="T1","T2",IF($D822="T2","T3",IF($D822="T3","T4",IF($D822="T4","T5",IF($D822="T5","T6",IF($D822="T6","T7",IF($D822="T7","T8",IF($D822="T8","T9","")))))))))</f>
        <v/>
      </c>
      <c r="L822" s="28">
        <f>IF($K822="","",MAX(0,VLOOKUP($K822,RoleTitles!$A:$B,2,FALSE)-$E822))</f>
        <v/>
      </c>
    </row>
    <row r="823">
      <c r="A823" s="24">
        <f>IFERROR(INDEX(CoachRoster!$A$2:$A$1000,ROW()-1),"")</f>
        <v/>
      </c>
      <c r="B823" s="27">
        <f>IF($A823="","",VLOOKUP($A823,CoachRoster!$A:$E,2,FALSE))</f>
        <v/>
      </c>
      <c r="C823" s="27">
        <f>IF($A823="","",VLOOKUP($A823,CoachRoster!$A:$E,3,FALSE))</f>
        <v/>
      </c>
      <c r="D823" s="27">
        <f>IF($A823="","",VLOOKUP($A823,CoachRoster!$A:$E,4,FALSE))</f>
        <v/>
      </c>
      <c r="E823" s="27">
        <f>IF($A823="","",MIN(Settings!$B$8,IFERROR(SUMIF(Weekly_Coaching!$B:$B,$A823,Weekly_Coaching!$D:$D),0)+IFERROR(SUMIF(Monthly_Edu!$B:$B,$A823,Monthly_Edu!$D:$D),0)+IFERROR(SUMIF(Monthly_Ops!$B:$B,$A823,Monthly_Ops!$D:$D),0)+IFERROR(SUMIF(Monthly_Mentor!$B:$B,$A823,Monthly_Mentor!$D:$D),0)+IFERROR(SUMIF(Quarterly_Impact!$B:$B,$A823,Quarterly_Impact!$D:$D),0)+IFERROR(SUMIFS(XPLog!$M:$M,XPLog!$B:$B,$A823,XPLog!$J:$J,"Admin"),0)+IFERROR(SUMIFS(XPLog!$M:$M,XPLog!$B:$B,$A823,XPLog!$J:$J,"Seeding"),0)))</f>
        <v/>
      </c>
      <c r="F823" s="27">
        <f>IF($E823="","",LOOKUP($E823, XPBands!B$2:B$10, XPBands!A$2:A$10))</f>
        <v/>
      </c>
      <c r="G823" s="27">
        <f>IF($E823="","", VLOOKUP($F823, XPBands!A$2:G$10, 4, FALSE) + MIN(VLOOKUP($F823, XPBands!A$2:G$10, 5, FALSE) - VLOOKUP($F823, XPBands!A$2:G$10, 4, FALSE), FLOOR(( $E823 - VLOOKUP($F823, XPBands!A$2:G$10, 2, FALSE) ) / VLOOKUP($F823, XPBands!A$2:G$10, 7, FALSE),1)))</f>
        <v/>
      </c>
      <c r="H823" s="27">
        <f>IF($D823="","",VLOOKUP($D823,RoleTitles!$A:$E,3,FALSE))</f>
        <v/>
      </c>
      <c r="I823" s="27">
        <f>IF($D823="","",IF($C823="Greek",VLOOKUP($D823,RoleTitles!$A:$E,4,FALSE),IF($C823="Aesir",VLOOKUP($D823,RoleTitles!$A:$E,5,FALSE),VLOOKUP($D823,RoleTitles!$A:$E,3,FALSE))))</f>
        <v/>
      </c>
      <c r="J823" s="27">
        <f>IF($D823="","",IF($E823&gt;=VLOOKUP($D823,RoleTitles!$A:$B,2,FALSE),"Yes","No"))</f>
        <v/>
      </c>
      <c r="K823" s="27">
        <f>IF($D823="","",IF($D823="T1","T2",IF($D823="T2","T3",IF($D823="T3","T4",IF($D823="T4","T5",IF($D823="T5","T6",IF($D823="T6","T7",IF($D823="T7","T8",IF($D823="T8","T9","")))))))))</f>
        <v/>
      </c>
      <c r="L823" s="28">
        <f>IF($K823="","",MAX(0,VLOOKUP($K823,RoleTitles!$A:$B,2,FALSE)-$E823))</f>
        <v/>
      </c>
    </row>
    <row r="824">
      <c r="A824" s="24">
        <f>IFERROR(INDEX(CoachRoster!$A$2:$A$1000,ROW()-1),"")</f>
        <v/>
      </c>
      <c r="B824" s="27">
        <f>IF($A824="","",VLOOKUP($A824,CoachRoster!$A:$E,2,FALSE))</f>
        <v/>
      </c>
      <c r="C824" s="27">
        <f>IF($A824="","",VLOOKUP($A824,CoachRoster!$A:$E,3,FALSE))</f>
        <v/>
      </c>
      <c r="D824" s="27">
        <f>IF($A824="","",VLOOKUP($A824,CoachRoster!$A:$E,4,FALSE))</f>
        <v/>
      </c>
      <c r="E824" s="27">
        <f>IF($A824="","",MIN(Settings!$B$8,IFERROR(SUMIF(Weekly_Coaching!$B:$B,$A824,Weekly_Coaching!$D:$D),0)+IFERROR(SUMIF(Monthly_Edu!$B:$B,$A824,Monthly_Edu!$D:$D),0)+IFERROR(SUMIF(Monthly_Ops!$B:$B,$A824,Monthly_Ops!$D:$D),0)+IFERROR(SUMIF(Monthly_Mentor!$B:$B,$A824,Monthly_Mentor!$D:$D),0)+IFERROR(SUMIF(Quarterly_Impact!$B:$B,$A824,Quarterly_Impact!$D:$D),0)+IFERROR(SUMIFS(XPLog!$M:$M,XPLog!$B:$B,$A824,XPLog!$J:$J,"Admin"),0)+IFERROR(SUMIFS(XPLog!$M:$M,XPLog!$B:$B,$A824,XPLog!$J:$J,"Seeding"),0)))</f>
        <v/>
      </c>
      <c r="F824" s="27">
        <f>IF($E824="","",LOOKUP($E824, XPBands!B$2:B$10, XPBands!A$2:A$10))</f>
        <v/>
      </c>
      <c r="G824" s="27">
        <f>IF($E824="","", VLOOKUP($F824, XPBands!A$2:G$10, 4, FALSE) + MIN(VLOOKUP($F824, XPBands!A$2:G$10, 5, FALSE) - VLOOKUP($F824, XPBands!A$2:G$10, 4, FALSE), FLOOR(( $E824 - VLOOKUP($F824, XPBands!A$2:G$10, 2, FALSE) ) / VLOOKUP($F824, XPBands!A$2:G$10, 7, FALSE),1)))</f>
        <v/>
      </c>
      <c r="H824" s="27">
        <f>IF($D824="","",VLOOKUP($D824,RoleTitles!$A:$E,3,FALSE))</f>
        <v/>
      </c>
      <c r="I824" s="27">
        <f>IF($D824="","",IF($C824="Greek",VLOOKUP($D824,RoleTitles!$A:$E,4,FALSE),IF($C824="Aesir",VLOOKUP($D824,RoleTitles!$A:$E,5,FALSE),VLOOKUP($D824,RoleTitles!$A:$E,3,FALSE))))</f>
        <v/>
      </c>
      <c r="J824" s="27">
        <f>IF($D824="","",IF($E824&gt;=VLOOKUP($D824,RoleTitles!$A:$B,2,FALSE),"Yes","No"))</f>
        <v/>
      </c>
      <c r="K824" s="27">
        <f>IF($D824="","",IF($D824="T1","T2",IF($D824="T2","T3",IF($D824="T3","T4",IF($D824="T4","T5",IF($D824="T5","T6",IF($D824="T6","T7",IF($D824="T7","T8",IF($D824="T8","T9","")))))))))</f>
        <v/>
      </c>
      <c r="L824" s="28">
        <f>IF($K824="","",MAX(0,VLOOKUP($K824,RoleTitles!$A:$B,2,FALSE)-$E824))</f>
        <v/>
      </c>
    </row>
    <row r="825">
      <c r="A825" s="24">
        <f>IFERROR(INDEX(CoachRoster!$A$2:$A$1000,ROW()-1),"")</f>
        <v/>
      </c>
      <c r="B825" s="27">
        <f>IF($A825="","",VLOOKUP($A825,CoachRoster!$A:$E,2,FALSE))</f>
        <v/>
      </c>
      <c r="C825" s="27">
        <f>IF($A825="","",VLOOKUP($A825,CoachRoster!$A:$E,3,FALSE))</f>
        <v/>
      </c>
      <c r="D825" s="27">
        <f>IF($A825="","",VLOOKUP($A825,CoachRoster!$A:$E,4,FALSE))</f>
        <v/>
      </c>
      <c r="E825" s="27">
        <f>IF($A825="","",MIN(Settings!$B$8,IFERROR(SUMIF(Weekly_Coaching!$B:$B,$A825,Weekly_Coaching!$D:$D),0)+IFERROR(SUMIF(Monthly_Edu!$B:$B,$A825,Monthly_Edu!$D:$D),0)+IFERROR(SUMIF(Monthly_Ops!$B:$B,$A825,Monthly_Ops!$D:$D),0)+IFERROR(SUMIF(Monthly_Mentor!$B:$B,$A825,Monthly_Mentor!$D:$D),0)+IFERROR(SUMIF(Quarterly_Impact!$B:$B,$A825,Quarterly_Impact!$D:$D),0)+IFERROR(SUMIFS(XPLog!$M:$M,XPLog!$B:$B,$A825,XPLog!$J:$J,"Admin"),0)+IFERROR(SUMIFS(XPLog!$M:$M,XPLog!$B:$B,$A825,XPLog!$J:$J,"Seeding"),0)))</f>
        <v/>
      </c>
      <c r="F825" s="27">
        <f>IF($E825="","",LOOKUP($E825, XPBands!B$2:B$10, XPBands!A$2:A$10))</f>
        <v/>
      </c>
      <c r="G825" s="27">
        <f>IF($E825="","", VLOOKUP($F825, XPBands!A$2:G$10, 4, FALSE) + MIN(VLOOKUP($F825, XPBands!A$2:G$10, 5, FALSE) - VLOOKUP($F825, XPBands!A$2:G$10, 4, FALSE), FLOOR(( $E825 - VLOOKUP($F825, XPBands!A$2:G$10, 2, FALSE) ) / VLOOKUP($F825, XPBands!A$2:G$10, 7, FALSE),1)))</f>
        <v/>
      </c>
      <c r="H825" s="27">
        <f>IF($D825="","",VLOOKUP($D825,RoleTitles!$A:$E,3,FALSE))</f>
        <v/>
      </c>
      <c r="I825" s="27">
        <f>IF($D825="","",IF($C825="Greek",VLOOKUP($D825,RoleTitles!$A:$E,4,FALSE),IF($C825="Aesir",VLOOKUP($D825,RoleTitles!$A:$E,5,FALSE),VLOOKUP($D825,RoleTitles!$A:$E,3,FALSE))))</f>
        <v/>
      </c>
      <c r="J825" s="27">
        <f>IF($D825="","",IF($E825&gt;=VLOOKUP($D825,RoleTitles!$A:$B,2,FALSE),"Yes","No"))</f>
        <v/>
      </c>
      <c r="K825" s="27">
        <f>IF($D825="","",IF($D825="T1","T2",IF($D825="T2","T3",IF($D825="T3","T4",IF($D825="T4","T5",IF($D825="T5","T6",IF($D825="T6","T7",IF($D825="T7","T8",IF($D825="T8","T9","")))))))))</f>
        <v/>
      </c>
      <c r="L825" s="28">
        <f>IF($K825="","",MAX(0,VLOOKUP($K825,RoleTitles!$A:$B,2,FALSE)-$E825))</f>
        <v/>
      </c>
    </row>
    <row r="826">
      <c r="A826" s="24">
        <f>IFERROR(INDEX(CoachRoster!$A$2:$A$1000,ROW()-1),"")</f>
        <v/>
      </c>
      <c r="B826" s="27">
        <f>IF($A826="","",VLOOKUP($A826,CoachRoster!$A:$E,2,FALSE))</f>
        <v/>
      </c>
      <c r="C826" s="27">
        <f>IF($A826="","",VLOOKUP($A826,CoachRoster!$A:$E,3,FALSE))</f>
        <v/>
      </c>
      <c r="D826" s="27">
        <f>IF($A826="","",VLOOKUP($A826,CoachRoster!$A:$E,4,FALSE))</f>
        <v/>
      </c>
      <c r="E826" s="27">
        <f>IF($A826="","",MIN(Settings!$B$8,IFERROR(SUMIF(Weekly_Coaching!$B:$B,$A826,Weekly_Coaching!$D:$D),0)+IFERROR(SUMIF(Monthly_Edu!$B:$B,$A826,Monthly_Edu!$D:$D),0)+IFERROR(SUMIF(Monthly_Ops!$B:$B,$A826,Monthly_Ops!$D:$D),0)+IFERROR(SUMIF(Monthly_Mentor!$B:$B,$A826,Monthly_Mentor!$D:$D),0)+IFERROR(SUMIF(Quarterly_Impact!$B:$B,$A826,Quarterly_Impact!$D:$D),0)+IFERROR(SUMIFS(XPLog!$M:$M,XPLog!$B:$B,$A826,XPLog!$J:$J,"Admin"),0)+IFERROR(SUMIFS(XPLog!$M:$M,XPLog!$B:$B,$A826,XPLog!$J:$J,"Seeding"),0)))</f>
        <v/>
      </c>
      <c r="F826" s="27">
        <f>IF($E826="","",LOOKUP($E826, XPBands!B$2:B$10, XPBands!A$2:A$10))</f>
        <v/>
      </c>
      <c r="G826" s="27">
        <f>IF($E826="","", VLOOKUP($F826, XPBands!A$2:G$10, 4, FALSE) + MIN(VLOOKUP($F826, XPBands!A$2:G$10, 5, FALSE) - VLOOKUP($F826, XPBands!A$2:G$10, 4, FALSE), FLOOR(( $E826 - VLOOKUP($F826, XPBands!A$2:G$10, 2, FALSE) ) / VLOOKUP($F826, XPBands!A$2:G$10, 7, FALSE),1)))</f>
        <v/>
      </c>
      <c r="H826" s="27">
        <f>IF($D826="","",VLOOKUP($D826,RoleTitles!$A:$E,3,FALSE))</f>
        <v/>
      </c>
      <c r="I826" s="27">
        <f>IF($D826="","",IF($C826="Greek",VLOOKUP($D826,RoleTitles!$A:$E,4,FALSE),IF($C826="Aesir",VLOOKUP($D826,RoleTitles!$A:$E,5,FALSE),VLOOKUP($D826,RoleTitles!$A:$E,3,FALSE))))</f>
        <v/>
      </c>
      <c r="J826" s="27">
        <f>IF($D826="","",IF($E826&gt;=VLOOKUP($D826,RoleTitles!$A:$B,2,FALSE),"Yes","No"))</f>
        <v/>
      </c>
      <c r="K826" s="27">
        <f>IF($D826="","",IF($D826="T1","T2",IF($D826="T2","T3",IF($D826="T3","T4",IF($D826="T4","T5",IF($D826="T5","T6",IF($D826="T6","T7",IF($D826="T7","T8",IF($D826="T8","T9","")))))))))</f>
        <v/>
      </c>
      <c r="L826" s="28">
        <f>IF($K826="","",MAX(0,VLOOKUP($K826,RoleTitles!$A:$B,2,FALSE)-$E826))</f>
        <v/>
      </c>
    </row>
    <row r="827">
      <c r="A827" s="24">
        <f>IFERROR(INDEX(CoachRoster!$A$2:$A$1000,ROW()-1),"")</f>
        <v/>
      </c>
      <c r="B827" s="27">
        <f>IF($A827="","",VLOOKUP($A827,CoachRoster!$A:$E,2,FALSE))</f>
        <v/>
      </c>
      <c r="C827" s="27">
        <f>IF($A827="","",VLOOKUP($A827,CoachRoster!$A:$E,3,FALSE))</f>
        <v/>
      </c>
      <c r="D827" s="27">
        <f>IF($A827="","",VLOOKUP($A827,CoachRoster!$A:$E,4,FALSE))</f>
        <v/>
      </c>
      <c r="E827" s="27">
        <f>IF($A827="","",MIN(Settings!$B$8,IFERROR(SUMIF(Weekly_Coaching!$B:$B,$A827,Weekly_Coaching!$D:$D),0)+IFERROR(SUMIF(Monthly_Edu!$B:$B,$A827,Monthly_Edu!$D:$D),0)+IFERROR(SUMIF(Monthly_Ops!$B:$B,$A827,Monthly_Ops!$D:$D),0)+IFERROR(SUMIF(Monthly_Mentor!$B:$B,$A827,Monthly_Mentor!$D:$D),0)+IFERROR(SUMIF(Quarterly_Impact!$B:$B,$A827,Quarterly_Impact!$D:$D),0)+IFERROR(SUMIFS(XPLog!$M:$M,XPLog!$B:$B,$A827,XPLog!$J:$J,"Admin"),0)+IFERROR(SUMIFS(XPLog!$M:$M,XPLog!$B:$B,$A827,XPLog!$J:$J,"Seeding"),0)))</f>
        <v/>
      </c>
      <c r="F827" s="27">
        <f>IF($E827="","",LOOKUP($E827, XPBands!B$2:B$10, XPBands!A$2:A$10))</f>
        <v/>
      </c>
      <c r="G827" s="27">
        <f>IF($E827="","", VLOOKUP($F827, XPBands!A$2:G$10, 4, FALSE) + MIN(VLOOKUP($F827, XPBands!A$2:G$10, 5, FALSE) - VLOOKUP($F827, XPBands!A$2:G$10, 4, FALSE), FLOOR(( $E827 - VLOOKUP($F827, XPBands!A$2:G$10, 2, FALSE) ) / VLOOKUP($F827, XPBands!A$2:G$10, 7, FALSE),1)))</f>
        <v/>
      </c>
      <c r="H827" s="27">
        <f>IF($D827="","",VLOOKUP($D827,RoleTitles!$A:$E,3,FALSE))</f>
        <v/>
      </c>
      <c r="I827" s="27">
        <f>IF($D827="","",IF($C827="Greek",VLOOKUP($D827,RoleTitles!$A:$E,4,FALSE),IF($C827="Aesir",VLOOKUP($D827,RoleTitles!$A:$E,5,FALSE),VLOOKUP($D827,RoleTitles!$A:$E,3,FALSE))))</f>
        <v/>
      </c>
      <c r="J827" s="27">
        <f>IF($D827="","",IF($E827&gt;=VLOOKUP($D827,RoleTitles!$A:$B,2,FALSE),"Yes","No"))</f>
        <v/>
      </c>
      <c r="K827" s="27">
        <f>IF($D827="","",IF($D827="T1","T2",IF($D827="T2","T3",IF($D827="T3","T4",IF($D827="T4","T5",IF($D827="T5","T6",IF($D827="T6","T7",IF($D827="T7","T8",IF($D827="T8","T9","")))))))))</f>
        <v/>
      </c>
      <c r="L827" s="28">
        <f>IF($K827="","",MAX(0,VLOOKUP($K827,RoleTitles!$A:$B,2,FALSE)-$E827))</f>
        <v/>
      </c>
    </row>
    <row r="828">
      <c r="A828" s="24">
        <f>IFERROR(INDEX(CoachRoster!$A$2:$A$1000,ROW()-1),"")</f>
        <v/>
      </c>
      <c r="B828" s="27">
        <f>IF($A828="","",VLOOKUP($A828,CoachRoster!$A:$E,2,FALSE))</f>
        <v/>
      </c>
      <c r="C828" s="27">
        <f>IF($A828="","",VLOOKUP($A828,CoachRoster!$A:$E,3,FALSE))</f>
        <v/>
      </c>
      <c r="D828" s="27">
        <f>IF($A828="","",VLOOKUP($A828,CoachRoster!$A:$E,4,FALSE))</f>
        <v/>
      </c>
      <c r="E828" s="27">
        <f>IF($A828="","",MIN(Settings!$B$8,IFERROR(SUMIF(Weekly_Coaching!$B:$B,$A828,Weekly_Coaching!$D:$D),0)+IFERROR(SUMIF(Monthly_Edu!$B:$B,$A828,Monthly_Edu!$D:$D),0)+IFERROR(SUMIF(Monthly_Ops!$B:$B,$A828,Monthly_Ops!$D:$D),0)+IFERROR(SUMIF(Monthly_Mentor!$B:$B,$A828,Monthly_Mentor!$D:$D),0)+IFERROR(SUMIF(Quarterly_Impact!$B:$B,$A828,Quarterly_Impact!$D:$D),0)+IFERROR(SUMIFS(XPLog!$M:$M,XPLog!$B:$B,$A828,XPLog!$J:$J,"Admin"),0)+IFERROR(SUMIFS(XPLog!$M:$M,XPLog!$B:$B,$A828,XPLog!$J:$J,"Seeding"),0)))</f>
        <v/>
      </c>
      <c r="F828" s="27">
        <f>IF($E828="","",LOOKUP($E828, XPBands!B$2:B$10, XPBands!A$2:A$10))</f>
        <v/>
      </c>
      <c r="G828" s="27">
        <f>IF($E828="","", VLOOKUP($F828, XPBands!A$2:G$10, 4, FALSE) + MIN(VLOOKUP($F828, XPBands!A$2:G$10, 5, FALSE) - VLOOKUP($F828, XPBands!A$2:G$10, 4, FALSE), FLOOR(( $E828 - VLOOKUP($F828, XPBands!A$2:G$10, 2, FALSE) ) / VLOOKUP($F828, XPBands!A$2:G$10, 7, FALSE),1)))</f>
        <v/>
      </c>
      <c r="H828" s="27">
        <f>IF($D828="","",VLOOKUP($D828,RoleTitles!$A:$E,3,FALSE))</f>
        <v/>
      </c>
      <c r="I828" s="27">
        <f>IF($D828="","",IF($C828="Greek",VLOOKUP($D828,RoleTitles!$A:$E,4,FALSE),IF($C828="Aesir",VLOOKUP($D828,RoleTitles!$A:$E,5,FALSE),VLOOKUP($D828,RoleTitles!$A:$E,3,FALSE))))</f>
        <v/>
      </c>
      <c r="J828" s="27">
        <f>IF($D828="","",IF($E828&gt;=VLOOKUP($D828,RoleTitles!$A:$B,2,FALSE),"Yes","No"))</f>
        <v/>
      </c>
      <c r="K828" s="27">
        <f>IF($D828="","",IF($D828="T1","T2",IF($D828="T2","T3",IF($D828="T3","T4",IF($D828="T4","T5",IF($D828="T5","T6",IF($D828="T6","T7",IF($D828="T7","T8",IF($D828="T8","T9","")))))))))</f>
        <v/>
      </c>
      <c r="L828" s="28">
        <f>IF($K828="","",MAX(0,VLOOKUP($K828,RoleTitles!$A:$B,2,FALSE)-$E828))</f>
        <v/>
      </c>
    </row>
    <row r="829">
      <c r="A829" s="24">
        <f>IFERROR(INDEX(CoachRoster!$A$2:$A$1000,ROW()-1),"")</f>
        <v/>
      </c>
      <c r="B829" s="27">
        <f>IF($A829="","",VLOOKUP($A829,CoachRoster!$A:$E,2,FALSE))</f>
        <v/>
      </c>
      <c r="C829" s="27">
        <f>IF($A829="","",VLOOKUP($A829,CoachRoster!$A:$E,3,FALSE))</f>
        <v/>
      </c>
      <c r="D829" s="27">
        <f>IF($A829="","",VLOOKUP($A829,CoachRoster!$A:$E,4,FALSE))</f>
        <v/>
      </c>
      <c r="E829" s="27">
        <f>IF($A829="","",MIN(Settings!$B$8,IFERROR(SUMIF(Weekly_Coaching!$B:$B,$A829,Weekly_Coaching!$D:$D),0)+IFERROR(SUMIF(Monthly_Edu!$B:$B,$A829,Monthly_Edu!$D:$D),0)+IFERROR(SUMIF(Monthly_Ops!$B:$B,$A829,Monthly_Ops!$D:$D),0)+IFERROR(SUMIF(Monthly_Mentor!$B:$B,$A829,Monthly_Mentor!$D:$D),0)+IFERROR(SUMIF(Quarterly_Impact!$B:$B,$A829,Quarterly_Impact!$D:$D),0)+IFERROR(SUMIFS(XPLog!$M:$M,XPLog!$B:$B,$A829,XPLog!$J:$J,"Admin"),0)+IFERROR(SUMIFS(XPLog!$M:$M,XPLog!$B:$B,$A829,XPLog!$J:$J,"Seeding"),0)))</f>
        <v/>
      </c>
      <c r="F829" s="27">
        <f>IF($E829="","",LOOKUP($E829, XPBands!B$2:B$10, XPBands!A$2:A$10))</f>
        <v/>
      </c>
      <c r="G829" s="27">
        <f>IF($E829="","", VLOOKUP($F829, XPBands!A$2:G$10, 4, FALSE) + MIN(VLOOKUP($F829, XPBands!A$2:G$10, 5, FALSE) - VLOOKUP($F829, XPBands!A$2:G$10, 4, FALSE), FLOOR(( $E829 - VLOOKUP($F829, XPBands!A$2:G$10, 2, FALSE) ) / VLOOKUP($F829, XPBands!A$2:G$10, 7, FALSE),1)))</f>
        <v/>
      </c>
      <c r="H829" s="27">
        <f>IF($D829="","",VLOOKUP($D829,RoleTitles!$A:$E,3,FALSE))</f>
        <v/>
      </c>
      <c r="I829" s="27">
        <f>IF($D829="","",IF($C829="Greek",VLOOKUP($D829,RoleTitles!$A:$E,4,FALSE),IF($C829="Aesir",VLOOKUP($D829,RoleTitles!$A:$E,5,FALSE),VLOOKUP($D829,RoleTitles!$A:$E,3,FALSE))))</f>
        <v/>
      </c>
      <c r="J829" s="27">
        <f>IF($D829="","",IF($E829&gt;=VLOOKUP($D829,RoleTitles!$A:$B,2,FALSE),"Yes","No"))</f>
        <v/>
      </c>
      <c r="K829" s="27">
        <f>IF($D829="","",IF($D829="T1","T2",IF($D829="T2","T3",IF($D829="T3","T4",IF($D829="T4","T5",IF($D829="T5","T6",IF($D829="T6","T7",IF($D829="T7","T8",IF($D829="T8","T9","")))))))))</f>
        <v/>
      </c>
      <c r="L829" s="28">
        <f>IF($K829="","",MAX(0,VLOOKUP($K829,RoleTitles!$A:$B,2,FALSE)-$E829))</f>
        <v/>
      </c>
    </row>
    <row r="830">
      <c r="A830" s="24">
        <f>IFERROR(INDEX(CoachRoster!$A$2:$A$1000,ROW()-1),"")</f>
        <v/>
      </c>
      <c r="B830" s="27">
        <f>IF($A830="","",VLOOKUP($A830,CoachRoster!$A:$E,2,FALSE))</f>
        <v/>
      </c>
      <c r="C830" s="27">
        <f>IF($A830="","",VLOOKUP($A830,CoachRoster!$A:$E,3,FALSE))</f>
        <v/>
      </c>
      <c r="D830" s="27">
        <f>IF($A830="","",VLOOKUP($A830,CoachRoster!$A:$E,4,FALSE))</f>
        <v/>
      </c>
      <c r="E830" s="27">
        <f>IF($A830="","",MIN(Settings!$B$8,IFERROR(SUMIF(Weekly_Coaching!$B:$B,$A830,Weekly_Coaching!$D:$D),0)+IFERROR(SUMIF(Monthly_Edu!$B:$B,$A830,Monthly_Edu!$D:$D),0)+IFERROR(SUMIF(Monthly_Ops!$B:$B,$A830,Monthly_Ops!$D:$D),0)+IFERROR(SUMIF(Monthly_Mentor!$B:$B,$A830,Monthly_Mentor!$D:$D),0)+IFERROR(SUMIF(Quarterly_Impact!$B:$B,$A830,Quarterly_Impact!$D:$D),0)+IFERROR(SUMIFS(XPLog!$M:$M,XPLog!$B:$B,$A830,XPLog!$J:$J,"Admin"),0)+IFERROR(SUMIFS(XPLog!$M:$M,XPLog!$B:$B,$A830,XPLog!$J:$J,"Seeding"),0)))</f>
        <v/>
      </c>
      <c r="F830" s="27">
        <f>IF($E830="","",LOOKUP($E830, XPBands!B$2:B$10, XPBands!A$2:A$10))</f>
        <v/>
      </c>
      <c r="G830" s="27">
        <f>IF($E830="","", VLOOKUP($F830, XPBands!A$2:G$10, 4, FALSE) + MIN(VLOOKUP($F830, XPBands!A$2:G$10, 5, FALSE) - VLOOKUP($F830, XPBands!A$2:G$10, 4, FALSE), FLOOR(( $E830 - VLOOKUP($F830, XPBands!A$2:G$10, 2, FALSE) ) / VLOOKUP($F830, XPBands!A$2:G$10, 7, FALSE),1)))</f>
        <v/>
      </c>
      <c r="H830" s="27">
        <f>IF($D830="","",VLOOKUP($D830,RoleTitles!$A:$E,3,FALSE))</f>
        <v/>
      </c>
      <c r="I830" s="27">
        <f>IF($D830="","",IF($C830="Greek",VLOOKUP($D830,RoleTitles!$A:$E,4,FALSE),IF($C830="Aesir",VLOOKUP($D830,RoleTitles!$A:$E,5,FALSE),VLOOKUP($D830,RoleTitles!$A:$E,3,FALSE))))</f>
        <v/>
      </c>
      <c r="J830" s="27">
        <f>IF($D830="","",IF($E830&gt;=VLOOKUP($D830,RoleTitles!$A:$B,2,FALSE),"Yes","No"))</f>
        <v/>
      </c>
      <c r="K830" s="27">
        <f>IF($D830="","",IF($D830="T1","T2",IF($D830="T2","T3",IF($D830="T3","T4",IF($D830="T4","T5",IF($D830="T5","T6",IF($D830="T6","T7",IF($D830="T7","T8",IF($D830="T8","T9","")))))))))</f>
        <v/>
      </c>
      <c r="L830" s="28">
        <f>IF($K830="","",MAX(0,VLOOKUP($K830,RoleTitles!$A:$B,2,FALSE)-$E830))</f>
        <v/>
      </c>
    </row>
    <row r="831">
      <c r="A831" s="24">
        <f>IFERROR(INDEX(CoachRoster!$A$2:$A$1000,ROW()-1),"")</f>
        <v/>
      </c>
      <c r="B831" s="27">
        <f>IF($A831="","",VLOOKUP($A831,CoachRoster!$A:$E,2,FALSE))</f>
        <v/>
      </c>
      <c r="C831" s="27">
        <f>IF($A831="","",VLOOKUP($A831,CoachRoster!$A:$E,3,FALSE))</f>
        <v/>
      </c>
      <c r="D831" s="27">
        <f>IF($A831="","",VLOOKUP($A831,CoachRoster!$A:$E,4,FALSE))</f>
        <v/>
      </c>
      <c r="E831" s="27">
        <f>IF($A831="","",MIN(Settings!$B$8,IFERROR(SUMIF(Weekly_Coaching!$B:$B,$A831,Weekly_Coaching!$D:$D),0)+IFERROR(SUMIF(Monthly_Edu!$B:$B,$A831,Monthly_Edu!$D:$D),0)+IFERROR(SUMIF(Monthly_Ops!$B:$B,$A831,Monthly_Ops!$D:$D),0)+IFERROR(SUMIF(Monthly_Mentor!$B:$B,$A831,Monthly_Mentor!$D:$D),0)+IFERROR(SUMIF(Quarterly_Impact!$B:$B,$A831,Quarterly_Impact!$D:$D),0)+IFERROR(SUMIFS(XPLog!$M:$M,XPLog!$B:$B,$A831,XPLog!$J:$J,"Admin"),0)+IFERROR(SUMIFS(XPLog!$M:$M,XPLog!$B:$B,$A831,XPLog!$J:$J,"Seeding"),0)))</f>
        <v/>
      </c>
      <c r="F831" s="27">
        <f>IF($E831="","",LOOKUP($E831, XPBands!B$2:B$10, XPBands!A$2:A$10))</f>
        <v/>
      </c>
      <c r="G831" s="27">
        <f>IF($E831="","", VLOOKUP($F831, XPBands!A$2:G$10, 4, FALSE) + MIN(VLOOKUP($F831, XPBands!A$2:G$10, 5, FALSE) - VLOOKUP($F831, XPBands!A$2:G$10, 4, FALSE), FLOOR(( $E831 - VLOOKUP($F831, XPBands!A$2:G$10, 2, FALSE) ) / VLOOKUP($F831, XPBands!A$2:G$10, 7, FALSE),1)))</f>
        <v/>
      </c>
      <c r="H831" s="27">
        <f>IF($D831="","",VLOOKUP($D831,RoleTitles!$A:$E,3,FALSE))</f>
        <v/>
      </c>
      <c r="I831" s="27">
        <f>IF($D831="","",IF($C831="Greek",VLOOKUP($D831,RoleTitles!$A:$E,4,FALSE),IF($C831="Aesir",VLOOKUP($D831,RoleTitles!$A:$E,5,FALSE),VLOOKUP($D831,RoleTitles!$A:$E,3,FALSE))))</f>
        <v/>
      </c>
      <c r="J831" s="27">
        <f>IF($D831="","",IF($E831&gt;=VLOOKUP($D831,RoleTitles!$A:$B,2,FALSE),"Yes","No"))</f>
        <v/>
      </c>
      <c r="K831" s="27">
        <f>IF($D831="","",IF($D831="T1","T2",IF($D831="T2","T3",IF($D831="T3","T4",IF($D831="T4","T5",IF($D831="T5","T6",IF($D831="T6","T7",IF($D831="T7","T8",IF($D831="T8","T9","")))))))))</f>
        <v/>
      </c>
      <c r="L831" s="28">
        <f>IF($K831="","",MAX(0,VLOOKUP($K831,RoleTitles!$A:$B,2,FALSE)-$E831))</f>
        <v/>
      </c>
    </row>
    <row r="832">
      <c r="A832" s="24">
        <f>IFERROR(INDEX(CoachRoster!$A$2:$A$1000,ROW()-1),"")</f>
        <v/>
      </c>
      <c r="B832" s="27">
        <f>IF($A832="","",VLOOKUP($A832,CoachRoster!$A:$E,2,FALSE))</f>
        <v/>
      </c>
      <c r="C832" s="27">
        <f>IF($A832="","",VLOOKUP($A832,CoachRoster!$A:$E,3,FALSE))</f>
        <v/>
      </c>
      <c r="D832" s="27">
        <f>IF($A832="","",VLOOKUP($A832,CoachRoster!$A:$E,4,FALSE))</f>
        <v/>
      </c>
      <c r="E832" s="27">
        <f>IF($A832="","",MIN(Settings!$B$8,IFERROR(SUMIF(Weekly_Coaching!$B:$B,$A832,Weekly_Coaching!$D:$D),0)+IFERROR(SUMIF(Monthly_Edu!$B:$B,$A832,Monthly_Edu!$D:$D),0)+IFERROR(SUMIF(Monthly_Ops!$B:$B,$A832,Monthly_Ops!$D:$D),0)+IFERROR(SUMIF(Monthly_Mentor!$B:$B,$A832,Monthly_Mentor!$D:$D),0)+IFERROR(SUMIF(Quarterly_Impact!$B:$B,$A832,Quarterly_Impact!$D:$D),0)+IFERROR(SUMIFS(XPLog!$M:$M,XPLog!$B:$B,$A832,XPLog!$J:$J,"Admin"),0)+IFERROR(SUMIFS(XPLog!$M:$M,XPLog!$B:$B,$A832,XPLog!$J:$J,"Seeding"),0)))</f>
        <v/>
      </c>
      <c r="F832" s="27">
        <f>IF($E832="","",LOOKUP($E832, XPBands!B$2:B$10, XPBands!A$2:A$10))</f>
        <v/>
      </c>
      <c r="G832" s="27">
        <f>IF($E832="","", VLOOKUP($F832, XPBands!A$2:G$10, 4, FALSE) + MIN(VLOOKUP($F832, XPBands!A$2:G$10, 5, FALSE) - VLOOKUP($F832, XPBands!A$2:G$10, 4, FALSE), FLOOR(( $E832 - VLOOKUP($F832, XPBands!A$2:G$10, 2, FALSE) ) / VLOOKUP($F832, XPBands!A$2:G$10, 7, FALSE),1)))</f>
        <v/>
      </c>
      <c r="H832" s="27">
        <f>IF($D832="","",VLOOKUP($D832,RoleTitles!$A:$E,3,FALSE))</f>
        <v/>
      </c>
      <c r="I832" s="27">
        <f>IF($D832="","",IF($C832="Greek",VLOOKUP($D832,RoleTitles!$A:$E,4,FALSE),IF($C832="Aesir",VLOOKUP($D832,RoleTitles!$A:$E,5,FALSE),VLOOKUP($D832,RoleTitles!$A:$E,3,FALSE))))</f>
        <v/>
      </c>
      <c r="J832" s="27">
        <f>IF($D832="","",IF($E832&gt;=VLOOKUP($D832,RoleTitles!$A:$B,2,FALSE),"Yes","No"))</f>
        <v/>
      </c>
      <c r="K832" s="27">
        <f>IF($D832="","",IF($D832="T1","T2",IF($D832="T2","T3",IF($D832="T3","T4",IF($D832="T4","T5",IF($D832="T5","T6",IF($D832="T6","T7",IF($D832="T7","T8",IF($D832="T8","T9","")))))))))</f>
        <v/>
      </c>
      <c r="L832" s="28">
        <f>IF($K832="","",MAX(0,VLOOKUP($K832,RoleTitles!$A:$B,2,FALSE)-$E832))</f>
        <v/>
      </c>
    </row>
    <row r="833">
      <c r="A833" s="24">
        <f>IFERROR(INDEX(CoachRoster!$A$2:$A$1000,ROW()-1),"")</f>
        <v/>
      </c>
      <c r="B833" s="27">
        <f>IF($A833="","",VLOOKUP($A833,CoachRoster!$A:$E,2,FALSE))</f>
        <v/>
      </c>
      <c r="C833" s="27">
        <f>IF($A833="","",VLOOKUP($A833,CoachRoster!$A:$E,3,FALSE))</f>
        <v/>
      </c>
      <c r="D833" s="27">
        <f>IF($A833="","",VLOOKUP($A833,CoachRoster!$A:$E,4,FALSE))</f>
        <v/>
      </c>
      <c r="E833" s="27">
        <f>IF($A833="","",MIN(Settings!$B$8,IFERROR(SUMIF(Weekly_Coaching!$B:$B,$A833,Weekly_Coaching!$D:$D),0)+IFERROR(SUMIF(Monthly_Edu!$B:$B,$A833,Monthly_Edu!$D:$D),0)+IFERROR(SUMIF(Monthly_Ops!$B:$B,$A833,Monthly_Ops!$D:$D),0)+IFERROR(SUMIF(Monthly_Mentor!$B:$B,$A833,Monthly_Mentor!$D:$D),0)+IFERROR(SUMIF(Quarterly_Impact!$B:$B,$A833,Quarterly_Impact!$D:$D),0)+IFERROR(SUMIFS(XPLog!$M:$M,XPLog!$B:$B,$A833,XPLog!$J:$J,"Admin"),0)+IFERROR(SUMIFS(XPLog!$M:$M,XPLog!$B:$B,$A833,XPLog!$J:$J,"Seeding"),0)))</f>
        <v/>
      </c>
      <c r="F833" s="27">
        <f>IF($E833="","",LOOKUP($E833, XPBands!B$2:B$10, XPBands!A$2:A$10))</f>
        <v/>
      </c>
      <c r="G833" s="27">
        <f>IF($E833="","", VLOOKUP($F833, XPBands!A$2:G$10, 4, FALSE) + MIN(VLOOKUP($F833, XPBands!A$2:G$10, 5, FALSE) - VLOOKUP($F833, XPBands!A$2:G$10, 4, FALSE), FLOOR(( $E833 - VLOOKUP($F833, XPBands!A$2:G$10, 2, FALSE) ) / VLOOKUP($F833, XPBands!A$2:G$10, 7, FALSE),1)))</f>
        <v/>
      </c>
      <c r="H833" s="27">
        <f>IF($D833="","",VLOOKUP($D833,RoleTitles!$A:$E,3,FALSE))</f>
        <v/>
      </c>
      <c r="I833" s="27">
        <f>IF($D833="","",IF($C833="Greek",VLOOKUP($D833,RoleTitles!$A:$E,4,FALSE),IF($C833="Aesir",VLOOKUP($D833,RoleTitles!$A:$E,5,FALSE),VLOOKUP($D833,RoleTitles!$A:$E,3,FALSE))))</f>
        <v/>
      </c>
      <c r="J833" s="27">
        <f>IF($D833="","",IF($E833&gt;=VLOOKUP($D833,RoleTitles!$A:$B,2,FALSE),"Yes","No"))</f>
        <v/>
      </c>
      <c r="K833" s="27">
        <f>IF($D833="","",IF($D833="T1","T2",IF($D833="T2","T3",IF($D833="T3","T4",IF($D833="T4","T5",IF($D833="T5","T6",IF($D833="T6","T7",IF($D833="T7","T8",IF($D833="T8","T9","")))))))))</f>
        <v/>
      </c>
      <c r="L833" s="28">
        <f>IF($K833="","",MAX(0,VLOOKUP($K833,RoleTitles!$A:$B,2,FALSE)-$E833))</f>
        <v/>
      </c>
    </row>
    <row r="834">
      <c r="A834" s="24">
        <f>IFERROR(INDEX(CoachRoster!$A$2:$A$1000,ROW()-1),"")</f>
        <v/>
      </c>
      <c r="B834" s="27">
        <f>IF($A834="","",VLOOKUP($A834,CoachRoster!$A:$E,2,FALSE))</f>
        <v/>
      </c>
      <c r="C834" s="27">
        <f>IF($A834="","",VLOOKUP($A834,CoachRoster!$A:$E,3,FALSE))</f>
        <v/>
      </c>
      <c r="D834" s="27">
        <f>IF($A834="","",VLOOKUP($A834,CoachRoster!$A:$E,4,FALSE))</f>
        <v/>
      </c>
      <c r="E834" s="27">
        <f>IF($A834="","",MIN(Settings!$B$8,IFERROR(SUMIF(Weekly_Coaching!$B:$B,$A834,Weekly_Coaching!$D:$D),0)+IFERROR(SUMIF(Monthly_Edu!$B:$B,$A834,Monthly_Edu!$D:$D),0)+IFERROR(SUMIF(Monthly_Ops!$B:$B,$A834,Monthly_Ops!$D:$D),0)+IFERROR(SUMIF(Monthly_Mentor!$B:$B,$A834,Monthly_Mentor!$D:$D),0)+IFERROR(SUMIF(Quarterly_Impact!$B:$B,$A834,Quarterly_Impact!$D:$D),0)+IFERROR(SUMIFS(XPLog!$M:$M,XPLog!$B:$B,$A834,XPLog!$J:$J,"Admin"),0)+IFERROR(SUMIFS(XPLog!$M:$M,XPLog!$B:$B,$A834,XPLog!$J:$J,"Seeding"),0)))</f>
        <v/>
      </c>
      <c r="F834" s="27">
        <f>IF($E834="","",LOOKUP($E834, XPBands!B$2:B$10, XPBands!A$2:A$10))</f>
        <v/>
      </c>
      <c r="G834" s="27">
        <f>IF($E834="","", VLOOKUP($F834, XPBands!A$2:G$10, 4, FALSE) + MIN(VLOOKUP($F834, XPBands!A$2:G$10, 5, FALSE) - VLOOKUP($F834, XPBands!A$2:G$10, 4, FALSE), FLOOR(( $E834 - VLOOKUP($F834, XPBands!A$2:G$10, 2, FALSE) ) / VLOOKUP($F834, XPBands!A$2:G$10, 7, FALSE),1)))</f>
        <v/>
      </c>
      <c r="H834" s="27">
        <f>IF($D834="","",VLOOKUP($D834,RoleTitles!$A:$E,3,FALSE))</f>
        <v/>
      </c>
      <c r="I834" s="27">
        <f>IF($D834="","",IF($C834="Greek",VLOOKUP($D834,RoleTitles!$A:$E,4,FALSE),IF($C834="Aesir",VLOOKUP($D834,RoleTitles!$A:$E,5,FALSE),VLOOKUP($D834,RoleTitles!$A:$E,3,FALSE))))</f>
        <v/>
      </c>
      <c r="J834" s="27">
        <f>IF($D834="","",IF($E834&gt;=VLOOKUP($D834,RoleTitles!$A:$B,2,FALSE),"Yes","No"))</f>
        <v/>
      </c>
      <c r="K834" s="27">
        <f>IF($D834="","",IF($D834="T1","T2",IF($D834="T2","T3",IF($D834="T3","T4",IF($D834="T4","T5",IF($D834="T5","T6",IF($D834="T6","T7",IF($D834="T7","T8",IF($D834="T8","T9","")))))))))</f>
        <v/>
      </c>
      <c r="L834" s="28">
        <f>IF($K834="","",MAX(0,VLOOKUP($K834,RoleTitles!$A:$B,2,FALSE)-$E834))</f>
        <v/>
      </c>
    </row>
    <row r="835">
      <c r="A835" s="24">
        <f>IFERROR(INDEX(CoachRoster!$A$2:$A$1000,ROW()-1),"")</f>
        <v/>
      </c>
      <c r="B835" s="27">
        <f>IF($A835="","",VLOOKUP($A835,CoachRoster!$A:$E,2,FALSE))</f>
        <v/>
      </c>
      <c r="C835" s="27">
        <f>IF($A835="","",VLOOKUP($A835,CoachRoster!$A:$E,3,FALSE))</f>
        <v/>
      </c>
      <c r="D835" s="27">
        <f>IF($A835="","",VLOOKUP($A835,CoachRoster!$A:$E,4,FALSE))</f>
        <v/>
      </c>
      <c r="E835" s="27">
        <f>IF($A835="","",MIN(Settings!$B$8,IFERROR(SUMIF(Weekly_Coaching!$B:$B,$A835,Weekly_Coaching!$D:$D),0)+IFERROR(SUMIF(Monthly_Edu!$B:$B,$A835,Monthly_Edu!$D:$D),0)+IFERROR(SUMIF(Monthly_Ops!$B:$B,$A835,Monthly_Ops!$D:$D),0)+IFERROR(SUMIF(Monthly_Mentor!$B:$B,$A835,Monthly_Mentor!$D:$D),0)+IFERROR(SUMIF(Quarterly_Impact!$B:$B,$A835,Quarterly_Impact!$D:$D),0)+IFERROR(SUMIFS(XPLog!$M:$M,XPLog!$B:$B,$A835,XPLog!$J:$J,"Admin"),0)+IFERROR(SUMIFS(XPLog!$M:$M,XPLog!$B:$B,$A835,XPLog!$J:$J,"Seeding"),0)))</f>
        <v/>
      </c>
      <c r="F835" s="27">
        <f>IF($E835="","",LOOKUP($E835, XPBands!B$2:B$10, XPBands!A$2:A$10))</f>
        <v/>
      </c>
      <c r="G835" s="27">
        <f>IF($E835="","", VLOOKUP($F835, XPBands!A$2:G$10, 4, FALSE) + MIN(VLOOKUP($F835, XPBands!A$2:G$10, 5, FALSE) - VLOOKUP($F835, XPBands!A$2:G$10, 4, FALSE), FLOOR(( $E835 - VLOOKUP($F835, XPBands!A$2:G$10, 2, FALSE) ) / VLOOKUP($F835, XPBands!A$2:G$10, 7, FALSE),1)))</f>
        <v/>
      </c>
      <c r="H835" s="27">
        <f>IF($D835="","",VLOOKUP($D835,RoleTitles!$A:$E,3,FALSE))</f>
        <v/>
      </c>
      <c r="I835" s="27">
        <f>IF($D835="","",IF($C835="Greek",VLOOKUP($D835,RoleTitles!$A:$E,4,FALSE),IF($C835="Aesir",VLOOKUP($D835,RoleTitles!$A:$E,5,FALSE),VLOOKUP($D835,RoleTitles!$A:$E,3,FALSE))))</f>
        <v/>
      </c>
      <c r="J835" s="27">
        <f>IF($D835="","",IF($E835&gt;=VLOOKUP($D835,RoleTitles!$A:$B,2,FALSE),"Yes","No"))</f>
        <v/>
      </c>
      <c r="K835" s="27">
        <f>IF($D835="","",IF($D835="T1","T2",IF($D835="T2","T3",IF($D835="T3","T4",IF($D835="T4","T5",IF($D835="T5","T6",IF($D835="T6","T7",IF($D835="T7","T8",IF($D835="T8","T9","")))))))))</f>
        <v/>
      </c>
      <c r="L835" s="28">
        <f>IF($K835="","",MAX(0,VLOOKUP($K835,RoleTitles!$A:$B,2,FALSE)-$E835))</f>
        <v/>
      </c>
    </row>
    <row r="836">
      <c r="A836" s="24">
        <f>IFERROR(INDEX(CoachRoster!$A$2:$A$1000,ROW()-1),"")</f>
        <v/>
      </c>
      <c r="B836" s="27">
        <f>IF($A836="","",VLOOKUP($A836,CoachRoster!$A:$E,2,FALSE))</f>
        <v/>
      </c>
      <c r="C836" s="27">
        <f>IF($A836="","",VLOOKUP($A836,CoachRoster!$A:$E,3,FALSE))</f>
        <v/>
      </c>
      <c r="D836" s="27">
        <f>IF($A836="","",VLOOKUP($A836,CoachRoster!$A:$E,4,FALSE))</f>
        <v/>
      </c>
      <c r="E836" s="27">
        <f>IF($A836="","",MIN(Settings!$B$8,IFERROR(SUMIF(Weekly_Coaching!$B:$B,$A836,Weekly_Coaching!$D:$D),0)+IFERROR(SUMIF(Monthly_Edu!$B:$B,$A836,Monthly_Edu!$D:$D),0)+IFERROR(SUMIF(Monthly_Ops!$B:$B,$A836,Monthly_Ops!$D:$D),0)+IFERROR(SUMIF(Monthly_Mentor!$B:$B,$A836,Monthly_Mentor!$D:$D),0)+IFERROR(SUMIF(Quarterly_Impact!$B:$B,$A836,Quarterly_Impact!$D:$D),0)+IFERROR(SUMIFS(XPLog!$M:$M,XPLog!$B:$B,$A836,XPLog!$J:$J,"Admin"),0)+IFERROR(SUMIFS(XPLog!$M:$M,XPLog!$B:$B,$A836,XPLog!$J:$J,"Seeding"),0)))</f>
        <v/>
      </c>
      <c r="F836" s="27">
        <f>IF($E836="","",LOOKUP($E836, XPBands!B$2:B$10, XPBands!A$2:A$10))</f>
        <v/>
      </c>
      <c r="G836" s="27">
        <f>IF($E836="","", VLOOKUP($F836, XPBands!A$2:G$10, 4, FALSE) + MIN(VLOOKUP($F836, XPBands!A$2:G$10, 5, FALSE) - VLOOKUP($F836, XPBands!A$2:G$10, 4, FALSE), FLOOR(( $E836 - VLOOKUP($F836, XPBands!A$2:G$10, 2, FALSE) ) / VLOOKUP($F836, XPBands!A$2:G$10, 7, FALSE),1)))</f>
        <v/>
      </c>
      <c r="H836" s="27">
        <f>IF($D836="","",VLOOKUP($D836,RoleTitles!$A:$E,3,FALSE))</f>
        <v/>
      </c>
      <c r="I836" s="27">
        <f>IF($D836="","",IF($C836="Greek",VLOOKUP($D836,RoleTitles!$A:$E,4,FALSE),IF($C836="Aesir",VLOOKUP($D836,RoleTitles!$A:$E,5,FALSE),VLOOKUP($D836,RoleTitles!$A:$E,3,FALSE))))</f>
        <v/>
      </c>
      <c r="J836" s="27">
        <f>IF($D836="","",IF($E836&gt;=VLOOKUP($D836,RoleTitles!$A:$B,2,FALSE),"Yes","No"))</f>
        <v/>
      </c>
      <c r="K836" s="27">
        <f>IF($D836="","",IF($D836="T1","T2",IF($D836="T2","T3",IF($D836="T3","T4",IF($D836="T4","T5",IF($D836="T5","T6",IF($D836="T6","T7",IF($D836="T7","T8",IF($D836="T8","T9","")))))))))</f>
        <v/>
      </c>
      <c r="L836" s="28">
        <f>IF($K836="","",MAX(0,VLOOKUP($K836,RoleTitles!$A:$B,2,FALSE)-$E836))</f>
        <v/>
      </c>
    </row>
    <row r="837">
      <c r="A837" s="24">
        <f>IFERROR(INDEX(CoachRoster!$A$2:$A$1000,ROW()-1),"")</f>
        <v/>
      </c>
      <c r="B837" s="27">
        <f>IF($A837="","",VLOOKUP($A837,CoachRoster!$A:$E,2,FALSE))</f>
        <v/>
      </c>
      <c r="C837" s="27">
        <f>IF($A837="","",VLOOKUP($A837,CoachRoster!$A:$E,3,FALSE))</f>
        <v/>
      </c>
      <c r="D837" s="27">
        <f>IF($A837="","",VLOOKUP($A837,CoachRoster!$A:$E,4,FALSE))</f>
        <v/>
      </c>
      <c r="E837" s="27">
        <f>IF($A837="","",MIN(Settings!$B$8,IFERROR(SUMIF(Weekly_Coaching!$B:$B,$A837,Weekly_Coaching!$D:$D),0)+IFERROR(SUMIF(Monthly_Edu!$B:$B,$A837,Monthly_Edu!$D:$D),0)+IFERROR(SUMIF(Monthly_Ops!$B:$B,$A837,Monthly_Ops!$D:$D),0)+IFERROR(SUMIF(Monthly_Mentor!$B:$B,$A837,Monthly_Mentor!$D:$D),0)+IFERROR(SUMIF(Quarterly_Impact!$B:$B,$A837,Quarterly_Impact!$D:$D),0)+IFERROR(SUMIFS(XPLog!$M:$M,XPLog!$B:$B,$A837,XPLog!$J:$J,"Admin"),0)+IFERROR(SUMIFS(XPLog!$M:$M,XPLog!$B:$B,$A837,XPLog!$J:$J,"Seeding"),0)))</f>
        <v/>
      </c>
      <c r="F837" s="27">
        <f>IF($E837="","",LOOKUP($E837, XPBands!B$2:B$10, XPBands!A$2:A$10))</f>
        <v/>
      </c>
      <c r="G837" s="27">
        <f>IF($E837="","", VLOOKUP($F837, XPBands!A$2:G$10, 4, FALSE) + MIN(VLOOKUP($F837, XPBands!A$2:G$10, 5, FALSE) - VLOOKUP($F837, XPBands!A$2:G$10, 4, FALSE), FLOOR(( $E837 - VLOOKUP($F837, XPBands!A$2:G$10, 2, FALSE) ) / VLOOKUP($F837, XPBands!A$2:G$10, 7, FALSE),1)))</f>
        <v/>
      </c>
      <c r="H837" s="27">
        <f>IF($D837="","",VLOOKUP($D837,RoleTitles!$A:$E,3,FALSE))</f>
        <v/>
      </c>
      <c r="I837" s="27">
        <f>IF($D837="","",IF($C837="Greek",VLOOKUP($D837,RoleTitles!$A:$E,4,FALSE),IF($C837="Aesir",VLOOKUP($D837,RoleTitles!$A:$E,5,FALSE),VLOOKUP($D837,RoleTitles!$A:$E,3,FALSE))))</f>
        <v/>
      </c>
      <c r="J837" s="27">
        <f>IF($D837="","",IF($E837&gt;=VLOOKUP($D837,RoleTitles!$A:$B,2,FALSE),"Yes","No"))</f>
        <v/>
      </c>
      <c r="K837" s="27">
        <f>IF($D837="","",IF($D837="T1","T2",IF($D837="T2","T3",IF($D837="T3","T4",IF($D837="T4","T5",IF($D837="T5","T6",IF($D837="T6","T7",IF($D837="T7","T8",IF($D837="T8","T9","")))))))))</f>
        <v/>
      </c>
      <c r="L837" s="28">
        <f>IF($K837="","",MAX(0,VLOOKUP($K837,RoleTitles!$A:$B,2,FALSE)-$E837))</f>
        <v/>
      </c>
    </row>
    <row r="838">
      <c r="A838" s="24">
        <f>IFERROR(INDEX(CoachRoster!$A$2:$A$1000,ROW()-1),"")</f>
        <v/>
      </c>
      <c r="B838" s="27">
        <f>IF($A838="","",VLOOKUP($A838,CoachRoster!$A:$E,2,FALSE))</f>
        <v/>
      </c>
      <c r="C838" s="27">
        <f>IF($A838="","",VLOOKUP($A838,CoachRoster!$A:$E,3,FALSE))</f>
        <v/>
      </c>
      <c r="D838" s="27">
        <f>IF($A838="","",VLOOKUP($A838,CoachRoster!$A:$E,4,FALSE))</f>
        <v/>
      </c>
      <c r="E838" s="27">
        <f>IF($A838="","",MIN(Settings!$B$8,IFERROR(SUMIF(Weekly_Coaching!$B:$B,$A838,Weekly_Coaching!$D:$D),0)+IFERROR(SUMIF(Monthly_Edu!$B:$B,$A838,Monthly_Edu!$D:$D),0)+IFERROR(SUMIF(Monthly_Ops!$B:$B,$A838,Monthly_Ops!$D:$D),0)+IFERROR(SUMIF(Monthly_Mentor!$B:$B,$A838,Monthly_Mentor!$D:$D),0)+IFERROR(SUMIF(Quarterly_Impact!$B:$B,$A838,Quarterly_Impact!$D:$D),0)+IFERROR(SUMIFS(XPLog!$M:$M,XPLog!$B:$B,$A838,XPLog!$J:$J,"Admin"),0)+IFERROR(SUMIFS(XPLog!$M:$M,XPLog!$B:$B,$A838,XPLog!$J:$J,"Seeding"),0)))</f>
        <v/>
      </c>
      <c r="F838" s="27">
        <f>IF($E838="","",LOOKUP($E838, XPBands!B$2:B$10, XPBands!A$2:A$10))</f>
        <v/>
      </c>
      <c r="G838" s="27">
        <f>IF($E838="","", VLOOKUP($F838, XPBands!A$2:G$10, 4, FALSE) + MIN(VLOOKUP($F838, XPBands!A$2:G$10, 5, FALSE) - VLOOKUP($F838, XPBands!A$2:G$10, 4, FALSE), FLOOR(( $E838 - VLOOKUP($F838, XPBands!A$2:G$10, 2, FALSE) ) / VLOOKUP($F838, XPBands!A$2:G$10, 7, FALSE),1)))</f>
        <v/>
      </c>
      <c r="H838" s="27">
        <f>IF($D838="","",VLOOKUP($D838,RoleTitles!$A:$E,3,FALSE))</f>
        <v/>
      </c>
      <c r="I838" s="27">
        <f>IF($D838="","",IF($C838="Greek",VLOOKUP($D838,RoleTitles!$A:$E,4,FALSE),IF($C838="Aesir",VLOOKUP($D838,RoleTitles!$A:$E,5,FALSE),VLOOKUP($D838,RoleTitles!$A:$E,3,FALSE))))</f>
        <v/>
      </c>
      <c r="J838" s="27">
        <f>IF($D838="","",IF($E838&gt;=VLOOKUP($D838,RoleTitles!$A:$B,2,FALSE),"Yes","No"))</f>
        <v/>
      </c>
      <c r="K838" s="27">
        <f>IF($D838="","",IF($D838="T1","T2",IF($D838="T2","T3",IF($D838="T3","T4",IF($D838="T4","T5",IF($D838="T5","T6",IF($D838="T6","T7",IF($D838="T7","T8",IF($D838="T8","T9","")))))))))</f>
        <v/>
      </c>
      <c r="L838" s="28">
        <f>IF($K838="","",MAX(0,VLOOKUP($K838,RoleTitles!$A:$B,2,FALSE)-$E838))</f>
        <v/>
      </c>
    </row>
    <row r="839">
      <c r="A839" s="24">
        <f>IFERROR(INDEX(CoachRoster!$A$2:$A$1000,ROW()-1),"")</f>
        <v/>
      </c>
      <c r="B839" s="27">
        <f>IF($A839="","",VLOOKUP($A839,CoachRoster!$A:$E,2,FALSE))</f>
        <v/>
      </c>
      <c r="C839" s="27">
        <f>IF($A839="","",VLOOKUP($A839,CoachRoster!$A:$E,3,FALSE))</f>
        <v/>
      </c>
      <c r="D839" s="27">
        <f>IF($A839="","",VLOOKUP($A839,CoachRoster!$A:$E,4,FALSE))</f>
        <v/>
      </c>
      <c r="E839" s="27">
        <f>IF($A839="","",MIN(Settings!$B$8,IFERROR(SUMIF(Weekly_Coaching!$B:$B,$A839,Weekly_Coaching!$D:$D),0)+IFERROR(SUMIF(Monthly_Edu!$B:$B,$A839,Monthly_Edu!$D:$D),0)+IFERROR(SUMIF(Monthly_Ops!$B:$B,$A839,Monthly_Ops!$D:$D),0)+IFERROR(SUMIF(Monthly_Mentor!$B:$B,$A839,Monthly_Mentor!$D:$D),0)+IFERROR(SUMIF(Quarterly_Impact!$B:$B,$A839,Quarterly_Impact!$D:$D),0)+IFERROR(SUMIFS(XPLog!$M:$M,XPLog!$B:$B,$A839,XPLog!$J:$J,"Admin"),0)+IFERROR(SUMIFS(XPLog!$M:$M,XPLog!$B:$B,$A839,XPLog!$J:$J,"Seeding"),0)))</f>
        <v/>
      </c>
      <c r="F839" s="27">
        <f>IF($E839="","",LOOKUP($E839, XPBands!B$2:B$10, XPBands!A$2:A$10))</f>
        <v/>
      </c>
      <c r="G839" s="27">
        <f>IF($E839="","", VLOOKUP($F839, XPBands!A$2:G$10, 4, FALSE) + MIN(VLOOKUP($F839, XPBands!A$2:G$10, 5, FALSE) - VLOOKUP($F839, XPBands!A$2:G$10, 4, FALSE), FLOOR(( $E839 - VLOOKUP($F839, XPBands!A$2:G$10, 2, FALSE) ) / VLOOKUP($F839, XPBands!A$2:G$10, 7, FALSE),1)))</f>
        <v/>
      </c>
      <c r="H839" s="27">
        <f>IF($D839="","",VLOOKUP($D839,RoleTitles!$A:$E,3,FALSE))</f>
        <v/>
      </c>
      <c r="I839" s="27">
        <f>IF($D839="","",IF($C839="Greek",VLOOKUP($D839,RoleTitles!$A:$E,4,FALSE),IF($C839="Aesir",VLOOKUP($D839,RoleTitles!$A:$E,5,FALSE),VLOOKUP($D839,RoleTitles!$A:$E,3,FALSE))))</f>
        <v/>
      </c>
      <c r="J839" s="27">
        <f>IF($D839="","",IF($E839&gt;=VLOOKUP($D839,RoleTitles!$A:$B,2,FALSE),"Yes","No"))</f>
        <v/>
      </c>
      <c r="K839" s="27">
        <f>IF($D839="","",IF($D839="T1","T2",IF($D839="T2","T3",IF($D839="T3","T4",IF($D839="T4","T5",IF($D839="T5","T6",IF($D839="T6","T7",IF($D839="T7","T8",IF($D839="T8","T9","")))))))))</f>
        <v/>
      </c>
      <c r="L839" s="28">
        <f>IF($K839="","",MAX(0,VLOOKUP($K839,RoleTitles!$A:$B,2,FALSE)-$E839))</f>
        <v/>
      </c>
    </row>
    <row r="840">
      <c r="A840" s="24">
        <f>IFERROR(INDEX(CoachRoster!$A$2:$A$1000,ROW()-1),"")</f>
        <v/>
      </c>
      <c r="B840" s="27">
        <f>IF($A840="","",VLOOKUP($A840,CoachRoster!$A:$E,2,FALSE))</f>
        <v/>
      </c>
      <c r="C840" s="27">
        <f>IF($A840="","",VLOOKUP($A840,CoachRoster!$A:$E,3,FALSE))</f>
        <v/>
      </c>
      <c r="D840" s="27">
        <f>IF($A840="","",VLOOKUP($A840,CoachRoster!$A:$E,4,FALSE))</f>
        <v/>
      </c>
      <c r="E840" s="27">
        <f>IF($A840="","",MIN(Settings!$B$8,IFERROR(SUMIF(Weekly_Coaching!$B:$B,$A840,Weekly_Coaching!$D:$D),0)+IFERROR(SUMIF(Monthly_Edu!$B:$B,$A840,Monthly_Edu!$D:$D),0)+IFERROR(SUMIF(Monthly_Ops!$B:$B,$A840,Monthly_Ops!$D:$D),0)+IFERROR(SUMIF(Monthly_Mentor!$B:$B,$A840,Monthly_Mentor!$D:$D),0)+IFERROR(SUMIF(Quarterly_Impact!$B:$B,$A840,Quarterly_Impact!$D:$D),0)+IFERROR(SUMIFS(XPLog!$M:$M,XPLog!$B:$B,$A840,XPLog!$J:$J,"Admin"),0)+IFERROR(SUMIFS(XPLog!$M:$M,XPLog!$B:$B,$A840,XPLog!$J:$J,"Seeding"),0)))</f>
        <v/>
      </c>
      <c r="F840" s="27">
        <f>IF($E840="","",LOOKUP($E840, XPBands!B$2:B$10, XPBands!A$2:A$10))</f>
        <v/>
      </c>
      <c r="G840" s="27">
        <f>IF($E840="","", VLOOKUP($F840, XPBands!A$2:G$10, 4, FALSE) + MIN(VLOOKUP($F840, XPBands!A$2:G$10, 5, FALSE) - VLOOKUP($F840, XPBands!A$2:G$10, 4, FALSE), FLOOR(( $E840 - VLOOKUP($F840, XPBands!A$2:G$10, 2, FALSE) ) / VLOOKUP($F840, XPBands!A$2:G$10, 7, FALSE),1)))</f>
        <v/>
      </c>
      <c r="H840" s="27">
        <f>IF($D840="","",VLOOKUP($D840,RoleTitles!$A:$E,3,FALSE))</f>
        <v/>
      </c>
      <c r="I840" s="27">
        <f>IF($D840="","",IF($C840="Greek",VLOOKUP($D840,RoleTitles!$A:$E,4,FALSE),IF($C840="Aesir",VLOOKUP($D840,RoleTitles!$A:$E,5,FALSE),VLOOKUP($D840,RoleTitles!$A:$E,3,FALSE))))</f>
        <v/>
      </c>
      <c r="J840" s="27">
        <f>IF($D840="","",IF($E840&gt;=VLOOKUP($D840,RoleTitles!$A:$B,2,FALSE),"Yes","No"))</f>
        <v/>
      </c>
      <c r="K840" s="27">
        <f>IF($D840="","",IF($D840="T1","T2",IF($D840="T2","T3",IF($D840="T3","T4",IF($D840="T4","T5",IF($D840="T5","T6",IF($D840="T6","T7",IF($D840="T7","T8",IF($D840="T8","T9","")))))))))</f>
        <v/>
      </c>
      <c r="L840" s="28">
        <f>IF($K840="","",MAX(0,VLOOKUP($K840,RoleTitles!$A:$B,2,FALSE)-$E840))</f>
        <v/>
      </c>
    </row>
    <row r="841">
      <c r="A841" s="24">
        <f>IFERROR(INDEX(CoachRoster!$A$2:$A$1000,ROW()-1),"")</f>
        <v/>
      </c>
      <c r="B841" s="27">
        <f>IF($A841="","",VLOOKUP($A841,CoachRoster!$A:$E,2,FALSE))</f>
        <v/>
      </c>
      <c r="C841" s="27">
        <f>IF($A841="","",VLOOKUP($A841,CoachRoster!$A:$E,3,FALSE))</f>
        <v/>
      </c>
      <c r="D841" s="27">
        <f>IF($A841="","",VLOOKUP($A841,CoachRoster!$A:$E,4,FALSE))</f>
        <v/>
      </c>
      <c r="E841" s="27">
        <f>IF($A841="","",MIN(Settings!$B$8,IFERROR(SUMIF(Weekly_Coaching!$B:$B,$A841,Weekly_Coaching!$D:$D),0)+IFERROR(SUMIF(Monthly_Edu!$B:$B,$A841,Monthly_Edu!$D:$D),0)+IFERROR(SUMIF(Monthly_Ops!$B:$B,$A841,Monthly_Ops!$D:$D),0)+IFERROR(SUMIF(Monthly_Mentor!$B:$B,$A841,Monthly_Mentor!$D:$D),0)+IFERROR(SUMIF(Quarterly_Impact!$B:$B,$A841,Quarterly_Impact!$D:$D),0)+IFERROR(SUMIFS(XPLog!$M:$M,XPLog!$B:$B,$A841,XPLog!$J:$J,"Admin"),0)+IFERROR(SUMIFS(XPLog!$M:$M,XPLog!$B:$B,$A841,XPLog!$J:$J,"Seeding"),0)))</f>
        <v/>
      </c>
      <c r="F841" s="27">
        <f>IF($E841="","",LOOKUP($E841, XPBands!B$2:B$10, XPBands!A$2:A$10))</f>
        <v/>
      </c>
      <c r="G841" s="27">
        <f>IF($E841="","", VLOOKUP($F841, XPBands!A$2:G$10, 4, FALSE) + MIN(VLOOKUP($F841, XPBands!A$2:G$10, 5, FALSE) - VLOOKUP($F841, XPBands!A$2:G$10, 4, FALSE), FLOOR(( $E841 - VLOOKUP($F841, XPBands!A$2:G$10, 2, FALSE) ) / VLOOKUP($F841, XPBands!A$2:G$10, 7, FALSE),1)))</f>
        <v/>
      </c>
      <c r="H841" s="27">
        <f>IF($D841="","",VLOOKUP($D841,RoleTitles!$A:$E,3,FALSE))</f>
        <v/>
      </c>
      <c r="I841" s="27">
        <f>IF($D841="","",IF($C841="Greek",VLOOKUP($D841,RoleTitles!$A:$E,4,FALSE),IF($C841="Aesir",VLOOKUP($D841,RoleTitles!$A:$E,5,FALSE),VLOOKUP($D841,RoleTitles!$A:$E,3,FALSE))))</f>
        <v/>
      </c>
      <c r="J841" s="27">
        <f>IF($D841="","",IF($E841&gt;=VLOOKUP($D841,RoleTitles!$A:$B,2,FALSE),"Yes","No"))</f>
        <v/>
      </c>
      <c r="K841" s="27">
        <f>IF($D841="","",IF($D841="T1","T2",IF($D841="T2","T3",IF($D841="T3","T4",IF($D841="T4","T5",IF($D841="T5","T6",IF($D841="T6","T7",IF($D841="T7","T8",IF($D841="T8","T9","")))))))))</f>
        <v/>
      </c>
      <c r="L841" s="28">
        <f>IF($K841="","",MAX(0,VLOOKUP($K841,RoleTitles!$A:$B,2,FALSE)-$E841))</f>
        <v/>
      </c>
    </row>
    <row r="842">
      <c r="A842" s="24">
        <f>IFERROR(INDEX(CoachRoster!$A$2:$A$1000,ROW()-1),"")</f>
        <v/>
      </c>
      <c r="B842" s="27">
        <f>IF($A842="","",VLOOKUP($A842,CoachRoster!$A:$E,2,FALSE))</f>
        <v/>
      </c>
      <c r="C842" s="27">
        <f>IF($A842="","",VLOOKUP($A842,CoachRoster!$A:$E,3,FALSE))</f>
        <v/>
      </c>
      <c r="D842" s="27">
        <f>IF($A842="","",VLOOKUP($A842,CoachRoster!$A:$E,4,FALSE))</f>
        <v/>
      </c>
      <c r="E842" s="27">
        <f>IF($A842="","",MIN(Settings!$B$8,IFERROR(SUMIF(Weekly_Coaching!$B:$B,$A842,Weekly_Coaching!$D:$D),0)+IFERROR(SUMIF(Monthly_Edu!$B:$B,$A842,Monthly_Edu!$D:$D),0)+IFERROR(SUMIF(Monthly_Ops!$B:$B,$A842,Monthly_Ops!$D:$D),0)+IFERROR(SUMIF(Monthly_Mentor!$B:$B,$A842,Monthly_Mentor!$D:$D),0)+IFERROR(SUMIF(Quarterly_Impact!$B:$B,$A842,Quarterly_Impact!$D:$D),0)+IFERROR(SUMIFS(XPLog!$M:$M,XPLog!$B:$B,$A842,XPLog!$J:$J,"Admin"),0)+IFERROR(SUMIFS(XPLog!$M:$M,XPLog!$B:$B,$A842,XPLog!$J:$J,"Seeding"),0)))</f>
        <v/>
      </c>
      <c r="F842" s="27">
        <f>IF($E842="","",LOOKUP($E842, XPBands!B$2:B$10, XPBands!A$2:A$10))</f>
        <v/>
      </c>
      <c r="G842" s="27">
        <f>IF($E842="","", VLOOKUP($F842, XPBands!A$2:G$10, 4, FALSE) + MIN(VLOOKUP($F842, XPBands!A$2:G$10, 5, FALSE) - VLOOKUP($F842, XPBands!A$2:G$10, 4, FALSE), FLOOR(( $E842 - VLOOKUP($F842, XPBands!A$2:G$10, 2, FALSE) ) / VLOOKUP($F842, XPBands!A$2:G$10, 7, FALSE),1)))</f>
        <v/>
      </c>
      <c r="H842" s="27">
        <f>IF($D842="","",VLOOKUP($D842,RoleTitles!$A:$E,3,FALSE))</f>
        <v/>
      </c>
      <c r="I842" s="27">
        <f>IF($D842="","",IF($C842="Greek",VLOOKUP($D842,RoleTitles!$A:$E,4,FALSE),IF($C842="Aesir",VLOOKUP($D842,RoleTitles!$A:$E,5,FALSE),VLOOKUP($D842,RoleTitles!$A:$E,3,FALSE))))</f>
        <v/>
      </c>
      <c r="J842" s="27">
        <f>IF($D842="","",IF($E842&gt;=VLOOKUP($D842,RoleTitles!$A:$B,2,FALSE),"Yes","No"))</f>
        <v/>
      </c>
      <c r="K842" s="27">
        <f>IF($D842="","",IF($D842="T1","T2",IF($D842="T2","T3",IF($D842="T3","T4",IF($D842="T4","T5",IF($D842="T5","T6",IF($D842="T6","T7",IF($D842="T7","T8",IF($D842="T8","T9","")))))))))</f>
        <v/>
      </c>
      <c r="L842" s="28">
        <f>IF($K842="","",MAX(0,VLOOKUP($K842,RoleTitles!$A:$B,2,FALSE)-$E842))</f>
        <v/>
      </c>
    </row>
    <row r="843">
      <c r="A843" s="24">
        <f>IFERROR(INDEX(CoachRoster!$A$2:$A$1000,ROW()-1),"")</f>
        <v/>
      </c>
      <c r="B843" s="27">
        <f>IF($A843="","",VLOOKUP($A843,CoachRoster!$A:$E,2,FALSE))</f>
        <v/>
      </c>
      <c r="C843" s="27">
        <f>IF($A843="","",VLOOKUP($A843,CoachRoster!$A:$E,3,FALSE))</f>
        <v/>
      </c>
      <c r="D843" s="27">
        <f>IF($A843="","",VLOOKUP($A843,CoachRoster!$A:$E,4,FALSE))</f>
        <v/>
      </c>
      <c r="E843" s="27">
        <f>IF($A843="","",MIN(Settings!$B$8,IFERROR(SUMIF(Weekly_Coaching!$B:$B,$A843,Weekly_Coaching!$D:$D),0)+IFERROR(SUMIF(Monthly_Edu!$B:$B,$A843,Monthly_Edu!$D:$D),0)+IFERROR(SUMIF(Monthly_Ops!$B:$B,$A843,Monthly_Ops!$D:$D),0)+IFERROR(SUMIF(Monthly_Mentor!$B:$B,$A843,Monthly_Mentor!$D:$D),0)+IFERROR(SUMIF(Quarterly_Impact!$B:$B,$A843,Quarterly_Impact!$D:$D),0)+IFERROR(SUMIFS(XPLog!$M:$M,XPLog!$B:$B,$A843,XPLog!$J:$J,"Admin"),0)+IFERROR(SUMIFS(XPLog!$M:$M,XPLog!$B:$B,$A843,XPLog!$J:$J,"Seeding"),0)))</f>
        <v/>
      </c>
      <c r="F843" s="27">
        <f>IF($E843="","",LOOKUP($E843, XPBands!B$2:B$10, XPBands!A$2:A$10))</f>
        <v/>
      </c>
      <c r="G843" s="27">
        <f>IF($E843="","", VLOOKUP($F843, XPBands!A$2:G$10, 4, FALSE) + MIN(VLOOKUP($F843, XPBands!A$2:G$10, 5, FALSE) - VLOOKUP($F843, XPBands!A$2:G$10, 4, FALSE), FLOOR(( $E843 - VLOOKUP($F843, XPBands!A$2:G$10, 2, FALSE) ) / VLOOKUP($F843, XPBands!A$2:G$10, 7, FALSE),1)))</f>
        <v/>
      </c>
      <c r="H843" s="27">
        <f>IF($D843="","",VLOOKUP($D843,RoleTitles!$A:$E,3,FALSE))</f>
        <v/>
      </c>
      <c r="I843" s="27">
        <f>IF($D843="","",IF($C843="Greek",VLOOKUP($D843,RoleTitles!$A:$E,4,FALSE),IF($C843="Aesir",VLOOKUP($D843,RoleTitles!$A:$E,5,FALSE),VLOOKUP($D843,RoleTitles!$A:$E,3,FALSE))))</f>
        <v/>
      </c>
      <c r="J843" s="27">
        <f>IF($D843="","",IF($E843&gt;=VLOOKUP($D843,RoleTitles!$A:$B,2,FALSE),"Yes","No"))</f>
        <v/>
      </c>
      <c r="K843" s="27">
        <f>IF($D843="","",IF($D843="T1","T2",IF($D843="T2","T3",IF($D843="T3","T4",IF($D843="T4","T5",IF($D843="T5","T6",IF($D843="T6","T7",IF($D843="T7","T8",IF($D843="T8","T9","")))))))))</f>
        <v/>
      </c>
      <c r="L843" s="28">
        <f>IF($K843="","",MAX(0,VLOOKUP($K843,RoleTitles!$A:$B,2,FALSE)-$E843))</f>
        <v/>
      </c>
    </row>
    <row r="844">
      <c r="A844" s="24">
        <f>IFERROR(INDEX(CoachRoster!$A$2:$A$1000,ROW()-1),"")</f>
        <v/>
      </c>
      <c r="B844" s="27">
        <f>IF($A844="","",VLOOKUP($A844,CoachRoster!$A:$E,2,FALSE))</f>
        <v/>
      </c>
      <c r="C844" s="27">
        <f>IF($A844="","",VLOOKUP($A844,CoachRoster!$A:$E,3,FALSE))</f>
        <v/>
      </c>
      <c r="D844" s="27">
        <f>IF($A844="","",VLOOKUP($A844,CoachRoster!$A:$E,4,FALSE))</f>
        <v/>
      </c>
      <c r="E844" s="27">
        <f>IF($A844="","",MIN(Settings!$B$8,IFERROR(SUMIF(Weekly_Coaching!$B:$B,$A844,Weekly_Coaching!$D:$D),0)+IFERROR(SUMIF(Monthly_Edu!$B:$B,$A844,Monthly_Edu!$D:$D),0)+IFERROR(SUMIF(Monthly_Ops!$B:$B,$A844,Monthly_Ops!$D:$D),0)+IFERROR(SUMIF(Monthly_Mentor!$B:$B,$A844,Monthly_Mentor!$D:$D),0)+IFERROR(SUMIF(Quarterly_Impact!$B:$B,$A844,Quarterly_Impact!$D:$D),0)+IFERROR(SUMIFS(XPLog!$M:$M,XPLog!$B:$B,$A844,XPLog!$J:$J,"Admin"),0)+IFERROR(SUMIFS(XPLog!$M:$M,XPLog!$B:$B,$A844,XPLog!$J:$J,"Seeding"),0)))</f>
        <v/>
      </c>
      <c r="F844" s="27">
        <f>IF($E844="","",LOOKUP($E844, XPBands!B$2:B$10, XPBands!A$2:A$10))</f>
        <v/>
      </c>
      <c r="G844" s="27">
        <f>IF($E844="","", VLOOKUP($F844, XPBands!A$2:G$10, 4, FALSE) + MIN(VLOOKUP($F844, XPBands!A$2:G$10, 5, FALSE) - VLOOKUP($F844, XPBands!A$2:G$10, 4, FALSE), FLOOR(( $E844 - VLOOKUP($F844, XPBands!A$2:G$10, 2, FALSE) ) / VLOOKUP($F844, XPBands!A$2:G$10, 7, FALSE),1)))</f>
        <v/>
      </c>
      <c r="H844" s="27">
        <f>IF($D844="","",VLOOKUP($D844,RoleTitles!$A:$E,3,FALSE))</f>
        <v/>
      </c>
      <c r="I844" s="27">
        <f>IF($D844="","",IF($C844="Greek",VLOOKUP($D844,RoleTitles!$A:$E,4,FALSE),IF($C844="Aesir",VLOOKUP($D844,RoleTitles!$A:$E,5,FALSE),VLOOKUP($D844,RoleTitles!$A:$E,3,FALSE))))</f>
        <v/>
      </c>
      <c r="J844" s="27">
        <f>IF($D844="","",IF($E844&gt;=VLOOKUP($D844,RoleTitles!$A:$B,2,FALSE),"Yes","No"))</f>
        <v/>
      </c>
      <c r="K844" s="27">
        <f>IF($D844="","",IF($D844="T1","T2",IF($D844="T2","T3",IF($D844="T3","T4",IF($D844="T4","T5",IF($D844="T5","T6",IF($D844="T6","T7",IF($D844="T7","T8",IF($D844="T8","T9","")))))))))</f>
        <v/>
      </c>
      <c r="L844" s="28">
        <f>IF($K844="","",MAX(0,VLOOKUP($K844,RoleTitles!$A:$B,2,FALSE)-$E844))</f>
        <v/>
      </c>
    </row>
    <row r="845">
      <c r="A845" s="24">
        <f>IFERROR(INDEX(CoachRoster!$A$2:$A$1000,ROW()-1),"")</f>
        <v/>
      </c>
      <c r="B845" s="27">
        <f>IF($A845="","",VLOOKUP($A845,CoachRoster!$A:$E,2,FALSE))</f>
        <v/>
      </c>
      <c r="C845" s="27">
        <f>IF($A845="","",VLOOKUP($A845,CoachRoster!$A:$E,3,FALSE))</f>
        <v/>
      </c>
      <c r="D845" s="27">
        <f>IF($A845="","",VLOOKUP($A845,CoachRoster!$A:$E,4,FALSE))</f>
        <v/>
      </c>
      <c r="E845" s="27">
        <f>IF($A845="","",MIN(Settings!$B$8,IFERROR(SUMIF(Weekly_Coaching!$B:$B,$A845,Weekly_Coaching!$D:$D),0)+IFERROR(SUMIF(Monthly_Edu!$B:$B,$A845,Monthly_Edu!$D:$D),0)+IFERROR(SUMIF(Monthly_Ops!$B:$B,$A845,Monthly_Ops!$D:$D),0)+IFERROR(SUMIF(Monthly_Mentor!$B:$B,$A845,Monthly_Mentor!$D:$D),0)+IFERROR(SUMIF(Quarterly_Impact!$B:$B,$A845,Quarterly_Impact!$D:$D),0)+IFERROR(SUMIFS(XPLog!$M:$M,XPLog!$B:$B,$A845,XPLog!$J:$J,"Admin"),0)+IFERROR(SUMIFS(XPLog!$M:$M,XPLog!$B:$B,$A845,XPLog!$J:$J,"Seeding"),0)))</f>
        <v/>
      </c>
      <c r="F845" s="27">
        <f>IF($E845="","",LOOKUP($E845, XPBands!B$2:B$10, XPBands!A$2:A$10))</f>
        <v/>
      </c>
      <c r="G845" s="27">
        <f>IF($E845="","", VLOOKUP($F845, XPBands!A$2:G$10, 4, FALSE) + MIN(VLOOKUP($F845, XPBands!A$2:G$10, 5, FALSE) - VLOOKUP($F845, XPBands!A$2:G$10, 4, FALSE), FLOOR(( $E845 - VLOOKUP($F845, XPBands!A$2:G$10, 2, FALSE) ) / VLOOKUP($F845, XPBands!A$2:G$10, 7, FALSE),1)))</f>
        <v/>
      </c>
      <c r="H845" s="27">
        <f>IF($D845="","",VLOOKUP($D845,RoleTitles!$A:$E,3,FALSE))</f>
        <v/>
      </c>
      <c r="I845" s="27">
        <f>IF($D845="","",IF($C845="Greek",VLOOKUP($D845,RoleTitles!$A:$E,4,FALSE),IF($C845="Aesir",VLOOKUP($D845,RoleTitles!$A:$E,5,FALSE),VLOOKUP($D845,RoleTitles!$A:$E,3,FALSE))))</f>
        <v/>
      </c>
      <c r="J845" s="27">
        <f>IF($D845="","",IF($E845&gt;=VLOOKUP($D845,RoleTitles!$A:$B,2,FALSE),"Yes","No"))</f>
        <v/>
      </c>
      <c r="K845" s="27">
        <f>IF($D845="","",IF($D845="T1","T2",IF($D845="T2","T3",IF($D845="T3","T4",IF($D845="T4","T5",IF($D845="T5","T6",IF($D845="T6","T7",IF($D845="T7","T8",IF($D845="T8","T9","")))))))))</f>
        <v/>
      </c>
      <c r="L845" s="28">
        <f>IF($K845="","",MAX(0,VLOOKUP($K845,RoleTitles!$A:$B,2,FALSE)-$E845))</f>
        <v/>
      </c>
    </row>
    <row r="846">
      <c r="A846" s="24">
        <f>IFERROR(INDEX(CoachRoster!$A$2:$A$1000,ROW()-1),"")</f>
        <v/>
      </c>
      <c r="B846" s="27">
        <f>IF($A846="","",VLOOKUP($A846,CoachRoster!$A:$E,2,FALSE))</f>
        <v/>
      </c>
      <c r="C846" s="27">
        <f>IF($A846="","",VLOOKUP($A846,CoachRoster!$A:$E,3,FALSE))</f>
        <v/>
      </c>
      <c r="D846" s="27">
        <f>IF($A846="","",VLOOKUP($A846,CoachRoster!$A:$E,4,FALSE))</f>
        <v/>
      </c>
      <c r="E846" s="27">
        <f>IF($A846="","",MIN(Settings!$B$8,IFERROR(SUMIF(Weekly_Coaching!$B:$B,$A846,Weekly_Coaching!$D:$D),0)+IFERROR(SUMIF(Monthly_Edu!$B:$B,$A846,Monthly_Edu!$D:$D),0)+IFERROR(SUMIF(Monthly_Ops!$B:$B,$A846,Monthly_Ops!$D:$D),0)+IFERROR(SUMIF(Monthly_Mentor!$B:$B,$A846,Monthly_Mentor!$D:$D),0)+IFERROR(SUMIF(Quarterly_Impact!$B:$B,$A846,Quarterly_Impact!$D:$D),0)+IFERROR(SUMIFS(XPLog!$M:$M,XPLog!$B:$B,$A846,XPLog!$J:$J,"Admin"),0)+IFERROR(SUMIFS(XPLog!$M:$M,XPLog!$B:$B,$A846,XPLog!$J:$J,"Seeding"),0)))</f>
        <v/>
      </c>
      <c r="F846" s="27">
        <f>IF($E846="","",LOOKUP($E846, XPBands!B$2:B$10, XPBands!A$2:A$10))</f>
        <v/>
      </c>
      <c r="G846" s="27">
        <f>IF($E846="","", VLOOKUP($F846, XPBands!A$2:G$10, 4, FALSE) + MIN(VLOOKUP($F846, XPBands!A$2:G$10, 5, FALSE) - VLOOKUP($F846, XPBands!A$2:G$10, 4, FALSE), FLOOR(( $E846 - VLOOKUP($F846, XPBands!A$2:G$10, 2, FALSE) ) / VLOOKUP($F846, XPBands!A$2:G$10, 7, FALSE),1)))</f>
        <v/>
      </c>
      <c r="H846" s="27">
        <f>IF($D846="","",VLOOKUP($D846,RoleTitles!$A:$E,3,FALSE))</f>
        <v/>
      </c>
      <c r="I846" s="27">
        <f>IF($D846="","",IF($C846="Greek",VLOOKUP($D846,RoleTitles!$A:$E,4,FALSE),IF($C846="Aesir",VLOOKUP($D846,RoleTitles!$A:$E,5,FALSE),VLOOKUP($D846,RoleTitles!$A:$E,3,FALSE))))</f>
        <v/>
      </c>
      <c r="J846" s="27">
        <f>IF($D846="","",IF($E846&gt;=VLOOKUP($D846,RoleTitles!$A:$B,2,FALSE),"Yes","No"))</f>
        <v/>
      </c>
      <c r="K846" s="27">
        <f>IF($D846="","",IF($D846="T1","T2",IF($D846="T2","T3",IF($D846="T3","T4",IF($D846="T4","T5",IF($D846="T5","T6",IF($D846="T6","T7",IF($D846="T7","T8",IF($D846="T8","T9","")))))))))</f>
        <v/>
      </c>
      <c r="L846" s="28">
        <f>IF($K846="","",MAX(0,VLOOKUP($K846,RoleTitles!$A:$B,2,FALSE)-$E846))</f>
        <v/>
      </c>
    </row>
    <row r="847">
      <c r="A847" s="24">
        <f>IFERROR(INDEX(CoachRoster!$A$2:$A$1000,ROW()-1),"")</f>
        <v/>
      </c>
      <c r="B847" s="27">
        <f>IF($A847="","",VLOOKUP($A847,CoachRoster!$A:$E,2,FALSE))</f>
        <v/>
      </c>
      <c r="C847" s="27">
        <f>IF($A847="","",VLOOKUP($A847,CoachRoster!$A:$E,3,FALSE))</f>
        <v/>
      </c>
      <c r="D847" s="27">
        <f>IF($A847="","",VLOOKUP($A847,CoachRoster!$A:$E,4,FALSE))</f>
        <v/>
      </c>
      <c r="E847" s="27">
        <f>IF($A847="","",MIN(Settings!$B$8,IFERROR(SUMIF(Weekly_Coaching!$B:$B,$A847,Weekly_Coaching!$D:$D),0)+IFERROR(SUMIF(Monthly_Edu!$B:$B,$A847,Monthly_Edu!$D:$D),0)+IFERROR(SUMIF(Monthly_Ops!$B:$B,$A847,Monthly_Ops!$D:$D),0)+IFERROR(SUMIF(Monthly_Mentor!$B:$B,$A847,Monthly_Mentor!$D:$D),0)+IFERROR(SUMIF(Quarterly_Impact!$B:$B,$A847,Quarterly_Impact!$D:$D),0)+IFERROR(SUMIFS(XPLog!$M:$M,XPLog!$B:$B,$A847,XPLog!$J:$J,"Admin"),0)+IFERROR(SUMIFS(XPLog!$M:$M,XPLog!$B:$B,$A847,XPLog!$J:$J,"Seeding"),0)))</f>
        <v/>
      </c>
      <c r="F847" s="27">
        <f>IF($E847="","",LOOKUP($E847, XPBands!B$2:B$10, XPBands!A$2:A$10))</f>
        <v/>
      </c>
      <c r="G847" s="27">
        <f>IF($E847="","", VLOOKUP($F847, XPBands!A$2:G$10, 4, FALSE) + MIN(VLOOKUP($F847, XPBands!A$2:G$10, 5, FALSE) - VLOOKUP($F847, XPBands!A$2:G$10, 4, FALSE), FLOOR(( $E847 - VLOOKUP($F847, XPBands!A$2:G$10, 2, FALSE) ) / VLOOKUP($F847, XPBands!A$2:G$10, 7, FALSE),1)))</f>
        <v/>
      </c>
      <c r="H847" s="27">
        <f>IF($D847="","",VLOOKUP($D847,RoleTitles!$A:$E,3,FALSE))</f>
        <v/>
      </c>
      <c r="I847" s="27">
        <f>IF($D847="","",IF($C847="Greek",VLOOKUP($D847,RoleTitles!$A:$E,4,FALSE),IF($C847="Aesir",VLOOKUP($D847,RoleTitles!$A:$E,5,FALSE),VLOOKUP($D847,RoleTitles!$A:$E,3,FALSE))))</f>
        <v/>
      </c>
      <c r="J847" s="27">
        <f>IF($D847="","",IF($E847&gt;=VLOOKUP($D847,RoleTitles!$A:$B,2,FALSE),"Yes","No"))</f>
        <v/>
      </c>
      <c r="K847" s="27">
        <f>IF($D847="","",IF($D847="T1","T2",IF($D847="T2","T3",IF($D847="T3","T4",IF($D847="T4","T5",IF($D847="T5","T6",IF($D847="T6","T7",IF($D847="T7","T8",IF($D847="T8","T9","")))))))))</f>
        <v/>
      </c>
      <c r="L847" s="28">
        <f>IF($K847="","",MAX(0,VLOOKUP($K847,RoleTitles!$A:$B,2,FALSE)-$E847))</f>
        <v/>
      </c>
    </row>
    <row r="848">
      <c r="A848" s="24">
        <f>IFERROR(INDEX(CoachRoster!$A$2:$A$1000,ROW()-1),"")</f>
        <v/>
      </c>
      <c r="B848" s="27">
        <f>IF($A848="","",VLOOKUP($A848,CoachRoster!$A:$E,2,FALSE))</f>
        <v/>
      </c>
      <c r="C848" s="27">
        <f>IF($A848="","",VLOOKUP($A848,CoachRoster!$A:$E,3,FALSE))</f>
        <v/>
      </c>
      <c r="D848" s="27">
        <f>IF($A848="","",VLOOKUP($A848,CoachRoster!$A:$E,4,FALSE))</f>
        <v/>
      </c>
      <c r="E848" s="27">
        <f>IF($A848="","",MIN(Settings!$B$8,IFERROR(SUMIF(Weekly_Coaching!$B:$B,$A848,Weekly_Coaching!$D:$D),0)+IFERROR(SUMIF(Monthly_Edu!$B:$B,$A848,Monthly_Edu!$D:$D),0)+IFERROR(SUMIF(Monthly_Ops!$B:$B,$A848,Monthly_Ops!$D:$D),0)+IFERROR(SUMIF(Monthly_Mentor!$B:$B,$A848,Monthly_Mentor!$D:$D),0)+IFERROR(SUMIF(Quarterly_Impact!$B:$B,$A848,Quarterly_Impact!$D:$D),0)+IFERROR(SUMIFS(XPLog!$M:$M,XPLog!$B:$B,$A848,XPLog!$J:$J,"Admin"),0)+IFERROR(SUMIFS(XPLog!$M:$M,XPLog!$B:$B,$A848,XPLog!$J:$J,"Seeding"),0)))</f>
        <v/>
      </c>
      <c r="F848" s="27">
        <f>IF($E848="","",LOOKUP($E848, XPBands!B$2:B$10, XPBands!A$2:A$10))</f>
        <v/>
      </c>
      <c r="G848" s="27">
        <f>IF($E848="","", VLOOKUP($F848, XPBands!A$2:G$10, 4, FALSE) + MIN(VLOOKUP($F848, XPBands!A$2:G$10, 5, FALSE) - VLOOKUP($F848, XPBands!A$2:G$10, 4, FALSE), FLOOR(( $E848 - VLOOKUP($F848, XPBands!A$2:G$10, 2, FALSE) ) / VLOOKUP($F848, XPBands!A$2:G$10, 7, FALSE),1)))</f>
        <v/>
      </c>
      <c r="H848" s="27">
        <f>IF($D848="","",VLOOKUP($D848,RoleTitles!$A:$E,3,FALSE))</f>
        <v/>
      </c>
      <c r="I848" s="27">
        <f>IF($D848="","",IF($C848="Greek",VLOOKUP($D848,RoleTitles!$A:$E,4,FALSE),IF($C848="Aesir",VLOOKUP($D848,RoleTitles!$A:$E,5,FALSE),VLOOKUP($D848,RoleTitles!$A:$E,3,FALSE))))</f>
        <v/>
      </c>
      <c r="J848" s="27">
        <f>IF($D848="","",IF($E848&gt;=VLOOKUP($D848,RoleTitles!$A:$B,2,FALSE),"Yes","No"))</f>
        <v/>
      </c>
      <c r="K848" s="27">
        <f>IF($D848="","",IF($D848="T1","T2",IF($D848="T2","T3",IF($D848="T3","T4",IF($D848="T4","T5",IF($D848="T5","T6",IF($D848="T6","T7",IF($D848="T7","T8",IF($D848="T8","T9","")))))))))</f>
        <v/>
      </c>
      <c r="L848" s="28">
        <f>IF($K848="","",MAX(0,VLOOKUP($K848,RoleTitles!$A:$B,2,FALSE)-$E848))</f>
        <v/>
      </c>
    </row>
    <row r="849">
      <c r="A849" s="24">
        <f>IFERROR(INDEX(CoachRoster!$A$2:$A$1000,ROW()-1),"")</f>
        <v/>
      </c>
      <c r="B849" s="27">
        <f>IF($A849="","",VLOOKUP($A849,CoachRoster!$A:$E,2,FALSE))</f>
        <v/>
      </c>
      <c r="C849" s="27">
        <f>IF($A849="","",VLOOKUP($A849,CoachRoster!$A:$E,3,FALSE))</f>
        <v/>
      </c>
      <c r="D849" s="27">
        <f>IF($A849="","",VLOOKUP($A849,CoachRoster!$A:$E,4,FALSE))</f>
        <v/>
      </c>
      <c r="E849" s="27">
        <f>IF($A849="","",MIN(Settings!$B$8,IFERROR(SUMIF(Weekly_Coaching!$B:$B,$A849,Weekly_Coaching!$D:$D),0)+IFERROR(SUMIF(Monthly_Edu!$B:$B,$A849,Monthly_Edu!$D:$D),0)+IFERROR(SUMIF(Monthly_Ops!$B:$B,$A849,Monthly_Ops!$D:$D),0)+IFERROR(SUMIF(Monthly_Mentor!$B:$B,$A849,Monthly_Mentor!$D:$D),0)+IFERROR(SUMIF(Quarterly_Impact!$B:$B,$A849,Quarterly_Impact!$D:$D),0)+IFERROR(SUMIFS(XPLog!$M:$M,XPLog!$B:$B,$A849,XPLog!$J:$J,"Admin"),0)+IFERROR(SUMIFS(XPLog!$M:$M,XPLog!$B:$B,$A849,XPLog!$J:$J,"Seeding"),0)))</f>
        <v/>
      </c>
      <c r="F849" s="27">
        <f>IF($E849="","",LOOKUP($E849, XPBands!B$2:B$10, XPBands!A$2:A$10))</f>
        <v/>
      </c>
      <c r="G849" s="27">
        <f>IF($E849="","", VLOOKUP($F849, XPBands!A$2:G$10, 4, FALSE) + MIN(VLOOKUP($F849, XPBands!A$2:G$10, 5, FALSE) - VLOOKUP($F849, XPBands!A$2:G$10, 4, FALSE), FLOOR(( $E849 - VLOOKUP($F849, XPBands!A$2:G$10, 2, FALSE) ) / VLOOKUP($F849, XPBands!A$2:G$10, 7, FALSE),1)))</f>
        <v/>
      </c>
      <c r="H849" s="27">
        <f>IF($D849="","",VLOOKUP($D849,RoleTitles!$A:$E,3,FALSE))</f>
        <v/>
      </c>
      <c r="I849" s="27">
        <f>IF($D849="","",IF($C849="Greek",VLOOKUP($D849,RoleTitles!$A:$E,4,FALSE),IF($C849="Aesir",VLOOKUP($D849,RoleTitles!$A:$E,5,FALSE),VLOOKUP($D849,RoleTitles!$A:$E,3,FALSE))))</f>
        <v/>
      </c>
      <c r="J849" s="27">
        <f>IF($D849="","",IF($E849&gt;=VLOOKUP($D849,RoleTitles!$A:$B,2,FALSE),"Yes","No"))</f>
        <v/>
      </c>
      <c r="K849" s="27">
        <f>IF($D849="","",IF($D849="T1","T2",IF($D849="T2","T3",IF($D849="T3","T4",IF($D849="T4","T5",IF($D849="T5","T6",IF($D849="T6","T7",IF($D849="T7","T8",IF($D849="T8","T9","")))))))))</f>
        <v/>
      </c>
      <c r="L849" s="28">
        <f>IF($K849="","",MAX(0,VLOOKUP($K849,RoleTitles!$A:$B,2,FALSE)-$E849))</f>
        <v/>
      </c>
    </row>
    <row r="850">
      <c r="A850" s="24">
        <f>IFERROR(INDEX(CoachRoster!$A$2:$A$1000,ROW()-1),"")</f>
        <v/>
      </c>
      <c r="B850" s="27">
        <f>IF($A850="","",VLOOKUP($A850,CoachRoster!$A:$E,2,FALSE))</f>
        <v/>
      </c>
      <c r="C850" s="27">
        <f>IF($A850="","",VLOOKUP($A850,CoachRoster!$A:$E,3,FALSE))</f>
        <v/>
      </c>
      <c r="D850" s="27">
        <f>IF($A850="","",VLOOKUP($A850,CoachRoster!$A:$E,4,FALSE))</f>
        <v/>
      </c>
      <c r="E850" s="27">
        <f>IF($A850="","",MIN(Settings!$B$8,IFERROR(SUMIF(Weekly_Coaching!$B:$B,$A850,Weekly_Coaching!$D:$D),0)+IFERROR(SUMIF(Monthly_Edu!$B:$B,$A850,Monthly_Edu!$D:$D),0)+IFERROR(SUMIF(Monthly_Ops!$B:$B,$A850,Monthly_Ops!$D:$D),0)+IFERROR(SUMIF(Monthly_Mentor!$B:$B,$A850,Monthly_Mentor!$D:$D),0)+IFERROR(SUMIF(Quarterly_Impact!$B:$B,$A850,Quarterly_Impact!$D:$D),0)+IFERROR(SUMIFS(XPLog!$M:$M,XPLog!$B:$B,$A850,XPLog!$J:$J,"Admin"),0)+IFERROR(SUMIFS(XPLog!$M:$M,XPLog!$B:$B,$A850,XPLog!$J:$J,"Seeding"),0)))</f>
        <v/>
      </c>
      <c r="F850" s="27">
        <f>IF($E850="","",LOOKUP($E850, XPBands!B$2:B$10, XPBands!A$2:A$10))</f>
        <v/>
      </c>
      <c r="G850" s="27">
        <f>IF($E850="","", VLOOKUP($F850, XPBands!A$2:G$10, 4, FALSE) + MIN(VLOOKUP($F850, XPBands!A$2:G$10, 5, FALSE) - VLOOKUP($F850, XPBands!A$2:G$10, 4, FALSE), FLOOR(( $E850 - VLOOKUP($F850, XPBands!A$2:G$10, 2, FALSE) ) / VLOOKUP($F850, XPBands!A$2:G$10, 7, FALSE),1)))</f>
        <v/>
      </c>
      <c r="H850" s="27">
        <f>IF($D850="","",VLOOKUP($D850,RoleTitles!$A:$E,3,FALSE))</f>
        <v/>
      </c>
      <c r="I850" s="27">
        <f>IF($D850="","",IF($C850="Greek",VLOOKUP($D850,RoleTitles!$A:$E,4,FALSE),IF($C850="Aesir",VLOOKUP($D850,RoleTitles!$A:$E,5,FALSE),VLOOKUP($D850,RoleTitles!$A:$E,3,FALSE))))</f>
        <v/>
      </c>
      <c r="J850" s="27">
        <f>IF($D850="","",IF($E850&gt;=VLOOKUP($D850,RoleTitles!$A:$B,2,FALSE),"Yes","No"))</f>
        <v/>
      </c>
      <c r="K850" s="27">
        <f>IF($D850="","",IF($D850="T1","T2",IF($D850="T2","T3",IF($D850="T3","T4",IF($D850="T4","T5",IF($D850="T5","T6",IF($D850="T6","T7",IF($D850="T7","T8",IF($D850="T8","T9","")))))))))</f>
        <v/>
      </c>
      <c r="L850" s="28">
        <f>IF($K850="","",MAX(0,VLOOKUP($K850,RoleTitles!$A:$B,2,FALSE)-$E850))</f>
        <v/>
      </c>
    </row>
    <row r="851">
      <c r="A851" s="24">
        <f>IFERROR(INDEX(CoachRoster!$A$2:$A$1000,ROW()-1),"")</f>
        <v/>
      </c>
      <c r="B851" s="27">
        <f>IF($A851="","",VLOOKUP($A851,CoachRoster!$A:$E,2,FALSE))</f>
        <v/>
      </c>
      <c r="C851" s="27">
        <f>IF($A851="","",VLOOKUP($A851,CoachRoster!$A:$E,3,FALSE))</f>
        <v/>
      </c>
      <c r="D851" s="27">
        <f>IF($A851="","",VLOOKUP($A851,CoachRoster!$A:$E,4,FALSE))</f>
        <v/>
      </c>
      <c r="E851" s="27">
        <f>IF($A851="","",MIN(Settings!$B$8,IFERROR(SUMIF(Weekly_Coaching!$B:$B,$A851,Weekly_Coaching!$D:$D),0)+IFERROR(SUMIF(Monthly_Edu!$B:$B,$A851,Monthly_Edu!$D:$D),0)+IFERROR(SUMIF(Monthly_Ops!$B:$B,$A851,Monthly_Ops!$D:$D),0)+IFERROR(SUMIF(Monthly_Mentor!$B:$B,$A851,Monthly_Mentor!$D:$D),0)+IFERROR(SUMIF(Quarterly_Impact!$B:$B,$A851,Quarterly_Impact!$D:$D),0)+IFERROR(SUMIFS(XPLog!$M:$M,XPLog!$B:$B,$A851,XPLog!$J:$J,"Admin"),0)+IFERROR(SUMIFS(XPLog!$M:$M,XPLog!$B:$B,$A851,XPLog!$J:$J,"Seeding"),0)))</f>
        <v/>
      </c>
      <c r="F851" s="27">
        <f>IF($E851="","",LOOKUP($E851, XPBands!B$2:B$10, XPBands!A$2:A$10))</f>
        <v/>
      </c>
      <c r="G851" s="27">
        <f>IF($E851="","", VLOOKUP($F851, XPBands!A$2:G$10, 4, FALSE) + MIN(VLOOKUP($F851, XPBands!A$2:G$10, 5, FALSE) - VLOOKUP($F851, XPBands!A$2:G$10, 4, FALSE), FLOOR(( $E851 - VLOOKUP($F851, XPBands!A$2:G$10, 2, FALSE) ) / VLOOKUP($F851, XPBands!A$2:G$10, 7, FALSE),1)))</f>
        <v/>
      </c>
      <c r="H851" s="27">
        <f>IF($D851="","",VLOOKUP($D851,RoleTitles!$A:$E,3,FALSE))</f>
        <v/>
      </c>
      <c r="I851" s="27">
        <f>IF($D851="","",IF($C851="Greek",VLOOKUP($D851,RoleTitles!$A:$E,4,FALSE),IF($C851="Aesir",VLOOKUP($D851,RoleTitles!$A:$E,5,FALSE),VLOOKUP($D851,RoleTitles!$A:$E,3,FALSE))))</f>
        <v/>
      </c>
      <c r="J851" s="27">
        <f>IF($D851="","",IF($E851&gt;=VLOOKUP($D851,RoleTitles!$A:$B,2,FALSE),"Yes","No"))</f>
        <v/>
      </c>
      <c r="K851" s="27">
        <f>IF($D851="","",IF($D851="T1","T2",IF($D851="T2","T3",IF($D851="T3","T4",IF($D851="T4","T5",IF($D851="T5","T6",IF($D851="T6","T7",IF($D851="T7","T8",IF($D851="T8","T9","")))))))))</f>
        <v/>
      </c>
      <c r="L851" s="28">
        <f>IF($K851="","",MAX(0,VLOOKUP($K851,RoleTitles!$A:$B,2,FALSE)-$E851))</f>
        <v/>
      </c>
    </row>
    <row r="852">
      <c r="A852" s="24">
        <f>IFERROR(INDEX(CoachRoster!$A$2:$A$1000,ROW()-1),"")</f>
        <v/>
      </c>
      <c r="B852" s="27">
        <f>IF($A852="","",VLOOKUP($A852,CoachRoster!$A:$E,2,FALSE))</f>
        <v/>
      </c>
      <c r="C852" s="27">
        <f>IF($A852="","",VLOOKUP($A852,CoachRoster!$A:$E,3,FALSE))</f>
        <v/>
      </c>
      <c r="D852" s="27">
        <f>IF($A852="","",VLOOKUP($A852,CoachRoster!$A:$E,4,FALSE))</f>
        <v/>
      </c>
      <c r="E852" s="27">
        <f>IF($A852="","",MIN(Settings!$B$8,IFERROR(SUMIF(Weekly_Coaching!$B:$B,$A852,Weekly_Coaching!$D:$D),0)+IFERROR(SUMIF(Monthly_Edu!$B:$B,$A852,Monthly_Edu!$D:$D),0)+IFERROR(SUMIF(Monthly_Ops!$B:$B,$A852,Monthly_Ops!$D:$D),0)+IFERROR(SUMIF(Monthly_Mentor!$B:$B,$A852,Monthly_Mentor!$D:$D),0)+IFERROR(SUMIF(Quarterly_Impact!$B:$B,$A852,Quarterly_Impact!$D:$D),0)+IFERROR(SUMIFS(XPLog!$M:$M,XPLog!$B:$B,$A852,XPLog!$J:$J,"Admin"),0)+IFERROR(SUMIFS(XPLog!$M:$M,XPLog!$B:$B,$A852,XPLog!$J:$J,"Seeding"),0)))</f>
        <v/>
      </c>
      <c r="F852" s="27">
        <f>IF($E852="","",LOOKUP($E852, XPBands!B$2:B$10, XPBands!A$2:A$10))</f>
        <v/>
      </c>
      <c r="G852" s="27">
        <f>IF($E852="","", VLOOKUP($F852, XPBands!A$2:G$10, 4, FALSE) + MIN(VLOOKUP($F852, XPBands!A$2:G$10, 5, FALSE) - VLOOKUP($F852, XPBands!A$2:G$10, 4, FALSE), FLOOR(( $E852 - VLOOKUP($F852, XPBands!A$2:G$10, 2, FALSE) ) / VLOOKUP($F852, XPBands!A$2:G$10, 7, FALSE),1)))</f>
        <v/>
      </c>
      <c r="H852" s="27">
        <f>IF($D852="","",VLOOKUP($D852,RoleTitles!$A:$E,3,FALSE))</f>
        <v/>
      </c>
      <c r="I852" s="27">
        <f>IF($D852="","",IF($C852="Greek",VLOOKUP($D852,RoleTitles!$A:$E,4,FALSE),IF($C852="Aesir",VLOOKUP($D852,RoleTitles!$A:$E,5,FALSE),VLOOKUP($D852,RoleTitles!$A:$E,3,FALSE))))</f>
        <v/>
      </c>
      <c r="J852" s="27">
        <f>IF($D852="","",IF($E852&gt;=VLOOKUP($D852,RoleTitles!$A:$B,2,FALSE),"Yes","No"))</f>
        <v/>
      </c>
      <c r="K852" s="27">
        <f>IF($D852="","",IF($D852="T1","T2",IF($D852="T2","T3",IF($D852="T3","T4",IF($D852="T4","T5",IF($D852="T5","T6",IF($D852="T6","T7",IF($D852="T7","T8",IF($D852="T8","T9","")))))))))</f>
        <v/>
      </c>
      <c r="L852" s="28">
        <f>IF($K852="","",MAX(0,VLOOKUP($K852,RoleTitles!$A:$B,2,FALSE)-$E852))</f>
        <v/>
      </c>
    </row>
    <row r="853">
      <c r="A853" s="24">
        <f>IFERROR(INDEX(CoachRoster!$A$2:$A$1000,ROW()-1),"")</f>
        <v/>
      </c>
      <c r="B853" s="27">
        <f>IF($A853="","",VLOOKUP($A853,CoachRoster!$A:$E,2,FALSE))</f>
        <v/>
      </c>
      <c r="C853" s="27">
        <f>IF($A853="","",VLOOKUP($A853,CoachRoster!$A:$E,3,FALSE))</f>
        <v/>
      </c>
      <c r="D853" s="27">
        <f>IF($A853="","",VLOOKUP($A853,CoachRoster!$A:$E,4,FALSE))</f>
        <v/>
      </c>
      <c r="E853" s="27">
        <f>IF($A853="","",MIN(Settings!$B$8,IFERROR(SUMIF(Weekly_Coaching!$B:$B,$A853,Weekly_Coaching!$D:$D),0)+IFERROR(SUMIF(Monthly_Edu!$B:$B,$A853,Monthly_Edu!$D:$D),0)+IFERROR(SUMIF(Monthly_Ops!$B:$B,$A853,Monthly_Ops!$D:$D),0)+IFERROR(SUMIF(Monthly_Mentor!$B:$B,$A853,Monthly_Mentor!$D:$D),0)+IFERROR(SUMIF(Quarterly_Impact!$B:$B,$A853,Quarterly_Impact!$D:$D),0)+IFERROR(SUMIFS(XPLog!$M:$M,XPLog!$B:$B,$A853,XPLog!$J:$J,"Admin"),0)+IFERROR(SUMIFS(XPLog!$M:$M,XPLog!$B:$B,$A853,XPLog!$J:$J,"Seeding"),0)))</f>
        <v/>
      </c>
      <c r="F853" s="27">
        <f>IF($E853="","",LOOKUP($E853, XPBands!B$2:B$10, XPBands!A$2:A$10))</f>
        <v/>
      </c>
      <c r="G853" s="27">
        <f>IF($E853="","", VLOOKUP($F853, XPBands!A$2:G$10, 4, FALSE) + MIN(VLOOKUP($F853, XPBands!A$2:G$10, 5, FALSE) - VLOOKUP($F853, XPBands!A$2:G$10, 4, FALSE), FLOOR(( $E853 - VLOOKUP($F853, XPBands!A$2:G$10, 2, FALSE) ) / VLOOKUP($F853, XPBands!A$2:G$10, 7, FALSE),1)))</f>
        <v/>
      </c>
      <c r="H853" s="27">
        <f>IF($D853="","",VLOOKUP($D853,RoleTitles!$A:$E,3,FALSE))</f>
        <v/>
      </c>
      <c r="I853" s="27">
        <f>IF($D853="","",IF($C853="Greek",VLOOKUP($D853,RoleTitles!$A:$E,4,FALSE),IF($C853="Aesir",VLOOKUP($D853,RoleTitles!$A:$E,5,FALSE),VLOOKUP($D853,RoleTitles!$A:$E,3,FALSE))))</f>
        <v/>
      </c>
      <c r="J853" s="27">
        <f>IF($D853="","",IF($E853&gt;=VLOOKUP($D853,RoleTitles!$A:$B,2,FALSE),"Yes","No"))</f>
        <v/>
      </c>
      <c r="K853" s="27">
        <f>IF($D853="","",IF($D853="T1","T2",IF($D853="T2","T3",IF($D853="T3","T4",IF($D853="T4","T5",IF($D853="T5","T6",IF($D853="T6","T7",IF($D853="T7","T8",IF($D853="T8","T9","")))))))))</f>
        <v/>
      </c>
      <c r="L853" s="28">
        <f>IF($K853="","",MAX(0,VLOOKUP($K853,RoleTitles!$A:$B,2,FALSE)-$E853))</f>
        <v/>
      </c>
    </row>
    <row r="854">
      <c r="A854" s="24">
        <f>IFERROR(INDEX(CoachRoster!$A$2:$A$1000,ROW()-1),"")</f>
        <v/>
      </c>
      <c r="B854" s="27">
        <f>IF($A854="","",VLOOKUP($A854,CoachRoster!$A:$E,2,FALSE))</f>
        <v/>
      </c>
      <c r="C854" s="27">
        <f>IF($A854="","",VLOOKUP($A854,CoachRoster!$A:$E,3,FALSE))</f>
        <v/>
      </c>
      <c r="D854" s="27">
        <f>IF($A854="","",VLOOKUP($A854,CoachRoster!$A:$E,4,FALSE))</f>
        <v/>
      </c>
      <c r="E854" s="27">
        <f>IF($A854="","",MIN(Settings!$B$8,IFERROR(SUMIF(Weekly_Coaching!$B:$B,$A854,Weekly_Coaching!$D:$D),0)+IFERROR(SUMIF(Monthly_Edu!$B:$B,$A854,Monthly_Edu!$D:$D),0)+IFERROR(SUMIF(Monthly_Ops!$B:$B,$A854,Monthly_Ops!$D:$D),0)+IFERROR(SUMIF(Monthly_Mentor!$B:$B,$A854,Monthly_Mentor!$D:$D),0)+IFERROR(SUMIF(Quarterly_Impact!$B:$B,$A854,Quarterly_Impact!$D:$D),0)+IFERROR(SUMIFS(XPLog!$M:$M,XPLog!$B:$B,$A854,XPLog!$J:$J,"Admin"),0)+IFERROR(SUMIFS(XPLog!$M:$M,XPLog!$B:$B,$A854,XPLog!$J:$J,"Seeding"),0)))</f>
        <v/>
      </c>
      <c r="F854" s="27">
        <f>IF($E854="","",LOOKUP($E854, XPBands!B$2:B$10, XPBands!A$2:A$10))</f>
        <v/>
      </c>
      <c r="G854" s="27">
        <f>IF($E854="","", VLOOKUP($F854, XPBands!A$2:G$10, 4, FALSE) + MIN(VLOOKUP($F854, XPBands!A$2:G$10, 5, FALSE) - VLOOKUP($F854, XPBands!A$2:G$10, 4, FALSE), FLOOR(( $E854 - VLOOKUP($F854, XPBands!A$2:G$10, 2, FALSE) ) / VLOOKUP($F854, XPBands!A$2:G$10, 7, FALSE),1)))</f>
        <v/>
      </c>
      <c r="H854" s="27">
        <f>IF($D854="","",VLOOKUP($D854,RoleTitles!$A:$E,3,FALSE))</f>
        <v/>
      </c>
      <c r="I854" s="27">
        <f>IF($D854="","",IF($C854="Greek",VLOOKUP($D854,RoleTitles!$A:$E,4,FALSE),IF($C854="Aesir",VLOOKUP($D854,RoleTitles!$A:$E,5,FALSE),VLOOKUP($D854,RoleTitles!$A:$E,3,FALSE))))</f>
        <v/>
      </c>
      <c r="J854" s="27">
        <f>IF($D854="","",IF($E854&gt;=VLOOKUP($D854,RoleTitles!$A:$B,2,FALSE),"Yes","No"))</f>
        <v/>
      </c>
      <c r="K854" s="27">
        <f>IF($D854="","",IF($D854="T1","T2",IF($D854="T2","T3",IF($D854="T3","T4",IF($D854="T4","T5",IF($D854="T5","T6",IF($D854="T6","T7",IF($D854="T7","T8",IF($D854="T8","T9","")))))))))</f>
        <v/>
      </c>
      <c r="L854" s="28">
        <f>IF($K854="","",MAX(0,VLOOKUP($K854,RoleTitles!$A:$B,2,FALSE)-$E854))</f>
        <v/>
      </c>
    </row>
    <row r="855">
      <c r="A855" s="24">
        <f>IFERROR(INDEX(CoachRoster!$A$2:$A$1000,ROW()-1),"")</f>
        <v/>
      </c>
      <c r="B855" s="27">
        <f>IF($A855="","",VLOOKUP($A855,CoachRoster!$A:$E,2,FALSE))</f>
        <v/>
      </c>
      <c r="C855" s="27">
        <f>IF($A855="","",VLOOKUP($A855,CoachRoster!$A:$E,3,FALSE))</f>
        <v/>
      </c>
      <c r="D855" s="27">
        <f>IF($A855="","",VLOOKUP($A855,CoachRoster!$A:$E,4,FALSE))</f>
        <v/>
      </c>
      <c r="E855" s="27">
        <f>IF($A855="","",MIN(Settings!$B$8,IFERROR(SUMIF(Weekly_Coaching!$B:$B,$A855,Weekly_Coaching!$D:$D),0)+IFERROR(SUMIF(Monthly_Edu!$B:$B,$A855,Monthly_Edu!$D:$D),0)+IFERROR(SUMIF(Monthly_Ops!$B:$B,$A855,Monthly_Ops!$D:$D),0)+IFERROR(SUMIF(Monthly_Mentor!$B:$B,$A855,Monthly_Mentor!$D:$D),0)+IFERROR(SUMIF(Quarterly_Impact!$B:$B,$A855,Quarterly_Impact!$D:$D),0)+IFERROR(SUMIFS(XPLog!$M:$M,XPLog!$B:$B,$A855,XPLog!$J:$J,"Admin"),0)+IFERROR(SUMIFS(XPLog!$M:$M,XPLog!$B:$B,$A855,XPLog!$J:$J,"Seeding"),0)))</f>
        <v/>
      </c>
      <c r="F855" s="27">
        <f>IF($E855="","",LOOKUP($E855, XPBands!B$2:B$10, XPBands!A$2:A$10))</f>
        <v/>
      </c>
      <c r="G855" s="27">
        <f>IF($E855="","", VLOOKUP($F855, XPBands!A$2:G$10, 4, FALSE) + MIN(VLOOKUP($F855, XPBands!A$2:G$10, 5, FALSE) - VLOOKUP($F855, XPBands!A$2:G$10, 4, FALSE), FLOOR(( $E855 - VLOOKUP($F855, XPBands!A$2:G$10, 2, FALSE) ) / VLOOKUP($F855, XPBands!A$2:G$10, 7, FALSE),1)))</f>
        <v/>
      </c>
      <c r="H855" s="27">
        <f>IF($D855="","",VLOOKUP($D855,RoleTitles!$A:$E,3,FALSE))</f>
        <v/>
      </c>
      <c r="I855" s="27">
        <f>IF($D855="","",IF($C855="Greek",VLOOKUP($D855,RoleTitles!$A:$E,4,FALSE),IF($C855="Aesir",VLOOKUP($D855,RoleTitles!$A:$E,5,FALSE),VLOOKUP($D855,RoleTitles!$A:$E,3,FALSE))))</f>
        <v/>
      </c>
      <c r="J855" s="27">
        <f>IF($D855="","",IF($E855&gt;=VLOOKUP($D855,RoleTitles!$A:$B,2,FALSE),"Yes","No"))</f>
        <v/>
      </c>
      <c r="K855" s="27">
        <f>IF($D855="","",IF($D855="T1","T2",IF($D855="T2","T3",IF($D855="T3","T4",IF($D855="T4","T5",IF($D855="T5","T6",IF($D855="T6","T7",IF($D855="T7","T8",IF($D855="T8","T9","")))))))))</f>
        <v/>
      </c>
      <c r="L855" s="28">
        <f>IF($K855="","",MAX(0,VLOOKUP($K855,RoleTitles!$A:$B,2,FALSE)-$E855))</f>
        <v/>
      </c>
    </row>
    <row r="856">
      <c r="A856" s="24">
        <f>IFERROR(INDEX(CoachRoster!$A$2:$A$1000,ROW()-1),"")</f>
        <v/>
      </c>
      <c r="B856" s="27">
        <f>IF($A856="","",VLOOKUP($A856,CoachRoster!$A:$E,2,FALSE))</f>
        <v/>
      </c>
      <c r="C856" s="27">
        <f>IF($A856="","",VLOOKUP($A856,CoachRoster!$A:$E,3,FALSE))</f>
        <v/>
      </c>
      <c r="D856" s="27">
        <f>IF($A856="","",VLOOKUP($A856,CoachRoster!$A:$E,4,FALSE))</f>
        <v/>
      </c>
      <c r="E856" s="27">
        <f>IF($A856="","",MIN(Settings!$B$8,IFERROR(SUMIF(Weekly_Coaching!$B:$B,$A856,Weekly_Coaching!$D:$D),0)+IFERROR(SUMIF(Monthly_Edu!$B:$B,$A856,Monthly_Edu!$D:$D),0)+IFERROR(SUMIF(Monthly_Ops!$B:$B,$A856,Monthly_Ops!$D:$D),0)+IFERROR(SUMIF(Monthly_Mentor!$B:$B,$A856,Monthly_Mentor!$D:$D),0)+IFERROR(SUMIF(Quarterly_Impact!$B:$B,$A856,Quarterly_Impact!$D:$D),0)+IFERROR(SUMIFS(XPLog!$M:$M,XPLog!$B:$B,$A856,XPLog!$J:$J,"Admin"),0)+IFERROR(SUMIFS(XPLog!$M:$M,XPLog!$B:$B,$A856,XPLog!$J:$J,"Seeding"),0)))</f>
        <v/>
      </c>
      <c r="F856" s="27">
        <f>IF($E856="","",LOOKUP($E856, XPBands!B$2:B$10, XPBands!A$2:A$10))</f>
        <v/>
      </c>
      <c r="G856" s="27">
        <f>IF($E856="","", VLOOKUP($F856, XPBands!A$2:G$10, 4, FALSE) + MIN(VLOOKUP($F856, XPBands!A$2:G$10, 5, FALSE) - VLOOKUP($F856, XPBands!A$2:G$10, 4, FALSE), FLOOR(( $E856 - VLOOKUP($F856, XPBands!A$2:G$10, 2, FALSE) ) / VLOOKUP($F856, XPBands!A$2:G$10, 7, FALSE),1)))</f>
        <v/>
      </c>
      <c r="H856" s="27">
        <f>IF($D856="","",VLOOKUP($D856,RoleTitles!$A:$E,3,FALSE))</f>
        <v/>
      </c>
      <c r="I856" s="27">
        <f>IF($D856="","",IF($C856="Greek",VLOOKUP($D856,RoleTitles!$A:$E,4,FALSE),IF($C856="Aesir",VLOOKUP($D856,RoleTitles!$A:$E,5,FALSE),VLOOKUP($D856,RoleTitles!$A:$E,3,FALSE))))</f>
        <v/>
      </c>
      <c r="J856" s="27">
        <f>IF($D856="","",IF($E856&gt;=VLOOKUP($D856,RoleTitles!$A:$B,2,FALSE),"Yes","No"))</f>
        <v/>
      </c>
      <c r="K856" s="27">
        <f>IF($D856="","",IF($D856="T1","T2",IF($D856="T2","T3",IF($D856="T3","T4",IF($D856="T4","T5",IF($D856="T5","T6",IF($D856="T6","T7",IF($D856="T7","T8",IF($D856="T8","T9","")))))))))</f>
        <v/>
      </c>
      <c r="L856" s="28">
        <f>IF($K856="","",MAX(0,VLOOKUP($K856,RoleTitles!$A:$B,2,FALSE)-$E856))</f>
        <v/>
      </c>
    </row>
    <row r="857">
      <c r="A857" s="24">
        <f>IFERROR(INDEX(CoachRoster!$A$2:$A$1000,ROW()-1),"")</f>
        <v/>
      </c>
      <c r="B857" s="27">
        <f>IF($A857="","",VLOOKUP($A857,CoachRoster!$A:$E,2,FALSE))</f>
        <v/>
      </c>
      <c r="C857" s="27">
        <f>IF($A857="","",VLOOKUP($A857,CoachRoster!$A:$E,3,FALSE))</f>
        <v/>
      </c>
      <c r="D857" s="27">
        <f>IF($A857="","",VLOOKUP($A857,CoachRoster!$A:$E,4,FALSE))</f>
        <v/>
      </c>
      <c r="E857" s="27">
        <f>IF($A857="","",MIN(Settings!$B$8,IFERROR(SUMIF(Weekly_Coaching!$B:$B,$A857,Weekly_Coaching!$D:$D),0)+IFERROR(SUMIF(Monthly_Edu!$B:$B,$A857,Monthly_Edu!$D:$D),0)+IFERROR(SUMIF(Monthly_Ops!$B:$B,$A857,Monthly_Ops!$D:$D),0)+IFERROR(SUMIF(Monthly_Mentor!$B:$B,$A857,Monthly_Mentor!$D:$D),0)+IFERROR(SUMIF(Quarterly_Impact!$B:$B,$A857,Quarterly_Impact!$D:$D),0)+IFERROR(SUMIFS(XPLog!$M:$M,XPLog!$B:$B,$A857,XPLog!$J:$J,"Admin"),0)+IFERROR(SUMIFS(XPLog!$M:$M,XPLog!$B:$B,$A857,XPLog!$J:$J,"Seeding"),0)))</f>
        <v/>
      </c>
      <c r="F857" s="27">
        <f>IF($E857="","",LOOKUP($E857, XPBands!B$2:B$10, XPBands!A$2:A$10))</f>
        <v/>
      </c>
      <c r="G857" s="27">
        <f>IF($E857="","", VLOOKUP($F857, XPBands!A$2:G$10, 4, FALSE) + MIN(VLOOKUP($F857, XPBands!A$2:G$10, 5, FALSE) - VLOOKUP($F857, XPBands!A$2:G$10, 4, FALSE), FLOOR(( $E857 - VLOOKUP($F857, XPBands!A$2:G$10, 2, FALSE) ) / VLOOKUP($F857, XPBands!A$2:G$10, 7, FALSE),1)))</f>
        <v/>
      </c>
      <c r="H857" s="27">
        <f>IF($D857="","",VLOOKUP($D857,RoleTitles!$A:$E,3,FALSE))</f>
        <v/>
      </c>
      <c r="I857" s="27">
        <f>IF($D857="","",IF($C857="Greek",VLOOKUP($D857,RoleTitles!$A:$E,4,FALSE),IF($C857="Aesir",VLOOKUP($D857,RoleTitles!$A:$E,5,FALSE),VLOOKUP($D857,RoleTitles!$A:$E,3,FALSE))))</f>
        <v/>
      </c>
      <c r="J857" s="27">
        <f>IF($D857="","",IF($E857&gt;=VLOOKUP($D857,RoleTitles!$A:$B,2,FALSE),"Yes","No"))</f>
        <v/>
      </c>
      <c r="K857" s="27">
        <f>IF($D857="","",IF($D857="T1","T2",IF($D857="T2","T3",IF($D857="T3","T4",IF($D857="T4","T5",IF($D857="T5","T6",IF($D857="T6","T7",IF($D857="T7","T8",IF($D857="T8","T9","")))))))))</f>
        <v/>
      </c>
      <c r="L857" s="28">
        <f>IF($K857="","",MAX(0,VLOOKUP($K857,RoleTitles!$A:$B,2,FALSE)-$E857))</f>
        <v/>
      </c>
    </row>
    <row r="858">
      <c r="A858" s="24">
        <f>IFERROR(INDEX(CoachRoster!$A$2:$A$1000,ROW()-1),"")</f>
        <v/>
      </c>
      <c r="B858" s="27">
        <f>IF($A858="","",VLOOKUP($A858,CoachRoster!$A:$E,2,FALSE))</f>
        <v/>
      </c>
      <c r="C858" s="27">
        <f>IF($A858="","",VLOOKUP($A858,CoachRoster!$A:$E,3,FALSE))</f>
        <v/>
      </c>
      <c r="D858" s="27">
        <f>IF($A858="","",VLOOKUP($A858,CoachRoster!$A:$E,4,FALSE))</f>
        <v/>
      </c>
      <c r="E858" s="27">
        <f>IF($A858="","",MIN(Settings!$B$8,IFERROR(SUMIF(Weekly_Coaching!$B:$B,$A858,Weekly_Coaching!$D:$D),0)+IFERROR(SUMIF(Monthly_Edu!$B:$B,$A858,Monthly_Edu!$D:$D),0)+IFERROR(SUMIF(Monthly_Ops!$B:$B,$A858,Monthly_Ops!$D:$D),0)+IFERROR(SUMIF(Monthly_Mentor!$B:$B,$A858,Monthly_Mentor!$D:$D),0)+IFERROR(SUMIF(Quarterly_Impact!$B:$B,$A858,Quarterly_Impact!$D:$D),0)+IFERROR(SUMIFS(XPLog!$M:$M,XPLog!$B:$B,$A858,XPLog!$J:$J,"Admin"),0)+IFERROR(SUMIFS(XPLog!$M:$M,XPLog!$B:$B,$A858,XPLog!$J:$J,"Seeding"),0)))</f>
        <v/>
      </c>
      <c r="F858" s="27">
        <f>IF($E858="","",LOOKUP($E858, XPBands!B$2:B$10, XPBands!A$2:A$10))</f>
        <v/>
      </c>
      <c r="G858" s="27">
        <f>IF($E858="","", VLOOKUP($F858, XPBands!A$2:G$10, 4, FALSE) + MIN(VLOOKUP($F858, XPBands!A$2:G$10, 5, FALSE) - VLOOKUP($F858, XPBands!A$2:G$10, 4, FALSE), FLOOR(( $E858 - VLOOKUP($F858, XPBands!A$2:G$10, 2, FALSE) ) / VLOOKUP($F858, XPBands!A$2:G$10, 7, FALSE),1)))</f>
        <v/>
      </c>
      <c r="H858" s="27">
        <f>IF($D858="","",VLOOKUP($D858,RoleTitles!$A:$E,3,FALSE))</f>
        <v/>
      </c>
      <c r="I858" s="27">
        <f>IF($D858="","",IF($C858="Greek",VLOOKUP($D858,RoleTitles!$A:$E,4,FALSE),IF($C858="Aesir",VLOOKUP($D858,RoleTitles!$A:$E,5,FALSE),VLOOKUP($D858,RoleTitles!$A:$E,3,FALSE))))</f>
        <v/>
      </c>
      <c r="J858" s="27">
        <f>IF($D858="","",IF($E858&gt;=VLOOKUP($D858,RoleTitles!$A:$B,2,FALSE),"Yes","No"))</f>
        <v/>
      </c>
      <c r="K858" s="27">
        <f>IF($D858="","",IF($D858="T1","T2",IF($D858="T2","T3",IF($D858="T3","T4",IF($D858="T4","T5",IF($D858="T5","T6",IF($D858="T6","T7",IF($D858="T7","T8",IF($D858="T8","T9","")))))))))</f>
        <v/>
      </c>
      <c r="L858" s="28">
        <f>IF($K858="","",MAX(0,VLOOKUP($K858,RoleTitles!$A:$B,2,FALSE)-$E858))</f>
        <v/>
      </c>
    </row>
    <row r="859">
      <c r="A859" s="24">
        <f>IFERROR(INDEX(CoachRoster!$A$2:$A$1000,ROW()-1),"")</f>
        <v/>
      </c>
      <c r="B859" s="27">
        <f>IF($A859="","",VLOOKUP($A859,CoachRoster!$A:$E,2,FALSE))</f>
        <v/>
      </c>
      <c r="C859" s="27">
        <f>IF($A859="","",VLOOKUP($A859,CoachRoster!$A:$E,3,FALSE))</f>
        <v/>
      </c>
      <c r="D859" s="27">
        <f>IF($A859="","",VLOOKUP($A859,CoachRoster!$A:$E,4,FALSE))</f>
        <v/>
      </c>
      <c r="E859" s="27">
        <f>IF($A859="","",MIN(Settings!$B$8,IFERROR(SUMIF(Weekly_Coaching!$B:$B,$A859,Weekly_Coaching!$D:$D),0)+IFERROR(SUMIF(Monthly_Edu!$B:$B,$A859,Monthly_Edu!$D:$D),0)+IFERROR(SUMIF(Monthly_Ops!$B:$B,$A859,Monthly_Ops!$D:$D),0)+IFERROR(SUMIF(Monthly_Mentor!$B:$B,$A859,Monthly_Mentor!$D:$D),0)+IFERROR(SUMIF(Quarterly_Impact!$B:$B,$A859,Quarterly_Impact!$D:$D),0)+IFERROR(SUMIFS(XPLog!$M:$M,XPLog!$B:$B,$A859,XPLog!$J:$J,"Admin"),0)+IFERROR(SUMIFS(XPLog!$M:$M,XPLog!$B:$B,$A859,XPLog!$J:$J,"Seeding"),0)))</f>
        <v/>
      </c>
      <c r="F859" s="27">
        <f>IF($E859="","",LOOKUP($E859, XPBands!B$2:B$10, XPBands!A$2:A$10))</f>
        <v/>
      </c>
      <c r="G859" s="27">
        <f>IF($E859="","", VLOOKUP($F859, XPBands!A$2:G$10, 4, FALSE) + MIN(VLOOKUP($F859, XPBands!A$2:G$10, 5, FALSE) - VLOOKUP($F859, XPBands!A$2:G$10, 4, FALSE), FLOOR(( $E859 - VLOOKUP($F859, XPBands!A$2:G$10, 2, FALSE) ) / VLOOKUP($F859, XPBands!A$2:G$10, 7, FALSE),1)))</f>
        <v/>
      </c>
      <c r="H859" s="27">
        <f>IF($D859="","",VLOOKUP($D859,RoleTitles!$A:$E,3,FALSE))</f>
        <v/>
      </c>
      <c r="I859" s="27">
        <f>IF($D859="","",IF($C859="Greek",VLOOKUP($D859,RoleTitles!$A:$E,4,FALSE),IF($C859="Aesir",VLOOKUP($D859,RoleTitles!$A:$E,5,FALSE),VLOOKUP($D859,RoleTitles!$A:$E,3,FALSE))))</f>
        <v/>
      </c>
      <c r="J859" s="27">
        <f>IF($D859="","",IF($E859&gt;=VLOOKUP($D859,RoleTitles!$A:$B,2,FALSE),"Yes","No"))</f>
        <v/>
      </c>
      <c r="K859" s="27">
        <f>IF($D859="","",IF($D859="T1","T2",IF($D859="T2","T3",IF($D859="T3","T4",IF($D859="T4","T5",IF($D859="T5","T6",IF($D859="T6","T7",IF($D859="T7","T8",IF($D859="T8","T9","")))))))))</f>
        <v/>
      </c>
      <c r="L859" s="28">
        <f>IF($K859="","",MAX(0,VLOOKUP($K859,RoleTitles!$A:$B,2,FALSE)-$E859))</f>
        <v/>
      </c>
    </row>
    <row r="860">
      <c r="A860" s="24">
        <f>IFERROR(INDEX(CoachRoster!$A$2:$A$1000,ROW()-1),"")</f>
        <v/>
      </c>
      <c r="B860" s="27">
        <f>IF($A860="","",VLOOKUP($A860,CoachRoster!$A:$E,2,FALSE))</f>
        <v/>
      </c>
      <c r="C860" s="27">
        <f>IF($A860="","",VLOOKUP($A860,CoachRoster!$A:$E,3,FALSE))</f>
        <v/>
      </c>
      <c r="D860" s="27">
        <f>IF($A860="","",VLOOKUP($A860,CoachRoster!$A:$E,4,FALSE))</f>
        <v/>
      </c>
      <c r="E860" s="27">
        <f>IF($A860="","",MIN(Settings!$B$8,IFERROR(SUMIF(Weekly_Coaching!$B:$B,$A860,Weekly_Coaching!$D:$D),0)+IFERROR(SUMIF(Monthly_Edu!$B:$B,$A860,Monthly_Edu!$D:$D),0)+IFERROR(SUMIF(Monthly_Ops!$B:$B,$A860,Monthly_Ops!$D:$D),0)+IFERROR(SUMIF(Monthly_Mentor!$B:$B,$A860,Monthly_Mentor!$D:$D),0)+IFERROR(SUMIF(Quarterly_Impact!$B:$B,$A860,Quarterly_Impact!$D:$D),0)+IFERROR(SUMIFS(XPLog!$M:$M,XPLog!$B:$B,$A860,XPLog!$J:$J,"Admin"),0)+IFERROR(SUMIFS(XPLog!$M:$M,XPLog!$B:$B,$A860,XPLog!$J:$J,"Seeding"),0)))</f>
        <v/>
      </c>
      <c r="F860" s="27">
        <f>IF($E860="","",LOOKUP($E860, XPBands!B$2:B$10, XPBands!A$2:A$10))</f>
        <v/>
      </c>
      <c r="G860" s="27">
        <f>IF($E860="","", VLOOKUP($F860, XPBands!A$2:G$10, 4, FALSE) + MIN(VLOOKUP($F860, XPBands!A$2:G$10, 5, FALSE) - VLOOKUP($F860, XPBands!A$2:G$10, 4, FALSE), FLOOR(( $E860 - VLOOKUP($F860, XPBands!A$2:G$10, 2, FALSE) ) / VLOOKUP($F860, XPBands!A$2:G$10, 7, FALSE),1)))</f>
        <v/>
      </c>
      <c r="H860" s="27">
        <f>IF($D860="","",VLOOKUP($D860,RoleTitles!$A:$E,3,FALSE))</f>
        <v/>
      </c>
      <c r="I860" s="27">
        <f>IF($D860="","",IF($C860="Greek",VLOOKUP($D860,RoleTitles!$A:$E,4,FALSE),IF($C860="Aesir",VLOOKUP($D860,RoleTitles!$A:$E,5,FALSE),VLOOKUP($D860,RoleTitles!$A:$E,3,FALSE))))</f>
        <v/>
      </c>
      <c r="J860" s="27">
        <f>IF($D860="","",IF($E860&gt;=VLOOKUP($D860,RoleTitles!$A:$B,2,FALSE),"Yes","No"))</f>
        <v/>
      </c>
      <c r="K860" s="27">
        <f>IF($D860="","",IF($D860="T1","T2",IF($D860="T2","T3",IF($D860="T3","T4",IF($D860="T4","T5",IF($D860="T5","T6",IF($D860="T6","T7",IF($D860="T7","T8",IF($D860="T8","T9","")))))))))</f>
        <v/>
      </c>
      <c r="L860" s="28">
        <f>IF($K860="","",MAX(0,VLOOKUP($K860,RoleTitles!$A:$B,2,FALSE)-$E860))</f>
        <v/>
      </c>
    </row>
    <row r="861">
      <c r="A861" s="24">
        <f>IFERROR(INDEX(CoachRoster!$A$2:$A$1000,ROW()-1),"")</f>
        <v/>
      </c>
      <c r="B861" s="27">
        <f>IF($A861="","",VLOOKUP($A861,CoachRoster!$A:$E,2,FALSE))</f>
        <v/>
      </c>
      <c r="C861" s="27">
        <f>IF($A861="","",VLOOKUP($A861,CoachRoster!$A:$E,3,FALSE))</f>
        <v/>
      </c>
      <c r="D861" s="27">
        <f>IF($A861="","",VLOOKUP($A861,CoachRoster!$A:$E,4,FALSE))</f>
        <v/>
      </c>
      <c r="E861" s="27">
        <f>IF($A861="","",MIN(Settings!$B$8,IFERROR(SUMIF(Weekly_Coaching!$B:$B,$A861,Weekly_Coaching!$D:$D),0)+IFERROR(SUMIF(Monthly_Edu!$B:$B,$A861,Monthly_Edu!$D:$D),0)+IFERROR(SUMIF(Monthly_Ops!$B:$B,$A861,Monthly_Ops!$D:$D),0)+IFERROR(SUMIF(Monthly_Mentor!$B:$B,$A861,Monthly_Mentor!$D:$D),0)+IFERROR(SUMIF(Quarterly_Impact!$B:$B,$A861,Quarterly_Impact!$D:$D),0)+IFERROR(SUMIFS(XPLog!$M:$M,XPLog!$B:$B,$A861,XPLog!$J:$J,"Admin"),0)+IFERROR(SUMIFS(XPLog!$M:$M,XPLog!$B:$B,$A861,XPLog!$J:$J,"Seeding"),0)))</f>
        <v/>
      </c>
      <c r="F861" s="27">
        <f>IF($E861="","",LOOKUP($E861, XPBands!B$2:B$10, XPBands!A$2:A$10))</f>
        <v/>
      </c>
      <c r="G861" s="27">
        <f>IF($E861="","", VLOOKUP($F861, XPBands!A$2:G$10, 4, FALSE) + MIN(VLOOKUP($F861, XPBands!A$2:G$10, 5, FALSE) - VLOOKUP($F861, XPBands!A$2:G$10, 4, FALSE), FLOOR(( $E861 - VLOOKUP($F861, XPBands!A$2:G$10, 2, FALSE) ) / VLOOKUP($F861, XPBands!A$2:G$10, 7, FALSE),1)))</f>
        <v/>
      </c>
      <c r="H861" s="27">
        <f>IF($D861="","",VLOOKUP($D861,RoleTitles!$A:$E,3,FALSE))</f>
        <v/>
      </c>
      <c r="I861" s="27">
        <f>IF($D861="","",IF($C861="Greek",VLOOKUP($D861,RoleTitles!$A:$E,4,FALSE),IF($C861="Aesir",VLOOKUP($D861,RoleTitles!$A:$E,5,FALSE),VLOOKUP($D861,RoleTitles!$A:$E,3,FALSE))))</f>
        <v/>
      </c>
      <c r="J861" s="27">
        <f>IF($D861="","",IF($E861&gt;=VLOOKUP($D861,RoleTitles!$A:$B,2,FALSE),"Yes","No"))</f>
        <v/>
      </c>
      <c r="K861" s="27">
        <f>IF($D861="","",IF($D861="T1","T2",IF($D861="T2","T3",IF($D861="T3","T4",IF($D861="T4","T5",IF($D861="T5","T6",IF($D861="T6","T7",IF($D861="T7","T8",IF($D861="T8","T9","")))))))))</f>
        <v/>
      </c>
      <c r="L861" s="28">
        <f>IF($K861="","",MAX(0,VLOOKUP($K861,RoleTitles!$A:$B,2,FALSE)-$E861))</f>
        <v/>
      </c>
    </row>
    <row r="862">
      <c r="A862" s="24">
        <f>IFERROR(INDEX(CoachRoster!$A$2:$A$1000,ROW()-1),"")</f>
        <v/>
      </c>
      <c r="B862" s="27">
        <f>IF($A862="","",VLOOKUP($A862,CoachRoster!$A:$E,2,FALSE))</f>
        <v/>
      </c>
      <c r="C862" s="27">
        <f>IF($A862="","",VLOOKUP($A862,CoachRoster!$A:$E,3,FALSE))</f>
        <v/>
      </c>
      <c r="D862" s="27">
        <f>IF($A862="","",VLOOKUP($A862,CoachRoster!$A:$E,4,FALSE))</f>
        <v/>
      </c>
      <c r="E862" s="27">
        <f>IF($A862="","",MIN(Settings!$B$8,IFERROR(SUMIF(Weekly_Coaching!$B:$B,$A862,Weekly_Coaching!$D:$D),0)+IFERROR(SUMIF(Monthly_Edu!$B:$B,$A862,Monthly_Edu!$D:$D),0)+IFERROR(SUMIF(Monthly_Ops!$B:$B,$A862,Monthly_Ops!$D:$D),0)+IFERROR(SUMIF(Monthly_Mentor!$B:$B,$A862,Monthly_Mentor!$D:$D),0)+IFERROR(SUMIF(Quarterly_Impact!$B:$B,$A862,Quarterly_Impact!$D:$D),0)+IFERROR(SUMIFS(XPLog!$M:$M,XPLog!$B:$B,$A862,XPLog!$J:$J,"Admin"),0)+IFERROR(SUMIFS(XPLog!$M:$M,XPLog!$B:$B,$A862,XPLog!$J:$J,"Seeding"),0)))</f>
        <v/>
      </c>
      <c r="F862" s="27">
        <f>IF($E862="","",LOOKUP($E862, XPBands!B$2:B$10, XPBands!A$2:A$10))</f>
        <v/>
      </c>
      <c r="G862" s="27">
        <f>IF($E862="","", VLOOKUP($F862, XPBands!A$2:G$10, 4, FALSE) + MIN(VLOOKUP($F862, XPBands!A$2:G$10, 5, FALSE) - VLOOKUP($F862, XPBands!A$2:G$10, 4, FALSE), FLOOR(( $E862 - VLOOKUP($F862, XPBands!A$2:G$10, 2, FALSE) ) / VLOOKUP($F862, XPBands!A$2:G$10, 7, FALSE),1)))</f>
        <v/>
      </c>
      <c r="H862" s="27">
        <f>IF($D862="","",VLOOKUP($D862,RoleTitles!$A:$E,3,FALSE))</f>
        <v/>
      </c>
      <c r="I862" s="27">
        <f>IF($D862="","",IF($C862="Greek",VLOOKUP($D862,RoleTitles!$A:$E,4,FALSE),IF($C862="Aesir",VLOOKUP($D862,RoleTitles!$A:$E,5,FALSE),VLOOKUP($D862,RoleTitles!$A:$E,3,FALSE))))</f>
        <v/>
      </c>
      <c r="J862" s="27">
        <f>IF($D862="","",IF($E862&gt;=VLOOKUP($D862,RoleTitles!$A:$B,2,FALSE),"Yes","No"))</f>
        <v/>
      </c>
      <c r="K862" s="27">
        <f>IF($D862="","",IF($D862="T1","T2",IF($D862="T2","T3",IF($D862="T3","T4",IF($D862="T4","T5",IF($D862="T5","T6",IF($D862="T6","T7",IF($D862="T7","T8",IF($D862="T8","T9","")))))))))</f>
        <v/>
      </c>
      <c r="L862" s="28">
        <f>IF($K862="","",MAX(0,VLOOKUP($K862,RoleTitles!$A:$B,2,FALSE)-$E862))</f>
        <v/>
      </c>
    </row>
    <row r="863">
      <c r="A863" s="24">
        <f>IFERROR(INDEX(CoachRoster!$A$2:$A$1000,ROW()-1),"")</f>
        <v/>
      </c>
      <c r="B863" s="27">
        <f>IF($A863="","",VLOOKUP($A863,CoachRoster!$A:$E,2,FALSE))</f>
        <v/>
      </c>
      <c r="C863" s="27">
        <f>IF($A863="","",VLOOKUP($A863,CoachRoster!$A:$E,3,FALSE))</f>
        <v/>
      </c>
      <c r="D863" s="27">
        <f>IF($A863="","",VLOOKUP($A863,CoachRoster!$A:$E,4,FALSE))</f>
        <v/>
      </c>
      <c r="E863" s="27">
        <f>IF($A863="","",MIN(Settings!$B$8,IFERROR(SUMIF(Weekly_Coaching!$B:$B,$A863,Weekly_Coaching!$D:$D),0)+IFERROR(SUMIF(Monthly_Edu!$B:$B,$A863,Monthly_Edu!$D:$D),0)+IFERROR(SUMIF(Monthly_Ops!$B:$B,$A863,Monthly_Ops!$D:$D),0)+IFERROR(SUMIF(Monthly_Mentor!$B:$B,$A863,Monthly_Mentor!$D:$D),0)+IFERROR(SUMIF(Quarterly_Impact!$B:$B,$A863,Quarterly_Impact!$D:$D),0)+IFERROR(SUMIFS(XPLog!$M:$M,XPLog!$B:$B,$A863,XPLog!$J:$J,"Admin"),0)+IFERROR(SUMIFS(XPLog!$M:$M,XPLog!$B:$B,$A863,XPLog!$J:$J,"Seeding"),0)))</f>
        <v/>
      </c>
      <c r="F863" s="27">
        <f>IF($E863="","",LOOKUP($E863, XPBands!B$2:B$10, XPBands!A$2:A$10))</f>
        <v/>
      </c>
      <c r="G863" s="27">
        <f>IF($E863="","", VLOOKUP($F863, XPBands!A$2:G$10, 4, FALSE) + MIN(VLOOKUP($F863, XPBands!A$2:G$10, 5, FALSE) - VLOOKUP($F863, XPBands!A$2:G$10, 4, FALSE), FLOOR(( $E863 - VLOOKUP($F863, XPBands!A$2:G$10, 2, FALSE) ) / VLOOKUP($F863, XPBands!A$2:G$10, 7, FALSE),1)))</f>
        <v/>
      </c>
      <c r="H863" s="27">
        <f>IF($D863="","",VLOOKUP($D863,RoleTitles!$A:$E,3,FALSE))</f>
        <v/>
      </c>
      <c r="I863" s="27">
        <f>IF($D863="","",IF($C863="Greek",VLOOKUP($D863,RoleTitles!$A:$E,4,FALSE),IF($C863="Aesir",VLOOKUP($D863,RoleTitles!$A:$E,5,FALSE),VLOOKUP($D863,RoleTitles!$A:$E,3,FALSE))))</f>
        <v/>
      </c>
      <c r="J863" s="27">
        <f>IF($D863="","",IF($E863&gt;=VLOOKUP($D863,RoleTitles!$A:$B,2,FALSE),"Yes","No"))</f>
        <v/>
      </c>
      <c r="K863" s="27">
        <f>IF($D863="","",IF($D863="T1","T2",IF($D863="T2","T3",IF($D863="T3","T4",IF($D863="T4","T5",IF($D863="T5","T6",IF($D863="T6","T7",IF($D863="T7","T8",IF($D863="T8","T9","")))))))))</f>
        <v/>
      </c>
      <c r="L863" s="28">
        <f>IF($K863="","",MAX(0,VLOOKUP($K863,RoleTitles!$A:$B,2,FALSE)-$E863))</f>
        <v/>
      </c>
    </row>
    <row r="864">
      <c r="A864" s="24">
        <f>IFERROR(INDEX(CoachRoster!$A$2:$A$1000,ROW()-1),"")</f>
        <v/>
      </c>
      <c r="B864" s="27">
        <f>IF($A864="","",VLOOKUP($A864,CoachRoster!$A:$E,2,FALSE))</f>
        <v/>
      </c>
      <c r="C864" s="27">
        <f>IF($A864="","",VLOOKUP($A864,CoachRoster!$A:$E,3,FALSE))</f>
        <v/>
      </c>
      <c r="D864" s="27">
        <f>IF($A864="","",VLOOKUP($A864,CoachRoster!$A:$E,4,FALSE))</f>
        <v/>
      </c>
      <c r="E864" s="27">
        <f>IF($A864="","",MIN(Settings!$B$8,IFERROR(SUMIF(Weekly_Coaching!$B:$B,$A864,Weekly_Coaching!$D:$D),0)+IFERROR(SUMIF(Monthly_Edu!$B:$B,$A864,Monthly_Edu!$D:$D),0)+IFERROR(SUMIF(Monthly_Ops!$B:$B,$A864,Monthly_Ops!$D:$D),0)+IFERROR(SUMIF(Monthly_Mentor!$B:$B,$A864,Monthly_Mentor!$D:$D),0)+IFERROR(SUMIF(Quarterly_Impact!$B:$B,$A864,Quarterly_Impact!$D:$D),0)+IFERROR(SUMIFS(XPLog!$M:$M,XPLog!$B:$B,$A864,XPLog!$J:$J,"Admin"),0)+IFERROR(SUMIFS(XPLog!$M:$M,XPLog!$B:$B,$A864,XPLog!$J:$J,"Seeding"),0)))</f>
        <v/>
      </c>
      <c r="F864" s="27">
        <f>IF($E864="","",LOOKUP($E864, XPBands!B$2:B$10, XPBands!A$2:A$10))</f>
        <v/>
      </c>
      <c r="G864" s="27">
        <f>IF($E864="","", VLOOKUP($F864, XPBands!A$2:G$10, 4, FALSE) + MIN(VLOOKUP($F864, XPBands!A$2:G$10, 5, FALSE) - VLOOKUP($F864, XPBands!A$2:G$10, 4, FALSE), FLOOR(( $E864 - VLOOKUP($F864, XPBands!A$2:G$10, 2, FALSE) ) / VLOOKUP($F864, XPBands!A$2:G$10, 7, FALSE),1)))</f>
        <v/>
      </c>
      <c r="H864" s="27">
        <f>IF($D864="","",VLOOKUP($D864,RoleTitles!$A:$E,3,FALSE))</f>
        <v/>
      </c>
      <c r="I864" s="27">
        <f>IF($D864="","",IF($C864="Greek",VLOOKUP($D864,RoleTitles!$A:$E,4,FALSE),IF($C864="Aesir",VLOOKUP($D864,RoleTitles!$A:$E,5,FALSE),VLOOKUP($D864,RoleTitles!$A:$E,3,FALSE))))</f>
        <v/>
      </c>
      <c r="J864" s="27">
        <f>IF($D864="","",IF($E864&gt;=VLOOKUP($D864,RoleTitles!$A:$B,2,FALSE),"Yes","No"))</f>
        <v/>
      </c>
      <c r="K864" s="27">
        <f>IF($D864="","",IF($D864="T1","T2",IF($D864="T2","T3",IF($D864="T3","T4",IF($D864="T4","T5",IF($D864="T5","T6",IF($D864="T6","T7",IF($D864="T7","T8",IF($D864="T8","T9","")))))))))</f>
        <v/>
      </c>
      <c r="L864" s="28">
        <f>IF($K864="","",MAX(0,VLOOKUP($K864,RoleTitles!$A:$B,2,FALSE)-$E864))</f>
        <v/>
      </c>
    </row>
    <row r="865">
      <c r="A865" s="24">
        <f>IFERROR(INDEX(CoachRoster!$A$2:$A$1000,ROW()-1),"")</f>
        <v/>
      </c>
      <c r="B865" s="27">
        <f>IF($A865="","",VLOOKUP($A865,CoachRoster!$A:$E,2,FALSE))</f>
        <v/>
      </c>
      <c r="C865" s="27">
        <f>IF($A865="","",VLOOKUP($A865,CoachRoster!$A:$E,3,FALSE))</f>
        <v/>
      </c>
      <c r="D865" s="27">
        <f>IF($A865="","",VLOOKUP($A865,CoachRoster!$A:$E,4,FALSE))</f>
        <v/>
      </c>
      <c r="E865" s="27">
        <f>IF($A865="","",MIN(Settings!$B$8,IFERROR(SUMIF(Weekly_Coaching!$B:$B,$A865,Weekly_Coaching!$D:$D),0)+IFERROR(SUMIF(Monthly_Edu!$B:$B,$A865,Monthly_Edu!$D:$D),0)+IFERROR(SUMIF(Monthly_Ops!$B:$B,$A865,Monthly_Ops!$D:$D),0)+IFERROR(SUMIF(Monthly_Mentor!$B:$B,$A865,Monthly_Mentor!$D:$D),0)+IFERROR(SUMIF(Quarterly_Impact!$B:$B,$A865,Quarterly_Impact!$D:$D),0)+IFERROR(SUMIFS(XPLog!$M:$M,XPLog!$B:$B,$A865,XPLog!$J:$J,"Admin"),0)+IFERROR(SUMIFS(XPLog!$M:$M,XPLog!$B:$B,$A865,XPLog!$J:$J,"Seeding"),0)))</f>
        <v/>
      </c>
      <c r="F865" s="27">
        <f>IF($E865="","",LOOKUP($E865, XPBands!B$2:B$10, XPBands!A$2:A$10))</f>
        <v/>
      </c>
      <c r="G865" s="27">
        <f>IF($E865="","", VLOOKUP($F865, XPBands!A$2:G$10, 4, FALSE) + MIN(VLOOKUP($F865, XPBands!A$2:G$10, 5, FALSE) - VLOOKUP($F865, XPBands!A$2:G$10, 4, FALSE), FLOOR(( $E865 - VLOOKUP($F865, XPBands!A$2:G$10, 2, FALSE) ) / VLOOKUP($F865, XPBands!A$2:G$10, 7, FALSE),1)))</f>
        <v/>
      </c>
      <c r="H865" s="27">
        <f>IF($D865="","",VLOOKUP($D865,RoleTitles!$A:$E,3,FALSE))</f>
        <v/>
      </c>
      <c r="I865" s="27">
        <f>IF($D865="","",IF($C865="Greek",VLOOKUP($D865,RoleTitles!$A:$E,4,FALSE),IF($C865="Aesir",VLOOKUP($D865,RoleTitles!$A:$E,5,FALSE),VLOOKUP($D865,RoleTitles!$A:$E,3,FALSE))))</f>
        <v/>
      </c>
      <c r="J865" s="27">
        <f>IF($D865="","",IF($E865&gt;=VLOOKUP($D865,RoleTitles!$A:$B,2,FALSE),"Yes","No"))</f>
        <v/>
      </c>
      <c r="K865" s="27">
        <f>IF($D865="","",IF($D865="T1","T2",IF($D865="T2","T3",IF($D865="T3","T4",IF($D865="T4","T5",IF($D865="T5","T6",IF($D865="T6","T7",IF($D865="T7","T8",IF($D865="T8","T9","")))))))))</f>
        <v/>
      </c>
      <c r="L865" s="28">
        <f>IF($K865="","",MAX(0,VLOOKUP($K865,RoleTitles!$A:$B,2,FALSE)-$E865))</f>
        <v/>
      </c>
    </row>
    <row r="866">
      <c r="A866" s="24">
        <f>IFERROR(INDEX(CoachRoster!$A$2:$A$1000,ROW()-1),"")</f>
        <v/>
      </c>
      <c r="B866" s="27">
        <f>IF($A866="","",VLOOKUP($A866,CoachRoster!$A:$E,2,FALSE))</f>
        <v/>
      </c>
      <c r="C866" s="27">
        <f>IF($A866="","",VLOOKUP($A866,CoachRoster!$A:$E,3,FALSE))</f>
        <v/>
      </c>
      <c r="D866" s="27">
        <f>IF($A866="","",VLOOKUP($A866,CoachRoster!$A:$E,4,FALSE))</f>
        <v/>
      </c>
      <c r="E866" s="27">
        <f>IF($A866="","",MIN(Settings!$B$8,IFERROR(SUMIF(Weekly_Coaching!$B:$B,$A866,Weekly_Coaching!$D:$D),0)+IFERROR(SUMIF(Monthly_Edu!$B:$B,$A866,Monthly_Edu!$D:$D),0)+IFERROR(SUMIF(Monthly_Ops!$B:$B,$A866,Monthly_Ops!$D:$D),0)+IFERROR(SUMIF(Monthly_Mentor!$B:$B,$A866,Monthly_Mentor!$D:$D),0)+IFERROR(SUMIF(Quarterly_Impact!$B:$B,$A866,Quarterly_Impact!$D:$D),0)+IFERROR(SUMIFS(XPLog!$M:$M,XPLog!$B:$B,$A866,XPLog!$J:$J,"Admin"),0)+IFERROR(SUMIFS(XPLog!$M:$M,XPLog!$B:$B,$A866,XPLog!$J:$J,"Seeding"),0)))</f>
        <v/>
      </c>
      <c r="F866" s="27">
        <f>IF($E866="","",LOOKUP($E866, XPBands!B$2:B$10, XPBands!A$2:A$10))</f>
        <v/>
      </c>
      <c r="G866" s="27">
        <f>IF($E866="","", VLOOKUP($F866, XPBands!A$2:G$10, 4, FALSE) + MIN(VLOOKUP($F866, XPBands!A$2:G$10, 5, FALSE) - VLOOKUP($F866, XPBands!A$2:G$10, 4, FALSE), FLOOR(( $E866 - VLOOKUP($F866, XPBands!A$2:G$10, 2, FALSE) ) / VLOOKUP($F866, XPBands!A$2:G$10, 7, FALSE),1)))</f>
        <v/>
      </c>
      <c r="H866" s="27">
        <f>IF($D866="","",VLOOKUP($D866,RoleTitles!$A:$E,3,FALSE))</f>
        <v/>
      </c>
      <c r="I866" s="27">
        <f>IF($D866="","",IF($C866="Greek",VLOOKUP($D866,RoleTitles!$A:$E,4,FALSE),IF($C866="Aesir",VLOOKUP($D866,RoleTitles!$A:$E,5,FALSE),VLOOKUP($D866,RoleTitles!$A:$E,3,FALSE))))</f>
        <v/>
      </c>
      <c r="J866" s="27">
        <f>IF($D866="","",IF($E866&gt;=VLOOKUP($D866,RoleTitles!$A:$B,2,FALSE),"Yes","No"))</f>
        <v/>
      </c>
      <c r="K866" s="27">
        <f>IF($D866="","",IF($D866="T1","T2",IF($D866="T2","T3",IF($D866="T3","T4",IF($D866="T4","T5",IF($D866="T5","T6",IF($D866="T6","T7",IF($D866="T7","T8",IF($D866="T8","T9","")))))))))</f>
        <v/>
      </c>
      <c r="L866" s="28">
        <f>IF($K866="","",MAX(0,VLOOKUP($K866,RoleTitles!$A:$B,2,FALSE)-$E866))</f>
        <v/>
      </c>
    </row>
    <row r="867">
      <c r="A867" s="24">
        <f>IFERROR(INDEX(CoachRoster!$A$2:$A$1000,ROW()-1),"")</f>
        <v/>
      </c>
      <c r="B867" s="27">
        <f>IF($A867="","",VLOOKUP($A867,CoachRoster!$A:$E,2,FALSE))</f>
        <v/>
      </c>
      <c r="C867" s="27">
        <f>IF($A867="","",VLOOKUP($A867,CoachRoster!$A:$E,3,FALSE))</f>
        <v/>
      </c>
      <c r="D867" s="27">
        <f>IF($A867="","",VLOOKUP($A867,CoachRoster!$A:$E,4,FALSE))</f>
        <v/>
      </c>
      <c r="E867" s="27">
        <f>IF($A867="","",MIN(Settings!$B$8,IFERROR(SUMIF(Weekly_Coaching!$B:$B,$A867,Weekly_Coaching!$D:$D),0)+IFERROR(SUMIF(Monthly_Edu!$B:$B,$A867,Monthly_Edu!$D:$D),0)+IFERROR(SUMIF(Monthly_Ops!$B:$B,$A867,Monthly_Ops!$D:$D),0)+IFERROR(SUMIF(Monthly_Mentor!$B:$B,$A867,Monthly_Mentor!$D:$D),0)+IFERROR(SUMIF(Quarterly_Impact!$B:$B,$A867,Quarterly_Impact!$D:$D),0)+IFERROR(SUMIFS(XPLog!$M:$M,XPLog!$B:$B,$A867,XPLog!$J:$J,"Admin"),0)+IFERROR(SUMIFS(XPLog!$M:$M,XPLog!$B:$B,$A867,XPLog!$J:$J,"Seeding"),0)))</f>
        <v/>
      </c>
      <c r="F867" s="27">
        <f>IF($E867="","",LOOKUP($E867, XPBands!B$2:B$10, XPBands!A$2:A$10))</f>
        <v/>
      </c>
      <c r="G867" s="27">
        <f>IF($E867="","", VLOOKUP($F867, XPBands!A$2:G$10, 4, FALSE) + MIN(VLOOKUP($F867, XPBands!A$2:G$10, 5, FALSE) - VLOOKUP($F867, XPBands!A$2:G$10, 4, FALSE), FLOOR(( $E867 - VLOOKUP($F867, XPBands!A$2:G$10, 2, FALSE) ) / VLOOKUP($F867, XPBands!A$2:G$10, 7, FALSE),1)))</f>
        <v/>
      </c>
      <c r="H867" s="27">
        <f>IF($D867="","",VLOOKUP($D867,RoleTitles!$A:$E,3,FALSE))</f>
        <v/>
      </c>
      <c r="I867" s="27">
        <f>IF($D867="","",IF($C867="Greek",VLOOKUP($D867,RoleTitles!$A:$E,4,FALSE),IF($C867="Aesir",VLOOKUP($D867,RoleTitles!$A:$E,5,FALSE),VLOOKUP($D867,RoleTitles!$A:$E,3,FALSE))))</f>
        <v/>
      </c>
      <c r="J867" s="27">
        <f>IF($D867="","",IF($E867&gt;=VLOOKUP($D867,RoleTitles!$A:$B,2,FALSE),"Yes","No"))</f>
        <v/>
      </c>
      <c r="K867" s="27">
        <f>IF($D867="","",IF($D867="T1","T2",IF($D867="T2","T3",IF($D867="T3","T4",IF($D867="T4","T5",IF($D867="T5","T6",IF($D867="T6","T7",IF($D867="T7","T8",IF($D867="T8","T9","")))))))))</f>
        <v/>
      </c>
      <c r="L867" s="28">
        <f>IF($K867="","",MAX(0,VLOOKUP($K867,RoleTitles!$A:$B,2,FALSE)-$E867))</f>
        <v/>
      </c>
    </row>
    <row r="868">
      <c r="A868" s="24">
        <f>IFERROR(INDEX(CoachRoster!$A$2:$A$1000,ROW()-1),"")</f>
        <v/>
      </c>
      <c r="B868" s="27">
        <f>IF($A868="","",VLOOKUP($A868,CoachRoster!$A:$E,2,FALSE))</f>
        <v/>
      </c>
      <c r="C868" s="27">
        <f>IF($A868="","",VLOOKUP($A868,CoachRoster!$A:$E,3,FALSE))</f>
        <v/>
      </c>
      <c r="D868" s="27">
        <f>IF($A868="","",VLOOKUP($A868,CoachRoster!$A:$E,4,FALSE))</f>
        <v/>
      </c>
      <c r="E868" s="27">
        <f>IF($A868="","",MIN(Settings!$B$8,IFERROR(SUMIF(Weekly_Coaching!$B:$B,$A868,Weekly_Coaching!$D:$D),0)+IFERROR(SUMIF(Monthly_Edu!$B:$B,$A868,Monthly_Edu!$D:$D),0)+IFERROR(SUMIF(Monthly_Ops!$B:$B,$A868,Monthly_Ops!$D:$D),0)+IFERROR(SUMIF(Monthly_Mentor!$B:$B,$A868,Monthly_Mentor!$D:$D),0)+IFERROR(SUMIF(Quarterly_Impact!$B:$B,$A868,Quarterly_Impact!$D:$D),0)+IFERROR(SUMIFS(XPLog!$M:$M,XPLog!$B:$B,$A868,XPLog!$J:$J,"Admin"),0)+IFERROR(SUMIFS(XPLog!$M:$M,XPLog!$B:$B,$A868,XPLog!$J:$J,"Seeding"),0)))</f>
        <v/>
      </c>
      <c r="F868" s="27">
        <f>IF($E868="","",LOOKUP($E868, XPBands!B$2:B$10, XPBands!A$2:A$10))</f>
        <v/>
      </c>
      <c r="G868" s="27">
        <f>IF($E868="","", VLOOKUP($F868, XPBands!A$2:G$10, 4, FALSE) + MIN(VLOOKUP($F868, XPBands!A$2:G$10, 5, FALSE) - VLOOKUP($F868, XPBands!A$2:G$10, 4, FALSE), FLOOR(( $E868 - VLOOKUP($F868, XPBands!A$2:G$10, 2, FALSE) ) / VLOOKUP($F868, XPBands!A$2:G$10, 7, FALSE),1)))</f>
        <v/>
      </c>
      <c r="H868" s="27">
        <f>IF($D868="","",VLOOKUP($D868,RoleTitles!$A:$E,3,FALSE))</f>
        <v/>
      </c>
      <c r="I868" s="27">
        <f>IF($D868="","",IF($C868="Greek",VLOOKUP($D868,RoleTitles!$A:$E,4,FALSE),IF($C868="Aesir",VLOOKUP($D868,RoleTitles!$A:$E,5,FALSE),VLOOKUP($D868,RoleTitles!$A:$E,3,FALSE))))</f>
        <v/>
      </c>
      <c r="J868" s="27">
        <f>IF($D868="","",IF($E868&gt;=VLOOKUP($D868,RoleTitles!$A:$B,2,FALSE),"Yes","No"))</f>
        <v/>
      </c>
      <c r="K868" s="27">
        <f>IF($D868="","",IF($D868="T1","T2",IF($D868="T2","T3",IF($D868="T3","T4",IF($D868="T4","T5",IF($D868="T5","T6",IF($D868="T6","T7",IF($D868="T7","T8",IF($D868="T8","T9","")))))))))</f>
        <v/>
      </c>
      <c r="L868" s="28">
        <f>IF($K868="","",MAX(0,VLOOKUP($K868,RoleTitles!$A:$B,2,FALSE)-$E868))</f>
        <v/>
      </c>
    </row>
    <row r="869">
      <c r="A869" s="24">
        <f>IFERROR(INDEX(CoachRoster!$A$2:$A$1000,ROW()-1),"")</f>
        <v/>
      </c>
      <c r="B869" s="27">
        <f>IF($A869="","",VLOOKUP($A869,CoachRoster!$A:$E,2,FALSE))</f>
        <v/>
      </c>
      <c r="C869" s="27">
        <f>IF($A869="","",VLOOKUP($A869,CoachRoster!$A:$E,3,FALSE))</f>
        <v/>
      </c>
      <c r="D869" s="27">
        <f>IF($A869="","",VLOOKUP($A869,CoachRoster!$A:$E,4,FALSE))</f>
        <v/>
      </c>
      <c r="E869" s="27">
        <f>IF($A869="","",MIN(Settings!$B$8,IFERROR(SUMIF(Weekly_Coaching!$B:$B,$A869,Weekly_Coaching!$D:$D),0)+IFERROR(SUMIF(Monthly_Edu!$B:$B,$A869,Monthly_Edu!$D:$D),0)+IFERROR(SUMIF(Monthly_Ops!$B:$B,$A869,Monthly_Ops!$D:$D),0)+IFERROR(SUMIF(Monthly_Mentor!$B:$B,$A869,Monthly_Mentor!$D:$D),0)+IFERROR(SUMIF(Quarterly_Impact!$B:$B,$A869,Quarterly_Impact!$D:$D),0)+IFERROR(SUMIFS(XPLog!$M:$M,XPLog!$B:$B,$A869,XPLog!$J:$J,"Admin"),0)+IFERROR(SUMIFS(XPLog!$M:$M,XPLog!$B:$B,$A869,XPLog!$J:$J,"Seeding"),0)))</f>
        <v/>
      </c>
      <c r="F869" s="27">
        <f>IF($E869="","",LOOKUP($E869, XPBands!B$2:B$10, XPBands!A$2:A$10))</f>
        <v/>
      </c>
      <c r="G869" s="27">
        <f>IF($E869="","", VLOOKUP($F869, XPBands!A$2:G$10, 4, FALSE) + MIN(VLOOKUP($F869, XPBands!A$2:G$10, 5, FALSE) - VLOOKUP($F869, XPBands!A$2:G$10, 4, FALSE), FLOOR(( $E869 - VLOOKUP($F869, XPBands!A$2:G$10, 2, FALSE) ) / VLOOKUP($F869, XPBands!A$2:G$10, 7, FALSE),1)))</f>
        <v/>
      </c>
      <c r="H869" s="27">
        <f>IF($D869="","",VLOOKUP($D869,RoleTitles!$A:$E,3,FALSE))</f>
        <v/>
      </c>
      <c r="I869" s="27">
        <f>IF($D869="","",IF($C869="Greek",VLOOKUP($D869,RoleTitles!$A:$E,4,FALSE),IF($C869="Aesir",VLOOKUP($D869,RoleTitles!$A:$E,5,FALSE),VLOOKUP($D869,RoleTitles!$A:$E,3,FALSE))))</f>
        <v/>
      </c>
      <c r="J869" s="27">
        <f>IF($D869="","",IF($E869&gt;=VLOOKUP($D869,RoleTitles!$A:$B,2,FALSE),"Yes","No"))</f>
        <v/>
      </c>
      <c r="K869" s="27">
        <f>IF($D869="","",IF($D869="T1","T2",IF($D869="T2","T3",IF($D869="T3","T4",IF($D869="T4","T5",IF($D869="T5","T6",IF($D869="T6","T7",IF($D869="T7","T8",IF($D869="T8","T9","")))))))))</f>
        <v/>
      </c>
      <c r="L869" s="28">
        <f>IF($K869="","",MAX(0,VLOOKUP($K869,RoleTitles!$A:$B,2,FALSE)-$E869))</f>
        <v/>
      </c>
    </row>
    <row r="870">
      <c r="A870" s="24">
        <f>IFERROR(INDEX(CoachRoster!$A$2:$A$1000,ROW()-1),"")</f>
        <v/>
      </c>
      <c r="B870" s="27">
        <f>IF($A870="","",VLOOKUP($A870,CoachRoster!$A:$E,2,FALSE))</f>
        <v/>
      </c>
      <c r="C870" s="27">
        <f>IF($A870="","",VLOOKUP($A870,CoachRoster!$A:$E,3,FALSE))</f>
        <v/>
      </c>
      <c r="D870" s="27">
        <f>IF($A870="","",VLOOKUP($A870,CoachRoster!$A:$E,4,FALSE))</f>
        <v/>
      </c>
      <c r="E870" s="27">
        <f>IF($A870="","",MIN(Settings!$B$8,IFERROR(SUMIF(Weekly_Coaching!$B:$B,$A870,Weekly_Coaching!$D:$D),0)+IFERROR(SUMIF(Monthly_Edu!$B:$B,$A870,Monthly_Edu!$D:$D),0)+IFERROR(SUMIF(Monthly_Ops!$B:$B,$A870,Monthly_Ops!$D:$D),0)+IFERROR(SUMIF(Monthly_Mentor!$B:$B,$A870,Monthly_Mentor!$D:$D),0)+IFERROR(SUMIF(Quarterly_Impact!$B:$B,$A870,Quarterly_Impact!$D:$D),0)+IFERROR(SUMIFS(XPLog!$M:$M,XPLog!$B:$B,$A870,XPLog!$J:$J,"Admin"),0)+IFERROR(SUMIFS(XPLog!$M:$M,XPLog!$B:$B,$A870,XPLog!$J:$J,"Seeding"),0)))</f>
        <v/>
      </c>
      <c r="F870" s="27">
        <f>IF($E870="","",LOOKUP($E870, XPBands!B$2:B$10, XPBands!A$2:A$10))</f>
        <v/>
      </c>
      <c r="G870" s="27">
        <f>IF($E870="","", VLOOKUP($F870, XPBands!A$2:G$10, 4, FALSE) + MIN(VLOOKUP($F870, XPBands!A$2:G$10, 5, FALSE) - VLOOKUP($F870, XPBands!A$2:G$10, 4, FALSE), FLOOR(( $E870 - VLOOKUP($F870, XPBands!A$2:G$10, 2, FALSE) ) / VLOOKUP($F870, XPBands!A$2:G$10, 7, FALSE),1)))</f>
        <v/>
      </c>
      <c r="H870" s="27">
        <f>IF($D870="","",VLOOKUP($D870,RoleTitles!$A:$E,3,FALSE))</f>
        <v/>
      </c>
      <c r="I870" s="27">
        <f>IF($D870="","",IF($C870="Greek",VLOOKUP($D870,RoleTitles!$A:$E,4,FALSE),IF($C870="Aesir",VLOOKUP($D870,RoleTitles!$A:$E,5,FALSE),VLOOKUP($D870,RoleTitles!$A:$E,3,FALSE))))</f>
        <v/>
      </c>
      <c r="J870" s="27">
        <f>IF($D870="","",IF($E870&gt;=VLOOKUP($D870,RoleTitles!$A:$B,2,FALSE),"Yes","No"))</f>
        <v/>
      </c>
      <c r="K870" s="27">
        <f>IF($D870="","",IF($D870="T1","T2",IF($D870="T2","T3",IF($D870="T3","T4",IF($D870="T4","T5",IF($D870="T5","T6",IF($D870="T6","T7",IF($D870="T7","T8",IF($D870="T8","T9","")))))))))</f>
        <v/>
      </c>
      <c r="L870" s="28">
        <f>IF($K870="","",MAX(0,VLOOKUP($K870,RoleTitles!$A:$B,2,FALSE)-$E870))</f>
        <v/>
      </c>
    </row>
    <row r="871">
      <c r="A871" s="24">
        <f>IFERROR(INDEX(CoachRoster!$A$2:$A$1000,ROW()-1),"")</f>
        <v/>
      </c>
      <c r="B871" s="27">
        <f>IF($A871="","",VLOOKUP($A871,CoachRoster!$A:$E,2,FALSE))</f>
        <v/>
      </c>
      <c r="C871" s="27">
        <f>IF($A871="","",VLOOKUP($A871,CoachRoster!$A:$E,3,FALSE))</f>
        <v/>
      </c>
      <c r="D871" s="27">
        <f>IF($A871="","",VLOOKUP($A871,CoachRoster!$A:$E,4,FALSE))</f>
        <v/>
      </c>
      <c r="E871" s="27">
        <f>IF($A871="","",MIN(Settings!$B$8,IFERROR(SUMIF(Weekly_Coaching!$B:$B,$A871,Weekly_Coaching!$D:$D),0)+IFERROR(SUMIF(Monthly_Edu!$B:$B,$A871,Monthly_Edu!$D:$D),0)+IFERROR(SUMIF(Monthly_Ops!$B:$B,$A871,Monthly_Ops!$D:$D),0)+IFERROR(SUMIF(Monthly_Mentor!$B:$B,$A871,Monthly_Mentor!$D:$D),0)+IFERROR(SUMIF(Quarterly_Impact!$B:$B,$A871,Quarterly_Impact!$D:$D),0)+IFERROR(SUMIFS(XPLog!$M:$M,XPLog!$B:$B,$A871,XPLog!$J:$J,"Admin"),0)+IFERROR(SUMIFS(XPLog!$M:$M,XPLog!$B:$B,$A871,XPLog!$J:$J,"Seeding"),0)))</f>
        <v/>
      </c>
      <c r="F871" s="27">
        <f>IF($E871="","",LOOKUP($E871, XPBands!B$2:B$10, XPBands!A$2:A$10))</f>
        <v/>
      </c>
      <c r="G871" s="27">
        <f>IF($E871="","", VLOOKUP($F871, XPBands!A$2:G$10, 4, FALSE) + MIN(VLOOKUP($F871, XPBands!A$2:G$10, 5, FALSE) - VLOOKUP($F871, XPBands!A$2:G$10, 4, FALSE), FLOOR(( $E871 - VLOOKUP($F871, XPBands!A$2:G$10, 2, FALSE) ) / VLOOKUP($F871, XPBands!A$2:G$10, 7, FALSE),1)))</f>
        <v/>
      </c>
      <c r="H871" s="27">
        <f>IF($D871="","",VLOOKUP($D871,RoleTitles!$A:$E,3,FALSE))</f>
        <v/>
      </c>
      <c r="I871" s="27">
        <f>IF($D871="","",IF($C871="Greek",VLOOKUP($D871,RoleTitles!$A:$E,4,FALSE),IF($C871="Aesir",VLOOKUP($D871,RoleTitles!$A:$E,5,FALSE),VLOOKUP($D871,RoleTitles!$A:$E,3,FALSE))))</f>
        <v/>
      </c>
      <c r="J871" s="27">
        <f>IF($D871="","",IF($E871&gt;=VLOOKUP($D871,RoleTitles!$A:$B,2,FALSE),"Yes","No"))</f>
        <v/>
      </c>
      <c r="K871" s="27">
        <f>IF($D871="","",IF($D871="T1","T2",IF($D871="T2","T3",IF($D871="T3","T4",IF($D871="T4","T5",IF($D871="T5","T6",IF($D871="T6","T7",IF($D871="T7","T8",IF($D871="T8","T9","")))))))))</f>
        <v/>
      </c>
      <c r="L871" s="28">
        <f>IF($K871="","",MAX(0,VLOOKUP($K871,RoleTitles!$A:$B,2,FALSE)-$E871))</f>
        <v/>
      </c>
    </row>
    <row r="872">
      <c r="A872" s="24">
        <f>IFERROR(INDEX(CoachRoster!$A$2:$A$1000,ROW()-1),"")</f>
        <v/>
      </c>
      <c r="B872" s="27">
        <f>IF($A872="","",VLOOKUP($A872,CoachRoster!$A:$E,2,FALSE))</f>
        <v/>
      </c>
      <c r="C872" s="27">
        <f>IF($A872="","",VLOOKUP($A872,CoachRoster!$A:$E,3,FALSE))</f>
        <v/>
      </c>
      <c r="D872" s="27">
        <f>IF($A872="","",VLOOKUP($A872,CoachRoster!$A:$E,4,FALSE))</f>
        <v/>
      </c>
      <c r="E872" s="27">
        <f>IF($A872="","",MIN(Settings!$B$8,IFERROR(SUMIF(Weekly_Coaching!$B:$B,$A872,Weekly_Coaching!$D:$D),0)+IFERROR(SUMIF(Monthly_Edu!$B:$B,$A872,Monthly_Edu!$D:$D),0)+IFERROR(SUMIF(Monthly_Ops!$B:$B,$A872,Monthly_Ops!$D:$D),0)+IFERROR(SUMIF(Monthly_Mentor!$B:$B,$A872,Monthly_Mentor!$D:$D),0)+IFERROR(SUMIF(Quarterly_Impact!$B:$B,$A872,Quarterly_Impact!$D:$D),0)+IFERROR(SUMIFS(XPLog!$M:$M,XPLog!$B:$B,$A872,XPLog!$J:$J,"Admin"),0)+IFERROR(SUMIFS(XPLog!$M:$M,XPLog!$B:$B,$A872,XPLog!$J:$J,"Seeding"),0)))</f>
        <v/>
      </c>
      <c r="F872" s="27">
        <f>IF($E872="","",LOOKUP($E872, XPBands!B$2:B$10, XPBands!A$2:A$10))</f>
        <v/>
      </c>
      <c r="G872" s="27">
        <f>IF($E872="","", VLOOKUP($F872, XPBands!A$2:G$10, 4, FALSE) + MIN(VLOOKUP($F872, XPBands!A$2:G$10, 5, FALSE) - VLOOKUP($F872, XPBands!A$2:G$10, 4, FALSE), FLOOR(( $E872 - VLOOKUP($F872, XPBands!A$2:G$10, 2, FALSE) ) / VLOOKUP($F872, XPBands!A$2:G$10, 7, FALSE),1)))</f>
        <v/>
      </c>
      <c r="H872" s="27">
        <f>IF($D872="","",VLOOKUP($D872,RoleTitles!$A:$E,3,FALSE))</f>
        <v/>
      </c>
      <c r="I872" s="27">
        <f>IF($D872="","",IF($C872="Greek",VLOOKUP($D872,RoleTitles!$A:$E,4,FALSE),IF($C872="Aesir",VLOOKUP($D872,RoleTitles!$A:$E,5,FALSE),VLOOKUP($D872,RoleTitles!$A:$E,3,FALSE))))</f>
        <v/>
      </c>
      <c r="J872" s="27">
        <f>IF($D872="","",IF($E872&gt;=VLOOKUP($D872,RoleTitles!$A:$B,2,FALSE),"Yes","No"))</f>
        <v/>
      </c>
      <c r="K872" s="27">
        <f>IF($D872="","",IF($D872="T1","T2",IF($D872="T2","T3",IF($D872="T3","T4",IF($D872="T4","T5",IF($D872="T5","T6",IF($D872="T6","T7",IF($D872="T7","T8",IF($D872="T8","T9","")))))))))</f>
        <v/>
      </c>
      <c r="L872" s="28">
        <f>IF($K872="","",MAX(0,VLOOKUP($K872,RoleTitles!$A:$B,2,FALSE)-$E872))</f>
        <v/>
      </c>
    </row>
    <row r="873">
      <c r="A873" s="24">
        <f>IFERROR(INDEX(CoachRoster!$A$2:$A$1000,ROW()-1),"")</f>
        <v/>
      </c>
      <c r="B873" s="27">
        <f>IF($A873="","",VLOOKUP($A873,CoachRoster!$A:$E,2,FALSE))</f>
        <v/>
      </c>
      <c r="C873" s="27">
        <f>IF($A873="","",VLOOKUP($A873,CoachRoster!$A:$E,3,FALSE))</f>
        <v/>
      </c>
      <c r="D873" s="27">
        <f>IF($A873="","",VLOOKUP($A873,CoachRoster!$A:$E,4,FALSE))</f>
        <v/>
      </c>
      <c r="E873" s="27">
        <f>IF($A873="","",MIN(Settings!$B$8,IFERROR(SUMIF(Weekly_Coaching!$B:$B,$A873,Weekly_Coaching!$D:$D),0)+IFERROR(SUMIF(Monthly_Edu!$B:$B,$A873,Monthly_Edu!$D:$D),0)+IFERROR(SUMIF(Monthly_Ops!$B:$B,$A873,Monthly_Ops!$D:$D),0)+IFERROR(SUMIF(Monthly_Mentor!$B:$B,$A873,Monthly_Mentor!$D:$D),0)+IFERROR(SUMIF(Quarterly_Impact!$B:$B,$A873,Quarterly_Impact!$D:$D),0)+IFERROR(SUMIFS(XPLog!$M:$M,XPLog!$B:$B,$A873,XPLog!$J:$J,"Admin"),0)+IFERROR(SUMIFS(XPLog!$M:$M,XPLog!$B:$B,$A873,XPLog!$J:$J,"Seeding"),0)))</f>
        <v/>
      </c>
      <c r="F873" s="27">
        <f>IF($E873="","",LOOKUP($E873, XPBands!B$2:B$10, XPBands!A$2:A$10))</f>
        <v/>
      </c>
      <c r="G873" s="27">
        <f>IF($E873="","", VLOOKUP($F873, XPBands!A$2:G$10, 4, FALSE) + MIN(VLOOKUP($F873, XPBands!A$2:G$10, 5, FALSE) - VLOOKUP($F873, XPBands!A$2:G$10, 4, FALSE), FLOOR(( $E873 - VLOOKUP($F873, XPBands!A$2:G$10, 2, FALSE) ) / VLOOKUP($F873, XPBands!A$2:G$10, 7, FALSE),1)))</f>
        <v/>
      </c>
      <c r="H873" s="27">
        <f>IF($D873="","",VLOOKUP($D873,RoleTitles!$A:$E,3,FALSE))</f>
        <v/>
      </c>
      <c r="I873" s="27">
        <f>IF($D873="","",IF($C873="Greek",VLOOKUP($D873,RoleTitles!$A:$E,4,FALSE),IF($C873="Aesir",VLOOKUP($D873,RoleTitles!$A:$E,5,FALSE),VLOOKUP($D873,RoleTitles!$A:$E,3,FALSE))))</f>
        <v/>
      </c>
      <c r="J873" s="27">
        <f>IF($D873="","",IF($E873&gt;=VLOOKUP($D873,RoleTitles!$A:$B,2,FALSE),"Yes","No"))</f>
        <v/>
      </c>
      <c r="K873" s="27">
        <f>IF($D873="","",IF($D873="T1","T2",IF($D873="T2","T3",IF($D873="T3","T4",IF($D873="T4","T5",IF($D873="T5","T6",IF($D873="T6","T7",IF($D873="T7","T8",IF($D873="T8","T9","")))))))))</f>
        <v/>
      </c>
      <c r="L873" s="28">
        <f>IF($K873="","",MAX(0,VLOOKUP($K873,RoleTitles!$A:$B,2,FALSE)-$E873))</f>
        <v/>
      </c>
    </row>
    <row r="874">
      <c r="A874" s="24">
        <f>IFERROR(INDEX(CoachRoster!$A$2:$A$1000,ROW()-1),"")</f>
        <v/>
      </c>
      <c r="B874" s="27">
        <f>IF($A874="","",VLOOKUP($A874,CoachRoster!$A:$E,2,FALSE))</f>
        <v/>
      </c>
      <c r="C874" s="27">
        <f>IF($A874="","",VLOOKUP($A874,CoachRoster!$A:$E,3,FALSE))</f>
        <v/>
      </c>
      <c r="D874" s="27">
        <f>IF($A874="","",VLOOKUP($A874,CoachRoster!$A:$E,4,FALSE))</f>
        <v/>
      </c>
      <c r="E874" s="27">
        <f>IF($A874="","",MIN(Settings!$B$8,IFERROR(SUMIF(Weekly_Coaching!$B:$B,$A874,Weekly_Coaching!$D:$D),0)+IFERROR(SUMIF(Monthly_Edu!$B:$B,$A874,Monthly_Edu!$D:$D),0)+IFERROR(SUMIF(Monthly_Ops!$B:$B,$A874,Monthly_Ops!$D:$D),0)+IFERROR(SUMIF(Monthly_Mentor!$B:$B,$A874,Monthly_Mentor!$D:$D),0)+IFERROR(SUMIF(Quarterly_Impact!$B:$B,$A874,Quarterly_Impact!$D:$D),0)+IFERROR(SUMIFS(XPLog!$M:$M,XPLog!$B:$B,$A874,XPLog!$J:$J,"Admin"),0)+IFERROR(SUMIFS(XPLog!$M:$M,XPLog!$B:$B,$A874,XPLog!$J:$J,"Seeding"),0)))</f>
        <v/>
      </c>
      <c r="F874" s="27">
        <f>IF($E874="","",LOOKUP($E874, XPBands!B$2:B$10, XPBands!A$2:A$10))</f>
        <v/>
      </c>
      <c r="G874" s="27">
        <f>IF($E874="","", VLOOKUP($F874, XPBands!A$2:G$10, 4, FALSE) + MIN(VLOOKUP($F874, XPBands!A$2:G$10, 5, FALSE) - VLOOKUP($F874, XPBands!A$2:G$10, 4, FALSE), FLOOR(( $E874 - VLOOKUP($F874, XPBands!A$2:G$10, 2, FALSE) ) / VLOOKUP($F874, XPBands!A$2:G$10, 7, FALSE),1)))</f>
        <v/>
      </c>
      <c r="H874" s="27">
        <f>IF($D874="","",VLOOKUP($D874,RoleTitles!$A:$E,3,FALSE))</f>
        <v/>
      </c>
      <c r="I874" s="27">
        <f>IF($D874="","",IF($C874="Greek",VLOOKUP($D874,RoleTitles!$A:$E,4,FALSE),IF($C874="Aesir",VLOOKUP($D874,RoleTitles!$A:$E,5,FALSE),VLOOKUP($D874,RoleTitles!$A:$E,3,FALSE))))</f>
        <v/>
      </c>
      <c r="J874" s="27">
        <f>IF($D874="","",IF($E874&gt;=VLOOKUP($D874,RoleTitles!$A:$B,2,FALSE),"Yes","No"))</f>
        <v/>
      </c>
      <c r="K874" s="27">
        <f>IF($D874="","",IF($D874="T1","T2",IF($D874="T2","T3",IF($D874="T3","T4",IF($D874="T4","T5",IF($D874="T5","T6",IF($D874="T6","T7",IF($D874="T7","T8",IF($D874="T8","T9","")))))))))</f>
        <v/>
      </c>
      <c r="L874" s="28">
        <f>IF($K874="","",MAX(0,VLOOKUP($K874,RoleTitles!$A:$B,2,FALSE)-$E874))</f>
        <v/>
      </c>
    </row>
    <row r="875">
      <c r="A875" s="24">
        <f>IFERROR(INDEX(CoachRoster!$A$2:$A$1000,ROW()-1),"")</f>
        <v/>
      </c>
      <c r="B875" s="27">
        <f>IF($A875="","",VLOOKUP($A875,CoachRoster!$A:$E,2,FALSE))</f>
        <v/>
      </c>
      <c r="C875" s="27">
        <f>IF($A875="","",VLOOKUP($A875,CoachRoster!$A:$E,3,FALSE))</f>
        <v/>
      </c>
      <c r="D875" s="27">
        <f>IF($A875="","",VLOOKUP($A875,CoachRoster!$A:$E,4,FALSE))</f>
        <v/>
      </c>
      <c r="E875" s="27">
        <f>IF($A875="","",MIN(Settings!$B$8,IFERROR(SUMIF(Weekly_Coaching!$B:$B,$A875,Weekly_Coaching!$D:$D),0)+IFERROR(SUMIF(Monthly_Edu!$B:$B,$A875,Monthly_Edu!$D:$D),0)+IFERROR(SUMIF(Monthly_Ops!$B:$B,$A875,Monthly_Ops!$D:$D),0)+IFERROR(SUMIF(Monthly_Mentor!$B:$B,$A875,Monthly_Mentor!$D:$D),0)+IFERROR(SUMIF(Quarterly_Impact!$B:$B,$A875,Quarterly_Impact!$D:$D),0)+IFERROR(SUMIFS(XPLog!$M:$M,XPLog!$B:$B,$A875,XPLog!$J:$J,"Admin"),0)+IFERROR(SUMIFS(XPLog!$M:$M,XPLog!$B:$B,$A875,XPLog!$J:$J,"Seeding"),0)))</f>
        <v/>
      </c>
      <c r="F875" s="27">
        <f>IF($E875="","",LOOKUP($E875, XPBands!B$2:B$10, XPBands!A$2:A$10))</f>
        <v/>
      </c>
      <c r="G875" s="27">
        <f>IF($E875="","", VLOOKUP($F875, XPBands!A$2:G$10, 4, FALSE) + MIN(VLOOKUP($F875, XPBands!A$2:G$10, 5, FALSE) - VLOOKUP($F875, XPBands!A$2:G$10, 4, FALSE), FLOOR(( $E875 - VLOOKUP($F875, XPBands!A$2:G$10, 2, FALSE) ) / VLOOKUP($F875, XPBands!A$2:G$10, 7, FALSE),1)))</f>
        <v/>
      </c>
      <c r="H875" s="27">
        <f>IF($D875="","",VLOOKUP($D875,RoleTitles!$A:$E,3,FALSE))</f>
        <v/>
      </c>
      <c r="I875" s="27">
        <f>IF($D875="","",IF($C875="Greek",VLOOKUP($D875,RoleTitles!$A:$E,4,FALSE),IF($C875="Aesir",VLOOKUP($D875,RoleTitles!$A:$E,5,FALSE),VLOOKUP($D875,RoleTitles!$A:$E,3,FALSE))))</f>
        <v/>
      </c>
      <c r="J875" s="27">
        <f>IF($D875="","",IF($E875&gt;=VLOOKUP($D875,RoleTitles!$A:$B,2,FALSE),"Yes","No"))</f>
        <v/>
      </c>
      <c r="K875" s="27">
        <f>IF($D875="","",IF($D875="T1","T2",IF($D875="T2","T3",IF($D875="T3","T4",IF($D875="T4","T5",IF($D875="T5","T6",IF($D875="T6","T7",IF($D875="T7","T8",IF($D875="T8","T9","")))))))))</f>
        <v/>
      </c>
      <c r="L875" s="28">
        <f>IF($K875="","",MAX(0,VLOOKUP($K875,RoleTitles!$A:$B,2,FALSE)-$E875))</f>
        <v/>
      </c>
    </row>
    <row r="876">
      <c r="A876" s="24">
        <f>IFERROR(INDEX(CoachRoster!$A$2:$A$1000,ROW()-1),"")</f>
        <v/>
      </c>
      <c r="B876" s="27">
        <f>IF($A876="","",VLOOKUP($A876,CoachRoster!$A:$E,2,FALSE))</f>
        <v/>
      </c>
      <c r="C876" s="27">
        <f>IF($A876="","",VLOOKUP($A876,CoachRoster!$A:$E,3,FALSE))</f>
        <v/>
      </c>
      <c r="D876" s="27">
        <f>IF($A876="","",VLOOKUP($A876,CoachRoster!$A:$E,4,FALSE))</f>
        <v/>
      </c>
      <c r="E876" s="27">
        <f>IF($A876="","",MIN(Settings!$B$8,IFERROR(SUMIF(Weekly_Coaching!$B:$B,$A876,Weekly_Coaching!$D:$D),0)+IFERROR(SUMIF(Monthly_Edu!$B:$B,$A876,Monthly_Edu!$D:$D),0)+IFERROR(SUMIF(Monthly_Ops!$B:$B,$A876,Monthly_Ops!$D:$D),0)+IFERROR(SUMIF(Monthly_Mentor!$B:$B,$A876,Monthly_Mentor!$D:$D),0)+IFERROR(SUMIF(Quarterly_Impact!$B:$B,$A876,Quarterly_Impact!$D:$D),0)+IFERROR(SUMIFS(XPLog!$M:$M,XPLog!$B:$B,$A876,XPLog!$J:$J,"Admin"),0)+IFERROR(SUMIFS(XPLog!$M:$M,XPLog!$B:$B,$A876,XPLog!$J:$J,"Seeding"),0)))</f>
        <v/>
      </c>
      <c r="F876" s="27">
        <f>IF($E876="","",LOOKUP($E876, XPBands!B$2:B$10, XPBands!A$2:A$10))</f>
        <v/>
      </c>
      <c r="G876" s="27">
        <f>IF($E876="","", VLOOKUP($F876, XPBands!A$2:G$10, 4, FALSE) + MIN(VLOOKUP($F876, XPBands!A$2:G$10, 5, FALSE) - VLOOKUP($F876, XPBands!A$2:G$10, 4, FALSE), FLOOR(( $E876 - VLOOKUP($F876, XPBands!A$2:G$10, 2, FALSE) ) / VLOOKUP($F876, XPBands!A$2:G$10, 7, FALSE),1)))</f>
        <v/>
      </c>
      <c r="H876" s="27">
        <f>IF($D876="","",VLOOKUP($D876,RoleTitles!$A:$E,3,FALSE))</f>
        <v/>
      </c>
      <c r="I876" s="27">
        <f>IF($D876="","",IF($C876="Greek",VLOOKUP($D876,RoleTitles!$A:$E,4,FALSE),IF($C876="Aesir",VLOOKUP($D876,RoleTitles!$A:$E,5,FALSE),VLOOKUP($D876,RoleTitles!$A:$E,3,FALSE))))</f>
        <v/>
      </c>
      <c r="J876" s="27">
        <f>IF($D876="","",IF($E876&gt;=VLOOKUP($D876,RoleTitles!$A:$B,2,FALSE),"Yes","No"))</f>
        <v/>
      </c>
      <c r="K876" s="27">
        <f>IF($D876="","",IF($D876="T1","T2",IF($D876="T2","T3",IF($D876="T3","T4",IF($D876="T4","T5",IF($D876="T5","T6",IF($D876="T6","T7",IF($D876="T7","T8",IF($D876="T8","T9","")))))))))</f>
        <v/>
      </c>
      <c r="L876" s="28">
        <f>IF($K876="","",MAX(0,VLOOKUP($K876,RoleTitles!$A:$B,2,FALSE)-$E876))</f>
        <v/>
      </c>
    </row>
    <row r="877">
      <c r="A877" s="24">
        <f>IFERROR(INDEX(CoachRoster!$A$2:$A$1000,ROW()-1),"")</f>
        <v/>
      </c>
      <c r="B877" s="27">
        <f>IF($A877="","",VLOOKUP($A877,CoachRoster!$A:$E,2,FALSE))</f>
        <v/>
      </c>
      <c r="C877" s="27">
        <f>IF($A877="","",VLOOKUP($A877,CoachRoster!$A:$E,3,FALSE))</f>
        <v/>
      </c>
      <c r="D877" s="27">
        <f>IF($A877="","",VLOOKUP($A877,CoachRoster!$A:$E,4,FALSE))</f>
        <v/>
      </c>
      <c r="E877" s="27">
        <f>IF($A877="","",MIN(Settings!$B$8,IFERROR(SUMIF(Weekly_Coaching!$B:$B,$A877,Weekly_Coaching!$D:$D),0)+IFERROR(SUMIF(Monthly_Edu!$B:$B,$A877,Monthly_Edu!$D:$D),0)+IFERROR(SUMIF(Monthly_Ops!$B:$B,$A877,Monthly_Ops!$D:$D),0)+IFERROR(SUMIF(Monthly_Mentor!$B:$B,$A877,Monthly_Mentor!$D:$D),0)+IFERROR(SUMIF(Quarterly_Impact!$B:$B,$A877,Quarterly_Impact!$D:$D),0)+IFERROR(SUMIFS(XPLog!$M:$M,XPLog!$B:$B,$A877,XPLog!$J:$J,"Admin"),0)+IFERROR(SUMIFS(XPLog!$M:$M,XPLog!$B:$B,$A877,XPLog!$J:$J,"Seeding"),0)))</f>
        <v/>
      </c>
      <c r="F877" s="27">
        <f>IF($E877="","",LOOKUP($E877, XPBands!B$2:B$10, XPBands!A$2:A$10))</f>
        <v/>
      </c>
      <c r="G877" s="27">
        <f>IF($E877="","", VLOOKUP($F877, XPBands!A$2:G$10, 4, FALSE) + MIN(VLOOKUP($F877, XPBands!A$2:G$10, 5, FALSE) - VLOOKUP($F877, XPBands!A$2:G$10, 4, FALSE), FLOOR(( $E877 - VLOOKUP($F877, XPBands!A$2:G$10, 2, FALSE) ) / VLOOKUP($F877, XPBands!A$2:G$10, 7, FALSE),1)))</f>
        <v/>
      </c>
      <c r="H877" s="27">
        <f>IF($D877="","",VLOOKUP($D877,RoleTitles!$A:$E,3,FALSE))</f>
        <v/>
      </c>
      <c r="I877" s="27">
        <f>IF($D877="","",IF($C877="Greek",VLOOKUP($D877,RoleTitles!$A:$E,4,FALSE),IF($C877="Aesir",VLOOKUP($D877,RoleTitles!$A:$E,5,FALSE),VLOOKUP($D877,RoleTitles!$A:$E,3,FALSE))))</f>
        <v/>
      </c>
      <c r="J877" s="27">
        <f>IF($D877="","",IF($E877&gt;=VLOOKUP($D877,RoleTitles!$A:$B,2,FALSE),"Yes","No"))</f>
        <v/>
      </c>
      <c r="K877" s="27">
        <f>IF($D877="","",IF($D877="T1","T2",IF($D877="T2","T3",IF($D877="T3","T4",IF($D877="T4","T5",IF($D877="T5","T6",IF($D877="T6","T7",IF($D877="T7","T8",IF($D877="T8","T9","")))))))))</f>
        <v/>
      </c>
      <c r="L877" s="28">
        <f>IF($K877="","",MAX(0,VLOOKUP($K877,RoleTitles!$A:$B,2,FALSE)-$E877))</f>
        <v/>
      </c>
    </row>
    <row r="878">
      <c r="A878" s="24">
        <f>IFERROR(INDEX(CoachRoster!$A$2:$A$1000,ROW()-1),"")</f>
        <v/>
      </c>
      <c r="B878" s="27">
        <f>IF($A878="","",VLOOKUP($A878,CoachRoster!$A:$E,2,FALSE))</f>
        <v/>
      </c>
      <c r="C878" s="27">
        <f>IF($A878="","",VLOOKUP($A878,CoachRoster!$A:$E,3,FALSE))</f>
        <v/>
      </c>
      <c r="D878" s="27">
        <f>IF($A878="","",VLOOKUP($A878,CoachRoster!$A:$E,4,FALSE))</f>
        <v/>
      </c>
      <c r="E878" s="27">
        <f>IF($A878="","",MIN(Settings!$B$8,IFERROR(SUMIF(Weekly_Coaching!$B:$B,$A878,Weekly_Coaching!$D:$D),0)+IFERROR(SUMIF(Monthly_Edu!$B:$B,$A878,Monthly_Edu!$D:$D),0)+IFERROR(SUMIF(Monthly_Ops!$B:$B,$A878,Monthly_Ops!$D:$D),0)+IFERROR(SUMIF(Monthly_Mentor!$B:$B,$A878,Monthly_Mentor!$D:$D),0)+IFERROR(SUMIF(Quarterly_Impact!$B:$B,$A878,Quarterly_Impact!$D:$D),0)+IFERROR(SUMIFS(XPLog!$M:$M,XPLog!$B:$B,$A878,XPLog!$J:$J,"Admin"),0)+IFERROR(SUMIFS(XPLog!$M:$M,XPLog!$B:$B,$A878,XPLog!$J:$J,"Seeding"),0)))</f>
        <v/>
      </c>
      <c r="F878" s="27">
        <f>IF($E878="","",LOOKUP($E878, XPBands!B$2:B$10, XPBands!A$2:A$10))</f>
        <v/>
      </c>
      <c r="G878" s="27">
        <f>IF($E878="","", VLOOKUP($F878, XPBands!A$2:G$10, 4, FALSE) + MIN(VLOOKUP($F878, XPBands!A$2:G$10, 5, FALSE) - VLOOKUP($F878, XPBands!A$2:G$10, 4, FALSE), FLOOR(( $E878 - VLOOKUP($F878, XPBands!A$2:G$10, 2, FALSE) ) / VLOOKUP($F878, XPBands!A$2:G$10, 7, FALSE),1)))</f>
        <v/>
      </c>
      <c r="H878" s="27">
        <f>IF($D878="","",VLOOKUP($D878,RoleTitles!$A:$E,3,FALSE))</f>
        <v/>
      </c>
      <c r="I878" s="27">
        <f>IF($D878="","",IF($C878="Greek",VLOOKUP($D878,RoleTitles!$A:$E,4,FALSE),IF($C878="Aesir",VLOOKUP($D878,RoleTitles!$A:$E,5,FALSE),VLOOKUP($D878,RoleTitles!$A:$E,3,FALSE))))</f>
        <v/>
      </c>
      <c r="J878" s="27">
        <f>IF($D878="","",IF($E878&gt;=VLOOKUP($D878,RoleTitles!$A:$B,2,FALSE),"Yes","No"))</f>
        <v/>
      </c>
      <c r="K878" s="27">
        <f>IF($D878="","",IF($D878="T1","T2",IF($D878="T2","T3",IF($D878="T3","T4",IF($D878="T4","T5",IF($D878="T5","T6",IF($D878="T6","T7",IF($D878="T7","T8",IF($D878="T8","T9","")))))))))</f>
        <v/>
      </c>
      <c r="L878" s="28">
        <f>IF($K878="","",MAX(0,VLOOKUP($K878,RoleTitles!$A:$B,2,FALSE)-$E878))</f>
        <v/>
      </c>
    </row>
    <row r="879">
      <c r="A879" s="24">
        <f>IFERROR(INDEX(CoachRoster!$A$2:$A$1000,ROW()-1),"")</f>
        <v/>
      </c>
      <c r="B879" s="27">
        <f>IF($A879="","",VLOOKUP($A879,CoachRoster!$A:$E,2,FALSE))</f>
        <v/>
      </c>
      <c r="C879" s="27">
        <f>IF($A879="","",VLOOKUP($A879,CoachRoster!$A:$E,3,FALSE))</f>
        <v/>
      </c>
      <c r="D879" s="27">
        <f>IF($A879="","",VLOOKUP($A879,CoachRoster!$A:$E,4,FALSE))</f>
        <v/>
      </c>
      <c r="E879" s="27">
        <f>IF($A879="","",MIN(Settings!$B$8,IFERROR(SUMIF(Weekly_Coaching!$B:$B,$A879,Weekly_Coaching!$D:$D),0)+IFERROR(SUMIF(Monthly_Edu!$B:$B,$A879,Monthly_Edu!$D:$D),0)+IFERROR(SUMIF(Monthly_Ops!$B:$B,$A879,Monthly_Ops!$D:$D),0)+IFERROR(SUMIF(Monthly_Mentor!$B:$B,$A879,Monthly_Mentor!$D:$D),0)+IFERROR(SUMIF(Quarterly_Impact!$B:$B,$A879,Quarterly_Impact!$D:$D),0)+IFERROR(SUMIFS(XPLog!$M:$M,XPLog!$B:$B,$A879,XPLog!$J:$J,"Admin"),0)+IFERROR(SUMIFS(XPLog!$M:$M,XPLog!$B:$B,$A879,XPLog!$J:$J,"Seeding"),0)))</f>
        <v/>
      </c>
      <c r="F879" s="27">
        <f>IF($E879="","",LOOKUP($E879, XPBands!B$2:B$10, XPBands!A$2:A$10))</f>
        <v/>
      </c>
      <c r="G879" s="27">
        <f>IF($E879="","", VLOOKUP($F879, XPBands!A$2:G$10, 4, FALSE) + MIN(VLOOKUP($F879, XPBands!A$2:G$10, 5, FALSE) - VLOOKUP($F879, XPBands!A$2:G$10, 4, FALSE), FLOOR(( $E879 - VLOOKUP($F879, XPBands!A$2:G$10, 2, FALSE) ) / VLOOKUP($F879, XPBands!A$2:G$10, 7, FALSE),1)))</f>
        <v/>
      </c>
      <c r="H879" s="27">
        <f>IF($D879="","",VLOOKUP($D879,RoleTitles!$A:$E,3,FALSE))</f>
        <v/>
      </c>
      <c r="I879" s="27">
        <f>IF($D879="","",IF($C879="Greek",VLOOKUP($D879,RoleTitles!$A:$E,4,FALSE),IF($C879="Aesir",VLOOKUP($D879,RoleTitles!$A:$E,5,FALSE),VLOOKUP($D879,RoleTitles!$A:$E,3,FALSE))))</f>
        <v/>
      </c>
      <c r="J879" s="27">
        <f>IF($D879="","",IF($E879&gt;=VLOOKUP($D879,RoleTitles!$A:$B,2,FALSE),"Yes","No"))</f>
        <v/>
      </c>
      <c r="K879" s="27">
        <f>IF($D879="","",IF($D879="T1","T2",IF($D879="T2","T3",IF($D879="T3","T4",IF($D879="T4","T5",IF($D879="T5","T6",IF($D879="T6","T7",IF($D879="T7","T8",IF($D879="T8","T9","")))))))))</f>
        <v/>
      </c>
      <c r="L879" s="28">
        <f>IF($K879="","",MAX(0,VLOOKUP($K879,RoleTitles!$A:$B,2,FALSE)-$E879))</f>
        <v/>
      </c>
    </row>
    <row r="880">
      <c r="A880" s="24">
        <f>IFERROR(INDEX(CoachRoster!$A$2:$A$1000,ROW()-1),"")</f>
        <v/>
      </c>
      <c r="B880" s="27">
        <f>IF($A880="","",VLOOKUP($A880,CoachRoster!$A:$E,2,FALSE))</f>
        <v/>
      </c>
      <c r="C880" s="27">
        <f>IF($A880="","",VLOOKUP($A880,CoachRoster!$A:$E,3,FALSE))</f>
        <v/>
      </c>
      <c r="D880" s="27">
        <f>IF($A880="","",VLOOKUP($A880,CoachRoster!$A:$E,4,FALSE))</f>
        <v/>
      </c>
      <c r="E880" s="27">
        <f>IF($A880="","",MIN(Settings!$B$8,IFERROR(SUMIF(Weekly_Coaching!$B:$B,$A880,Weekly_Coaching!$D:$D),0)+IFERROR(SUMIF(Monthly_Edu!$B:$B,$A880,Monthly_Edu!$D:$D),0)+IFERROR(SUMIF(Monthly_Ops!$B:$B,$A880,Monthly_Ops!$D:$D),0)+IFERROR(SUMIF(Monthly_Mentor!$B:$B,$A880,Monthly_Mentor!$D:$D),0)+IFERROR(SUMIF(Quarterly_Impact!$B:$B,$A880,Quarterly_Impact!$D:$D),0)+IFERROR(SUMIFS(XPLog!$M:$M,XPLog!$B:$B,$A880,XPLog!$J:$J,"Admin"),0)+IFERROR(SUMIFS(XPLog!$M:$M,XPLog!$B:$B,$A880,XPLog!$J:$J,"Seeding"),0)))</f>
        <v/>
      </c>
      <c r="F880" s="27">
        <f>IF($E880="","",LOOKUP($E880, XPBands!B$2:B$10, XPBands!A$2:A$10))</f>
        <v/>
      </c>
      <c r="G880" s="27">
        <f>IF($E880="","", VLOOKUP($F880, XPBands!A$2:G$10, 4, FALSE) + MIN(VLOOKUP($F880, XPBands!A$2:G$10, 5, FALSE) - VLOOKUP($F880, XPBands!A$2:G$10, 4, FALSE), FLOOR(( $E880 - VLOOKUP($F880, XPBands!A$2:G$10, 2, FALSE) ) / VLOOKUP($F880, XPBands!A$2:G$10, 7, FALSE),1)))</f>
        <v/>
      </c>
      <c r="H880" s="27">
        <f>IF($D880="","",VLOOKUP($D880,RoleTitles!$A:$E,3,FALSE))</f>
        <v/>
      </c>
      <c r="I880" s="27">
        <f>IF($D880="","",IF($C880="Greek",VLOOKUP($D880,RoleTitles!$A:$E,4,FALSE),IF($C880="Aesir",VLOOKUP($D880,RoleTitles!$A:$E,5,FALSE),VLOOKUP($D880,RoleTitles!$A:$E,3,FALSE))))</f>
        <v/>
      </c>
      <c r="J880" s="27">
        <f>IF($D880="","",IF($E880&gt;=VLOOKUP($D880,RoleTitles!$A:$B,2,FALSE),"Yes","No"))</f>
        <v/>
      </c>
      <c r="K880" s="27">
        <f>IF($D880="","",IF($D880="T1","T2",IF($D880="T2","T3",IF($D880="T3","T4",IF($D880="T4","T5",IF($D880="T5","T6",IF($D880="T6","T7",IF($D880="T7","T8",IF($D880="T8","T9","")))))))))</f>
        <v/>
      </c>
      <c r="L880" s="28">
        <f>IF($K880="","",MAX(0,VLOOKUP($K880,RoleTitles!$A:$B,2,FALSE)-$E880))</f>
        <v/>
      </c>
    </row>
    <row r="881">
      <c r="A881" s="24">
        <f>IFERROR(INDEX(CoachRoster!$A$2:$A$1000,ROW()-1),"")</f>
        <v/>
      </c>
      <c r="B881" s="27">
        <f>IF($A881="","",VLOOKUP($A881,CoachRoster!$A:$E,2,FALSE))</f>
        <v/>
      </c>
      <c r="C881" s="27">
        <f>IF($A881="","",VLOOKUP($A881,CoachRoster!$A:$E,3,FALSE))</f>
        <v/>
      </c>
      <c r="D881" s="27">
        <f>IF($A881="","",VLOOKUP($A881,CoachRoster!$A:$E,4,FALSE))</f>
        <v/>
      </c>
      <c r="E881" s="27">
        <f>IF($A881="","",MIN(Settings!$B$8,IFERROR(SUMIF(Weekly_Coaching!$B:$B,$A881,Weekly_Coaching!$D:$D),0)+IFERROR(SUMIF(Monthly_Edu!$B:$B,$A881,Monthly_Edu!$D:$D),0)+IFERROR(SUMIF(Monthly_Ops!$B:$B,$A881,Monthly_Ops!$D:$D),0)+IFERROR(SUMIF(Monthly_Mentor!$B:$B,$A881,Monthly_Mentor!$D:$D),0)+IFERROR(SUMIF(Quarterly_Impact!$B:$B,$A881,Quarterly_Impact!$D:$D),0)+IFERROR(SUMIFS(XPLog!$M:$M,XPLog!$B:$B,$A881,XPLog!$J:$J,"Admin"),0)+IFERROR(SUMIFS(XPLog!$M:$M,XPLog!$B:$B,$A881,XPLog!$J:$J,"Seeding"),0)))</f>
        <v/>
      </c>
      <c r="F881" s="27">
        <f>IF($E881="","",LOOKUP($E881, XPBands!B$2:B$10, XPBands!A$2:A$10))</f>
        <v/>
      </c>
      <c r="G881" s="27">
        <f>IF($E881="","", VLOOKUP($F881, XPBands!A$2:G$10, 4, FALSE) + MIN(VLOOKUP($F881, XPBands!A$2:G$10, 5, FALSE) - VLOOKUP($F881, XPBands!A$2:G$10, 4, FALSE), FLOOR(( $E881 - VLOOKUP($F881, XPBands!A$2:G$10, 2, FALSE) ) / VLOOKUP($F881, XPBands!A$2:G$10, 7, FALSE),1)))</f>
        <v/>
      </c>
      <c r="H881" s="27">
        <f>IF($D881="","",VLOOKUP($D881,RoleTitles!$A:$E,3,FALSE))</f>
        <v/>
      </c>
      <c r="I881" s="27">
        <f>IF($D881="","",IF($C881="Greek",VLOOKUP($D881,RoleTitles!$A:$E,4,FALSE),IF($C881="Aesir",VLOOKUP($D881,RoleTitles!$A:$E,5,FALSE),VLOOKUP($D881,RoleTitles!$A:$E,3,FALSE))))</f>
        <v/>
      </c>
      <c r="J881" s="27">
        <f>IF($D881="","",IF($E881&gt;=VLOOKUP($D881,RoleTitles!$A:$B,2,FALSE),"Yes","No"))</f>
        <v/>
      </c>
      <c r="K881" s="27">
        <f>IF($D881="","",IF($D881="T1","T2",IF($D881="T2","T3",IF($D881="T3","T4",IF($D881="T4","T5",IF($D881="T5","T6",IF($D881="T6","T7",IF($D881="T7","T8",IF($D881="T8","T9","")))))))))</f>
        <v/>
      </c>
      <c r="L881" s="28">
        <f>IF($K881="","",MAX(0,VLOOKUP($K881,RoleTitles!$A:$B,2,FALSE)-$E881))</f>
        <v/>
      </c>
    </row>
    <row r="882">
      <c r="A882" s="24">
        <f>IFERROR(INDEX(CoachRoster!$A$2:$A$1000,ROW()-1),"")</f>
        <v/>
      </c>
      <c r="B882" s="27">
        <f>IF($A882="","",VLOOKUP($A882,CoachRoster!$A:$E,2,FALSE))</f>
        <v/>
      </c>
      <c r="C882" s="27">
        <f>IF($A882="","",VLOOKUP($A882,CoachRoster!$A:$E,3,FALSE))</f>
        <v/>
      </c>
      <c r="D882" s="27">
        <f>IF($A882="","",VLOOKUP($A882,CoachRoster!$A:$E,4,FALSE))</f>
        <v/>
      </c>
      <c r="E882" s="27">
        <f>IF($A882="","",MIN(Settings!$B$8,IFERROR(SUMIF(Weekly_Coaching!$B:$B,$A882,Weekly_Coaching!$D:$D),0)+IFERROR(SUMIF(Monthly_Edu!$B:$B,$A882,Monthly_Edu!$D:$D),0)+IFERROR(SUMIF(Monthly_Ops!$B:$B,$A882,Monthly_Ops!$D:$D),0)+IFERROR(SUMIF(Monthly_Mentor!$B:$B,$A882,Monthly_Mentor!$D:$D),0)+IFERROR(SUMIF(Quarterly_Impact!$B:$B,$A882,Quarterly_Impact!$D:$D),0)+IFERROR(SUMIFS(XPLog!$M:$M,XPLog!$B:$B,$A882,XPLog!$J:$J,"Admin"),0)+IFERROR(SUMIFS(XPLog!$M:$M,XPLog!$B:$B,$A882,XPLog!$J:$J,"Seeding"),0)))</f>
        <v/>
      </c>
      <c r="F882" s="27">
        <f>IF($E882="","",LOOKUP($E882, XPBands!B$2:B$10, XPBands!A$2:A$10))</f>
        <v/>
      </c>
      <c r="G882" s="27">
        <f>IF($E882="","", VLOOKUP($F882, XPBands!A$2:G$10, 4, FALSE) + MIN(VLOOKUP($F882, XPBands!A$2:G$10, 5, FALSE) - VLOOKUP($F882, XPBands!A$2:G$10, 4, FALSE), FLOOR(( $E882 - VLOOKUP($F882, XPBands!A$2:G$10, 2, FALSE) ) / VLOOKUP($F882, XPBands!A$2:G$10, 7, FALSE),1)))</f>
        <v/>
      </c>
      <c r="H882" s="27">
        <f>IF($D882="","",VLOOKUP($D882,RoleTitles!$A:$E,3,FALSE))</f>
        <v/>
      </c>
      <c r="I882" s="27">
        <f>IF($D882="","",IF($C882="Greek",VLOOKUP($D882,RoleTitles!$A:$E,4,FALSE),IF($C882="Aesir",VLOOKUP($D882,RoleTitles!$A:$E,5,FALSE),VLOOKUP($D882,RoleTitles!$A:$E,3,FALSE))))</f>
        <v/>
      </c>
      <c r="J882" s="27">
        <f>IF($D882="","",IF($E882&gt;=VLOOKUP($D882,RoleTitles!$A:$B,2,FALSE),"Yes","No"))</f>
        <v/>
      </c>
      <c r="K882" s="27">
        <f>IF($D882="","",IF($D882="T1","T2",IF($D882="T2","T3",IF($D882="T3","T4",IF($D882="T4","T5",IF($D882="T5","T6",IF($D882="T6","T7",IF($D882="T7","T8",IF($D882="T8","T9","")))))))))</f>
        <v/>
      </c>
      <c r="L882" s="28">
        <f>IF($K882="","",MAX(0,VLOOKUP($K882,RoleTitles!$A:$B,2,FALSE)-$E882))</f>
        <v/>
      </c>
    </row>
    <row r="883">
      <c r="A883" s="24">
        <f>IFERROR(INDEX(CoachRoster!$A$2:$A$1000,ROW()-1),"")</f>
        <v/>
      </c>
      <c r="B883" s="27">
        <f>IF($A883="","",VLOOKUP($A883,CoachRoster!$A:$E,2,FALSE))</f>
        <v/>
      </c>
      <c r="C883" s="27">
        <f>IF($A883="","",VLOOKUP($A883,CoachRoster!$A:$E,3,FALSE))</f>
        <v/>
      </c>
      <c r="D883" s="27">
        <f>IF($A883="","",VLOOKUP($A883,CoachRoster!$A:$E,4,FALSE))</f>
        <v/>
      </c>
      <c r="E883" s="27">
        <f>IF($A883="","",MIN(Settings!$B$8,IFERROR(SUMIF(Weekly_Coaching!$B:$B,$A883,Weekly_Coaching!$D:$D),0)+IFERROR(SUMIF(Monthly_Edu!$B:$B,$A883,Monthly_Edu!$D:$D),0)+IFERROR(SUMIF(Monthly_Ops!$B:$B,$A883,Monthly_Ops!$D:$D),0)+IFERROR(SUMIF(Monthly_Mentor!$B:$B,$A883,Monthly_Mentor!$D:$D),0)+IFERROR(SUMIF(Quarterly_Impact!$B:$B,$A883,Quarterly_Impact!$D:$D),0)+IFERROR(SUMIFS(XPLog!$M:$M,XPLog!$B:$B,$A883,XPLog!$J:$J,"Admin"),0)+IFERROR(SUMIFS(XPLog!$M:$M,XPLog!$B:$B,$A883,XPLog!$J:$J,"Seeding"),0)))</f>
        <v/>
      </c>
      <c r="F883" s="27">
        <f>IF($E883="","",LOOKUP($E883, XPBands!B$2:B$10, XPBands!A$2:A$10))</f>
        <v/>
      </c>
      <c r="G883" s="27">
        <f>IF($E883="","", VLOOKUP($F883, XPBands!A$2:G$10, 4, FALSE) + MIN(VLOOKUP($F883, XPBands!A$2:G$10, 5, FALSE) - VLOOKUP($F883, XPBands!A$2:G$10, 4, FALSE), FLOOR(( $E883 - VLOOKUP($F883, XPBands!A$2:G$10, 2, FALSE) ) / VLOOKUP($F883, XPBands!A$2:G$10, 7, FALSE),1)))</f>
        <v/>
      </c>
      <c r="H883" s="27">
        <f>IF($D883="","",VLOOKUP($D883,RoleTitles!$A:$E,3,FALSE))</f>
        <v/>
      </c>
      <c r="I883" s="27">
        <f>IF($D883="","",IF($C883="Greek",VLOOKUP($D883,RoleTitles!$A:$E,4,FALSE),IF($C883="Aesir",VLOOKUP($D883,RoleTitles!$A:$E,5,FALSE),VLOOKUP($D883,RoleTitles!$A:$E,3,FALSE))))</f>
        <v/>
      </c>
      <c r="J883" s="27">
        <f>IF($D883="","",IF($E883&gt;=VLOOKUP($D883,RoleTitles!$A:$B,2,FALSE),"Yes","No"))</f>
        <v/>
      </c>
      <c r="K883" s="27">
        <f>IF($D883="","",IF($D883="T1","T2",IF($D883="T2","T3",IF($D883="T3","T4",IF($D883="T4","T5",IF($D883="T5","T6",IF($D883="T6","T7",IF($D883="T7","T8",IF($D883="T8","T9","")))))))))</f>
        <v/>
      </c>
      <c r="L883" s="28">
        <f>IF($K883="","",MAX(0,VLOOKUP($K883,RoleTitles!$A:$B,2,FALSE)-$E883))</f>
        <v/>
      </c>
    </row>
    <row r="884">
      <c r="A884" s="24">
        <f>IFERROR(INDEX(CoachRoster!$A$2:$A$1000,ROW()-1),"")</f>
        <v/>
      </c>
      <c r="B884" s="27">
        <f>IF($A884="","",VLOOKUP($A884,CoachRoster!$A:$E,2,FALSE))</f>
        <v/>
      </c>
      <c r="C884" s="27">
        <f>IF($A884="","",VLOOKUP($A884,CoachRoster!$A:$E,3,FALSE))</f>
        <v/>
      </c>
      <c r="D884" s="27">
        <f>IF($A884="","",VLOOKUP($A884,CoachRoster!$A:$E,4,FALSE))</f>
        <v/>
      </c>
      <c r="E884" s="27">
        <f>IF($A884="","",MIN(Settings!$B$8,IFERROR(SUMIF(Weekly_Coaching!$B:$B,$A884,Weekly_Coaching!$D:$D),0)+IFERROR(SUMIF(Monthly_Edu!$B:$B,$A884,Monthly_Edu!$D:$D),0)+IFERROR(SUMIF(Monthly_Ops!$B:$B,$A884,Monthly_Ops!$D:$D),0)+IFERROR(SUMIF(Monthly_Mentor!$B:$B,$A884,Monthly_Mentor!$D:$D),0)+IFERROR(SUMIF(Quarterly_Impact!$B:$B,$A884,Quarterly_Impact!$D:$D),0)+IFERROR(SUMIFS(XPLog!$M:$M,XPLog!$B:$B,$A884,XPLog!$J:$J,"Admin"),0)+IFERROR(SUMIFS(XPLog!$M:$M,XPLog!$B:$B,$A884,XPLog!$J:$J,"Seeding"),0)))</f>
        <v/>
      </c>
      <c r="F884" s="27">
        <f>IF($E884="","",LOOKUP($E884, XPBands!B$2:B$10, XPBands!A$2:A$10))</f>
        <v/>
      </c>
      <c r="G884" s="27">
        <f>IF($E884="","", VLOOKUP($F884, XPBands!A$2:G$10, 4, FALSE) + MIN(VLOOKUP($F884, XPBands!A$2:G$10, 5, FALSE) - VLOOKUP($F884, XPBands!A$2:G$10, 4, FALSE), FLOOR(( $E884 - VLOOKUP($F884, XPBands!A$2:G$10, 2, FALSE) ) / VLOOKUP($F884, XPBands!A$2:G$10, 7, FALSE),1)))</f>
        <v/>
      </c>
      <c r="H884" s="27">
        <f>IF($D884="","",VLOOKUP($D884,RoleTitles!$A:$E,3,FALSE))</f>
        <v/>
      </c>
      <c r="I884" s="27">
        <f>IF($D884="","",IF($C884="Greek",VLOOKUP($D884,RoleTitles!$A:$E,4,FALSE),IF($C884="Aesir",VLOOKUP($D884,RoleTitles!$A:$E,5,FALSE),VLOOKUP($D884,RoleTitles!$A:$E,3,FALSE))))</f>
        <v/>
      </c>
      <c r="J884" s="27">
        <f>IF($D884="","",IF($E884&gt;=VLOOKUP($D884,RoleTitles!$A:$B,2,FALSE),"Yes","No"))</f>
        <v/>
      </c>
      <c r="K884" s="27">
        <f>IF($D884="","",IF($D884="T1","T2",IF($D884="T2","T3",IF($D884="T3","T4",IF($D884="T4","T5",IF($D884="T5","T6",IF($D884="T6","T7",IF($D884="T7","T8",IF($D884="T8","T9","")))))))))</f>
        <v/>
      </c>
      <c r="L884" s="28">
        <f>IF($K884="","",MAX(0,VLOOKUP($K884,RoleTitles!$A:$B,2,FALSE)-$E884))</f>
        <v/>
      </c>
    </row>
    <row r="885">
      <c r="A885" s="24">
        <f>IFERROR(INDEX(CoachRoster!$A$2:$A$1000,ROW()-1),"")</f>
        <v/>
      </c>
      <c r="B885" s="27">
        <f>IF($A885="","",VLOOKUP($A885,CoachRoster!$A:$E,2,FALSE))</f>
        <v/>
      </c>
      <c r="C885" s="27">
        <f>IF($A885="","",VLOOKUP($A885,CoachRoster!$A:$E,3,FALSE))</f>
        <v/>
      </c>
      <c r="D885" s="27">
        <f>IF($A885="","",VLOOKUP($A885,CoachRoster!$A:$E,4,FALSE))</f>
        <v/>
      </c>
      <c r="E885" s="27">
        <f>IF($A885="","",MIN(Settings!$B$8,IFERROR(SUMIF(Weekly_Coaching!$B:$B,$A885,Weekly_Coaching!$D:$D),0)+IFERROR(SUMIF(Monthly_Edu!$B:$B,$A885,Monthly_Edu!$D:$D),0)+IFERROR(SUMIF(Monthly_Ops!$B:$B,$A885,Monthly_Ops!$D:$D),0)+IFERROR(SUMIF(Monthly_Mentor!$B:$B,$A885,Monthly_Mentor!$D:$D),0)+IFERROR(SUMIF(Quarterly_Impact!$B:$B,$A885,Quarterly_Impact!$D:$D),0)+IFERROR(SUMIFS(XPLog!$M:$M,XPLog!$B:$B,$A885,XPLog!$J:$J,"Admin"),0)+IFERROR(SUMIFS(XPLog!$M:$M,XPLog!$B:$B,$A885,XPLog!$J:$J,"Seeding"),0)))</f>
        <v/>
      </c>
      <c r="F885" s="27">
        <f>IF($E885="","",LOOKUP($E885, XPBands!B$2:B$10, XPBands!A$2:A$10))</f>
        <v/>
      </c>
      <c r="G885" s="27">
        <f>IF($E885="","", VLOOKUP($F885, XPBands!A$2:G$10, 4, FALSE) + MIN(VLOOKUP($F885, XPBands!A$2:G$10, 5, FALSE) - VLOOKUP($F885, XPBands!A$2:G$10, 4, FALSE), FLOOR(( $E885 - VLOOKUP($F885, XPBands!A$2:G$10, 2, FALSE) ) / VLOOKUP($F885, XPBands!A$2:G$10, 7, FALSE),1)))</f>
        <v/>
      </c>
      <c r="H885" s="27">
        <f>IF($D885="","",VLOOKUP($D885,RoleTitles!$A:$E,3,FALSE))</f>
        <v/>
      </c>
      <c r="I885" s="27">
        <f>IF($D885="","",IF($C885="Greek",VLOOKUP($D885,RoleTitles!$A:$E,4,FALSE),IF($C885="Aesir",VLOOKUP($D885,RoleTitles!$A:$E,5,FALSE),VLOOKUP($D885,RoleTitles!$A:$E,3,FALSE))))</f>
        <v/>
      </c>
      <c r="J885" s="27">
        <f>IF($D885="","",IF($E885&gt;=VLOOKUP($D885,RoleTitles!$A:$B,2,FALSE),"Yes","No"))</f>
        <v/>
      </c>
      <c r="K885" s="27">
        <f>IF($D885="","",IF($D885="T1","T2",IF($D885="T2","T3",IF($D885="T3","T4",IF($D885="T4","T5",IF($D885="T5","T6",IF($D885="T6","T7",IF($D885="T7","T8",IF($D885="T8","T9","")))))))))</f>
        <v/>
      </c>
      <c r="L885" s="28">
        <f>IF($K885="","",MAX(0,VLOOKUP($K885,RoleTitles!$A:$B,2,FALSE)-$E885))</f>
        <v/>
      </c>
    </row>
    <row r="886">
      <c r="A886" s="24">
        <f>IFERROR(INDEX(CoachRoster!$A$2:$A$1000,ROW()-1),"")</f>
        <v/>
      </c>
      <c r="B886" s="27">
        <f>IF($A886="","",VLOOKUP($A886,CoachRoster!$A:$E,2,FALSE))</f>
        <v/>
      </c>
      <c r="C886" s="27">
        <f>IF($A886="","",VLOOKUP($A886,CoachRoster!$A:$E,3,FALSE))</f>
        <v/>
      </c>
      <c r="D886" s="27">
        <f>IF($A886="","",VLOOKUP($A886,CoachRoster!$A:$E,4,FALSE))</f>
        <v/>
      </c>
      <c r="E886" s="27">
        <f>IF($A886="","",MIN(Settings!$B$8,IFERROR(SUMIF(Weekly_Coaching!$B:$B,$A886,Weekly_Coaching!$D:$D),0)+IFERROR(SUMIF(Monthly_Edu!$B:$B,$A886,Monthly_Edu!$D:$D),0)+IFERROR(SUMIF(Monthly_Ops!$B:$B,$A886,Monthly_Ops!$D:$D),0)+IFERROR(SUMIF(Monthly_Mentor!$B:$B,$A886,Monthly_Mentor!$D:$D),0)+IFERROR(SUMIF(Quarterly_Impact!$B:$B,$A886,Quarterly_Impact!$D:$D),0)+IFERROR(SUMIFS(XPLog!$M:$M,XPLog!$B:$B,$A886,XPLog!$J:$J,"Admin"),0)+IFERROR(SUMIFS(XPLog!$M:$M,XPLog!$B:$B,$A886,XPLog!$J:$J,"Seeding"),0)))</f>
        <v/>
      </c>
      <c r="F886" s="27">
        <f>IF($E886="","",LOOKUP($E886, XPBands!B$2:B$10, XPBands!A$2:A$10))</f>
        <v/>
      </c>
      <c r="G886" s="27">
        <f>IF($E886="","", VLOOKUP($F886, XPBands!A$2:G$10, 4, FALSE) + MIN(VLOOKUP($F886, XPBands!A$2:G$10, 5, FALSE) - VLOOKUP($F886, XPBands!A$2:G$10, 4, FALSE), FLOOR(( $E886 - VLOOKUP($F886, XPBands!A$2:G$10, 2, FALSE) ) / VLOOKUP($F886, XPBands!A$2:G$10, 7, FALSE),1)))</f>
        <v/>
      </c>
      <c r="H886" s="27">
        <f>IF($D886="","",VLOOKUP($D886,RoleTitles!$A:$E,3,FALSE))</f>
        <v/>
      </c>
      <c r="I886" s="27">
        <f>IF($D886="","",IF($C886="Greek",VLOOKUP($D886,RoleTitles!$A:$E,4,FALSE),IF($C886="Aesir",VLOOKUP($D886,RoleTitles!$A:$E,5,FALSE),VLOOKUP($D886,RoleTitles!$A:$E,3,FALSE))))</f>
        <v/>
      </c>
      <c r="J886" s="27">
        <f>IF($D886="","",IF($E886&gt;=VLOOKUP($D886,RoleTitles!$A:$B,2,FALSE),"Yes","No"))</f>
        <v/>
      </c>
      <c r="K886" s="27">
        <f>IF($D886="","",IF($D886="T1","T2",IF($D886="T2","T3",IF($D886="T3","T4",IF($D886="T4","T5",IF($D886="T5","T6",IF($D886="T6","T7",IF($D886="T7","T8",IF($D886="T8","T9","")))))))))</f>
        <v/>
      </c>
      <c r="L886" s="28">
        <f>IF($K886="","",MAX(0,VLOOKUP($K886,RoleTitles!$A:$B,2,FALSE)-$E886))</f>
        <v/>
      </c>
    </row>
    <row r="887">
      <c r="A887" s="24">
        <f>IFERROR(INDEX(CoachRoster!$A$2:$A$1000,ROW()-1),"")</f>
        <v/>
      </c>
      <c r="B887" s="27">
        <f>IF($A887="","",VLOOKUP($A887,CoachRoster!$A:$E,2,FALSE))</f>
        <v/>
      </c>
      <c r="C887" s="27">
        <f>IF($A887="","",VLOOKUP($A887,CoachRoster!$A:$E,3,FALSE))</f>
        <v/>
      </c>
      <c r="D887" s="27">
        <f>IF($A887="","",VLOOKUP($A887,CoachRoster!$A:$E,4,FALSE))</f>
        <v/>
      </c>
      <c r="E887" s="27">
        <f>IF($A887="","",MIN(Settings!$B$8,IFERROR(SUMIF(Weekly_Coaching!$B:$B,$A887,Weekly_Coaching!$D:$D),0)+IFERROR(SUMIF(Monthly_Edu!$B:$B,$A887,Monthly_Edu!$D:$D),0)+IFERROR(SUMIF(Monthly_Ops!$B:$B,$A887,Monthly_Ops!$D:$D),0)+IFERROR(SUMIF(Monthly_Mentor!$B:$B,$A887,Monthly_Mentor!$D:$D),0)+IFERROR(SUMIF(Quarterly_Impact!$B:$B,$A887,Quarterly_Impact!$D:$D),0)+IFERROR(SUMIFS(XPLog!$M:$M,XPLog!$B:$B,$A887,XPLog!$J:$J,"Admin"),0)+IFERROR(SUMIFS(XPLog!$M:$M,XPLog!$B:$B,$A887,XPLog!$J:$J,"Seeding"),0)))</f>
        <v/>
      </c>
      <c r="F887" s="27">
        <f>IF($E887="","",LOOKUP($E887, XPBands!B$2:B$10, XPBands!A$2:A$10))</f>
        <v/>
      </c>
      <c r="G887" s="27">
        <f>IF($E887="","", VLOOKUP($F887, XPBands!A$2:G$10, 4, FALSE) + MIN(VLOOKUP($F887, XPBands!A$2:G$10, 5, FALSE) - VLOOKUP($F887, XPBands!A$2:G$10, 4, FALSE), FLOOR(( $E887 - VLOOKUP($F887, XPBands!A$2:G$10, 2, FALSE) ) / VLOOKUP($F887, XPBands!A$2:G$10, 7, FALSE),1)))</f>
        <v/>
      </c>
      <c r="H887" s="27">
        <f>IF($D887="","",VLOOKUP($D887,RoleTitles!$A:$E,3,FALSE))</f>
        <v/>
      </c>
      <c r="I887" s="27">
        <f>IF($D887="","",IF($C887="Greek",VLOOKUP($D887,RoleTitles!$A:$E,4,FALSE),IF($C887="Aesir",VLOOKUP($D887,RoleTitles!$A:$E,5,FALSE),VLOOKUP($D887,RoleTitles!$A:$E,3,FALSE))))</f>
        <v/>
      </c>
      <c r="J887" s="27">
        <f>IF($D887="","",IF($E887&gt;=VLOOKUP($D887,RoleTitles!$A:$B,2,FALSE),"Yes","No"))</f>
        <v/>
      </c>
      <c r="K887" s="27">
        <f>IF($D887="","",IF($D887="T1","T2",IF($D887="T2","T3",IF($D887="T3","T4",IF($D887="T4","T5",IF($D887="T5","T6",IF($D887="T6","T7",IF($D887="T7","T8",IF($D887="T8","T9","")))))))))</f>
        <v/>
      </c>
      <c r="L887" s="28">
        <f>IF($K887="","",MAX(0,VLOOKUP($K887,RoleTitles!$A:$B,2,FALSE)-$E887))</f>
        <v/>
      </c>
    </row>
    <row r="888">
      <c r="A888" s="24">
        <f>IFERROR(INDEX(CoachRoster!$A$2:$A$1000,ROW()-1),"")</f>
        <v/>
      </c>
      <c r="B888" s="27">
        <f>IF($A888="","",VLOOKUP($A888,CoachRoster!$A:$E,2,FALSE))</f>
        <v/>
      </c>
      <c r="C888" s="27">
        <f>IF($A888="","",VLOOKUP($A888,CoachRoster!$A:$E,3,FALSE))</f>
        <v/>
      </c>
      <c r="D888" s="27">
        <f>IF($A888="","",VLOOKUP($A888,CoachRoster!$A:$E,4,FALSE))</f>
        <v/>
      </c>
      <c r="E888" s="27">
        <f>IF($A888="","",MIN(Settings!$B$8,IFERROR(SUMIF(Weekly_Coaching!$B:$B,$A888,Weekly_Coaching!$D:$D),0)+IFERROR(SUMIF(Monthly_Edu!$B:$B,$A888,Monthly_Edu!$D:$D),0)+IFERROR(SUMIF(Monthly_Ops!$B:$B,$A888,Monthly_Ops!$D:$D),0)+IFERROR(SUMIF(Monthly_Mentor!$B:$B,$A888,Monthly_Mentor!$D:$D),0)+IFERROR(SUMIF(Quarterly_Impact!$B:$B,$A888,Quarterly_Impact!$D:$D),0)+IFERROR(SUMIFS(XPLog!$M:$M,XPLog!$B:$B,$A888,XPLog!$J:$J,"Admin"),0)+IFERROR(SUMIFS(XPLog!$M:$M,XPLog!$B:$B,$A888,XPLog!$J:$J,"Seeding"),0)))</f>
        <v/>
      </c>
      <c r="F888" s="27">
        <f>IF($E888="","",LOOKUP($E888, XPBands!B$2:B$10, XPBands!A$2:A$10))</f>
        <v/>
      </c>
      <c r="G888" s="27">
        <f>IF($E888="","", VLOOKUP($F888, XPBands!A$2:G$10, 4, FALSE) + MIN(VLOOKUP($F888, XPBands!A$2:G$10, 5, FALSE) - VLOOKUP($F888, XPBands!A$2:G$10, 4, FALSE), FLOOR(( $E888 - VLOOKUP($F888, XPBands!A$2:G$10, 2, FALSE) ) / VLOOKUP($F888, XPBands!A$2:G$10, 7, FALSE),1)))</f>
        <v/>
      </c>
      <c r="H888" s="27">
        <f>IF($D888="","",VLOOKUP($D888,RoleTitles!$A:$E,3,FALSE))</f>
        <v/>
      </c>
      <c r="I888" s="27">
        <f>IF($D888="","",IF($C888="Greek",VLOOKUP($D888,RoleTitles!$A:$E,4,FALSE),IF($C888="Aesir",VLOOKUP($D888,RoleTitles!$A:$E,5,FALSE),VLOOKUP($D888,RoleTitles!$A:$E,3,FALSE))))</f>
        <v/>
      </c>
      <c r="J888" s="27">
        <f>IF($D888="","",IF($E888&gt;=VLOOKUP($D888,RoleTitles!$A:$B,2,FALSE),"Yes","No"))</f>
        <v/>
      </c>
      <c r="K888" s="27">
        <f>IF($D888="","",IF($D888="T1","T2",IF($D888="T2","T3",IF($D888="T3","T4",IF($D888="T4","T5",IF($D888="T5","T6",IF($D888="T6","T7",IF($D888="T7","T8",IF($D888="T8","T9","")))))))))</f>
        <v/>
      </c>
      <c r="L888" s="28">
        <f>IF($K888="","",MAX(0,VLOOKUP($K888,RoleTitles!$A:$B,2,FALSE)-$E888))</f>
        <v/>
      </c>
    </row>
    <row r="889">
      <c r="A889" s="24">
        <f>IFERROR(INDEX(CoachRoster!$A$2:$A$1000,ROW()-1),"")</f>
        <v/>
      </c>
      <c r="B889" s="27">
        <f>IF($A889="","",VLOOKUP($A889,CoachRoster!$A:$E,2,FALSE))</f>
        <v/>
      </c>
      <c r="C889" s="27">
        <f>IF($A889="","",VLOOKUP($A889,CoachRoster!$A:$E,3,FALSE))</f>
        <v/>
      </c>
      <c r="D889" s="27">
        <f>IF($A889="","",VLOOKUP($A889,CoachRoster!$A:$E,4,FALSE))</f>
        <v/>
      </c>
      <c r="E889" s="27">
        <f>IF($A889="","",MIN(Settings!$B$8,IFERROR(SUMIF(Weekly_Coaching!$B:$B,$A889,Weekly_Coaching!$D:$D),0)+IFERROR(SUMIF(Monthly_Edu!$B:$B,$A889,Monthly_Edu!$D:$D),0)+IFERROR(SUMIF(Monthly_Ops!$B:$B,$A889,Monthly_Ops!$D:$D),0)+IFERROR(SUMIF(Monthly_Mentor!$B:$B,$A889,Monthly_Mentor!$D:$D),0)+IFERROR(SUMIF(Quarterly_Impact!$B:$B,$A889,Quarterly_Impact!$D:$D),0)+IFERROR(SUMIFS(XPLog!$M:$M,XPLog!$B:$B,$A889,XPLog!$J:$J,"Admin"),0)+IFERROR(SUMIFS(XPLog!$M:$M,XPLog!$B:$B,$A889,XPLog!$J:$J,"Seeding"),0)))</f>
        <v/>
      </c>
      <c r="F889" s="27">
        <f>IF($E889="","",LOOKUP($E889, XPBands!B$2:B$10, XPBands!A$2:A$10))</f>
        <v/>
      </c>
      <c r="G889" s="27">
        <f>IF($E889="","", VLOOKUP($F889, XPBands!A$2:G$10, 4, FALSE) + MIN(VLOOKUP($F889, XPBands!A$2:G$10, 5, FALSE) - VLOOKUP($F889, XPBands!A$2:G$10, 4, FALSE), FLOOR(( $E889 - VLOOKUP($F889, XPBands!A$2:G$10, 2, FALSE) ) / VLOOKUP($F889, XPBands!A$2:G$10, 7, FALSE),1)))</f>
        <v/>
      </c>
      <c r="H889" s="27">
        <f>IF($D889="","",VLOOKUP($D889,RoleTitles!$A:$E,3,FALSE))</f>
        <v/>
      </c>
      <c r="I889" s="27">
        <f>IF($D889="","",IF($C889="Greek",VLOOKUP($D889,RoleTitles!$A:$E,4,FALSE),IF($C889="Aesir",VLOOKUP($D889,RoleTitles!$A:$E,5,FALSE),VLOOKUP($D889,RoleTitles!$A:$E,3,FALSE))))</f>
        <v/>
      </c>
      <c r="J889" s="27">
        <f>IF($D889="","",IF($E889&gt;=VLOOKUP($D889,RoleTitles!$A:$B,2,FALSE),"Yes","No"))</f>
        <v/>
      </c>
      <c r="K889" s="27">
        <f>IF($D889="","",IF($D889="T1","T2",IF($D889="T2","T3",IF($D889="T3","T4",IF($D889="T4","T5",IF($D889="T5","T6",IF($D889="T6","T7",IF($D889="T7","T8",IF($D889="T8","T9","")))))))))</f>
        <v/>
      </c>
      <c r="L889" s="28">
        <f>IF($K889="","",MAX(0,VLOOKUP($K889,RoleTitles!$A:$B,2,FALSE)-$E889))</f>
        <v/>
      </c>
    </row>
    <row r="890">
      <c r="A890" s="24">
        <f>IFERROR(INDEX(CoachRoster!$A$2:$A$1000,ROW()-1),"")</f>
        <v/>
      </c>
      <c r="B890" s="27">
        <f>IF($A890="","",VLOOKUP($A890,CoachRoster!$A:$E,2,FALSE))</f>
        <v/>
      </c>
      <c r="C890" s="27">
        <f>IF($A890="","",VLOOKUP($A890,CoachRoster!$A:$E,3,FALSE))</f>
        <v/>
      </c>
      <c r="D890" s="27">
        <f>IF($A890="","",VLOOKUP($A890,CoachRoster!$A:$E,4,FALSE))</f>
        <v/>
      </c>
      <c r="E890" s="27">
        <f>IF($A890="","",MIN(Settings!$B$8,IFERROR(SUMIF(Weekly_Coaching!$B:$B,$A890,Weekly_Coaching!$D:$D),0)+IFERROR(SUMIF(Monthly_Edu!$B:$B,$A890,Monthly_Edu!$D:$D),0)+IFERROR(SUMIF(Monthly_Ops!$B:$B,$A890,Monthly_Ops!$D:$D),0)+IFERROR(SUMIF(Monthly_Mentor!$B:$B,$A890,Monthly_Mentor!$D:$D),0)+IFERROR(SUMIF(Quarterly_Impact!$B:$B,$A890,Quarterly_Impact!$D:$D),0)+IFERROR(SUMIFS(XPLog!$M:$M,XPLog!$B:$B,$A890,XPLog!$J:$J,"Admin"),0)+IFERROR(SUMIFS(XPLog!$M:$M,XPLog!$B:$B,$A890,XPLog!$J:$J,"Seeding"),0)))</f>
        <v/>
      </c>
      <c r="F890" s="27">
        <f>IF($E890="","",LOOKUP($E890, XPBands!B$2:B$10, XPBands!A$2:A$10))</f>
        <v/>
      </c>
      <c r="G890" s="27">
        <f>IF($E890="","", VLOOKUP($F890, XPBands!A$2:G$10, 4, FALSE) + MIN(VLOOKUP($F890, XPBands!A$2:G$10, 5, FALSE) - VLOOKUP($F890, XPBands!A$2:G$10, 4, FALSE), FLOOR(( $E890 - VLOOKUP($F890, XPBands!A$2:G$10, 2, FALSE) ) / VLOOKUP($F890, XPBands!A$2:G$10, 7, FALSE),1)))</f>
        <v/>
      </c>
      <c r="H890" s="27">
        <f>IF($D890="","",VLOOKUP($D890,RoleTitles!$A:$E,3,FALSE))</f>
        <v/>
      </c>
      <c r="I890" s="27">
        <f>IF($D890="","",IF($C890="Greek",VLOOKUP($D890,RoleTitles!$A:$E,4,FALSE),IF($C890="Aesir",VLOOKUP($D890,RoleTitles!$A:$E,5,FALSE),VLOOKUP($D890,RoleTitles!$A:$E,3,FALSE))))</f>
        <v/>
      </c>
      <c r="J890" s="27">
        <f>IF($D890="","",IF($E890&gt;=VLOOKUP($D890,RoleTitles!$A:$B,2,FALSE),"Yes","No"))</f>
        <v/>
      </c>
      <c r="K890" s="27">
        <f>IF($D890="","",IF($D890="T1","T2",IF($D890="T2","T3",IF($D890="T3","T4",IF($D890="T4","T5",IF($D890="T5","T6",IF($D890="T6","T7",IF($D890="T7","T8",IF($D890="T8","T9","")))))))))</f>
        <v/>
      </c>
      <c r="L890" s="28">
        <f>IF($K890="","",MAX(0,VLOOKUP($K890,RoleTitles!$A:$B,2,FALSE)-$E890))</f>
        <v/>
      </c>
    </row>
    <row r="891">
      <c r="A891" s="24">
        <f>IFERROR(INDEX(CoachRoster!$A$2:$A$1000,ROW()-1),"")</f>
        <v/>
      </c>
      <c r="B891" s="27">
        <f>IF($A891="","",VLOOKUP($A891,CoachRoster!$A:$E,2,FALSE))</f>
        <v/>
      </c>
      <c r="C891" s="27">
        <f>IF($A891="","",VLOOKUP($A891,CoachRoster!$A:$E,3,FALSE))</f>
        <v/>
      </c>
      <c r="D891" s="27">
        <f>IF($A891="","",VLOOKUP($A891,CoachRoster!$A:$E,4,FALSE))</f>
        <v/>
      </c>
      <c r="E891" s="27">
        <f>IF($A891="","",MIN(Settings!$B$8,IFERROR(SUMIF(Weekly_Coaching!$B:$B,$A891,Weekly_Coaching!$D:$D),0)+IFERROR(SUMIF(Monthly_Edu!$B:$B,$A891,Monthly_Edu!$D:$D),0)+IFERROR(SUMIF(Monthly_Ops!$B:$B,$A891,Monthly_Ops!$D:$D),0)+IFERROR(SUMIF(Monthly_Mentor!$B:$B,$A891,Monthly_Mentor!$D:$D),0)+IFERROR(SUMIF(Quarterly_Impact!$B:$B,$A891,Quarterly_Impact!$D:$D),0)+IFERROR(SUMIFS(XPLog!$M:$M,XPLog!$B:$B,$A891,XPLog!$J:$J,"Admin"),0)+IFERROR(SUMIFS(XPLog!$M:$M,XPLog!$B:$B,$A891,XPLog!$J:$J,"Seeding"),0)))</f>
        <v/>
      </c>
      <c r="F891" s="27">
        <f>IF($E891="","",LOOKUP($E891, XPBands!B$2:B$10, XPBands!A$2:A$10))</f>
        <v/>
      </c>
      <c r="G891" s="27">
        <f>IF($E891="","", VLOOKUP($F891, XPBands!A$2:G$10, 4, FALSE) + MIN(VLOOKUP($F891, XPBands!A$2:G$10, 5, FALSE) - VLOOKUP($F891, XPBands!A$2:G$10, 4, FALSE), FLOOR(( $E891 - VLOOKUP($F891, XPBands!A$2:G$10, 2, FALSE) ) / VLOOKUP($F891, XPBands!A$2:G$10, 7, FALSE),1)))</f>
        <v/>
      </c>
      <c r="H891" s="27">
        <f>IF($D891="","",VLOOKUP($D891,RoleTitles!$A:$E,3,FALSE))</f>
        <v/>
      </c>
      <c r="I891" s="27">
        <f>IF($D891="","",IF($C891="Greek",VLOOKUP($D891,RoleTitles!$A:$E,4,FALSE),IF($C891="Aesir",VLOOKUP($D891,RoleTitles!$A:$E,5,FALSE),VLOOKUP($D891,RoleTitles!$A:$E,3,FALSE))))</f>
        <v/>
      </c>
      <c r="J891" s="27">
        <f>IF($D891="","",IF($E891&gt;=VLOOKUP($D891,RoleTitles!$A:$B,2,FALSE),"Yes","No"))</f>
        <v/>
      </c>
      <c r="K891" s="27">
        <f>IF($D891="","",IF($D891="T1","T2",IF($D891="T2","T3",IF($D891="T3","T4",IF($D891="T4","T5",IF($D891="T5","T6",IF($D891="T6","T7",IF($D891="T7","T8",IF($D891="T8","T9","")))))))))</f>
        <v/>
      </c>
      <c r="L891" s="28">
        <f>IF($K891="","",MAX(0,VLOOKUP($K891,RoleTitles!$A:$B,2,FALSE)-$E891))</f>
        <v/>
      </c>
    </row>
    <row r="892">
      <c r="A892" s="24">
        <f>IFERROR(INDEX(CoachRoster!$A$2:$A$1000,ROW()-1),"")</f>
        <v/>
      </c>
      <c r="B892" s="27">
        <f>IF($A892="","",VLOOKUP($A892,CoachRoster!$A:$E,2,FALSE))</f>
        <v/>
      </c>
      <c r="C892" s="27">
        <f>IF($A892="","",VLOOKUP($A892,CoachRoster!$A:$E,3,FALSE))</f>
        <v/>
      </c>
      <c r="D892" s="27">
        <f>IF($A892="","",VLOOKUP($A892,CoachRoster!$A:$E,4,FALSE))</f>
        <v/>
      </c>
      <c r="E892" s="27">
        <f>IF($A892="","",MIN(Settings!$B$8,IFERROR(SUMIF(Weekly_Coaching!$B:$B,$A892,Weekly_Coaching!$D:$D),0)+IFERROR(SUMIF(Monthly_Edu!$B:$B,$A892,Monthly_Edu!$D:$D),0)+IFERROR(SUMIF(Monthly_Ops!$B:$B,$A892,Monthly_Ops!$D:$D),0)+IFERROR(SUMIF(Monthly_Mentor!$B:$B,$A892,Monthly_Mentor!$D:$D),0)+IFERROR(SUMIF(Quarterly_Impact!$B:$B,$A892,Quarterly_Impact!$D:$D),0)+IFERROR(SUMIFS(XPLog!$M:$M,XPLog!$B:$B,$A892,XPLog!$J:$J,"Admin"),0)+IFERROR(SUMIFS(XPLog!$M:$M,XPLog!$B:$B,$A892,XPLog!$J:$J,"Seeding"),0)))</f>
        <v/>
      </c>
      <c r="F892" s="27">
        <f>IF($E892="","",LOOKUP($E892, XPBands!B$2:B$10, XPBands!A$2:A$10))</f>
        <v/>
      </c>
      <c r="G892" s="27">
        <f>IF($E892="","", VLOOKUP($F892, XPBands!A$2:G$10, 4, FALSE) + MIN(VLOOKUP($F892, XPBands!A$2:G$10, 5, FALSE) - VLOOKUP($F892, XPBands!A$2:G$10, 4, FALSE), FLOOR(( $E892 - VLOOKUP($F892, XPBands!A$2:G$10, 2, FALSE) ) / VLOOKUP($F892, XPBands!A$2:G$10, 7, FALSE),1)))</f>
        <v/>
      </c>
      <c r="H892" s="27">
        <f>IF($D892="","",VLOOKUP($D892,RoleTitles!$A:$E,3,FALSE))</f>
        <v/>
      </c>
      <c r="I892" s="27">
        <f>IF($D892="","",IF($C892="Greek",VLOOKUP($D892,RoleTitles!$A:$E,4,FALSE),IF($C892="Aesir",VLOOKUP($D892,RoleTitles!$A:$E,5,FALSE),VLOOKUP($D892,RoleTitles!$A:$E,3,FALSE))))</f>
        <v/>
      </c>
      <c r="J892" s="27">
        <f>IF($D892="","",IF($E892&gt;=VLOOKUP($D892,RoleTitles!$A:$B,2,FALSE),"Yes","No"))</f>
        <v/>
      </c>
      <c r="K892" s="27">
        <f>IF($D892="","",IF($D892="T1","T2",IF($D892="T2","T3",IF($D892="T3","T4",IF($D892="T4","T5",IF($D892="T5","T6",IF($D892="T6","T7",IF($D892="T7","T8",IF($D892="T8","T9","")))))))))</f>
        <v/>
      </c>
      <c r="L892" s="28">
        <f>IF($K892="","",MAX(0,VLOOKUP($K892,RoleTitles!$A:$B,2,FALSE)-$E892))</f>
        <v/>
      </c>
    </row>
    <row r="893">
      <c r="A893" s="24">
        <f>IFERROR(INDEX(CoachRoster!$A$2:$A$1000,ROW()-1),"")</f>
        <v/>
      </c>
      <c r="B893" s="27">
        <f>IF($A893="","",VLOOKUP($A893,CoachRoster!$A:$E,2,FALSE))</f>
        <v/>
      </c>
      <c r="C893" s="27">
        <f>IF($A893="","",VLOOKUP($A893,CoachRoster!$A:$E,3,FALSE))</f>
        <v/>
      </c>
      <c r="D893" s="27">
        <f>IF($A893="","",VLOOKUP($A893,CoachRoster!$A:$E,4,FALSE))</f>
        <v/>
      </c>
      <c r="E893" s="27">
        <f>IF($A893="","",MIN(Settings!$B$8,IFERROR(SUMIF(Weekly_Coaching!$B:$B,$A893,Weekly_Coaching!$D:$D),0)+IFERROR(SUMIF(Monthly_Edu!$B:$B,$A893,Monthly_Edu!$D:$D),0)+IFERROR(SUMIF(Monthly_Ops!$B:$B,$A893,Monthly_Ops!$D:$D),0)+IFERROR(SUMIF(Monthly_Mentor!$B:$B,$A893,Monthly_Mentor!$D:$D),0)+IFERROR(SUMIF(Quarterly_Impact!$B:$B,$A893,Quarterly_Impact!$D:$D),0)+IFERROR(SUMIFS(XPLog!$M:$M,XPLog!$B:$B,$A893,XPLog!$J:$J,"Admin"),0)+IFERROR(SUMIFS(XPLog!$M:$M,XPLog!$B:$B,$A893,XPLog!$J:$J,"Seeding"),0)))</f>
        <v/>
      </c>
      <c r="F893" s="27">
        <f>IF($E893="","",LOOKUP($E893, XPBands!B$2:B$10, XPBands!A$2:A$10))</f>
        <v/>
      </c>
      <c r="G893" s="27">
        <f>IF($E893="","", VLOOKUP($F893, XPBands!A$2:G$10, 4, FALSE) + MIN(VLOOKUP($F893, XPBands!A$2:G$10, 5, FALSE) - VLOOKUP($F893, XPBands!A$2:G$10, 4, FALSE), FLOOR(( $E893 - VLOOKUP($F893, XPBands!A$2:G$10, 2, FALSE) ) / VLOOKUP($F893, XPBands!A$2:G$10, 7, FALSE),1)))</f>
        <v/>
      </c>
      <c r="H893" s="27">
        <f>IF($D893="","",VLOOKUP($D893,RoleTitles!$A:$E,3,FALSE))</f>
        <v/>
      </c>
      <c r="I893" s="27">
        <f>IF($D893="","",IF($C893="Greek",VLOOKUP($D893,RoleTitles!$A:$E,4,FALSE),IF($C893="Aesir",VLOOKUP($D893,RoleTitles!$A:$E,5,FALSE),VLOOKUP($D893,RoleTitles!$A:$E,3,FALSE))))</f>
        <v/>
      </c>
      <c r="J893" s="27">
        <f>IF($D893="","",IF($E893&gt;=VLOOKUP($D893,RoleTitles!$A:$B,2,FALSE),"Yes","No"))</f>
        <v/>
      </c>
      <c r="K893" s="27">
        <f>IF($D893="","",IF($D893="T1","T2",IF($D893="T2","T3",IF($D893="T3","T4",IF($D893="T4","T5",IF($D893="T5","T6",IF($D893="T6","T7",IF($D893="T7","T8",IF($D893="T8","T9","")))))))))</f>
        <v/>
      </c>
      <c r="L893" s="28">
        <f>IF($K893="","",MAX(0,VLOOKUP($K893,RoleTitles!$A:$B,2,FALSE)-$E893))</f>
        <v/>
      </c>
    </row>
    <row r="894">
      <c r="A894" s="24">
        <f>IFERROR(INDEX(CoachRoster!$A$2:$A$1000,ROW()-1),"")</f>
        <v/>
      </c>
      <c r="B894" s="27">
        <f>IF($A894="","",VLOOKUP($A894,CoachRoster!$A:$E,2,FALSE))</f>
        <v/>
      </c>
      <c r="C894" s="27">
        <f>IF($A894="","",VLOOKUP($A894,CoachRoster!$A:$E,3,FALSE))</f>
        <v/>
      </c>
      <c r="D894" s="27">
        <f>IF($A894="","",VLOOKUP($A894,CoachRoster!$A:$E,4,FALSE))</f>
        <v/>
      </c>
      <c r="E894" s="27">
        <f>IF($A894="","",MIN(Settings!$B$8,IFERROR(SUMIF(Weekly_Coaching!$B:$B,$A894,Weekly_Coaching!$D:$D),0)+IFERROR(SUMIF(Monthly_Edu!$B:$B,$A894,Monthly_Edu!$D:$D),0)+IFERROR(SUMIF(Monthly_Ops!$B:$B,$A894,Monthly_Ops!$D:$D),0)+IFERROR(SUMIF(Monthly_Mentor!$B:$B,$A894,Monthly_Mentor!$D:$D),0)+IFERROR(SUMIF(Quarterly_Impact!$B:$B,$A894,Quarterly_Impact!$D:$D),0)+IFERROR(SUMIFS(XPLog!$M:$M,XPLog!$B:$B,$A894,XPLog!$J:$J,"Admin"),0)+IFERROR(SUMIFS(XPLog!$M:$M,XPLog!$B:$B,$A894,XPLog!$J:$J,"Seeding"),0)))</f>
        <v/>
      </c>
      <c r="F894" s="27">
        <f>IF($E894="","",LOOKUP($E894, XPBands!B$2:B$10, XPBands!A$2:A$10))</f>
        <v/>
      </c>
      <c r="G894" s="27">
        <f>IF($E894="","", VLOOKUP($F894, XPBands!A$2:G$10, 4, FALSE) + MIN(VLOOKUP($F894, XPBands!A$2:G$10, 5, FALSE) - VLOOKUP($F894, XPBands!A$2:G$10, 4, FALSE), FLOOR(( $E894 - VLOOKUP($F894, XPBands!A$2:G$10, 2, FALSE) ) / VLOOKUP($F894, XPBands!A$2:G$10, 7, FALSE),1)))</f>
        <v/>
      </c>
      <c r="H894" s="27">
        <f>IF($D894="","",VLOOKUP($D894,RoleTitles!$A:$E,3,FALSE))</f>
        <v/>
      </c>
      <c r="I894" s="27">
        <f>IF($D894="","",IF($C894="Greek",VLOOKUP($D894,RoleTitles!$A:$E,4,FALSE),IF($C894="Aesir",VLOOKUP($D894,RoleTitles!$A:$E,5,FALSE),VLOOKUP($D894,RoleTitles!$A:$E,3,FALSE))))</f>
        <v/>
      </c>
      <c r="J894" s="27">
        <f>IF($D894="","",IF($E894&gt;=VLOOKUP($D894,RoleTitles!$A:$B,2,FALSE),"Yes","No"))</f>
        <v/>
      </c>
      <c r="K894" s="27">
        <f>IF($D894="","",IF($D894="T1","T2",IF($D894="T2","T3",IF($D894="T3","T4",IF($D894="T4","T5",IF($D894="T5","T6",IF($D894="T6","T7",IF($D894="T7","T8",IF($D894="T8","T9","")))))))))</f>
        <v/>
      </c>
      <c r="L894" s="28">
        <f>IF($K894="","",MAX(0,VLOOKUP($K894,RoleTitles!$A:$B,2,FALSE)-$E894))</f>
        <v/>
      </c>
    </row>
    <row r="895">
      <c r="A895" s="24">
        <f>IFERROR(INDEX(CoachRoster!$A$2:$A$1000,ROW()-1),"")</f>
        <v/>
      </c>
      <c r="B895" s="27">
        <f>IF($A895="","",VLOOKUP($A895,CoachRoster!$A:$E,2,FALSE))</f>
        <v/>
      </c>
      <c r="C895" s="27">
        <f>IF($A895="","",VLOOKUP($A895,CoachRoster!$A:$E,3,FALSE))</f>
        <v/>
      </c>
      <c r="D895" s="27">
        <f>IF($A895="","",VLOOKUP($A895,CoachRoster!$A:$E,4,FALSE))</f>
        <v/>
      </c>
      <c r="E895" s="27">
        <f>IF($A895="","",MIN(Settings!$B$8,IFERROR(SUMIF(Weekly_Coaching!$B:$B,$A895,Weekly_Coaching!$D:$D),0)+IFERROR(SUMIF(Monthly_Edu!$B:$B,$A895,Monthly_Edu!$D:$D),0)+IFERROR(SUMIF(Monthly_Ops!$B:$B,$A895,Monthly_Ops!$D:$D),0)+IFERROR(SUMIF(Monthly_Mentor!$B:$B,$A895,Monthly_Mentor!$D:$D),0)+IFERROR(SUMIF(Quarterly_Impact!$B:$B,$A895,Quarterly_Impact!$D:$D),0)+IFERROR(SUMIFS(XPLog!$M:$M,XPLog!$B:$B,$A895,XPLog!$J:$J,"Admin"),0)+IFERROR(SUMIFS(XPLog!$M:$M,XPLog!$B:$B,$A895,XPLog!$J:$J,"Seeding"),0)))</f>
        <v/>
      </c>
      <c r="F895" s="27">
        <f>IF($E895="","",LOOKUP($E895, XPBands!B$2:B$10, XPBands!A$2:A$10))</f>
        <v/>
      </c>
      <c r="G895" s="27">
        <f>IF($E895="","", VLOOKUP($F895, XPBands!A$2:G$10, 4, FALSE) + MIN(VLOOKUP($F895, XPBands!A$2:G$10, 5, FALSE) - VLOOKUP($F895, XPBands!A$2:G$10, 4, FALSE), FLOOR(( $E895 - VLOOKUP($F895, XPBands!A$2:G$10, 2, FALSE) ) / VLOOKUP($F895, XPBands!A$2:G$10, 7, FALSE),1)))</f>
        <v/>
      </c>
      <c r="H895" s="27">
        <f>IF($D895="","",VLOOKUP($D895,RoleTitles!$A:$E,3,FALSE))</f>
        <v/>
      </c>
      <c r="I895" s="27">
        <f>IF($D895="","",IF($C895="Greek",VLOOKUP($D895,RoleTitles!$A:$E,4,FALSE),IF($C895="Aesir",VLOOKUP($D895,RoleTitles!$A:$E,5,FALSE),VLOOKUP($D895,RoleTitles!$A:$E,3,FALSE))))</f>
        <v/>
      </c>
      <c r="J895" s="27">
        <f>IF($D895="","",IF($E895&gt;=VLOOKUP($D895,RoleTitles!$A:$B,2,FALSE),"Yes","No"))</f>
        <v/>
      </c>
      <c r="K895" s="27">
        <f>IF($D895="","",IF($D895="T1","T2",IF($D895="T2","T3",IF($D895="T3","T4",IF($D895="T4","T5",IF($D895="T5","T6",IF($D895="T6","T7",IF($D895="T7","T8",IF($D895="T8","T9","")))))))))</f>
        <v/>
      </c>
      <c r="L895" s="28">
        <f>IF($K895="","",MAX(0,VLOOKUP($K895,RoleTitles!$A:$B,2,FALSE)-$E895))</f>
        <v/>
      </c>
    </row>
    <row r="896">
      <c r="A896" s="24">
        <f>IFERROR(INDEX(CoachRoster!$A$2:$A$1000,ROW()-1),"")</f>
        <v/>
      </c>
      <c r="B896" s="27">
        <f>IF($A896="","",VLOOKUP($A896,CoachRoster!$A:$E,2,FALSE))</f>
        <v/>
      </c>
      <c r="C896" s="27">
        <f>IF($A896="","",VLOOKUP($A896,CoachRoster!$A:$E,3,FALSE))</f>
        <v/>
      </c>
      <c r="D896" s="27">
        <f>IF($A896="","",VLOOKUP($A896,CoachRoster!$A:$E,4,FALSE))</f>
        <v/>
      </c>
      <c r="E896" s="27">
        <f>IF($A896="","",MIN(Settings!$B$8,IFERROR(SUMIF(Weekly_Coaching!$B:$B,$A896,Weekly_Coaching!$D:$D),0)+IFERROR(SUMIF(Monthly_Edu!$B:$B,$A896,Monthly_Edu!$D:$D),0)+IFERROR(SUMIF(Monthly_Ops!$B:$B,$A896,Monthly_Ops!$D:$D),0)+IFERROR(SUMIF(Monthly_Mentor!$B:$B,$A896,Monthly_Mentor!$D:$D),0)+IFERROR(SUMIF(Quarterly_Impact!$B:$B,$A896,Quarterly_Impact!$D:$D),0)+IFERROR(SUMIFS(XPLog!$M:$M,XPLog!$B:$B,$A896,XPLog!$J:$J,"Admin"),0)+IFERROR(SUMIFS(XPLog!$M:$M,XPLog!$B:$B,$A896,XPLog!$J:$J,"Seeding"),0)))</f>
        <v/>
      </c>
      <c r="F896" s="27">
        <f>IF($E896="","",LOOKUP($E896, XPBands!B$2:B$10, XPBands!A$2:A$10))</f>
        <v/>
      </c>
      <c r="G896" s="27">
        <f>IF($E896="","", VLOOKUP($F896, XPBands!A$2:G$10, 4, FALSE) + MIN(VLOOKUP($F896, XPBands!A$2:G$10, 5, FALSE) - VLOOKUP($F896, XPBands!A$2:G$10, 4, FALSE), FLOOR(( $E896 - VLOOKUP($F896, XPBands!A$2:G$10, 2, FALSE) ) / VLOOKUP($F896, XPBands!A$2:G$10, 7, FALSE),1)))</f>
        <v/>
      </c>
      <c r="H896" s="27">
        <f>IF($D896="","",VLOOKUP($D896,RoleTitles!$A:$E,3,FALSE))</f>
        <v/>
      </c>
      <c r="I896" s="27">
        <f>IF($D896="","",IF($C896="Greek",VLOOKUP($D896,RoleTitles!$A:$E,4,FALSE),IF($C896="Aesir",VLOOKUP($D896,RoleTitles!$A:$E,5,FALSE),VLOOKUP($D896,RoleTitles!$A:$E,3,FALSE))))</f>
        <v/>
      </c>
      <c r="J896" s="27">
        <f>IF($D896="","",IF($E896&gt;=VLOOKUP($D896,RoleTitles!$A:$B,2,FALSE),"Yes","No"))</f>
        <v/>
      </c>
      <c r="K896" s="27">
        <f>IF($D896="","",IF($D896="T1","T2",IF($D896="T2","T3",IF($D896="T3","T4",IF($D896="T4","T5",IF($D896="T5","T6",IF($D896="T6","T7",IF($D896="T7","T8",IF($D896="T8","T9","")))))))))</f>
        <v/>
      </c>
      <c r="L896" s="28">
        <f>IF($K896="","",MAX(0,VLOOKUP($K896,RoleTitles!$A:$B,2,FALSE)-$E896))</f>
        <v/>
      </c>
    </row>
    <row r="897">
      <c r="A897" s="24">
        <f>IFERROR(INDEX(CoachRoster!$A$2:$A$1000,ROW()-1),"")</f>
        <v/>
      </c>
      <c r="B897" s="27">
        <f>IF($A897="","",VLOOKUP($A897,CoachRoster!$A:$E,2,FALSE))</f>
        <v/>
      </c>
      <c r="C897" s="27">
        <f>IF($A897="","",VLOOKUP($A897,CoachRoster!$A:$E,3,FALSE))</f>
        <v/>
      </c>
      <c r="D897" s="27">
        <f>IF($A897="","",VLOOKUP($A897,CoachRoster!$A:$E,4,FALSE))</f>
        <v/>
      </c>
      <c r="E897" s="27">
        <f>IF($A897="","",MIN(Settings!$B$8,IFERROR(SUMIF(Weekly_Coaching!$B:$B,$A897,Weekly_Coaching!$D:$D),0)+IFERROR(SUMIF(Monthly_Edu!$B:$B,$A897,Monthly_Edu!$D:$D),0)+IFERROR(SUMIF(Monthly_Ops!$B:$B,$A897,Monthly_Ops!$D:$D),0)+IFERROR(SUMIF(Monthly_Mentor!$B:$B,$A897,Monthly_Mentor!$D:$D),0)+IFERROR(SUMIF(Quarterly_Impact!$B:$B,$A897,Quarterly_Impact!$D:$D),0)+IFERROR(SUMIFS(XPLog!$M:$M,XPLog!$B:$B,$A897,XPLog!$J:$J,"Admin"),0)+IFERROR(SUMIFS(XPLog!$M:$M,XPLog!$B:$B,$A897,XPLog!$J:$J,"Seeding"),0)))</f>
        <v/>
      </c>
      <c r="F897" s="27">
        <f>IF($E897="","",LOOKUP($E897, XPBands!B$2:B$10, XPBands!A$2:A$10))</f>
        <v/>
      </c>
      <c r="G897" s="27">
        <f>IF($E897="","", VLOOKUP($F897, XPBands!A$2:G$10, 4, FALSE) + MIN(VLOOKUP($F897, XPBands!A$2:G$10, 5, FALSE) - VLOOKUP($F897, XPBands!A$2:G$10, 4, FALSE), FLOOR(( $E897 - VLOOKUP($F897, XPBands!A$2:G$10, 2, FALSE) ) / VLOOKUP($F897, XPBands!A$2:G$10, 7, FALSE),1)))</f>
        <v/>
      </c>
      <c r="H897" s="27">
        <f>IF($D897="","",VLOOKUP($D897,RoleTitles!$A:$E,3,FALSE))</f>
        <v/>
      </c>
      <c r="I897" s="27">
        <f>IF($D897="","",IF($C897="Greek",VLOOKUP($D897,RoleTitles!$A:$E,4,FALSE),IF($C897="Aesir",VLOOKUP($D897,RoleTitles!$A:$E,5,FALSE),VLOOKUP($D897,RoleTitles!$A:$E,3,FALSE))))</f>
        <v/>
      </c>
      <c r="J897" s="27">
        <f>IF($D897="","",IF($E897&gt;=VLOOKUP($D897,RoleTitles!$A:$B,2,FALSE),"Yes","No"))</f>
        <v/>
      </c>
      <c r="K897" s="27">
        <f>IF($D897="","",IF($D897="T1","T2",IF($D897="T2","T3",IF($D897="T3","T4",IF($D897="T4","T5",IF($D897="T5","T6",IF($D897="T6","T7",IF($D897="T7","T8",IF($D897="T8","T9","")))))))))</f>
        <v/>
      </c>
      <c r="L897" s="28">
        <f>IF($K897="","",MAX(0,VLOOKUP($K897,RoleTitles!$A:$B,2,FALSE)-$E897))</f>
        <v/>
      </c>
    </row>
    <row r="898">
      <c r="A898" s="24">
        <f>IFERROR(INDEX(CoachRoster!$A$2:$A$1000,ROW()-1),"")</f>
        <v/>
      </c>
      <c r="B898" s="27">
        <f>IF($A898="","",VLOOKUP($A898,CoachRoster!$A:$E,2,FALSE))</f>
        <v/>
      </c>
      <c r="C898" s="27">
        <f>IF($A898="","",VLOOKUP($A898,CoachRoster!$A:$E,3,FALSE))</f>
        <v/>
      </c>
      <c r="D898" s="27">
        <f>IF($A898="","",VLOOKUP($A898,CoachRoster!$A:$E,4,FALSE))</f>
        <v/>
      </c>
      <c r="E898" s="27">
        <f>IF($A898="","",MIN(Settings!$B$8,IFERROR(SUMIF(Weekly_Coaching!$B:$B,$A898,Weekly_Coaching!$D:$D),0)+IFERROR(SUMIF(Monthly_Edu!$B:$B,$A898,Monthly_Edu!$D:$D),0)+IFERROR(SUMIF(Monthly_Ops!$B:$B,$A898,Monthly_Ops!$D:$D),0)+IFERROR(SUMIF(Monthly_Mentor!$B:$B,$A898,Monthly_Mentor!$D:$D),0)+IFERROR(SUMIF(Quarterly_Impact!$B:$B,$A898,Quarterly_Impact!$D:$D),0)+IFERROR(SUMIFS(XPLog!$M:$M,XPLog!$B:$B,$A898,XPLog!$J:$J,"Admin"),0)+IFERROR(SUMIFS(XPLog!$M:$M,XPLog!$B:$B,$A898,XPLog!$J:$J,"Seeding"),0)))</f>
        <v/>
      </c>
      <c r="F898" s="27">
        <f>IF($E898="","",LOOKUP($E898, XPBands!B$2:B$10, XPBands!A$2:A$10))</f>
        <v/>
      </c>
      <c r="G898" s="27">
        <f>IF($E898="","", VLOOKUP($F898, XPBands!A$2:G$10, 4, FALSE) + MIN(VLOOKUP($F898, XPBands!A$2:G$10, 5, FALSE) - VLOOKUP($F898, XPBands!A$2:G$10, 4, FALSE), FLOOR(( $E898 - VLOOKUP($F898, XPBands!A$2:G$10, 2, FALSE) ) / VLOOKUP($F898, XPBands!A$2:G$10, 7, FALSE),1)))</f>
        <v/>
      </c>
      <c r="H898" s="27">
        <f>IF($D898="","",VLOOKUP($D898,RoleTitles!$A:$E,3,FALSE))</f>
        <v/>
      </c>
      <c r="I898" s="27">
        <f>IF($D898="","",IF($C898="Greek",VLOOKUP($D898,RoleTitles!$A:$E,4,FALSE),IF($C898="Aesir",VLOOKUP($D898,RoleTitles!$A:$E,5,FALSE),VLOOKUP($D898,RoleTitles!$A:$E,3,FALSE))))</f>
        <v/>
      </c>
      <c r="J898" s="27">
        <f>IF($D898="","",IF($E898&gt;=VLOOKUP($D898,RoleTitles!$A:$B,2,FALSE),"Yes","No"))</f>
        <v/>
      </c>
      <c r="K898" s="27">
        <f>IF($D898="","",IF($D898="T1","T2",IF($D898="T2","T3",IF($D898="T3","T4",IF($D898="T4","T5",IF($D898="T5","T6",IF($D898="T6","T7",IF($D898="T7","T8",IF($D898="T8","T9","")))))))))</f>
        <v/>
      </c>
      <c r="L898" s="28">
        <f>IF($K898="","",MAX(0,VLOOKUP($K898,RoleTitles!$A:$B,2,FALSE)-$E898))</f>
        <v/>
      </c>
    </row>
    <row r="899">
      <c r="A899" s="24">
        <f>IFERROR(INDEX(CoachRoster!$A$2:$A$1000,ROW()-1),"")</f>
        <v/>
      </c>
      <c r="B899" s="27">
        <f>IF($A899="","",VLOOKUP($A899,CoachRoster!$A:$E,2,FALSE))</f>
        <v/>
      </c>
      <c r="C899" s="27">
        <f>IF($A899="","",VLOOKUP($A899,CoachRoster!$A:$E,3,FALSE))</f>
        <v/>
      </c>
      <c r="D899" s="27">
        <f>IF($A899="","",VLOOKUP($A899,CoachRoster!$A:$E,4,FALSE))</f>
        <v/>
      </c>
      <c r="E899" s="27">
        <f>IF($A899="","",MIN(Settings!$B$8,IFERROR(SUMIF(Weekly_Coaching!$B:$B,$A899,Weekly_Coaching!$D:$D),0)+IFERROR(SUMIF(Monthly_Edu!$B:$B,$A899,Monthly_Edu!$D:$D),0)+IFERROR(SUMIF(Monthly_Ops!$B:$B,$A899,Monthly_Ops!$D:$D),0)+IFERROR(SUMIF(Monthly_Mentor!$B:$B,$A899,Monthly_Mentor!$D:$D),0)+IFERROR(SUMIF(Quarterly_Impact!$B:$B,$A899,Quarterly_Impact!$D:$D),0)+IFERROR(SUMIFS(XPLog!$M:$M,XPLog!$B:$B,$A899,XPLog!$J:$J,"Admin"),0)+IFERROR(SUMIFS(XPLog!$M:$M,XPLog!$B:$B,$A899,XPLog!$J:$J,"Seeding"),0)))</f>
        <v/>
      </c>
      <c r="F899" s="27">
        <f>IF($E899="","",LOOKUP($E899, XPBands!B$2:B$10, XPBands!A$2:A$10))</f>
        <v/>
      </c>
      <c r="G899" s="27">
        <f>IF($E899="","", VLOOKUP($F899, XPBands!A$2:G$10, 4, FALSE) + MIN(VLOOKUP($F899, XPBands!A$2:G$10, 5, FALSE) - VLOOKUP($F899, XPBands!A$2:G$10, 4, FALSE), FLOOR(( $E899 - VLOOKUP($F899, XPBands!A$2:G$10, 2, FALSE) ) / VLOOKUP($F899, XPBands!A$2:G$10, 7, FALSE),1)))</f>
        <v/>
      </c>
      <c r="H899" s="27">
        <f>IF($D899="","",VLOOKUP($D899,RoleTitles!$A:$E,3,FALSE))</f>
        <v/>
      </c>
      <c r="I899" s="27">
        <f>IF($D899="","",IF($C899="Greek",VLOOKUP($D899,RoleTitles!$A:$E,4,FALSE),IF($C899="Aesir",VLOOKUP($D899,RoleTitles!$A:$E,5,FALSE),VLOOKUP($D899,RoleTitles!$A:$E,3,FALSE))))</f>
        <v/>
      </c>
      <c r="J899" s="27">
        <f>IF($D899="","",IF($E899&gt;=VLOOKUP($D899,RoleTitles!$A:$B,2,FALSE),"Yes","No"))</f>
        <v/>
      </c>
      <c r="K899" s="27">
        <f>IF($D899="","",IF($D899="T1","T2",IF($D899="T2","T3",IF($D899="T3","T4",IF($D899="T4","T5",IF($D899="T5","T6",IF($D899="T6","T7",IF($D899="T7","T8",IF($D899="T8","T9","")))))))))</f>
        <v/>
      </c>
      <c r="L899" s="28">
        <f>IF($K899="","",MAX(0,VLOOKUP($K899,RoleTitles!$A:$B,2,FALSE)-$E899))</f>
        <v/>
      </c>
    </row>
    <row r="900">
      <c r="A900" s="24">
        <f>IFERROR(INDEX(CoachRoster!$A$2:$A$1000,ROW()-1),"")</f>
        <v/>
      </c>
      <c r="B900" s="27">
        <f>IF($A900="","",VLOOKUP($A900,CoachRoster!$A:$E,2,FALSE))</f>
        <v/>
      </c>
      <c r="C900" s="27">
        <f>IF($A900="","",VLOOKUP($A900,CoachRoster!$A:$E,3,FALSE))</f>
        <v/>
      </c>
      <c r="D900" s="27">
        <f>IF($A900="","",VLOOKUP($A900,CoachRoster!$A:$E,4,FALSE))</f>
        <v/>
      </c>
      <c r="E900" s="27">
        <f>IF($A900="","",MIN(Settings!$B$8,IFERROR(SUMIF(Weekly_Coaching!$B:$B,$A900,Weekly_Coaching!$D:$D),0)+IFERROR(SUMIF(Monthly_Edu!$B:$B,$A900,Monthly_Edu!$D:$D),0)+IFERROR(SUMIF(Monthly_Ops!$B:$B,$A900,Monthly_Ops!$D:$D),0)+IFERROR(SUMIF(Monthly_Mentor!$B:$B,$A900,Monthly_Mentor!$D:$D),0)+IFERROR(SUMIF(Quarterly_Impact!$B:$B,$A900,Quarterly_Impact!$D:$D),0)+IFERROR(SUMIFS(XPLog!$M:$M,XPLog!$B:$B,$A900,XPLog!$J:$J,"Admin"),0)+IFERROR(SUMIFS(XPLog!$M:$M,XPLog!$B:$B,$A900,XPLog!$J:$J,"Seeding"),0)))</f>
        <v/>
      </c>
      <c r="F900" s="27">
        <f>IF($E900="","",LOOKUP($E900, XPBands!B$2:B$10, XPBands!A$2:A$10))</f>
        <v/>
      </c>
      <c r="G900" s="27">
        <f>IF($E900="","", VLOOKUP($F900, XPBands!A$2:G$10, 4, FALSE) + MIN(VLOOKUP($F900, XPBands!A$2:G$10, 5, FALSE) - VLOOKUP($F900, XPBands!A$2:G$10, 4, FALSE), FLOOR(( $E900 - VLOOKUP($F900, XPBands!A$2:G$10, 2, FALSE) ) / VLOOKUP($F900, XPBands!A$2:G$10, 7, FALSE),1)))</f>
        <v/>
      </c>
      <c r="H900" s="27">
        <f>IF($D900="","",VLOOKUP($D900,RoleTitles!$A:$E,3,FALSE))</f>
        <v/>
      </c>
      <c r="I900" s="27">
        <f>IF($D900="","",IF($C900="Greek",VLOOKUP($D900,RoleTitles!$A:$E,4,FALSE),IF($C900="Aesir",VLOOKUP($D900,RoleTitles!$A:$E,5,FALSE),VLOOKUP($D900,RoleTitles!$A:$E,3,FALSE))))</f>
        <v/>
      </c>
      <c r="J900" s="27">
        <f>IF($D900="","",IF($E900&gt;=VLOOKUP($D900,RoleTitles!$A:$B,2,FALSE),"Yes","No"))</f>
        <v/>
      </c>
      <c r="K900" s="27">
        <f>IF($D900="","",IF($D900="T1","T2",IF($D900="T2","T3",IF($D900="T3","T4",IF($D900="T4","T5",IF($D900="T5","T6",IF($D900="T6","T7",IF($D900="T7","T8",IF($D900="T8","T9","")))))))))</f>
        <v/>
      </c>
      <c r="L900" s="28">
        <f>IF($K900="","",MAX(0,VLOOKUP($K900,RoleTitles!$A:$B,2,FALSE)-$E900))</f>
        <v/>
      </c>
    </row>
    <row r="901">
      <c r="A901" s="24">
        <f>IFERROR(INDEX(CoachRoster!$A$2:$A$1000,ROW()-1),"")</f>
        <v/>
      </c>
      <c r="B901" s="27">
        <f>IF($A901="","",VLOOKUP($A901,CoachRoster!$A:$E,2,FALSE))</f>
        <v/>
      </c>
      <c r="C901" s="27">
        <f>IF($A901="","",VLOOKUP($A901,CoachRoster!$A:$E,3,FALSE))</f>
        <v/>
      </c>
      <c r="D901" s="27">
        <f>IF($A901="","",VLOOKUP($A901,CoachRoster!$A:$E,4,FALSE))</f>
        <v/>
      </c>
      <c r="E901" s="27">
        <f>IF($A901="","",MIN(Settings!$B$8,IFERROR(SUMIF(Weekly_Coaching!$B:$B,$A901,Weekly_Coaching!$D:$D),0)+IFERROR(SUMIF(Monthly_Edu!$B:$B,$A901,Monthly_Edu!$D:$D),0)+IFERROR(SUMIF(Monthly_Ops!$B:$B,$A901,Monthly_Ops!$D:$D),0)+IFERROR(SUMIF(Monthly_Mentor!$B:$B,$A901,Monthly_Mentor!$D:$D),0)+IFERROR(SUMIF(Quarterly_Impact!$B:$B,$A901,Quarterly_Impact!$D:$D),0)+IFERROR(SUMIFS(XPLog!$M:$M,XPLog!$B:$B,$A901,XPLog!$J:$J,"Admin"),0)+IFERROR(SUMIFS(XPLog!$M:$M,XPLog!$B:$B,$A901,XPLog!$J:$J,"Seeding"),0)))</f>
        <v/>
      </c>
      <c r="F901" s="27">
        <f>IF($E901="","",LOOKUP($E901, XPBands!B$2:B$10, XPBands!A$2:A$10))</f>
        <v/>
      </c>
      <c r="G901" s="27">
        <f>IF($E901="","", VLOOKUP($F901, XPBands!A$2:G$10, 4, FALSE) + MIN(VLOOKUP($F901, XPBands!A$2:G$10, 5, FALSE) - VLOOKUP($F901, XPBands!A$2:G$10, 4, FALSE), FLOOR(( $E901 - VLOOKUP($F901, XPBands!A$2:G$10, 2, FALSE) ) / VLOOKUP($F901, XPBands!A$2:G$10, 7, FALSE),1)))</f>
        <v/>
      </c>
      <c r="H901" s="27">
        <f>IF($D901="","",VLOOKUP($D901,RoleTitles!$A:$E,3,FALSE))</f>
        <v/>
      </c>
      <c r="I901" s="27">
        <f>IF($D901="","",IF($C901="Greek",VLOOKUP($D901,RoleTitles!$A:$E,4,FALSE),IF($C901="Aesir",VLOOKUP($D901,RoleTitles!$A:$E,5,FALSE),VLOOKUP($D901,RoleTitles!$A:$E,3,FALSE))))</f>
        <v/>
      </c>
      <c r="J901" s="27">
        <f>IF($D901="","",IF($E901&gt;=VLOOKUP($D901,RoleTitles!$A:$B,2,FALSE),"Yes","No"))</f>
        <v/>
      </c>
      <c r="K901" s="27">
        <f>IF($D901="","",IF($D901="T1","T2",IF($D901="T2","T3",IF($D901="T3","T4",IF($D901="T4","T5",IF($D901="T5","T6",IF($D901="T6","T7",IF($D901="T7","T8",IF($D901="T8","T9","")))))))))</f>
        <v/>
      </c>
      <c r="L901" s="28">
        <f>IF($K901="","",MAX(0,VLOOKUP($K901,RoleTitles!$A:$B,2,FALSE)-$E901))</f>
        <v/>
      </c>
    </row>
    <row r="902">
      <c r="A902" s="24">
        <f>IFERROR(INDEX(CoachRoster!$A$2:$A$1000,ROW()-1),"")</f>
        <v/>
      </c>
      <c r="B902" s="27">
        <f>IF($A902="","",VLOOKUP($A902,CoachRoster!$A:$E,2,FALSE))</f>
        <v/>
      </c>
      <c r="C902" s="27">
        <f>IF($A902="","",VLOOKUP($A902,CoachRoster!$A:$E,3,FALSE))</f>
        <v/>
      </c>
      <c r="D902" s="27">
        <f>IF($A902="","",VLOOKUP($A902,CoachRoster!$A:$E,4,FALSE))</f>
        <v/>
      </c>
      <c r="E902" s="27">
        <f>IF($A902="","",MIN(Settings!$B$8,IFERROR(SUMIF(Weekly_Coaching!$B:$B,$A902,Weekly_Coaching!$D:$D),0)+IFERROR(SUMIF(Monthly_Edu!$B:$B,$A902,Monthly_Edu!$D:$D),0)+IFERROR(SUMIF(Monthly_Ops!$B:$B,$A902,Monthly_Ops!$D:$D),0)+IFERROR(SUMIF(Monthly_Mentor!$B:$B,$A902,Monthly_Mentor!$D:$D),0)+IFERROR(SUMIF(Quarterly_Impact!$B:$B,$A902,Quarterly_Impact!$D:$D),0)+IFERROR(SUMIFS(XPLog!$M:$M,XPLog!$B:$B,$A902,XPLog!$J:$J,"Admin"),0)+IFERROR(SUMIFS(XPLog!$M:$M,XPLog!$B:$B,$A902,XPLog!$J:$J,"Seeding"),0)))</f>
        <v/>
      </c>
      <c r="F902" s="27">
        <f>IF($E902="","",LOOKUP($E902, XPBands!B$2:B$10, XPBands!A$2:A$10))</f>
        <v/>
      </c>
      <c r="G902" s="27">
        <f>IF($E902="","", VLOOKUP($F902, XPBands!A$2:G$10, 4, FALSE) + MIN(VLOOKUP($F902, XPBands!A$2:G$10, 5, FALSE) - VLOOKUP($F902, XPBands!A$2:G$10, 4, FALSE), FLOOR(( $E902 - VLOOKUP($F902, XPBands!A$2:G$10, 2, FALSE) ) / VLOOKUP($F902, XPBands!A$2:G$10, 7, FALSE),1)))</f>
        <v/>
      </c>
      <c r="H902" s="27">
        <f>IF($D902="","",VLOOKUP($D902,RoleTitles!$A:$E,3,FALSE))</f>
        <v/>
      </c>
      <c r="I902" s="27">
        <f>IF($D902="","",IF($C902="Greek",VLOOKUP($D902,RoleTitles!$A:$E,4,FALSE),IF($C902="Aesir",VLOOKUP($D902,RoleTitles!$A:$E,5,FALSE),VLOOKUP($D902,RoleTitles!$A:$E,3,FALSE))))</f>
        <v/>
      </c>
      <c r="J902" s="27">
        <f>IF($D902="","",IF($E902&gt;=VLOOKUP($D902,RoleTitles!$A:$B,2,FALSE),"Yes","No"))</f>
        <v/>
      </c>
      <c r="K902" s="27">
        <f>IF($D902="","",IF($D902="T1","T2",IF($D902="T2","T3",IF($D902="T3","T4",IF($D902="T4","T5",IF($D902="T5","T6",IF($D902="T6","T7",IF($D902="T7","T8",IF($D902="T8","T9","")))))))))</f>
        <v/>
      </c>
      <c r="L902" s="28">
        <f>IF($K902="","",MAX(0,VLOOKUP($K902,RoleTitles!$A:$B,2,FALSE)-$E902))</f>
        <v/>
      </c>
    </row>
    <row r="903">
      <c r="A903" s="24">
        <f>IFERROR(INDEX(CoachRoster!$A$2:$A$1000,ROW()-1),"")</f>
        <v/>
      </c>
      <c r="B903" s="27">
        <f>IF($A903="","",VLOOKUP($A903,CoachRoster!$A:$E,2,FALSE))</f>
        <v/>
      </c>
      <c r="C903" s="27">
        <f>IF($A903="","",VLOOKUP($A903,CoachRoster!$A:$E,3,FALSE))</f>
        <v/>
      </c>
      <c r="D903" s="27">
        <f>IF($A903="","",VLOOKUP($A903,CoachRoster!$A:$E,4,FALSE))</f>
        <v/>
      </c>
      <c r="E903" s="27">
        <f>IF($A903="","",MIN(Settings!$B$8,IFERROR(SUMIF(Weekly_Coaching!$B:$B,$A903,Weekly_Coaching!$D:$D),0)+IFERROR(SUMIF(Monthly_Edu!$B:$B,$A903,Monthly_Edu!$D:$D),0)+IFERROR(SUMIF(Monthly_Ops!$B:$B,$A903,Monthly_Ops!$D:$D),0)+IFERROR(SUMIF(Monthly_Mentor!$B:$B,$A903,Monthly_Mentor!$D:$D),0)+IFERROR(SUMIF(Quarterly_Impact!$B:$B,$A903,Quarterly_Impact!$D:$D),0)+IFERROR(SUMIFS(XPLog!$M:$M,XPLog!$B:$B,$A903,XPLog!$J:$J,"Admin"),0)+IFERROR(SUMIFS(XPLog!$M:$M,XPLog!$B:$B,$A903,XPLog!$J:$J,"Seeding"),0)))</f>
        <v/>
      </c>
      <c r="F903" s="27">
        <f>IF($E903="","",LOOKUP($E903, XPBands!B$2:B$10, XPBands!A$2:A$10))</f>
        <v/>
      </c>
      <c r="G903" s="27">
        <f>IF($E903="","", VLOOKUP($F903, XPBands!A$2:G$10, 4, FALSE) + MIN(VLOOKUP($F903, XPBands!A$2:G$10, 5, FALSE) - VLOOKUP($F903, XPBands!A$2:G$10, 4, FALSE), FLOOR(( $E903 - VLOOKUP($F903, XPBands!A$2:G$10, 2, FALSE) ) / VLOOKUP($F903, XPBands!A$2:G$10, 7, FALSE),1)))</f>
        <v/>
      </c>
      <c r="H903" s="27">
        <f>IF($D903="","",VLOOKUP($D903,RoleTitles!$A:$E,3,FALSE))</f>
        <v/>
      </c>
      <c r="I903" s="27">
        <f>IF($D903="","",IF($C903="Greek",VLOOKUP($D903,RoleTitles!$A:$E,4,FALSE),IF($C903="Aesir",VLOOKUP($D903,RoleTitles!$A:$E,5,FALSE),VLOOKUP($D903,RoleTitles!$A:$E,3,FALSE))))</f>
        <v/>
      </c>
      <c r="J903" s="27">
        <f>IF($D903="","",IF($E903&gt;=VLOOKUP($D903,RoleTitles!$A:$B,2,FALSE),"Yes","No"))</f>
        <v/>
      </c>
      <c r="K903" s="27">
        <f>IF($D903="","",IF($D903="T1","T2",IF($D903="T2","T3",IF($D903="T3","T4",IF($D903="T4","T5",IF($D903="T5","T6",IF($D903="T6","T7",IF($D903="T7","T8",IF($D903="T8","T9","")))))))))</f>
        <v/>
      </c>
      <c r="L903" s="28">
        <f>IF($K903="","",MAX(0,VLOOKUP($K903,RoleTitles!$A:$B,2,FALSE)-$E903))</f>
        <v/>
      </c>
    </row>
    <row r="904">
      <c r="A904" s="24">
        <f>IFERROR(INDEX(CoachRoster!$A$2:$A$1000,ROW()-1),"")</f>
        <v/>
      </c>
      <c r="B904" s="27">
        <f>IF($A904="","",VLOOKUP($A904,CoachRoster!$A:$E,2,FALSE))</f>
        <v/>
      </c>
      <c r="C904" s="27">
        <f>IF($A904="","",VLOOKUP($A904,CoachRoster!$A:$E,3,FALSE))</f>
        <v/>
      </c>
      <c r="D904" s="27">
        <f>IF($A904="","",VLOOKUP($A904,CoachRoster!$A:$E,4,FALSE))</f>
        <v/>
      </c>
      <c r="E904" s="27">
        <f>IF($A904="","",MIN(Settings!$B$8,IFERROR(SUMIF(Weekly_Coaching!$B:$B,$A904,Weekly_Coaching!$D:$D),0)+IFERROR(SUMIF(Monthly_Edu!$B:$B,$A904,Monthly_Edu!$D:$D),0)+IFERROR(SUMIF(Monthly_Ops!$B:$B,$A904,Monthly_Ops!$D:$D),0)+IFERROR(SUMIF(Monthly_Mentor!$B:$B,$A904,Monthly_Mentor!$D:$D),0)+IFERROR(SUMIF(Quarterly_Impact!$B:$B,$A904,Quarterly_Impact!$D:$D),0)+IFERROR(SUMIFS(XPLog!$M:$M,XPLog!$B:$B,$A904,XPLog!$J:$J,"Admin"),0)+IFERROR(SUMIFS(XPLog!$M:$M,XPLog!$B:$B,$A904,XPLog!$J:$J,"Seeding"),0)))</f>
        <v/>
      </c>
      <c r="F904" s="27">
        <f>IF($E904="","",LOOKUP($E904, XPBands!B$2:B$10, XPBands!A$2:A$10))</f>
        <v/>
      </c>
      <c r="G904" s="27">
        <f>IF($E904="","", VLOOKUP($F904, XPBands!A$2:G$10, 4, FALSE) + MIN(VLOOKUP($F904, XPBands!A$2:G$10, 5, FALSE) - VLOOKUP($F904, XPBands!A$2:G$10, 4, FALSE), FLOOR(( $E904 - VLOOKUP($F904, XPBands!A$2:G$10, 2, FALSE) ) / VLOOKUP($F904, XPBands!A$2:G$10, 7, FALSE),1)))</f>
        <v/>
      </c>
      <c r="H904" s="27">
        <f>IF($D904="","",VLOOKUP($D904,RoleTitles!$A:$E,3,FALSE))</f>
        <v/>
      </c>
      <c r="I904" s="27">
        <f>IF($D904="","",IF($C904="Greek",VLOOKUP($D904,RoleTitles!$A:$E,4,FALSE),IF($C904="Aesir",VLOOKUP($D904,RoleTitles!$A:$E,5,FALSE),VLOOKUP($D904,RoleTitles!$A:$E,3,FALSE))))</f>
        <v/>
      </c>
      <c r="J904" s="27">
        <f>IF($D904="","",IF($E904&gt;=VLOOKUP($D904,RoleTitles!$A:$B,2,FALSE),"Yes","No"))</f>
        <v/>
      </c>
      <c r="K904" s="27">
        <f>IF($D904="","",IF($D904="T1","T2",IF($D904="T2","T3",IF($D904="T3","T4",IF($D904="T4","T5",IF($D904="T5","T6",IF($D904="T6","T7",IF($D904="T7","T8",IF($D904="T8","T9","")))))))))</f>
        <v/>
      </c>
      <c r="L904" s="28">
        <f>IF($K904="","",MAX(0,VLOOKUP($K904,RoleTitles!$A:$B,2,FALSE)-$E904))</f>
        <v/>
      </c>
    </row>
    <row r="905">
      <c r="A905" s="24">
        <f>IFERROR(INDEX(CoachRoster!$A$2:$A$1000,ROW()-1),"")</f>
        <v/>
      </c>
      <c r="B905" s="27">
        <f>IF($A905="","",VLOOKUP($A905,CoachRoster!$A:$E,2,FALSE))</f>
        <v/>
      </c>
      <c r="C905" s="27">
        <f>IF($A905="","",VLOOKUP($A905,CoachRoster!$A:$E,3,FALSE))</f>
        <v/>
      </c>
      <c r="D905" s="27">
        <f>IF($A905="","",VLOOKUP($A905,CoachRoster!$A:$E,4,FALSE))</f>
        <v/>
      </c>
      <c r="E905" s="27">
        <f>IF($A905="","",MIN(Settings!$B$8,IFERROR(SUMIF(Weekly_Coaching!$B:$B,$A905,Weekly_Coaching!$D:$D),0)+IFERROR(SUMIF(Monthly_Edu!$B:$B,$A905,Monthly_Edu!$D:$D),0)+IFERROR(SUMIF(Monthly_Ops!$B:$B,$A905,Monthly_Ops!$D:$D),0)+IFERROR(SUMIF(Monthly_Mentor!$B:$B,$A905,Monthly_Mentor!$D:$D),0)+IFERROR(SUMIF(Quarterly_Impact!$B:$B,$A905,Quarterly_Impact!$D:$D),0)+IFERROR(SUMIFS(XPLog!$M:$M,XPLog!$B:$B,$A905,XPLog!$J:$J,"Admin"),0)+IFERROR(SUMIFS(XPLog!$M:$M,XPLog!$B:$B,$A905,XPLog!$J:$J,"Seeding"),0)))</f>
        <v/>
      </c>
      <c r="F905" s="27">
        <f>IF($E905="","",LOOKUP($E905, XPBands!B$2:B$10, XPBands!A$2:A$10))</f>
        <v/>
      </c>
      <c r="G905" s="27">
        <f>IF($E905="","", VLOOKUP($F905, XPBands!A$2:G$10, 4, FALSE) + MIN(VLOOKUP($F905, XPBands!A$2:G$10, 5, FALSE) - VLOOKUP($F905, XPBands!A$2:G$10, 4, FALSE), FLOOR(( $E905 - VLOOKUP($F905, XPBands!A$2:G$10, 2, FALSE) ) / VLOOKUP($F905, XPBands!A$2:G$10, 7, FALSE),1)))</f>
        <v/>
      </c>
      <c r="H905" s="27">
        <f>IF($D905="","",VLOOKUP($D905,RoleTitles!$A:$E,3,FALSE))</f>
        <v/>
      </c>
      <c r="I905" s="27">
        <f>IF($D905="","",IF($C905="Greek",VLOOKUP($D905,RoleTitles!$A:$E,4,FALSE),IF($C905="Aesir",VLOOKUP($D905,RoleTitles!$A:$E,5,FALSE),VLOOKUP($D905,RoleTitles!$A:$E,3,FALSE))))</f>
        <v/>
      </c>
      <c r="J905" s="27">
        <f>IF($D905="","",IF($E905&gt;=VLOOKUP($D905,RoleTitles!$A:$B,2,FALSE),"Yes","No"))</f>
        <v/>
      </c>
      <c r="K905" s="27">
        <f>IF($D905="","",IF($D905="T1","T2",IF($D905="T2","T3",IF($D905="T3","T4",IF($D905="T4","T5",IF($D905="T5","T6",IF($D905="T6","T7",IF($D905="T7","T8",IF($D905="T8","T9","")))))))))</f>
        <v/>
      </c>
      <c r="L905" s="28">
        <f>IF($K905="","",MAX(0,VLOOKUP($K905,RoleTitles!$A:$B,2,FALSE)-$E905))</f>
        <v/>
      </c>
    </row>
    <row r="906">
      <c r="A906" s="24">
        <f>IFERROR(INDEX(CoachRoster!$A$2:$A$1000,ROW()-1),"")</f>
        <v/>
      </c>
      <c r="B906" s="27">
        <f>IF($A906="","",VLOOKUP($A906,CoachRoster!$A:$E,2,FALSE))</f>
        <v/>
      </c>
      <c r="C906" s="27">
        <f>IF($A906="","",VLOOKUP($A906,CoachRoster!$A:$E,3,FALSE))</f>
        <v/>
      </c>
      <c r="D906" s="27">
        <f>IF($A906="","",VLOOKUP($A906,CoachRoster!$A:$E,4,FALSE))</f>
        <v/>
      </c>
      <c r="E906" s="27">
        <f>IF($A906="","",MIN(Settings!$B$8,IFERROR(SUMIF(Weekly_Coaching!$B:$B,$A906,Weekly_Coaching!$D:$D),0)+IFERROR(SUMIF(Monthly_Edu!$B:$B,$A906,Monthly_Edu!$D:$D),0)+IFERROR(SUMIF(Monthly_Ops!$B:$B,$A906,Monthly_Ops!$D:$D),0)+IFERROR(SUMIF(Monthly_Mentor!$B:$B,$A906,Monthly_Mentor!$D:$D),0)+IFERROR(SUMIF(Quarterly_Impact!$B:$B,$A906,Quarterly_Impact!$D:$D),0)+IFERROR(SUMIFS(XPLog!$M:$M,XPLog!$B:$B,$A906,XPLog!$J:$J,"Admin"),0)+IFERROR(SUMIFS(XPLog!$M:$M,XPLog!$B:$B,$A906,XPLog!$J:$J,"Seeding"),0)))</f>
        <v/>
      </c>
      <c r="F906" s="27">
        <f>IF($E906="","",LOOKUP($E906, XPBands!B$2:B$10, XPBands!A$2:A$10))</f>
        <v/>
      </c>
      <c r="G906" s="27">
        <f>IF($E906="","", VLOOKUP($F906, XPBands!A$2:G$10, 4, FALSE) + MIN(VLOOKUP($F906, XPBands!A$2:G$10, 5, FALSE) - VLOOKUP($F906, XPBands!A$2:G$10, 4, FALSE), FLOOR(( $E906 - VLOOKUP($F906, XPBands!A$2:G$10, 2, FALSE) ) / VLOOKUP($F906, XPBands!A$2:G$10, 7, FALSE),1)))</f>
        <v/>
      </c>
      <c r="H906" s="27">
        <f>IF($D906="","",VLOOKUP($D906,RoleTitles!$A:$E,3,FALSE))</f>
        <v/>
      </c>
      <c r="I906" s="27">
        <f>IF($D906="","",IF($C906="Greek",VLOOKUP($D906,RoleTitles!$A:$E,4,FALSE),IF($C906="Aesir",VLOOKUP($D906,RoleTitles!$A:$E,5,FALSE),VLOOKUP($D906,RoleTitles!$A:$E,3,FALSE))))</f>
        <v/>
      </c>
      <c r="J906" s="27">
        <f>IF($D906="","",IF($E906&gt;=VLOOKUP($D906,RoleTitles!$A:$B,2,FALSE),"Yes","No"))</f>
        <v/>
      </c>
      <c r="K906" s="27">
        <f>IF($D906="","",IF($D906="T1","T2",IF($D906="T2","T3",IF($D906="T3","T4",IF($D906="T4","T5",IF($D906="T5","T6",IF($D906="T6","T7",IF($D906="T7","T8",IF($D906="T8","T9","")))))))))</f>
        <v/>
      </c>
      <c r="L906" s="28">
        <f>IF($K906="","",MAX(0,VLOOKUP($K906,RoleTitles!$A:$B,2,FALSE)-$E906))</f>
        <v/>
      </c>
    </row>
    <row r="907">
      <c r="A907" s="24">
        <f>IFERROR(INDEX(CoachRoster!$A$2:$A$1000,ROW()-1),"")</f>
        <v/>
      </c>
      <c r="B907" s="27">
        <f>IF($A907="","",VLOOKUP($A907,CoachRoster!$A:$E,2,FALSE))</f>
        <v/>
      </c>
      <c r="C907" s="27">
        <f>IF($A907="","",VLOOKUP($A907,CoachRoster!$A:$E,3,FALSE))</f>
        <v/>
      </c>
      <c r="D907" s="27">
        <f>IF($A907="","",VLOOKUP($A907,CoachRoster!$A:$E,4,FALSE))</f>
        <v/>
      </c>
      <c r="E907" s="27">
        <f>IF($A907="","",MIN(Settings!$B$8,IFERROR(SUMIF(Weekly_Coaching!$B:$B,$A907,Weekly_Coaching!$D:$D),0)+IFERROR(SUMIF(Monthly_Edu!$B:$B,$A907,Monthly_Edu!$D:$D),0)+IFERROR(SUMIF(Monthly_Ops!$B:$B,$A907,Monthly_Ops!$D:$D),0)+IFERROR(SUMIF(Monthly_Mentor!$B:$B,$A907,Monthly_Mentor!$D:$D),0)+IFERROR(SUMIF(Quarterly_Impact!$B:$B,$A907,Quarterly_Impact!$D:$D),0)+IFERROR(SUMIFS(XPLog!$M:$M,XPLog!$B:$B,$A907,XPLog!$J:$J,"Admin"),0)+IFERROR(SUMIFS(XPLog!$M:$M,XPLog!$B:$B,$A907,XPLog!$J:$J,"Seeding"),0)))</f>
        <v/>
      </c>
      <c r="F907" s="27">
        <f>IF($E907="","",LOOKUP($E907, XPBands!B$2:B$10, XPBands!A$2:A$10))</f>
        <v/>
      </c>
      <c r="G907" s="27">
        <f>IF($E907="","", VLOOKUP($F907, XPBands!A$2:G$10, 4, FALSE) + MIN(VLOOKUP($F907, XPBands!A$2:G$10, 5, FALSE) - VLOOKUP($F907, XPBands!A$2:G$10, 4, FALSE), FLOOR(( $E907 - VLOOKUP($F907, XPBands!A$2:G$10, 2, FALSE) ) / VLOOKUP($F907, XPBands!A$2:G$10, 7, FALSE),1)))</f>
        <v/>
      </c>
      <c r="H907" s="27">
        <f>IF($D907="","",VLOOKUP($D907,RoleTitles!$A:$E,3,FALSE))</f>
        <v/>
      </c>
      <c r="I907" s="27">
        <f>IF($D907="","",IF($C907="Greek",VLOOKUP($D907,RoleTitles!$A:$E,4,FALSE),IF($C907="Aesir",VLOOKUP($D907,RoleTitles!$A:$E,5,FALSE),VLOOKUP($D907,RoleTitles!$A:$E,3,FALSE))))</f>
        <v/>
      </c>
      <c r="J907" s="27">
        <f>IF($D907="","",IF($E907&gt;=VLOOKUP($D907,RoleTitles!$A:$B,2,FALSE),"Yes","No"))</f>
        <v/>
      </c>
      <c r="K907" s="27">
        <f>IF($D907="","",IF($D907="T1","T2",IF($D907="T2","T3",IF($D907="T3","T4",IF($D907="T4","T5",IF($D907="T5","T6",IF($D907="T6","T7",IF($D907="T7","T8",IF($D907="T8","T9","")))))))))</f>
        <v/>
      </c>
      <c r="L907" s="28">
        <f>IF($K907="","",MAX(0,VLOOKUP($K907,RoleTitles!$A:$B,2,FALSE)-$E907))</f>
        <v/>
      </c>
    </row>
    <row r="908">
      <c r="A908" s="24">
        <f>IFERROR(INDEX(CoachRoster!$A$2:$A$1000,ROW()-1),"")</f>
        <v/>
      </c>
      <c r="B908" s="27">
        <f>IF($A908="","",VLOOKUP($A908,CoachRoster!$A:$E,2,FALSE))</f>
        <v/>
      </c>
      <c r="C908" s="27">
        <f>IF($A908="","",VLOOKUP($A908,CoachRoster!$A:$E,3,FALSE))</f>
        <v/>
      </c>
      <c r="D908" s="27">
        <f>IF($A908="","",VLOOKUP($A908,CoachRoster!$A:$E,4,FALSE))</f>
        <v/>
      </c>
      <c r="E908" s="27">
        <f>IF($A908="","",MIN(Settings!$B$8,IFERROR(SUMIF(Weekly_Coaching!$B:$B,$A908,Weekly_Coaching!$D:$D),0)+IFERROR(SUMIF(Monthly_Edu!$B:$B,$A908,Monthly_Edu!$D:$D),0)+IFERROR(SUMIF(Monthly_Ops!$B:$B,$A908,Monthly_Ops!$D:$D),0)+IFERROR(SUMIF(Monthly_Mentor!$B:$B,$A908,Monthly_Mentor!$D:$D),0)+IFERROR(SUMIF(Quarterly_Impact!$B:$B,$A908,Quarterly_Impact!$D:$D),0)+IFERROR(SUMIFS(XPLog!$M:$M,XPLog!$B:$B,$A908,XPLog!$J:$J,"Admin"),0)+IFERROR(SUMIFS(XPLog!$M:$M,XPLog!$B:$B,$A908,XPLog!$J:$J,"Seeding"),0)))</f>
        <v/>
      </c>
      <c r="F908" s="27">
        <f>IF($E908="","",LOOKUP($E908, XPBands!B$2:B$10, XPBands!A$2:A$10))</f>
        <v/>
      </c>
      <c r="G908" s="27">
        <f>IF($E908="","", VLOOKUP($F908, XPBands!A$2:G$10, 4, FALSE) + MIN(VLOOKUP($F908, XPBands!A$2:G$10, 5, FALSE) - VLOOKUP($F908, XPBands!A$2:G$10, 4, FALSE), FLOOR(( $E908 - VLOOKUP($F908, XPBands!A$2:G$10, 2, FALSE) ) / VLOOKUP($F908, XPBands!A$2:G$10, 7, FALSE),1)))</f>
        <v/>
      </c>
      <c r="H908" s="27">
        <f>IF($D908="","",VLOOKUP($D908,RoleTitles!$A:$E,3,FALSE))</f>
        <v/>
      </c>
      <c r="I908" s="27">
        <f>IF($D908="","",IF($C908="Greek",VLOOKUP($D908,RoleTitles!$A:$E,4,FALSE),IF($C908="Aesir",VLOOKUP($D908,RoleTitles!$A:$E,5,FALSE),VLOOKUP($D908,RoleTitles!$A:$E,3,FALSE))))</f>
        <v/>
      </c>
      <c r="J908" s="27">
        <f>IF($D908="","",IF($E908&gt;=VLOOKUP($D908,RoleTitles!$A:$B,2,FALSE),"Yes","No"))</f>
        <v/>
      </c>
      <c r="K908" s="27">
        <f>IF($D908="","",IF($D908="T1","T2",IF($D908="T2","T3",IF($D908="T3","T4",IF($D908="T4","T5",IF($D908="T5","T6",IF($D908="T6","T7",IF($D908="T7","T8",IF($D908="T8","T9","")))))))))</f>
        <v/>
      </c>
      <c r="L908" s="28">
        <f>IF($K908="","",MAX(0,VLOOKUP($K908,RoleTitles!$A:$B,2,FALSE)-$E908))</f>
        <v/>
      </c>
    </row>
    <row r="909">
      <c r="A909" s="24">
        <f>IFERROR(INDEX(CoachRoster!$A$2:$A$1000,ROW()-1),"")</f>
        <v/>
      </c>
      <c r="B909" s="27">
        <f>IF($A909="","",VLOOKUP($A909,CoachRoster!$A:$E,2,FALSE))</f>
        <v/>
      </c>
      <c r="C909" s="27">
        <f>IF($A909="","",VLOOKUP($A909,CoachRoster!$A:$E,3,FALSE))</f>
        <v/>
      </c>
      <c r="D909" s="27">
        <f>IF($A909="","",VLOOKUP($A909,CoachRoster!$A:$E,4,FALSE))</f>
        <v/>
      </c>
      <c r="E909" s="27">
        <f>IF($A909="","",MIN(Settings!$B$8,IFERROR(SUMIF(Weekly_Coaching!$B:$B,$A909,Weekly_Coaching!$D:$D),0)+IFERROR(SUMIF(Monthly_Edu!$B:$B,$A909,Monthly_Edu!$D:$D),0)+IFERROR(SUMIF(Monthly_Ops!$B:$B,$A909,Monthly_Ops!$D:$D),0)+IFERROR(SUMIF(Monthly_Mentor!$B:$B,$A909,Monthly_Mentor!$D:$D),0)+IFERROR(SUMIF(Quarterly_Impact!$B:$B,$A909,Quarterly_Impact!$D:$D),0)+IFERROR(SUMIFS(XPLog!$M:$M,XPLog!$B:$B,$A909,XPLog!$J:$J,"Admin"),0)+IFERROR(SUMIFS(XPLog!$M:$M,XPLog!$B:$B,$A909,XPLog!$J:$J,"Seeding"),0)))</f>
        <v/>
      </c>
      <c r="F909" s="27">
        <f>IF($E909="","",LOOKUP($E909, XPBands!B$2:B$10, XPBands!A$2:A$10))</f>
        <v/>
      </c>
      <c r="G909" s="27">
        <f>IF($E909="","", VLOOKUP($F909, XPBands!A$2:G$10, 4, FALSE) + MIN(VLOOKUP($F909, XPBands!A$2:G$10, 5, FALSE) - VLOOKUP($F909, XPBands!A$2:G$10, 4, FALSE), FLOOR(( $E909 - VLOOKUP($F909, XPBands!A$2:G$10, 2, FALSE) ) / VLOOKUP($F909, XPBands!A$2:G$10, 7, FALSE),1)))</f>
        <v/>
      </c>
      <c r="H909" s="27">
        <f>IF($D909="","",VLOOKUP($D909,RoleTitles!$A:$E,3,FALSE))</f>
        <v/>
      </c>
      <c r="I909" s="27">
        <f>IF($D909="","",IF($C909="Greek",VLOOKUP($D909,RoleTitles!$A:$E,4,FALSE),IF($C909="Aesir",VLOOKUP($D909,RoleTitles!$A:$E,5,FALSE),VLOOKUP($D909,RoleTitles!$A:$E,3,FALSE))))</f>
        <v/>
      </c>
      <c r="J909" s="27">
        <f>IF($D909="","",IF($E909&gt;=VLOOKUP($D909,RoleTitles!$A:$B,2,FALSE),"Yes","No"))</f>
        <v/>
      </c>
      <c r="K909" s="27">
        <f>IF($D909="","",IF($D909="T1","T2",IF($D909="T2","T3",IF($D909="T3","T4",IF($D909="T4","T5",IF($D909="T5","T6",IF($D909="T6","T7",IF($D909="T7","T8",IF($D909="T8","T9","")))))))))</f>
        <v/>
      </c>
      <c r="L909" s="28">
        <f>IF($K909="","",MAX(0,VLOOKUP($K909,RoleTitles!$A:$B,2,FALSE)-$E909))</f>
        <v/>
      </c>
    </row>
    <row r="910">
      <c r="A910" s="24">
        <f>IFERROR(INDEX(CoachRoster!$A$2:$A$1000,ROW()-1),"")</f>
        <v/>
      </c>
      <c r="B910" s="27">
        <f>IF($A910="","",VLOOKUP($A910,CoachRoster!$A:$E,2,FALSE))</f>
        <v/>
      </c>
      <c r="C910" s="27">
        <f>IF($A910="","",VLOOKUP($A910,CoachRoster!$A:$E,3,FALSE))</f>
        <v/>
      </c>
      <c r="D910" s="27">
        <f>IF($A910="","",VLOOKUP($A910,CoachRoster!$A:$E,4,FALSE))</f>
        <v/>
      </c>
      <c r="E910" s="27">
        <f>IF($A910="","",MIN(Settings!$B$8,IFERROR(SUMIF(Weekly_Coaching!$B:$B,$A910,Weekly_Coaching!$D:$D),0)+IFERROR(SUMIF(Monthly_Edu!$B:$B,$A910,Monthly_Edu!$D:$D),0)+IFERROR(SUMIF(Monthly_Ops!$B:$B,$A910,Monthly_Ops!$D:$D),0)+IFERROR(SUMIF(Monthly_Mentor!$B:$B,$A910,Monthly_Mentor!$D:$D),0)+IFERROR(SUMIF(Quarterly_Impact!$B:$B,$A910,Quarterly_Impact!$D:$D),0)+IFERROR(SUMIFS(XPLog!$M:$M,XPLog!$B:$B,$A910,XPLog!$J:$J,"Admin"),0)+IFERROR(SUMIFS(XPLog!$M:$M,XPLog!$B:$B,$A910,XPLog!$J:$J,"Seeding"),0)))</f>
        <v/>
      </c>
      <c r="F910" s="27">
        <f>IF($E910="","",LOOKUP($E910, XPBands!B$2:B$10, XPBands!A$2:A$10))</f>
        <v/>
      </c>
      <c r="G910" s="27">
        <f>IF($E910="","", VLOOKUP($F910, XPBands!A$2:G$10, 4, FALSE) + MIN(VLOOKUP($F910, XPBands!A$2:G$10, 5, FALSE) - VLOOKUP($F910, XPBands!A$2:G$10, 4, FALSE), FLOOR(( $E910 - VLOOKUP($F910, XPBands!A$2:G$10, 2, FALSE) ) / VLOOKUP($F910, XPBands!A$2:G$10, 7, FALSE),1)))</f>
        <v/>
      </c>
      <c r="H910" s="27">
        <f>IF($D910="","",VLOOKUP($D910,RoleTitles!$A:$E,3,FALSE))</f>
        <v/>
      </c>
      <c r="I910" s="27">
        <f>IF($D910="","",IF($C910="Greek",VLOOKUP($D910,RoleTitles!$A:$E,4,FALSE),IF($C910="Aesir",VLOOKUP($D910,RoleTitles!$A:$E,5,FALSE),VLOOKUP($D910,RoleTitles!$A:$E,3,FALSE))))</f>
        <v/>
      </c>
      <c r="J910" s="27">
        <f>IF($D910="","",IF($E910&gt;=VLOOKUP($D910,RoleTitles!$A:$B,2,FALSE),"Yes","No"))</f>
        <v/>
      </c>
      <c r="K910" s="27">
        <f>IF($D910="","",IF($D910="T1","T2",IF($D910="T2","T3",IF($D910="T3","T4",IF($D910="T4","T5",IF($D910="T5","T6",IF($D910="T6","T7",IF($D910="T7","T8",IF($D910="T8","T9","")))))))))</f>
        <v/>
      </c>
      <c r="L910" s="28">
        <f>IF($K910="","",MAX(0,VLOOKUP($K910,RoleTitles!$A:$B,2,FALSE)-$E910))</f>
        <v/>
      </c>
    </row>
    <row r="911">
      <c r="A911" s="24">
        <f>IFERROR(INDEX(CoachRoster!$A$2:$A$1000,ROW()-1),"")</f>
        <v/>
      </c>
      <c r="B911" s="27">
        <f>IF($A911="","",VLOOKUP($A911,CoachRoster!$A:$E,2,FALSE))</f>
        <v/>
      </c>
      <c r="C911" s="27">
        <f>IF($A911="","",VLOOKUP($A911,CoachRoster!$A:$E,3,FALSE))</f>
        <v/>
      </c>
      <c r="D911" s="27">
        <f>IF($A911="","",VLOOKUP($A911,CoachRoster!$A:$E,4,FALSE))</f>
        <v/>
      </c>
      <c r="E911" s="27">
        <f>IF($A911="","",MIN(Settings!$B$8,IFERROR(SUMIF(Weekly_Coaching!$B:$B,$A911,Weekly_Coaching!$D:$D),0)+IFERROR(SUMIF(Monthly_Edu!$B:$B,$A911,Monthly_Edu!$D:$D),0)+IFERROR(SUMIF(Monthly_Ops!$B:$B,$A911,Monthly_Ops!$D:$D),0)+IFERROR(SUMIF(Monthly_Mentor!$B:$B,$A911,Monthly_Mentor!$D:$D),0)+IFERROR(SUMIF(Quarterly_Impact!$B:$B,$A911,Quarterly_Impact!$D:$D),0)+IFERROR(SUMIFS(XPLog!$M:$M,XPLog!$B:$B,$A911,XPLog!$J:$J,"Admin"),0)+IFERROR(SUMIFS(XPLog!$M:$M,XPLog!$B:$B,$A911,XPLog!$J:$J,"Seeding"),0)))</f>
        <v/>
      </c>
      <c r="F911" s="27">
        <f>IF($E911="","",LOOKUP($E911, XPBands!B$2:B$10, XPBands!A$2:A$10))</f>
        <v/>
      </c>
      <c r="G911" s="27">
        <f>IF($E911="","", VLOOKUP($F911, XPBands!A$2:G$10, 4, FALSE) + MIN(VLOOKUP($F911, XPBands!A$2:G$10, 5, FALSE) - VLOOKUP($F911, XPBands!A$2:G$10, 4, FALSE), FLOOR(( $E911 - VLOOKUP($F911, XPBands!A$2:G$10, 2, FALSE) ) / VLOOKUP($F911, XPBands!A$2:G$10, 7, FALSE),1)))</f>
        <v/>
      </c>
      <c r="H911" s="27">
        <f>IF($D911="","",VLOOKUP($D911,RoleTitles!$A:$E,3,FALSE))</f>
        <v/>
      </c>
      <c r="I911" s="27">
        <f>IF($D911="","",IF($C911="Greek",VLOOKUP($D911,RoleTitles!$A:$E,4,FALSE),IF($C911="Aesir",VLOOKUP($D911,RoleTitles!$A:$E,5,FALSE),VLOOKUP($D911,RoleTitles!$A:$E,3,FALSE))))</f>
        <v/>
      </c>
      <c r="J911" s="27">
        <f>IF($D911="","",IF($E911&gt;=VLOOKUP($D911,RoleTitles!$A:$B,2,FALSE),"Yes","No"))</f>
        <v/>
      </c>
      <c r="K911" s="27">
        <f>IF($D911="","",IF($D911="T1","T2",IF($D911="T2","T3",IF($D911="T3","T4",IF($D911="T4","T5",IF($D911="T5","T6",IF($D911="T6","T7",IF($D911="T7","T8",IF($D911="T8","T9","")))))))))</f>
        <v/>
      </c>
      <c r="L911" s="28">
        <f>IF($K911="","",MAX(0,VLOOKUP($K911,RoleTitles!$A:$B,2,FALSE)-$E911))</f>
        <v/>
      </c>
    </row>
    <row r="912">
      <c r="A912" s="24">
        <f>IFERROR(INDEX(CoachRoster!$A$2:$A$1000,ROW()-1),"")</f>
        <v/>
      </c>
      <c r="B912" s="27">
        <f>IF($A912="","",VLOOKUP($A912,CoachRoster!$A:$E,2,FALSE))</f>
        <v/>
      </c>
      <c r="C912" s="27">
        <f>IF($A912="","",VLOOKUP($A912,CoachRoster!$A:$E,3,FALSE))</f>
        <v/>
      </c>
      <c r="D912" s="27">
        <f>IF($A912="","",VLOOKUP($A912,CoachRoster!$A:$E,4,FALSE))</f>
        <v/>
      </c>
      <c r="E912" s="27">
        <f>IF($A912="","",MIN(Settings!$B$8,IFERROR(SUMIF(Weekly_Coaching!$B:$B,$A912,Weekly_Coaching!$D:$D),0)+IFERROR(SUMIF(Monthly_Edu!$B:$B,$A912,Monthly_Edu!$D:$D),0)+IFERROR(SUMIF(Monthly_Ops!$B:$B,$A912,Monthly_Ops!$D:$D),0)+IFERROR(SUMIF(Monthly_Mentor!$B:$B,$A912,Monthly_Mentor!$D:$D),0)+IFERROR(SUMIF(Quarterly_Impact!$B:$B,$A912,Quarterly_Impact!$D:$D),0)+IFERROR(SUMIFS(XPLog!$M:$M,XPLog!$B:$B,$A912,XPLog!$J:$J,"Admin"),0)+IFERROR(SUMIFS(XPLog!$M:$M,XPLog!$B:$B,$A912,XPLog!$J:$J,"Seeding"),0)))</f>
        <v/>
      </c>
      <c r="F912" s="27">
        <f>IF($E912="","",LOOKUP($E912, XPBands!B$2:B$10, XPBands!A$2:A$10))</f>
        <v/>
      </c>
      <c r="G912" s="27">
        <f>IF($E912="","", VLOOKUP($F912, XPBands!A$2:G$10, 4, FALSE) + MIN(VLOOKUP($F912, XPBands!A$2:G$10, 5, FALSE) - VLOOKUP($F912, XPBands!A$2:G$10, 4, FALSE), FLOOR(( $E912 - VLOOKUP($F912, XPBands!A$2:G$10, 2, FALSE) ) / VLOOKUP($F912, XPBands!A$2:G$10, 7, FALSE),1)))</f>
        <v/>
      </c>
      <c r="H912" s="27">
        <f>IF($D912="","",VLOOKUP($D912,RoleTitles!$A:$E,3,FALSE))</f>
        <v/>
      </c>
      <c r="I912" s="27">
        <f>IF($D912="","",IF($C912="Greek",VLOOKUP($D912,RoleTitles!$A:$E,4,FALSE),IF($C912="Aesir",VLOOKUP($D912,RoleTitles!$A:$E,5,FALSE),VLOOKUP($D912,RoleTitles!$A:$E,3,FALSE))))</f>
        <v/>
      </c>
      <c r="J912" s="27">
        <f>IF($D912="","",IF($E912&gt;=VLOOKUP($D912,RoleTitles!$A:$B,2,FALSE),"Yes","No"))</f>
        <v/>
      </c>
      <c r="K912" s="27">
        <f>IF($D912="","",IF($D912="T1","T2",IF($D912="T2","T3",IF($D912="T3","T4",IF($D912="T4","T5",IF($D912="T5","T6",IF($D912="T6","T7",IF($D912="T7","T8",IF($D912="T8","T9","")))))))))</f>
        <v/>
      </c>
      <c r="L912" s="28">
        <f>IF($K912="","",MAX(0,VLOOKUP($K912,RoleTitles!$A:$B,2,FALSE)-$E912))</f>
        <v/>
      </c>
    </row>
    <row r="913">
      <c r="A913" s="24">
        <f>IFERROR(INDEX(CoachRoster!$A$2:$A$1000,ROW()-1),"")</f>
        <v/>
      </c>
      <c r="B913" s="27">
        <f>IF($A913="","",VLOOKUP($A913,CoachRoster!$A:$E,2,FALSE))</f>
        <v/>
      </c>
      <c r="C913" s="27">
        <f>IF($A913="","",VLOOKUP($A913,CoachRoster!$A:$E,3,FALSE))</f>
        <v/>
      </c>
      <c r="D913" s="27">
        <f>IF($A913="","",VLOOKUP($A913,CoachRoster!$A:$E,4,FALSE))</f>
        <v/>
      </c>
      <c r="E913" s="27">
        <f>IF($A913="","",MIN(Settings!$B$8,IFERROR(SUMIF(Weekly_Coaching!$B:$B,$A913,Weekly_Coaching!$D:$D),0)+IFERROR(SUMIF(Monthly_Edu!$B:$B,$A913,Monthly_Edu!$D:$D),0)+IFERROR(SUMIF(Monthly_Ops!$B:$B,$A913,Monthly_Ops!$D:$D),0)+IFERROR(SUMIF(Monthly_Mentor!$B:$B,$A913,Monthly_Mentor!$D:$D),0)+IFERROR(SUMIF(Quarterly_Impact!$B:$B,$A913,Quarterly_Impact!$D:$D),0)+IFERROR(SUMIFS(XPLog!$M:$M,XPLog!$B:$B,$A913,XPLog!$J:$J,"Admin"),0)+IFERROR(SUMIFS(XPLog!$M:$M,XPLog!$B:$B,$A913,XPLog!$J:$J,"Seeding"),0)))</f>
        <v/>
      </c>
      <c r="F913" s="27">
        <f>IF($E913="","",LOOKUP($E913, XPBands!B$2:B$10, XPBands!A$2:A$10))</f>
        <v/>
      </c>
      <c r="G913" s="27">
        <f>IF($E913="","", VLOOKUP($F913, XPBands!A$2:G$10, 4, FALSE) + MIN(VLOOKUP($F913, XPBands!A$2:G$10, 5, FALSE) - VLOOKUP($F913, XPBands!A$2:G$10, 4, FALSE), FLOOR(( $E913 - VLOOKUP($F913, XPBands!A$2:G$10, 2, FALSE) ) / VLOOKUP($F913, XPBands!A$2:G$10, 7, FALSE),1)))</f>
        <v/>
      </c>
      <c r="H913" s="27">
        <f>IF($D913="","",VLOOKUP($D913,RoleTitles!$A:$E,3,FALSE))</f>
        <v/>
      </c>
      <c r="I913" s="27">
        <f>IF($D913="","",IF($C913="Greek",VLOOKUP($D913,RoleTitles!$A:$E,4,FALSE),IF($C913="Aesir",VLOOKUP($D913,RoleTitles!$A:$E,5,FALSE),VLOOKUP($D913,RoleTitles!$A:$E,3,FALSE))))</f>
        <v/>
      </c>
      <c r="J913" s="27">
        <f>IF($D913="","",IF($E913&gt;=VLOOKUP($D913,RoleTitles!$A:$B,2,FALSE),"Yes","No"))</f>
        <v/>
      </c>
      <c r="K913" s="27">
        <f>IF($D913="","",IF($D913="T1","T2",IF($D913="T2","T3",IF($D913="T3","T4",IF($D913="T4","T5",IF($D913="T5","T6",IF($D913="T6","T7",IF($D913="T7","T8",IF($D913="T8","T9","")))))))))</f>
        <v/>
      </c>
      <c r="L913" s="28">
        <f>IF($K913="","",MAX(0,VLOOKUP($K913,RoleTitles!$A:$B,2,FALSE)-$E913))</f>
        <v/>
      </c>
    </row>
    <row r="914">
      <c r="A914" s="24">
        <f>IFERROR(INDEX(CoachRoster!$A$2:$A$1000,ROW()-1),"")</f>
        <v/>
      </c>
      <c r="B914" s="27">
        <f>IF($A914="","",VLOOKUP($A914,CoachRoster!$A:$E,2,FALSE))</f>
        <v/>
      </c>
      <c r="C914" s="27">
        <f>IF($A914="","",VLOOKUP($A914,CoachRoster!$A:$E,3,FALSE))</f>
        <v/>
      </c>
      <c r="D914" s="27">
        <f>IF($A914="","",VLOOKUP($A914,CoachRoster!$A:$E,4,FALSE))</f>
        <v/>
      </c>
      <c r="E914" s="27">
        <f>IF($A914="","",MIN(Settings!$B$8,IFERROR(SUMIF(Weekly_Coaching!$B:$B,$A914,Weekly_Coaching!$D:$D),0)+IFERROR(SUMIF(Monthly_Edu!$B:$B,$A914,Monthly_Edu!$D:$D),0)+IFERROR(SUMIF(Monthly_Ops!$B:$B,$A914,Monthly_Ops!$D:$D),0)+IFERROR(SUMIF(Monthly_Mentor!$B:$B,$A914,Monthly_Mentor!$D:$D),0)+IFERROR(SUMIF(Quarterly_Impact!$B:$B,$A914,Quarterly_Impact!$D:$D),0)+IFERROR(SUMIFS(XPLog!$M:$M,XPLog!$B:$B,$A914,XPLog!$J:$J,"Admin"),0)+IFERROR(SUMIFS(XPLog!$M:$M,XPLog!$B:$B,$A914,XPLog!$J:$J,"Seeding"),0)))</f>
        <v/>
      </c>
      <c r="F914" s="27">
        <f>IF($E914="","",LOOKUP($E914, XPBands!B$2:B$10, XPBands!A$2:A$10))</f>
        <v/>
      </c>
      <c r="G914" s="27">
        <f>IF($E914="","", VLOOKUP($F914, XPBands!A$2:G$10, 4, FALSE) + MIN(VLOOKUP($F914, XPBands!A$2:G$10, 5, FALSE) - VLOOKUP($F914, XPBands!A$2:G$10, 4, FALSE), FLOOR(( $E914 - VLOOKUP($F914, XPBands!A$2:G$10, 2, FALSE) ) / VLOOKUP($F914, XPBands!A$2:G$10, 7, FALSE),1)))</f>
        <v/>
      </c>
      <c r="H914" s="27">
        <f>IF($D914="","",VLOOKUP($D914,RoleTitles!$A:$E,3,FALSE))</f>
        <v/>
      </c>
      <c r="I914" s="27">
        <f>IF($D914="","",IF($C914="Greek",VLOOKUP($D914,RoleTitles!$A:$E,4,FALSE),IF($C914="Aesir",VLOOKUP($D914,RoleTitles!$A:$E,5,FALSE),VLOOKUP($D914,RoleTitles!$A:$E,3,FALSE))))</f>
        <v/>
      </c>
      <c r="J914" s="27">
        <f>IF($D914="","",IF($E914&gt;=VLOOKUP($D914,RoleTitles!$A:$B,2,FALSE),"Yes","No"))</f>
        <v/>
      </c>
      <c r="K914" s="27">
        <f>IF($D914="","",IF($D914="T1","T2",IF($D914="T2","T3",IF($D914="T3","T4",IF($D914="T4","T5",IF($D914="T5","T6",IF($D914="T6","T7",IF($D914="T7","T8",IF($D914="T8","T9","")))))))))</f>
        <v/>
      </c>
      <c r="L914" s="28">
        <f>IF($K914="","",MAX(0,VLOOKUP($K914,RoleTitles!$A:$B,2,FALSE)-$E914))</f>
        <v/>
      </c>
    </row>
    <row r="915">
      <c r="A915" s="24">
        <f>IFERROR(INDEX(CoachRoster!$A$2:$A$1000,ROW()-1),"")</f>
        <v/>
      </c>
      <c r="B915" s="27">
        <f>IF($A915="","",VLOOKUP($A915,CoachRoster!$A:$E,2,FALSE))</f>
        <v/>
      </c>
      <c r="C915" s="27">
        <f>IF($A915="","",VLOOKUP($A915,CoachRoster!$A:$E,3,FALSE))</f>
        <v/>
      </c>
      <c r="D915" s="27">
        <f>IF($A915="","",VLOOKUP($A915,CoachRoster!$A:$E,4,FALSE))</f>
        <v/>
      </c>
      <c r="E915" s="27">
        <f>IF($A915="","",MIN(Settings!$B$8,IFERROR(SUMIF(Weekly_Coaching!$B:$B,$A915,Weekly_Coaching!$D:$D),0)+IFERROR(SUMIF(Monthly_Edu!$B:$B,$A915,Monthly_Edu!$D:$D),0)+IFERROR(SUMIF(Monthly_Ops!$B:$B,$A915,Monthly_Ops!$D:$D),0)+IFERROR(SUMIF(Monthly_Mentor!$B:$B,$A915,Monthly_Mentor!$D:$D),0)+IFERROR(SUMIF(Quarterly_Impact!$B:$B,$A915,Quarterly_Impact!$D:$D),0)+IFERROR(SUMIFS(XPLog!$M:$M,XPLog!$B:$B,$A915,XPLog!$J:$J,"Admin"),0)+IFERROR(SUMIFS(XPLog!$M:$M,XPLog!$B:$B,$A915,XPLog!$J:$J,"Seeding"),0)))</f>
        <v/>
      </c>
      <c r="F915" s="27">
        <f>IF($E915="","",LOOKUP($E915, XPBands!B$2:B$10, XPBands!A$2:A$10))</f>
        <v/>
      </c>
      <c r="G915" s="27">
        <f>IF($E915="","", VLOOKUP($F915, XPBands!A$2:G$10, 4, FALSE) + MIN(VLOOKUP($F915, XPBands!A$2:G$10, 5, FALSE) - VLOOKUP($F915, XPBands!A$2:G$10, 4, FALSE), FLOOR(( $E915 - VLOOKUP($F915, XPBands!A$2:G$10, 2, FALSE) ) / VLOOKUP($F915, XPBands!A$2:G$10, 7, FALSE),1)))</f>
        <v/>
      </c>
      <c r="H915" s="27">
        <f>IF($D915="","",VLOOKUP($D915,RoleTitles!$A:$E,3,FALSE))</f>
        <v/>
      </c>
      <c r="I915" s="27">
        <f>IF($D915="","",IF($C915="Greek",VLOOKUP($D915,RoleTitles!$A:$E,4,FALSE),IF($C915="Aesir",VLOOKUP($D915,RoleTitles!$A:$E,5,FALSE),VLOOKUP($D915,RoleTitles!$A:$E,3,FALSE))))</f>
        <v/>
      </c>
      <c r="J915" s="27">
        <f>IF($D915="","",IF($E915&gt;=VLOOKUP($D915,RoleTitles!$A:$B,2,FALSE),"Yes","No"))</f>
        <v/>
      </c>
      <c r="K915" s="27">
        <f>IF($D915="","",IF($D915="T1","T2",IF($D915="T2","T3",IF($D915="T3","T4",IF($D915="T4","T5",IF($D915="T5","T6",IF($D915="T6","T7",IF($D915="T7","T8",IF($D915="T8","T9","")))))))))</f>
        <v/>
      </c>
      <c r="L915" s="28">
        <f>IF($K915="","",MAX(0,VLOOKUP($K915,RoleTitles!$A:$B,2,FALSE)-$E915))</f>
        <v/>
      </c>
    </row>
    <row r="916">
      <c r="A916" s="24">
        <f>IFERROR(INDEX(CoachRoster!$A$2:$A$1000,ROW()-1),"")</f>
        <v/>
      </c>
      <c r="B916" s="27">
        <f>IF($A916="","",VLOOKUP($A916,CoachRoster!$A:$E,2,FALSE))</f>
        <v/>
      </c>
      <c r="C916" s="27">
        <f>IF($A916="","",VLOOKUP($A916,CoachRoster!$A:$E,3,FALSE))</f>
        <v/>
      </c>
      <c r="D916" s="27">
        <f>IF($A916="","",VLOOKUP($A916,CoachRoster!$A:$E,4,FALSE))</f>
        <v/>
      </c>
      <c r="E916" s="27">
        <f>IF($A916="","",MIN(Settings!$B$8,IFERROR(SUMIF(Weekly_Coaching!$B:$B,$A916,Weekly_Coaching!$D:$D),0)+IFERROR(SUMIF(Monthly_Edu!$B:$B,$A916,Monthly_Edu!$D:$D),0)+IFERROR(SUMIF(Monthly_Ops!$B:$B,$A916,Monthly_Ops!$D:$D),0)+IFERROR(SUMIF(Monthly_Mentor!$B:$B,$A916,Monthly_Mentor!$D:$D),0)+IFERROR(SUMIF(Quarterly_Impact!$B:$B,$A916,Quarterly_Impact!$D:$D),0)+IFERROR(SUMIFS(XPLog!$M:$M,XPLog!$B:$B,$A916,XPLog!$J:$J,"Admin"),0)+IFERROR(SUMIFS(XPLog!$M:$M,XPLog!$B:$B,$A916,XPLog!$J:$J,"Seeding"),0)))</f>
        <v/>
      </c>
      <c r="F916" s="27">
        <f>IF($E916="","",LOOKUP($E916, XPBands!B$2:B$10, XPBands!A$2:A$10))</f>
        <v/>
      </c>
      <c r="G916" s="27">
        <f>IF($E916="","", VLOOKUP($F916, XPBands!A$2:G$10, 4, FALSE) + MIN(VLOOKUP($F916, XPBands!A$2:G$10, 5, FALSE) - VLOOKUP($F916, XPBands!A$2:G$10, 4, FALSE), FLOOR(( $E916 - VLOOKUP($F916, XPBands!A$2:G$10, 2, FALSE) ) / VLOOKUP($F916, XPBands!A$2:G$10, 7, FALSE),1)))</f>
        <v/>
      </c>
      <c r="H916" s="27">
        <f>IF($D916="","",VLOOKUP($D916,RoleTitles!$A:$E,3,FALSE))</f>
        <v/>
      </c>
      <c r="I916" s="27">
        <f>IF($D916="","",IF($C916="Greek",VLOOKUP($D916,RoleTitles!$A:$E,4,FALSE),IF($C916="Aesir",VLOOKUP($D916,RoleTitles!$A:$E,5,FALSE),VLOOKUP($D916,RoleTitles!$A:$E,3,FALSE))))</f>
        <v/>
      </c>
      <c r="J916" s="27">
        <f>IF($D916="","",IF($E916&gt;=VLOOKUP($D916,RoleTitles!$A:$B,2,FALSE),"Yes","No"))</f>
        <v/>
      </c>
      <c r="K916" s="27">
        <f>IF($D916="","",IF($D916="T1","T2",IF($D916="T2","T3",IF($D916="T3","T4",IF($D916="T4","T5",IF($D916="T5","T6",IF($D916="T6","T7",IF($D916="T7","T8",IF($D916="T8","T9","")))))))))</f>
        <v/>
      </c>
      <c r="L916" s="28">
        <f>IF($K916="","",MAX(0,VLOOKUP($K916,RoleTitles!$A:$B,2,FALSE)-$E916))</f>
        <v/>
      </c>
    </row>
    <row r="917">
      <c r="A917" s="24">
        <f>IFERROR(INDEX(CoachRoster!$A$2:$A$1000,ROW()-1),"")</f>
        <v/>
      </c>
      <c r="B917" s="27">
        <f>IF($A917="","",VLOOKUP($A917,CoachRoster!$A:$E,2,FALSE))</f>
        <v/>
      </c>
      <c r="C917" s="27">
        <f>IF($A917="","",VLOOKUP($A917,CoachRoster!$A:$E,3,FALSE))</f>
        <v/>
      </c>
      <c r="D917" s="27">
        <f>IF($A917="","",VLOOKUP($A917,CoachRoster!$A:$E,4,FALSE))</f>
        <v/>
      </c>
      <c r="E917" s="27">
        <f>IF($A917="","",MIN(Settings!$B$8,IFERROR(SUMIF(Weekly_Coaching!$B:$B,$A917,Weekly_Coaching!$D:$D),0)+IFERROR(SUMIF(Monthly_Edu!$B:$B,$A917,Monthly_Edu!$D:$D),0)+IFERROR(SUMIF(Monthly_Ops!$B:$B,$A917,Monthly_Ops!$D:$D),0)+IFERROR(SUMIF(Monthly_Mentor!$B:$B,$A917,Monthly_Mentor!$D:$D),0)+IFERROR(SUMIF(Quarterly_Impact!$B:$B,$A917,Quarterly_Impact!$D:$D),0)+IFERROR(SUMIFS(XPLog!$M:$M,XPLog!$B:$B,$A917,XPLog!$J:$J,"Admin"),0)+IFERROR(SUMIFS(XPLog!$M:$M,XPLog!$B:$B,$A917,XPLog!$J:$J,"Seeding"),0)))</f>
        <v/>
      </c>
      <c r="F917" s="27">
        <f>IF($E917="","",LOOKUP($E917, XPBands!B$2:B$10, XPBands!A$2:A$10))</f>
        <v/>
      </c>
      <c r="G917" s="27">
        <f>IF($E917="","", VLOOKUP($F917, XPBands!A$2:G$10, 4, FALSE) + MIN(VLOOKUP($F917, XPBands!A$2:G$10, 5, FALSE) - VLOOKUP($F917, XPBands!A$2:G$10, 4, FALSE), FLOOR(( $E917 - VLOOKUP($F917, XPBands!A$2:G$10, 2, FALSE) ) / VLOOKUP($F917, XPBands!A$2:G$10, 7, FALSE),1)))</f>
        <v/>
      </c>
      <c r="H917" s="27">
        <f>IF($D917="","",VLOOKUP($D917,RoleTitles!$A:$E,3,FALSE))</f>
        <v/>
      </c>
      <c r="I917" s="27">
        <f>IF($D917="","",IF($C917="Greek",VLOOKUP($D917,RoleTitles!$A:$E,4,FALSE),IF($C917="Aesir",VLOOKUP($D917,RoleTitles!$A:$E,5,FALSE),VLOOKUP($D917,RoleTitles!$A:$E,3,FALSE))))</f>
        <v/>
      </c>
      <c r="J917" s="27">
        <f>IF($D917="","",IF($E917&gt;=VLOOKUP($D917,RoleTitles!$A:$B,2,FALSE),"Yes","No"))</f>
        <v/>
      </c>
      <c r="K917" s="27">
        <f>IF($D917="","",IF($D917="T1","T2",IF($D917="T2","T3",IF($D917="T3","T4",IF($D917="T4","T5",IF($D917="T5","T6",IF($D917="T6","T7",IF($D917="T7","T8",IF($D917="T8","T9","")))))))))</f>
        <v/>
      </c>
      <c r="L917" s="28">
        <f>IF($K917="","",MAX(0,VLOOKUP($K917,RoleTitles!$A:$B,2,FALSE)-$E917))</f>
        <v/>
      </c>
    </row>
    <row r="918">
      <c r="A918" s="24">
        <f>IFERROR(INDEX(CoachRoster!$A$2:$A$1000,ROW()-1),"")</f>
        <v/>
      </c>
      <c r="B918" s="27">
        <f>IF($A918="","",VLOOKUP($A918,CoachRoster!$A:$E,2,FALSE))</f>
        <v/>
      </c>
      <c r="C918" s="27">
        <f>IF($A918="","",VLOOKUP($A918,CoachRoster!$A:$E,3,FALSE))</f>
        <v/>
      </c>
      <c r="D918" s="27">
        <f>IF($A918="","",VLOOKUP($A918,CoachRoster!$A:$E,4,FALSE))</f>
        <v/>
      </c>
      <c r="E918" s="27">
        <f>IF($A918="","",MIN(Settings!$B$8,IFERROR(SUMIF(Weekly_Coaching!$B:$B,$A918,Weekly_Coaching!$D:$D),0)+IFERROR(SUMIF(Monthly_Edu!$B:$B,$A918,Monthly_Edu!$D:$D),0)+IFERROR(SUMIF(Monthly_Ops!$B:$B,$A918,Monthly_Ops!$D:$D),0)+IFERROR(SUMIF(Monthly_Mentor!$B:$B,$A918,Monthly_Mentor!$D:$D),0)+IFERROR(SUMIF(Quarterly_Impact!$B:$B,$A918,Quarterly_Impact!$D:$D),0)+IFERROR(SUMIFS(XPLog!$M:$M,XPLog!$B:$B,$A918,XPLog!$J:$J,"Admin"),0)+IFERROR(SUMIFS(XPLog!$M:$M,XPLog!$B:$B,$A918,XPLog!$J:$J,"Seeding"),0)))</f>
        <v/>
      </c>
      <c r="F918" s="27">
        <f>IF($E918="","",LOOKUP($E918, XPBands!B$2:B$10, XPBands!A$2:A$10))</f>
        <v/>
      </c>
      <c r="G918" s="27">
        <f>IF($E918="","", VLOOKUP($F918, XPBands!A$2:G$10, 4, FALSE) + MIN(VLOOKUP($F918, XPBands!A$2:G$10, 5, FALSE) - VLOOKUP($F918, XPBands!A$2:G$10, 4, FALSE), FLOOR(( $E918 - VLOOKUP($F918, XPBands!A$2:G$10, 2, FALSE) ) / VLOOKUP($F918, XPBands!A$2:G$10, 7, FALSE),1)))</f>
        <v/>
      </c>
      <c r="H918" s="27">
        <f>IF($D918="","",VLOOKUP($D918,RoleTitles!$A:$E,3,FALSE))</f>
        <v/>
      </c>
      <c r="I918" s="27">
        <f>IF($D918="","",IF($C918="Greek",VLOOKUP($D918,RoleTitles!$A:$E,4,FALSE),IF($C918="Aesir",VLOOKUP($D918,RoleTitles!$A:$E,5,FALSE),VLOOKUP($D918,RoleTitles!$A:$E,3,FALSE))))</f>
        <v/>
      </c>
      <c r="J918" s="27">
        <f>IF($D918="","",IF($E918&gt;=VLOOKUP($D918,RoleTitles!$A:$B,2,FALSE),"Yes","No"))</f>
        <v/>
      </c>
      <c r="K918" s="27">
        <f>IF($D918="","",IF($D918="T1","T2",IF($D918="T2","T3",IF($D918="T3","T4",IF($D918="T4","T5",IF($D918="T5","T6",IF($D918="T6","T7",IF($D918="T7","T8",IF($D918="T8","T9","")))))))))</f>
        <v/>
      </c>
      <c r="L918" s="28">
        <f>IF($K918="","",MAX(0,VLOOKUP($K918,RoleTitles!$A:$B,2,FALSE)-$E918))</f>
        <v/>
      </c>
    </row>
    <row r="919">
      <c r="A919" s="24">
        <f>IFERROR(INDEX(CoachRoster!$A$2:$A$1000,ROW()-1),"")</f>
        <v/>
      </c>
      <c r="B919" s="27">
        <f>IF($A919="","",VLOOKUP($A919,CoachRoster!$A:$E,2,FALSE))</f>
        <v/>
      </c>
      <c r="C919" s="27">
        <f>IF($A919="","",VLOOKUP($A919,CoachRoster!$A:$E,3,FALSE))</f>
        <v/>
      </c>
      <c r="D919" s="27">
        <f>IF($A919="","",VLOOKUP($A919,CoachRoster!$A:$E,4,FALSE))</f>
        <v/>
      </c>
      <c r="E919" s="27">
        <f>IF($A919="","",MIN(Settings!$B$8,IFERROR(SUMIF(Weekly_Coaching!$B:$B,$A919,Weekly_Coaching!$D:$D),0)+IFERROR(SUMIF(Monthly_Edu!$B:$B,$A919,Monthly_Edu!$D:$D),0)+IFERROR(SUMIF(Monthly_Ops!$B:$B,$A919,Monthly_Ops!$D:$D),0)+IFERROR(SUMIF(Monthly_Mentor!$B:$B,$A919,Monthly_Mentor!$D:$D),0)+IFERROR(SUMIF(Quarterly_Impact!$B:$B,$A919,Quarterly_Impact!$D:$D),0)+IFERROR(SUMIFS(XPLog!$M:$M,XPLog!$B:$B,$A919,XPLog!$J:$J,"Admin"),0)+IFERROR(SUMIFS(XPLog!$M:$M,XPLog!$B:$B,$A919,XPLog!$J:$J,"Seeding"),0)))</f>
        <v/>
      </c>
      <c r="F919" s="27">
        <f>IF($E919="","",LOOKUP($E919, XPBands!B$2:B$10, XPBands!A$2:A$10))</f>
        <v/>
      </c>
      <c r="G919" s="27">
        <f>IF($E919="","", VLOOKUP($F919, XPBands!A$2:G$10, 4, FALSE) + MIN(VLOOKUP($F919, XPBands!A$2:G$10, 5, FALSE) - VLOOKUP($F919, XPBands!A$2:G$10, 4, FALSE), FLOOR(( $E919 - VLOOKUP($F919, XPBands!A$2:G$10, 2, FALSE) ) / VLOOKUP($F919, XPBands!A$2:G$10, 7, FALSE),1)))</f>
        <v/>
      </c>
      <c r="H919" s="27">
        <f>IF($D919="","",VLOOKUP($D919,RoleTitles!$A:$E,3,FALSE))</f>
        <v/>
      </c>
      <c r="I919" s="27">
        <f>IF($D919="","",IF($C919="Greek",VLOOKUP($D919,RoleTitles!$A:$E,4,FALSE),IF($C919="Aesir",VLOOKUP($D919,RoleTitles!$A:$E,5,FALSE),VLOOKUP($D919,RoleTitles!$A:$E,3,FALSE))))</f>
        <v/>
      </c>
      <c r="J919" s="27">
        <f>IF($D919="","",IF($E919&gt;=VLOOKUP($D919,RoleTitles!$A:$B,2,FALSE),"Yes","No"))</f>
        <v/>
      </c>
      <c r="K919" s="27">
        <f>IF($D919="","",IF($D919="T1","T2",IF($D919="T2","T3",IF($D919="T3","T4",IF($D919="T4","T5",IF($D919="T5","T6",IF($D919="T6","T7",IF($D919="T7","T8",IF($D919="T8","T9","")))))))))</f>
        <v/>
      </c>
      <c r="L919" s="28">
        <f>IF($K919="","",MAX(0,VLOOKUP($K919,RoleTitles!$A:$B,2,FALSE)-$E919))</f>
        <v/>
      </c>
    </row>
    <row r="920">
      <c r="A920" s="24">
        <f>IFERROR(INDEX(CoachRoster!$A$2:$A$1000,ROW()-1),"")</f>
        <v/>
      </c>
      <c r="B920" s="27">
        <f>IF($A920="","",VLOOKUP($A920,CoachRoster!$A:$E,2,FALSE))</f>
        <v/>
      </c>
      <c r="C920" s="27">
        <f>IF($A920="","",VLOOKUP($A920,CoachRoster!$A:$E,3,FALSE))</f>
        <v/>
      </c>
      <c r="D920" s="27">
        <f>IF($A920="","",VLOOKUP($A920,CoachRoster!$A:$E,4,FALSE))</f>
        <v/>
      </c>
      <c r="E920" s="27">
        <f>IF($A920="","",MIN(Settings!$B$8,IFERROR(SUMIF(Weekly_Coaching!$B:$B,$A920,Weekly_Coaching!$D:$D),0)+IFERROR(SUMIF(Monthly_Edu!$B:$B,$A920,Monthly_Edu!$D:$D),0)+IFERROR(SUMIF(Monthly_Ops!$B:$B,$A920,Monthly_Ops!$D:$D),0)+IFERROR(SUMIF(Monthly_Mentor!$B:$B,$A920,Monthly_Mentor!$D:$D),0)+IFERROR(SUMIF(Quarterly_Impact!$B:$B,$A920,Quarterly_Impact!$D:$D),0)+IFERROR(SUMIFS(XPLog!$M:$M,XPLog!$B:$B,$A920,XPLog!$J:$J,"Admin"),0)+IFERROR(SUMIFS(XPLog!$M:$M,XPLog!$B:$B,$A920,XPLog!$J:$J,"Seeding"),0)))</f>
        <v/>
      </c>
      <c r="F920" s="27">
        <f>IF($E920="","",LOOKUP($E920, XPBands!B$2:B$10, XPBands!A$2:A$10))</f>
        <v/>
      </c>
      <c r="G920" s="27">
        <f>IF($E920="","", VLOOKUP($F920, XPBands!A$2:G$10, 4, FALSE) + MIN(VLOOKUP($F920, XPBands!A$2:G$10, 5, FALSE) - VLOOKUP($F920, XPBands!A$2:G$10, 4, FALSE), FLOOR(( $E920 - VLOOKUP($F920, XPBands!A$2:G$10, 2, FALSE) ) / VLOOKUP($F920, XPBands!A$2:G$10, 7, FALSE),1)))</f>
        <v/>
      </c>
      <c r="H920" s="27">
        <f>IF($D920="","",VLOOKUP($D920,RoleTitles!$A:$E,3,FALSE))</f>
        <v/>
      </c>
      <c r="I920" s="27">
        <f>IF($D920="","",IF($C920="Greek",VLOOKUP($D920,RoleTitles!$A:$E,4,FALSE),IF($C920="Aesir",VLOOKUP($D920,RoleTitles!$A:$E,5,FALSE),VLOOKUP($D920,RoleTitles!$A:$E,3,FALSE))))</f>
        <v/>
      </c>
      <c r="J920" s="27">
        <f>IF($D920="","",IF($E920&gt;=VLOOKUP($D920,RoleTitles!$A:$B,2,FALSE),"Yes","No"))</f>
        <v/>
      </c>
      <c r="K920" s="27">
        <f>IF($D920="","",IF($D920="T1","T2",IF($D920="T2","T3",IF($D920="T3","T4",IF($D920="T4","T5",IF($D920="T5","T6",IF($D920="T6","T7",IF($D920="T7","T8",IF($D920="T8","T9","")))))))))</f>
        <v/>
      </c>
      <c r="L920" s="28">
        <f>IF($K920="","",MAX(0,VLOOKUP($K920,RoleTitles!$A:$B,2,FALSE)-$E920))</f>
        <v/>
      </c>
    </row>
    <row r="921">
      <c r="A921" s="24">
        <f>IFERROR(INDEX(CoachRoster!$A$2:$A$1000,ROW()-1),"")</f>
        <v/>
      </c>
      <c r="B921" s="27">
        <f>IF($A921="","",VLOOKUP($A921,CoachRoster!$A:$E,2,FALSE))</f>
        <v/>
      </c>
      <c r="C921" s="27">
        <f>IF($A921="","",VLOOKUP($A921,CoachRoster!$A:$E,3,FALSE))</f>
        <v/>
      </c>
      <c r="D921" s="27">
        <f>IF($A921="","",VLOOKUP($A921,CoachRoster!$A:$E,4,FALSE))</f>
        <v/>
      </c>
      <c r="E921" s="27">
        <f>IF($A921="","",MIN(Settings!$B$8,IFERROR(SUMIF(Weekly_Coaching!$B:$B,$A921,Weekly_Coaching!$D:$D),0)+IFERROR(SUMIF(Monthly_Edu!$B:$B,$A921,Monthly_Edu!$D:$D),0)+IFERROR(SUMIF(Monthly_Ops!$B:$B,$A921,Monthly_Ops!$D:$D),0)+IFERROR(SUMIF(Monthly_Mentor!$B:$B,$A921,Monthly_Mentor!$D:$D),0)+IFERROR(SUMIF(Quarterly_Impact!$B:$B,$A921,Quarterly_Impact!$D:$D),0)+IFERROR(SUMIFS(XPLog!$M:$M,XPLog!$B:$B,$A921,XPLog!$J:$J,"Admin"),0)+IFERROR(SUMIFS(XPLog!$M:$M,XPLog!$B:$B,$A921,XPLog!$J:$J,"Seeding"),0)))</f>
        <v/>
      </c>
      <c r="F921" s="27">
        <f>IF($E921="","",LOOKUP($E921, XPBands!B$2:B$10, XPBands!A$2:A$10))</f>
        <v/>
      </c>
      <c r="G921" s="27">
        <f>IF($E921="","", VLOOKUP($F921, XPBands!A$2:G$10, 4, FALSE) + MIN(VLOOKUP($F921, XPBands!A$2:G$10, 5, FALSE) - VLOOKUP($F921, XPBands!A$2:G$10, 4, FALSE), FLOOR(( $E921 - VLOOKUP($F921, XPBands!A$2:G$10, 2, FALSE) ) / VLOOKUP($F921, XPBands!A$2:G$10, 7, FALSE),1)))</f>
        <v/>
      </c>
      <c r="H921" s="27">
        <f>IF($D921="","",VLOOKUP($D921,RoleTitles!$A:$E,3,FALSE))</f>
        <v/>
      </c>
      <c r="I921" s="27">
        <f>IF($D921="","",IF($C921="Greek",VLOOKUP($D921,RoleTitles!$A:$E,4,FALSE),IF($C921="Aesir",VLOOKUP($D921,RoleTitles!$A:$E,5,FALSE),VLOOKUP($D921,RoleTitles!$A:$E,3,FALSE))))</f>
        <v/>
      </c>
      <c r="J921" s="27">
        <f>IF($D921="","",IF($E921&gt;=VLOOKUP($D921,RoleTitles!$A:$B,2,FALSE),"Yes","No"))</f>
        <v/>
      </c>
      <c r="K921" s="27">
        <f>IF($D921="","",IF($D921="T1","T2",IF($D921="T2","T3",IF($D921="T3","T4",IF($D921="T4","T5",IF($D921="T5","T6",IF($D921="T6","T7",IF($D921="T7","T8",IF($D921="T8","T9","")))))))))</f>
        <v/>
      </c>
      <c r="L921" s="28">
        <f>IF($K921="","",MAX(0,VLOOKUP($K921,RoleTitles!$A:$B,2,FALSE)-$E921))</f>
        <v/>
      </c>
    </row>
    <row r="922">
      <c r="A922" s="24">
        <f>IFERROR(INDEX(CoachRoster!$A$2:$A$1000,ROW()-1),"")</f>
        <v/>
      </c>
      <c r="B922" s="27">
        <f>IF($A922="","",VLOOKUP($A922,CoachRoster!$A:$E,2,FALSE))</f>
        <v/>
      </c>
      <c r="C922" s="27">
        <f>IF($A922="","",VLOOKUP($A922,CoachRoster!$A:$E,3,FALSE))</f>
        <v/>
      </c>
      <c r="D922" s="27">
        <f>IF($A922="","",VLOOKUP($A922,CoachRoster!$A:$E,4,FALSE))</f>
        <v/>
      </c>
      <c r="E922" s="27">
        <f>IF($A922="","",MIN(Settings!$B$8,IFERROR(SUMIF(Weekly_Coaching!$B:$B,$A922,Weekly_Coaching!$D:$D),0)+IFERROR(SUMIF(Monthly_Edu!$B:$B,$A922,Monthly_Edu!$D:$D),0)+IFERROR(SUMIF(Monthly_Ops!$B:$B,$A922,Monthly_Ops!$D:$D),0)+IFERROR(SUMIF(Monthly_Mentor!$B:$B,$A922,Monthly_Mentor!$D:$D),0)+IFERROR(SUMIF(Quarterly_Impact!$B:$B,$A922,Quarterly_Impact!$D:$D),0)+IFERROR(SUMIFS(XPLog!$M:$M,XPLog!$B:$B,$A922,XPLog!$J:$J,"Admin"),0)+IFERROR(SUMIFS(XPLog!$M:$M,XPLog!$B:$B,$A922,XPLog!$J:$J,"Seeding"),0)))</f>
        <v/>
      </c>
      <c r="F922" s="27">
        <f>IF($E922="","",LOOKUP($E922, XPBands!B$2:B$10, XPBands!A$2:A$10))</f>
        <v/>
      </c>
      <c r="G922" s="27">
        <f>IF($E922="","", VLOOKUP($F922, XPBands!A$2:G$10, 4, FALSE) + MIN(VLOOKUP($F922, XPBands!A$2:G$10, 5, FALSE) - VLOOKUP($F922, XPBands!A$2:G$10, 4, FALSE), FLOOR(( $E922 - VLOOKUP($F922, XPBands!A$2:G$10, 2, FALSE) ) / VLOOKUP($F922, XPBands!A$2:G$10, 7, FALSE),1)))</f>
        <v/>
      </c>
      <c r="H922" s="27">
        <f>IF($D922="","",VLOOKUP($D922,RoleTitles!$A:$E,3,FALSE))</f>
        <v/>
      </c>
      <c r="I922" s="27">
        <f>IF($D922="","",IF($C922="Greek",VLOOKUP($D922,RoleTitles!$A:$E,4,FALSE),IF($C922="Aesir",VLOOKUP($D922,RoleTitles!$A:$E,5,FALSE),VLOOKUP($D922,RoleTitles!$A:$E,3,FALSE))))</f>
        <v/>
      </c>
      <c r="J922" s="27">
        <f>IF($D922="","",IF($E922&gt;=VLOOKUP($D922,RoleTitles!$A:$B,2,FALSE),"Yes","No"))</f>
        <v/>
      </c>
      <c r="K922" s="27">
        <f>IF($D922="","",IF($D922="T1","T2",IF($D922="T2","T3",IF($D922="T3","T4",IF($D922="T4","T5",IF($D922="T5","T6",IF($D922="T6","T7",IF($D922="T7","T8",IF($D922="T8","T9","")))))))))</f>
        <v/>
      </c>
      <c r="L922" s="28">
        <f>IF($K922="","",MAX(0,VLOOKUP($K922,RoleTitles!$A:$B,2,FALSE)-$E922))</f>
        <v/>
      </c>
    </row>
    <row r="923">
      <c r="A923" s="24">
        <f>IFERROR(INDEX(CoachRoster!$A$2:$A$1000,ROW()-1),"")</f>
        <v/>
      </c>
      <c r="B923" s="27">
        <f>IF($A923="","",VLOOKUP($A923,CoachRoster!$A:$E,2,FALSE))</f>
        <v/>
      </c>
      <c r="C923" s="27">
        <f>IF($A923="","",VLOOKUP($A923,CoachRoster!$A:$E,3,FALSE))</f>
        <v/>
      </c>
      <c r="D923" s="27">
        <f>IF($A923="","",VLOOKUP($A923,CoachRoster!$A:$E,4,FALSE))</f>
        <v/>
      </c>
      <c r="E923" s="27">
        <f>IF($A923="","",MIN(Settings!$B$8,IFERROR(SUMIF(Weekly_Coaching!$B:$B,$A923,Weekly_Coaching!$D:$D),0)+IFERROR(SUMIF(Monthly_Edu!$B:$B,$A923,Monthly_Edu!$D:$D),0)+IFERROR(SUMIF(Monthly_Ops!$B:$B,$A923,Monthly_Ops!$D:$D),0)+IFERROR(SUMIF(Monthly_Mentor!$B:$B,$A923,Monthly_Mentor!$D:$D),0)+IFERROR(SUMIF(Quarterly_Impact!$B:$B,$A923,Quarterly_Impact!$D:$D),0)+IFERROR(SUMIFS(XPLog!$M:$M,XPLog!$B:$B,$A923,XPLog!$J:$J,"Admin"),0)+IFERROR(SUMIFS(XPLog!$M:$M,XPLog!$B:$B,$A923,XPLog!$J:$J,"Seeding"),0)))</f>
        <v/>
      </c>
      <c r="F923" s="27">
        <f>IF($E923="","",LOOKUP($E923, XPBands!B$2:B$10, XPBands!A$2:A$10))</f>
        <v/>
      </c>
      <c r="G923" s="27">
        <f>IF($E923="","", VLOOKUP($F923, XPBands!A$2:G$10, 4, FALSE) + MIN(VLOOKUP($F923, XPBands!A$2:G$10, 5, FALSE) - VLOOKUP($F923, XPBands!A$2:G$10, 4, FALSE), FLOOR(( $E923 - VLOOKUP($F923, XPBands!A$2:G$10, 2, FALSE) ) / VLOOKUP($F923, XPBands!A$2:G$10, 7, FALSE),1)))</f>
        <v/>
      </c>
      <c r="H923" s="27">
        <f>IF($D923="","",VLOOKUP($D923,RoleTitles!$A:$E,3,FALSE))</f>
        <v/>
      </c>
      <c r="I923" s="27">
        <f>IF($D923="","",IF($C923="Greek",VLOOKUP($D923,RoleTitles!$A:$E,4,FALSE),IF($C923="Aesir",VLOOKUP($D923,RoleTitles!$A:$E,5,FALSE),VLOOKUP($D923,RoleTitles!$A:$E,3,FALSE))))</f>
        <v/>
      </c>
      <c r="J923" s="27">
        <f>IF($D923="","",IF($E923&gt;=VLOOKUP($D923,RoleTitles!$A:$B,2,FALSE),"Yes","No"))</f>
        <v/>
      </c>
      <c r="K923" s="27">
        <f>IF($D923="","",IF($D923="T1","T2",IF($D923="T2","T3",IF($D923="T3","T4",IF($D923="T4","T5",IF($D923="T5","T6",IF($D923="T6","T7",IF($D923="T7","T8",IF($D923="T8","T9","")))))))))</f>
        <v/>
      </c>
      <c r="L923" s="28">
        <f>IF($K923="","",MAX(0,VLOOKUP($K923,RoleTitles!$A:$B,2,FALSE)-$E923))</f>
        <v/>
      </c>
    </row>
    <row r="924">
      <c r="A924" s="24">
        <f>IFERROR(INDEX(CoachRoster!$A$2:$A$1000,ROW()-1),"")</f>
        <v/>
      </c>
      <c r="B924" s="27">
        <f>IF($A924="","",VLOOKUP($A924,CoachRoster!$A:$E,2,FALSE))</f>
        <v/>
      </c>
      <c r="C924" s="27">
        <f>IF($A924="","",VLOOKUP($A924,CoachRoster!$A:$E,3,FALSE))</f>
        <v/>
      </c>
      <c r="D924" s="27">
        <f>IF($A924="","",VLOOKUP($A924,CoachRoster!$A:$E,4,FALSE))</f>
        <v/>
      </c>
      <c r="E924" s="27">
        <f>IF($A924="","",MIN(Settings!$B$8,IFERROR(SUMIF(Weekly_Coaching!$B:$B,$A924,Weekly_Coaching!$D:$D),0)+IFERROR(SUMIF(Monthly_Edu!$B:$B,$A924,Monthly_Edu!$D:$D),0)+IFERROR(SUMIF(Monthly_Ops!$B:$B,$A924,Monthly_Ops!$D:$D),0)+IFERROR(SUMIF(Monthly_Mentor!$B:$B,$A924,Monthly_Mentor!$D:$D),0)+IFERROR(SUMIF(Quarterly_Impact!$B:$B,$A924,Quarterly_Impact!$D:$D),0)+IFERROR(SUMIFS(XPLog!$M:$M,XPLog!$B:$B,$A924,XPLog!$J:$J,"Admin"),0)+IFERROR(SUMIFS(XPLog!$M:$M,XPLog!$B:$B,$A924,XPLog!$J:$J,"Seeding"),0)))</f>
        <v/>
      </c>
      <c r="F924" s="27">
        <f>IF($E924="","",LOOKUP($E924, XPBands!B$2:B$10, XPBands!A$2:A$10))</f>
        <v/>
      </c>
      <c r="G924" s="27">
        <f>IF($E924="","", VLOOKUP($F924, XPBands!A$2:G$10, 4, FALSE) + MIN(VLOOKUP($F924, XPBands!A$2:G$10, 5, FALSE) - VLOOKUP($F924, XPBands!A$2:G$10, 4, FALSE), FLOOR(( $E924 - VLOOKUP($F924, XPBands!A$2:G$10, 2, FALSE) ) / VLOOKUP($F924, XPBands!A$2:G$10, 7, FALSE),1)))</f>
        <v/>
      </c>
      <c r="H924" s="27">
        <f>IF($D924="","",VLOOKUP($D924,RoleTitles!$A:$E,3,FALSE))</f>
        <v/>
      </c>
      <c r="I924" s="27">
        <f>IF($D924="","",IF($C924="Greek",VLOOKUP($D924,RoleTitles!$A:$E,4,FALSE),IF($C924="Aesir",VLOOKUP($D924,RoleTitles!$A:$E,5,FALSE),VLOOKUP($D924,RoleTitles!$A:$E,3,FALSE))))</f>
        <v/>
      </c>
      <c r="J924" s="27">
        <f>IF($D924="","",IF($E924&gt;=VLOOKUP($D924,RoleTitles!$A:$B,2,FALSE),"Yes","No"))</f>
        <v/>
      </c>
      <c r="K924" s="27">
        <f>IF($D924="","",IF($D924="T1","T2",IF($D924="T2","T3",IF($D924="T3","T4",IF($D924="T4","T5",IF($D924="T5","T6",IF($D924="T6","T7",IF($D924="T7","T8",IF($D924="T8","T9","")))))))))</f>
        <v/>
      </c>
      <c r="L924" s="28">
        <f>IF($K924="","",MAX(0,VLOOKUP($K924,RoleTitles!$A:$B,2,FALSE)-$E924))</f>
        <v/>
      </c>
    </row>
    <row r="925">
      <c r="A925" s="24">
        <f>IFERROR(INDEX(CoachRoster!$A$2:$A$1000,ROW()-1),"")</f>
        <v/>
      </c>
      <c r="B925" s="27">
        <f>IF($A925="","",VLOOKUP($A925,CoachRoster!$A:$E,2,FALSE))</f>
        <v/>
      </c>
      <c r="C925" s="27">
        <f>IF($A925="","",VLOOKUP($A925,CoachRoster!$A:$E,3,FALSE))</f>
        <v/>
      </c>
      <c r="D925" s="27">
        <f>IF($A925="","",VLOOKUP($A925,CoachRoster!$A:$E,4,FALSE))</f>
        <v/>
      </c>
      <c r="E925" s="27">
        <f>IF($A925="","",MIN(Settings!$B$8,IFERROR(SUMIF(Weekly_Coaching!$B:$B,$A925,Weekly_Coaching!$D:$D),0)+IFERROR(SUMIF(Monthly_Edu!$B:$B,$A925,Monthly_Edu!$D:$D),0)+IFERROR(SUMIF(Monthly_Ops!$B:$B,$A925,Monthly_Ops!$D:$D),0)+IFERROR(SUMIF(Monthly_Mentor!$B:$B,$A925,Monthly_Mentor!$D:$D),0)+IFERROR(SUMIF(Quarterly_Impact!$B:$B,$A925,Quarterly_Impact!$D:$D),0)+IFERROR(SUMIFS(XPLog!$M:$M,XPLog!$B:$B,$A925,XPLog!$J:$J,"Admin"),0)+IFERROR(SUMIFS(XPLog!$M:$M,XPLog!$B:$B,$A925,XPLog!$J:$J,"Seeding"),0)))</f>
        <v/>
      </c>
      <c r="F925" s="27">
        <f>IF($E925="","",LOOKUP($E925, XPBands!B$2:B$10, XPBands!A$2:A$10))</f>
        <v/>
      </c>
      <c r="G925" s="27">
        <f>IF($E925="","", VLOOKUP($F925, XPBands!A$2:G$10, 4, FALSE) + MIN(VLOOKUP($F925, XPBands!A$2:G$10, 5, FALSE) - VLOOKUP($F925, XPBands!A$2:G$10, 4, FALSE), FLOOR(( $E925 - VLOOKUP($F925, XPBands!A$2:G$10, 2, FALSE) ) / VLOOKUP($F925, XPBands!A$2:G$10, 7, FALSE),1)))</f>
        <v/>
      </c>
      <c r="H925" s="27">
        <f>IF($D925="","",VLOOKUP($D925,RoleTitles!$A:$E,3,FALSE))</f>
        <v/>
      </c>
      <c r="I925" s="27">
        <f>IF($D925="","",IF($C925="Greek",VLOOKUP($D925,RoleTitles!$A:$E,4,FALSE),IF($C925="Aesir",VLOOKUP($D925,RoleTitles!$A:$E,5,FALSE),VLOOKUP($D925,RoleTitles!$A:$E,3,FALSE))))</f>
        <v/>
      </c>
      <c r="J925" s="27">
        <f>IF($D925="","",IF($E925&gt;=VLOOKUP($D925,RoleTitles!$A:$B,2,FALSE),"Yes","No"))</f>
        <v/>
      </c>
      <c r="K925" s="27">
        <f>IF($D925="","",IF($D925="T1","T2",IF($D925="T2","T3",IF($D925="T3","T4",IF($D925="T4","T5",IF($D925="T5","T6",IF($D925="T6","T7",IF($D925="T7","T8",IF($D925="T8","T9","")))))))))</f>
        <v/>
      </c>
      <c r="L925" s="28">
        <f>IF($K925="","",MAX(0,VLOOKUP($K925,RoleTitles!$A:$B,2,FALSE)-$E925))</f>
        <v/>
      </c>
    </row>
    <row r="926">
      <c r="A926" s="24">
        <f>IFERROR(INDEX(CoachRoster!$A$2:$A$1000,ROW()-1),"")</f>
        <v/>
      </c>
      <c r="B926" s="27">
        <f>IF($A926="","",VLOOKUP($A926,CoachRoster!$A:$E,2,FALSE))</f>
        <v/>
      </c>
      <c r="C926" s="27">
        <f>IF($A926="","",VLOOKUP($A926,CoachRoster!$A:$E,3,FALSE))</f>
        <v/>
      </c>
      <c r="D926" s="27">
        <f>IF($A926="","",VLOOKUP($A926,CoachRoster!$A:$E,4,FALSE))</f>
        <v/>
      </c>
      <c r="E926" s="27">
        <f>IF($A926="","",MIN(Settings!$B$8,IFERROR(SUMIF(Weekly_Coaching!$B:$B,$A926,Weekly_Coaching!$D:$D),0)+IFERROR(SUMIF(Monthly_Edu!$B:$B,$A926,Monthly_Edu!$D:$D),0)+IFERROR(SUMIF(Monthly_Ops!$B:$B,$A926,Monthly_Ops!$D:$D),0)+IFERROR(SUMIF(Monthly_Mentor!$B:$B,$A926,Monthly_Mentor!$D:$D),0)+IFERROR(SUMIF(Quarterly_Impact!$B:$B,$A926,Quarterly_Impact!$D:$D),0)+IFERROR(SUMIFS(XPLog!$M:$M,XPLog!$B:$B,$A926,XPLog!$J:$J,"Admin"),0)+IFERROR(SUMIFS(XPLog!$M:$M,XPLog!$B:$B,$A926,XPLog!$J:$J,"Seeding"),0)))</f>
        <v/>
      </c>
      <c r="F926" s="27">
        <f>IF($E926="","",LOOKUP($E926, XPBands!B$2:B$10, XPBands!A$2:A$10))</f>
        <v/>
      </c>
      <c r="G926" s="27">
        <f>IF($E926="","", VLOOKUP($F926, XPBands!A$2:G$10, 4, FALSE) + MIN(VLOOKUP($F926, XPBands!A$2:G$10, 5, FALSE) - VLOOKUP($F926, XPBands!A$2:G$10, 4, FALSE), FLOOR(( $E926 - VLOOKUP($F926, XPBands!A$2:G$10, 2, FALSE) ) / VLOOKUP($F926, XPBands!A$2:G$10, 7, FALSE),1)))</f>
        <v/>
      </c>
      <c r="H926" s="27">
        <f>IF($D926="","",VLOOKUP($D926,RoleTitles!$A:$E,3,FALSE))</f>
        <v/>
      </c>
      <c r="I926" s="27">
        <f>IF($D926="","",IF($C926="Greek",VLOOKUP($D926,RoleTitles!$A:$E,4,FALSE),IF($C926="Aesir",VLOOKUP($D926,RoleTitles!$A:$E,5,FALSE),VLOOKUP($D926,RoleTitles!$A:$E,3,FALSE))))</f>
        <v/>
      </c>
      <c r="J926" s="27">
        <f>IF($D926="","",IF($E926&gt;=VLOOKUP($D926,RoleTitles!$A:$B,2,FALSE),"Yes","No"))</f>
        <v/>
      </c>
      <c r="K926" s="27">
        <f>IF($D926="","",IF($D926="T1","T2",IF($D926="T2","T3",IF($D926="T3","T4",IF($D926="T4","T5",IF($D926="T5","T6",IF($D926="T6","T7",IF($D926="T7","T8",IF($D926="T8","T9","")))))))))</f>
        <v/>
      </c>
      <c r="L926" s="28">
        <f>IF($K926="","",MAX(0,VLOOKUP($K926,RoleTitles!$A:$B,2,FALSE)-$E926))</f>
        <v/>
      </c>
    </row>
    <row r="927">
      <c r="A927" s="24">
        <f>IFERROR(INDEX(CoachRoster!$A$2:$A$1000,ROW()-1),"")</f>
        <v/>
      </c>
      <c r="B927" s="27">
        <f>IF($A927="","",VLOOKUP($A927,CoachRoster!$A:$E,2,FALSE))</f>
        <v/>
      </c>
      <c r="C927" s="27">
        <f>IF($A927="","",VLOOKUP($A927,CoachRoster!$A:$E,3,FALSE))</f>
        <v/>
      </c>
      <c r="D927" s="27">
        <f>IF($A927="","",VLOOKUP($A927,CoachRoster!$A:$E,4,FALSE))</f>
        <v/>
      </c>
      <c r="E927" s="27">
        <f>IF($A927="","",MIN(Settings!$B$8,IFERROR(SUMIF(Weekly_Coaching!$B:$B,$A927,Weekly_Coaching!$D:$D),0)+IFERROR(SUMIF(Monthly_Edu!$B:$B,$A927,Monthly_Edu!$D:$D),0)+IFERROR(SUMIF(Monthly_Ops!$B:$B,$A927,Monthly_Ops!$D:$D),0)+IFERROR(SUMIF(Monthly_Mentor!$B:$B,$A927,Monthly_Mentor!$D:$D),0)+IFERROR(SUMIF(Quarterly_Impact!$B:$B,$A927,Quarterly_Impact!$D:$D),0)+IFERROR(SUMIFS(XPLog!$M:$M,XPLog!$B:$B,$A927,XPLog!$J:$J,"Admin"),0)+IFERROR(SUMIFS(XPLog!$M:$M,XPLog!$B:$B,$A927,XPLog!$J:$J,"Seeding"),0)))</f>
        <v/>
      </c>
      <c r="F927" s="27">
        <f>IF($E927="","",LOOKUP($E927, XPBands!B$2:B$10, XPBands!A$2:A$10))</f>
        <v/>
      </c>
      <c r="G927" s="27">
        <f>IF($E927="","", VLOOKUP($F927, XPBands!A$2:G$10, 4, FALSE) + MIN(VLOOKUP($F927, XPBands!A$2:G$10, 5, FALSE) - VLOOKUP($F927, XPBands!A$2:G$10, 4, FALSE), FLOOR(( $E927 - VLOOKUP($F927, XPBands!A$2:G$10, 2, FALSE) ) / VLOOKUP($F927, XPBands!A$2:G$10, 7, FALSE),1)))</f>
        <v/>
      </c>
      <c r="H927" s="27">
        <f>IF($D927="","",VLOOKUP($D927,RoleTitles!$A:$E,3,FALSE))</f>
        <v/>
      </c>
      <c r="I927" s="27">
        <f>IF($D927="","",IF($C927="Greek",VLOOKUP($D927,RoleTitles!$A:$E,4,FALSE),IF($C927="Aesir",VLOOKUP($D927,RoleTitles!$A:$E,5,FALSE),VLOOKUP($D927,RoleTitles!$A:$E,3,FALSE))))</f>
        <v/>
      </c>
      <c r="J927" s="27">
        <f>IF($D927="","",IF($E927&gt;=VLOOKUP($D927,RoleTitles!$A:$B,2,FALSE),"Yes","No"))</f>
        <v/>
      </c>
      <c r="K927" s="27">
        <f>IF($D927="","",IF($D927="T1","T2",IF($D927="T2","T3",IF($D927="T3","T4",IF($D927="T4","T5",IF($D927="T5","T6",IF($D927="T6","T7",IF($D927="T7","T8",IF($D927="T8","T9","")))))))))</f>
        <v/>
      </c>
      <c r="L927" s="28">
        <f>IF($K927="","",MAX(0,VLOOKUP($K927,RoleTitles!$A:$B,2,FALSE)-$E927))</f>
        <v/>
      </c>
    </row>
    <row r="928">
      <c r="A928" s="24">
        <f>IFERROR(INDEX(CoachRoster!$A$2:$A$1000,ROW()-1),"")</f>
        <v/>
      </c>
      <c r="B928" s="27">
        <f>IF($A928="","",VLOOKUP($A928,CoachRoster!$A:$E,2,FALSE))</f>
        <v/>
      </c>
      <c r="C928" s="27">
        <f>IF($A928="","",VLOOKUP($A928,CoachRoster!$A:$E,3,FALSE))</f>
        <v/>
      </c>
      <c r="D928" s="27">
        <f>IF($A928="","",VLOOKUP($A928,CoachRoster!$A:$E,4,FALSE))</f>
        <v/>
      </c>
      <c r="E928" s="27">
        <f>IF($A928="","",MIN(Settings!$B$8,IFERROR(SUMIF(Weekly_Coaching!$B:$B,$A928,Weekly_Coaching!$D:$D),0)+IFERROR(SUMIF(Monthly_Edu!$B:$B,$A928,Monthly_Edu!$D:$D),0)+IFERROR(SUMIF(Monthly_Ops!$B:$B,$A928,Monthly_Ops!$D:$D),0)+IFERROR(SUMIF(Monthly_Mentor!$B:$B,$A928,Monthly_Mentor!$D:$D),0)+IFERROR(SUMIF(Quarterly_Impact!$B:$B,$A928,Quarterly_Impact!$D:$D),0)+IFERROR(SUMIFS(XPLog!$M:$M,XPLog!$B:$B,$A928,XPLog!$J:$J,"Admin"),0)+IFERROR(SUMIFS(XPLog!$M:$M,XPLog!$B:$B,$A928,XPLog!$J:$J,"Seeding"),0)))</f>
        <v/>
      </c>
      <c r="F928" s="27">
        <f>IF($E928="","",LOOKUP($E928, XPBands!B$2:B$10, XPBands!A$2:A$10))</f>
        <v/>
      </c>
      <c r="G928" s="27">
        <f>IF($E928="","", VLOOKUP($F928, XPBands!A$2:G$10, 4, FALSE) + MIN(VLOOKUP($F928, XPBands!A$2:G$10, 5, FALSE) - VLOOKUP($F928, XPBands!A$2:G$10, 4, FALSE), FLOOR(( $E928 - VLOOKUP($F928, XPBands!A$2:G$10, 2, FALSE) ) / VLOOKUP($F928, XPBands!A$2:G$10, 7, FALSE),1)))</f>
        <v/>
      </c>
      <c r="H928" s="27">
        <f>IF($D928="","",VLOOKUP($D928,RoleTitles!$A:$E,3,FALSE))</f>
        <v/>
      </c>
      <c r="I928" s="27">
        <f>IF($D928="","",IF($C928="Greek",VLOOKUP($D928,RoleTitles!$A:$E,4,FALSE),IF($C928="Aesir",VLOOKUP($D928,RoleTitles!$A:$E,5,FALSE),VLOOKUP($D928,RoleTitles!$A:$E,3,FALSE))))</f>
        <v/>
      </c>
      <c r="J928" s="27">
        <f>IF($D928="","",IF($E928&gt;=VLOOKUP($D928,RoleTitles!$A:$B,2,FALSE),"Yes","No"))</f>
        <v/>
      </c>
      <c r="K928" s="27">
        <f>IF($D928="","",IF($D928="T1","T2",IF($D928="T2","T3",IF($D928="T3","T4",IF($D928="T4","T5",IF($D928="T5","T6",IF($D928="T6","T7",IF($D928="T7","T8",IF($D928="T8","T9","")))))))))</f>
        <v/>
      </c>
      <c r="L928" s="28">
        <f>IF($K928="","",MAX(0,VLOOKUP($K928,RoleTitles!$A:$B,2,FALSE)-$E928))</f>
        <v/>
      </c>
    </row>
    <row r="929">
      <c r="A929" s="24">
        <f>IFERROR(INDEX(CoachRoster!$A$2:$A$1000,ROW()-1),"")</f>
        <v/>
      </c>
      <c r="B929" s="27">
        <f>IF($A929="","",VLOOKUP($A929,CoachRoster!$A:$E,2,FALSE))</f>
        <v/>
      </c>
      <c r="C929" s="27">
        <f>IF($A929="","",VLOOKUP($A929,CoachRoster!$A:$E,3,FALSE))</f>
        <v/>
      </c>
      <c r="D929" s="27">
        <f>IF($A929="","",VLOOKUP($A929,CoachRoster!$A:$E,4,FALSE))</f>
        <v/>
      </c>
      <c r="E929" s="27">
        <f>IF($A929="","",MIN(Settings!$B$8,IFERROR(SUMIF(Weekly_Coaching!$B:$B,$A929,Weekly_Coaching!$D:$D),0)+IFERROR(SUMIF(Monthly_Edu!$B:$B,$A929,Monthly_Edu!$D:$D),0)+IFERROR(SUMIF(Monthly_Ops!$B:$B,$A929,Monthly_Ops!$D:$D),0)+IFERROR(SUMIF(Monthly_Mentor!$B:$B,$A929,Monthly_Mentor!$D:$D),0)+IFERROR(SUMIF(Quarterly_Impact!$B:$B,$A929,Quarterly_Impact!$D:$D),0)+IFERROR(SUMIFS(XPLog!$M:$M,XPLog!$B:$B,$A929,XPLog!$J:$J,"Admin"),0)+IFERROR(SUMIFS(XPLog!$M:$M,XPLog!$B:$B,$A929,XPLog!$J:$J,"Seeding"),0)))</f>
        <v/>
      </c>
      <c r="F929" s="27">
        <f>IF($E929="","",LOOKUP($E929, XPBands!B$2:B$10, XPBands!A$2:A$10))</f>
        <v/>
      </c>
      <c r="G929" s="27">
        <f>IF($E929="","", VLOOKUP($F929, XPBands!A$2:G$10, 4, FALSE) + MIN(VLOOKUP($F929, XPBands!A$2:G$10, 5, FALSE) - VLOOKUP($F929, XPBands!A$2:G$10, 4, FALSE), FLOOR(( $E929 - VLOOKUP($F929, XPBands!A$2:G$10, 2, FALSE) ) / VLOOKUP($F929, XPBands!A$2:G$10, 7, FALSE),1)))</f>
        <v/>
      </c>
      <c r="H929" s="27">
        <f>IF($D929="","",VLOOKUP($D929,RoleTitles!$A:$E,3,FALSE))</f>
        <v/>
      </c>
      <c r="I929" s="27">
        <f>IF($D929="","",IF($C929="Greek",VLOOKUP($D929,RoleTitles!$A:$E,4,FALSE),IF($C929="Aesir",VLOOKUP($D929,RoleTitles!$A:$E,5,FALSE),VLOOKUP($D929,RoleTitles!$A:$E,3,FALSE))))</f>
        <v/>
      </c>
      <c r="J929" s="27">
        <f>IF($D929="","",IF($E929&gt;=VLOOKUP($D929,RoleTitles!$A:$B,2,FALSE),"Yes","No"))</f>
        <v/>
      </c>
      <c r="K929" s="27">
        <f>IF($D929="","",IF($D929="T1","T2",IF($D929="T2","T3",IF($D929="T3","T4",IF($D929="T4","T5",IF($D929="T5","T6",IF($D929="T6","T7",IF($D929="T7","T8",IF($D929="T8","T9","")))))))))</f>
        <v/>
      </c>
      <c r="L929" s="28">
        <f>IF($K929="","",MAX(0,VLOOKUP($K929,RoleTitles!$A:$B,2,FALSE)-$E929))</f>
        <v/>
      </c>
    </row>
    <row r="930">
      <c r="A930" s="24">
        <f>IFERROR(INDEX(CoachRoster!$A$2:$A$1000,ROW()-1),"")</f>
        <v/>
      </c>
      <c r="B930" s="27">
        <f>IF($A930="","",VLOOKUP($A930,CoachRoster!$A:$E,2,FALSE))</f>
        <v/>
      </c>
      <c r="C930" s="27">
        <f>IF($A930="","",VLOOKUP($A930,CoachRoster!$A:$E,3,FALSE))</f>
        <v/>
      </c>
      <c r="D930" s="27">
        <f>IF($A930="","",VLOOKUP($A930,CoachRoster!$A:$E,4,FALSE))</f>
        <v/>
      </c>
      <c r="E930" s="27">
        <f>IF($A930="","",MIN(Settings!$B$8,IFERROR(SUMIF(Weekly_Coaching!$B:$B,$A930,Weekly_Coaching!$D:$D),0)+IFERROR(SUMIF(Monthly_Edu!$B:$B,$A930,Monthly_Edu!$D:$D),0)+IFERROR(SUMIF(Monthly_Ops!$B:$B,$A930,Monthly_Ops!$D:$D),0)+IFERROR(SUMIF(Monthly_Mentor!$B:$B,$A930,Monthly_Mentor!$D:$D),0)+IFERROR(SUMIF(Quarterly_Impact!$B:$B,$A930,Quarterly_Impact!$D:$D),0)+IFERROR(SUMIFS(XPLog!$M:$M,XPLog!$B:$B,$A930,XPLog!$J:$J,"Admin"),0)+IFERROR(SUMIFS(XPLog!$M:$M,XPLog!$B:$B,$A930,XPLog!$J:$J,"Seeding"),0)))</f>
        <v/>
      </c>
      <c r="F930" s="27">
        <f>IF($E930="","",LOOKUP($E930, XPBands!B$2:B$10, XPBands!A$2:A$10))</f>
        <v/>
      </c>
      <c r="G930" s="27">
        <f>IF($E930="","", VLOOKUP($F930, XPBands!A$2:G$10, 4, FALSE) + MIN(VLOOKUP($F930, XPBands!A$2:G$10, 5, FALSE) - VLOOKUP($F930, XPBands!A$2:G$10, 4, FALSE), FLOOR(( $E930 - VLOOKUP($F930, XPBands!A$2:G$10, 2, FALSE) ) / VLOOKUP($F930, XPBands!A$2:G$10, 7, FALSE),1)))</f>
        <v/>
      </c>
      <c r="H930" s="27">
        <f>IF($D930="","",VLOOKUP($D930,RoleTitles!$A:$E,3,FALSE))</f>
        <v/>
      </c>
      <c r="I930" s="27">
        <f>IF($D930="","",IF($C930="Greek",VLOOKUP($D930,RoleTitles!$A:$E,4,FALSE),IF($C930="Aesir",VLOOKUP($D930,RoleTitles!$A:$E,5,FALSE),VLOOKUP($D930,RoleTitles!$A:$E,3,FALSE))))</f>
        <v/>
      </c>
      <c r="J930" s="27">
        <f>IF($D930="","",IF($E930&gt;=VLOOKUP($D930,RoleTitles!$A:$B,2,FALSE),"Yes","No"))</f>
        <v/>
      </c>
      <c r="K930" s="27">
        <f>IF($D930="","",IF($D930="T1","T2",IF($D930="T2","T3",IF($D930="T3","T4",IF($D930="T4","T5",IF($D930="T5","T6",IF($D930="T6","T7",IF($D930="T7","T8",IF($D930="T8","T9","")))))))))</f>
        <v/>
      </c>
      <c r="L930" s="28">
        <f>IF($K930="","",MAX(0,VLOOKUP($K930,RoleTitles!$A:$B,2,FALSE)-$E930))</f>
        <v/>
      </c>
    </row>
    <row r="931">
      <c r="A931" s="24">
        <f>IFERROR(INDEX(CoachRoster!$A$2:$A$1000,ROW()-1),"")</f>
        <v/>
      </c>
      <c r="B931" s="27">
        <f>IF($A931="","",VLOOKUP($A931,CoachRoster!$A:$E,2,FALSE))</f>
        <v/>
      </c>
      <c r="C931" s="27">
        <f>IF($A931="","",VLOOKUP($A931,CoachRoster!$A:$E,3,FALSE))</f>
        <v/>
      </c>
      <c r="D931" s="27">
        <f>IF($A931="","",VLOOKUP($A931,CoachRoster!$A:$E,4,FALSE))</f>
        <v/>
      </c>
      <c r="E931" s="27">
        <f>IF($A931="","",MIN(Settings!$B$8,IFERROR(SUMIF(Weekly_Coaching!$B:$B,$A931,Weekly_Coaching!$D:$D),0)+IFERROR(SUMIF(Monthly_Edu!$B:$B,$A931,Monthly_Edu!$D:$D),0)+IFERROR(SUMIF(Monthly_Ops!$B:$B,$A931,Monthly_Ops!$D:$D),0)+IFERROR(SUMIF(Monthly_Mentor!$B:$B,$A931,Monthly_Mentor!$D:$D),0)+IFERROR(SUMIF(Quarterly_Impact!$B:$B,$A931,Quarterly_Impact!$D:$D),0)+IFERROR(SUMIFS(XPLog!$M:$M,XPLog!$B:$B,$A931,XPLog!$J:$J,"Admin"),0)+IFERROR(SUMIFS(XPLog!$M:$M,XPLog!$B:$B,$A931,XPLog!$J:$J,"Seeding"),0)))</f>
        <v/>
      </c>
      <c r="F931" s="27">
        <f>IF($E931="","",LOOKUP($E931, XPBands!B$2:B$10, XPBands!A$2:A$10))</f>
        <v/>
      </c>
      <c r="G931" s="27">
        <f>IF($E931="","", VLOOKUP($F931, XPBands!A$2:G$10, 4, FALSE) + MIN(VLOOKUP($F931, XPBands!A$2:G$10, 5, FALSE) - VLOOKUP($F931, XPBands!A$2:G$10, 4, FALSE), FLOOR(( $E931 - VLOOKUP($F931, XPBands!A$2:G$10, 2, FALSE) ) / VLOOKUP($F931, XPBands!A$2:G$10, 7, FALSE),1)))</f>
        <v/>
      </c>
      <c r="H931" s="27">
        <f>IF($D931="","",VLOOKUP($D931,RoleTitles!$A:$E,3,FALSE))</f>
        <v/>
      </c>
      <c r="I931" s="27">
        <f>IF($D931="","",IF($C931="Greek",VLOOKUP($D931,RoleTitles!$A:$E,4,FALSE),IF($C931="Aesir",VLOOKUP($D931,RoleTitles!$A:$E,5,FALSE),VLOOKUP($D931,RoleTitles!$A:$E,3,FALSE))))</f>
        <v/>
      </c>
      <c r="J931" s="27">
        <f>IF($D931="","",IF($E931&gt;=VLOOKUP($D931,RoleTitles!$A:$B,2,FALSE),"Yes","No"))</f>
        <v/>
      </c>
      <c r="K931" s="27">
        <f>IF($D931="","",IF($D931="T1","T2",IF($D931="T2","T3",IF($D931="T3","T4",IF($D931="T4","T5",IF($D931="T5","T6",IF($D931="T6","T7",IF($D931="T7","T8",IF($D931="T8","T9","")))))))))</f>
        <v/>
      </c>
      <c r="L931" s="28">
        <f>IF($K931="","",MAX(0,VLOOKUP($K931,RoleTitles!$A:$B,2,FALSE)-$E931))</f>
        <v/>
      </c>
    </row>
    <row r="932">
      <c r="A932" s="24">
        <f>IFERROR(INDEX(CoachRoster!$A$2:$A$1000,ROW()-1),"")</f>
        <v/>
      </c>
      <c r="B932" s="27">
        <f>IF($A932="","",VLOOKUP($A932,CoachRoster!$A:$E,2,FALSE))</f>
        <v/>
      </c>
      <c r="C932" s="27">
        <f>IF($A932="","",VLOOKUP($A932,CoachRoster!$A:$E,3,FALSE))</f>
        <v/>
      </c>
      <c r="D932" s="27">
        <f>IF($A932="","",VLOOKUP($A932,CoachRoster!$A:$E,4,FALSE))</f>
        <v/>
      </c>
      <c r="E932" s="27">
        <f>IF($A932="","",MIN(Settings!$B$8,IFERROR(SUMIF(Weekly_Coaching!$B:$B,$A932,Weekly_Coaching!$D:$D),0)+IFERROR(SUMIF(Monthly_Edu!$B:$B,$A932,Monthly_Edu!$D:$D),0)+IFERROR(SUMIF(Monthly_Ops!$B:$B,$A932,Monthly_Ops!$D:$D),0)+IFERROR(SUMIF(Monthly_Mentor!$B:$B,$A932,Monthly_Mentor!$D:$D),0)+IFERROR(SUMIF(Quarterly_Impact!$B:$B,$A932,Quarterly_Impact!$D:$D),0)+IFERROR(SUMIFS(XPLog!$M:$M,XPLog!$B:$B,$A932,XPLog!$J:$J,"Admin"),0)+IFERROR(SUMIFS(XPLog!$M:$M,XPLog!$B:$B,$A932,XPLog!$J:$J,"Seeding"),0)))</f>
        <v/>
      </c>
      <c r="F932" s="27">
        <f>IF($E932="","",LOOKUP($E932, XPBands!B$2:B$10, XPBands!A$2:A$10))</f>
        <v/>
      </c>
      <c r="G932" s="27">
        <f>IF($E932="","", VLOOKUP($F932, XPBands!A$2:G$10, 4, FALSE) + MIN(VLOOKUP($F932, XPBands!A$2:G$10, 5, FALSE) - VLOOKUP($F932, XPBands!A$2:G$10, 4, FALSE), FLOOR(( $E932 - VLOOKUP($F932, XPBands!A$2:G$10, 2, FALSE) ) / VLOOKUP($F932, XPBands!A$2:G$10, 7, FALSE),1)))</f>
        <v/>
      </c>
      <c r="H932" s="27">
        <f>IF($D932="","",VLOOKUP($D932,RoleTitles!$A:$E,3,FALSE))</f>
        <v/>
      </c>
      <c r="I932" s="27">
        <f>IF($D932="","",IF($C932="Greek",VLOOKUP($D932,RoleTitles!$A:$E,4,FALSE),IF($C932="Aesir",VLOOKUP($D932,RoleTitles!$A:$E,5,FALSE),VLOOKUP($D932,RoleTitles!$A:$E,3,FALSE))))</f>
        <v/>
      </c>
      <c r="J932" s="27">
        <f>IF($D932="","",IF($E932&gt;=VLOOKUP($D932,RoleTitles!$A:$B,2,FALSE),"Yes","No"))</f>
        <v/>
      </c>
      <c r="K932" s="27">
        <f>IF($D932="","",IF($D932="T1","T2",IF($D932="T2","T3",IF($D932="T3","T4",IF($D932="T4","T5",IF($D932="T5","T6",IF($D932="T6","T7",IF($D932="T7","T8",IF($D932="T8","T9","")))))))))</f>
        <v/>
      </c>
      <c r="L932" s="28">
        <f>IF($K932="","",MAX(0,VLOOKUP($K932,RoleTitles!$A:$B,2,FALSE)-$E932))</f>
        <v/>
      </c>
    </row>
    <row r="933">
      <c r="A933" s="24">
        <f>IFERROR(INDEX(CoachRoster!$A$2:$A$1000,ROW()-1),"")</f>
        <v/>
      </c>
      <c r="B933" s="27">
        <f>IF($A933="","",VLOOKUP($A933,CoachRoster!$A:$E,2,FALSE))</f>
        <v/>
      </c>
      <c r="C933" s="27">
        <f>IF($A933="","",VLOOKUP($A933,CoachRoster!$A:$E,3,FALSE))</f>
        <v/>
      </c>
      <c r="D933" s="27">
        <f>IF($A933="","",VLOOKUP($A933,CoachRoster!$A:$E,4,FALSE))</f>
        <v/>
      </c>
      <c r="E933" s="27">
        <f>IF($A933="","",MIN(Settings!$B$8,IFERROR(SUMIF(Weekly_Coaching!$B:$B,$A933,Weekly_Coaching!$D:$D),0)+IFERROR(SUMIF(Monthly_Edu!$B:$B,$A933,Monthly_Edu!$D:$D),0)+IFERROR(SUMIF(Monthly_Ops!$B:$B,$A933,Monthly_Ops!$D:$D),0)+IFERROR(SUMIF(Monthly_Mentor!$B:$B,$A933,Monthly_Mentor!$D:$D),0)+IFERROR(SUMIF(Quarterly_Impact!$B:$B,$A933,Quarterly_Impact!$D:$D),0)+IFERROR(SUMIFS(XPLog!$M:$M,XPLog!$B:$B,$A933,XPLog!$J:$J,"Admin"),0)+IFERROR(SUMIFS(XPLog!$M:$M,XPLog!$B:$B,$A933,XPLog!$J:$J,"Seeding"),0)))</f>
        <v/>
      </c>
      <c r="F933" s="27">
        <f>IF($E933="","",LOOKUP($E933, XPBands!B$2:B$10, XPBands!A$2:A$10))</f>
        <v/>
      </c>
      <c r="G933" s="27">
        <f>IF($E933="","", VLOOKUP($F933, XPBands!A$2:G$10, 4, FALSE) + MIN(VLOOKUP($F933, XPBands!A$2:G$10, 5, FALSE) - VLOOKUP($F933, XPBands!A$2:G$10, 4, FALSE), FLOOR(( $E933 - VLOOKUP($F933, XPBands!A$2:G$10, 2, FALSE) ) / VLOOKUP($F933, XPBands!A$2:G$10, 7, FALSE),1)))</f>
        <v/>
      </c>
      <c r="H933" s="27">
        <f>IF($D933="","",VLOOKUP($D933,RoleTitles!$A:$E,3,FALSE))</f>
        <v/>
      </c>
      <c r="I933" s="27">
        <f>IF($D933="","",IF($C933="Greek",VLOOKUP($D933,RoleTitles!$A:$E,4,FALSE),IF($C933="Aesir",VLOOKUP($D933,RoleTitles!$A:$E,5,FALSE),VLOOKUP($D933,RoleTitles!$A:$E,3,FALSE))))</f>
        <v/>
      </c>
      <c r="J933" s="27">
        <f>IF($D933="","",IF($E933&gt;=VLOOKUP($D933,RoleTitles!$A:$B,2,FALSE),"Yes","No"))</f>
        <v/>
      </c>
      <c r="K933" s="27">
        <f>IF($D933="","",IF($D933="T1","T2",IF($D933="T2","T3",IF($D933="T3","T4",IF($D933="T4","T5",IF($D933="T5","T6",IF($D933="T6","T7",IF($D933="T7","T8",IF($D933="T8","T9","")))))))))</f>
        <v/>
      </c>
      <c r="L933" s="28">
        <f>IF($K933="","",MAX(0,VLOOKUP($K933,RoleTitles!$A:$B,2,FALSE)-$E933))</f>
        <v/>
      </c>
    </row>
    <row r="934">
      <c r="A934" s="24">
        <f>IFERROR(INDEX(CoachRoster!$A$2:$A$1000,ROW()-1),"")</f>
        <v/>
      </c>
      <c r="B934" s="27">
        <f>IF($A934="","",VLOOKUP($A934,CoachRoster!$A:$E,2,FALSE))</f>
        <v/>
      </c>
      <c r="C934" s="27">
        <f>IF($A934="","",VLOOKUP($A934,CoachRoster!$A:$E,3,FALSE))</f>
        <v/>
      </c>
      <c r="D934" s="27">
        <f>IF($A934="","",VLOOKUP($A934,CoachRoster!$A:$E,4,FALSE))</f>
        <v/>
      </c>
      <c r="E934" s="27">
        <f>IF($A934="","",MIN(Settings!$B$8,IFERROR(SUMIF(Weekly_Coaching!$B:$B,$A934,Weekly_Coaching!$D:$D),0)+IFERROR(SUMIF(Monthly_Edu!$B:$B,$A934,Monthly_Edu!$D:$D),0)+IFERROR(SUMIF(Monthly_Ops!$B:$B,$A934,Monthly_Ops!$D:$D),0)+IFERROR(SUMIF(Monthly_Mentor!$B:$B,$A934,Monthly_Mentor!$D:$D),0)+IFERROR(SUMIF(Quarterly_Impact!$B:$B,$A934,Quarterly_Impact!$D:$D),0)+IFERROR(SUMIFS(XPLog!$M:$M,XPLog!$B:$B,$A934,XPLog!$J:$J,"Admin"),0)+IFERROR(SUMIFS(XPLog!$M:$M,XPLog!$B:$B,$A934,XPLog!$J:$J,"Seeding"),0)))</f>
        <v/>
      </c>
      <c r="F934" s="27">
        <f>IF($E934="","",LOOKUP($E934, XPBands!B$2:B$10, XPBands!A$2:A$10))</f>
        <v/>
      </c>
      <c r="G934" s="27">
        <f>IF($E934="","", VLOOKUP($F934, XPBands!A$2:G$10, 4, FALSE) + MIN(VLOOKUP($F934, XPBands!A$2:G$10, 5, FALSE) - VLOOKUP($F934, XPBands!A$2:G$10, 4, FALSE), FLOOR(( $E934 - VLOOKUP($F934, XPBands!A$2:G$10, 2, FALSE) ) / VLOOKUP($F934, XPBands!A$2:G$10, 7, FALSE),1)))</f>
        <v/>
      </c>
      <c r="H934" s="27">
        <f>IF($D934="","",VLOOKUP($D934,RoleTitles!$A:$E,3,FALSE))</f>
        <v/>
      </c>
      <c r="I934" s="27">
        <f>IF($D934="","",IF($C934="Greek",VLOOKUP($D934,RoleTitles!$A:$E,4,FALSE),IF($C934="Aesir",VLOOKUP($D934,RoleTitles!$A:$E,5,FALSE),VLOOKUP($D934,RoleTitles!$A:$E,3,FALSE))))</f>
        <v/>
      </c>
      <c r="J934" s="27">
        <f>IF($D934="","",IF($E934&gt;=VLOOKUP($D934,RoleTitles!$A:$B,2,FALSE),"Yes","No"))</f>
        <v/>
      </c>
      <c r="K934" s="27">
        <f>IF($D934="","",IF($D934="T1","T2",IF($D934="T2","T3",IF($D934="T3","T4",IF($D934="T4","T5",IF($D934="T5","T6",IF($D934="T6","T7",IF($D934="T7","T8",IF($D934="T8","T9","")))))))))</f>
        <v/>
      </c>
      <c r="L934" s="28">
        <f>IF($K934="","",MAX(0,VLOOKUP($K934,RoleTitles!$A:$B,2,FALSE)-$E934))</f>
        <v/>
      </c>
    </row>
    <row r="935">
      <c r="A935" s="24">
        <f>IFERROR(INDEX(CoachRoster!$A$2:$A$1000,ROW()-1),"")</f>
        <v/>
      </c>
      <c r="B935" s="27">
        <f>IF($A935="","",VLOOKUP($A935,CoachRoster!$A:$E,2,FALSE))</f>
        <v/>
      </c>
      <c r="C935" s="27">
        <f>IF($A935="","",VLOOKUP($A935,CoachRoster!$A:$E,3,FALSE))</f>
        <v/>
      </c>
      <c r="D935" s="27">
        <f>IF($A935="","",VLOOKUP($A935,CoachRoster!$A:$E,4,FALSE))</f>
        <v/>
      </c>
      <c r="E935" s="27">
        <f>IF($A935="","",MIN(Settings!$B$8,IFERROR(SUMIF(Weekly_Coaching!$B:$B,$A935,Weekly_Coaching!$D:$D),0)+IFERROR(SUMIF(Monthly_Edu!$B:$B,$A935,Monthly_Edu!$D:$D),0)+IFERROR(SUMIF(Monthly_Ops!$B:$B,$A935,Monthly_Ops!$D:$D),0)+IFERROR(SUMIF(Monthly_Mentor!$B:$B,$A935,Monthly_Mentor!$D:$D),0)+IFERROR(SUMIF(Quarterly_Impact!$B:$B,$A935,Quarterly_Impact!$D:$D),0)+IFERROR(SUMIFS(XPLog!$M:$M,XPLog!$B:$B,$A935,XPLog!$J:$J,"Admin"),0)+IFERROR(SUMIFS(XPLog!$M:$M,XPLog!$B:$B,$A935,XPLog!$J:$J,"Seeding"),0)))</f>
        <v/>
      </c>
      <c r="F935" s="27">
        <f>IF($E935="","",LOOKUP($E935, XPBands!B$2:B$10, XPBands!A$2:A$10))</f>
        <v/>
      </c>
      <c r="G935" s="27">
        <f>IF($E935="","", VLOOKUP($F935, XPBands!A$2:G$10, 4, FALSE) + MIN(VLOOKUP($F935, XPBands!A$2:G$10, 5, FALSE) - VLOOKUP($F935, XPBands!A$2:G$10, 4, FALSE), FLOOR(( $E935 - VLOOKUP($F935, XPBands!A$2:G$10, 2, FALSE) ) / VLOOKUP($F935, XPBands!A$2:G$10, 7, FALSE),1)))</f>
        <v/>
      </c>
      <c r="H935" s="27">
        <f>IF($D935="","",VLOOKUP($D935,RoleTitles!$A:$E,3,FALSE))</f>
        <v/>
      </c>
      <c r="I935" s="27">
        <f>IF($D935="","",IF($C935="Greek",VLOOKUP($D935,RoleTitles!$A:$E,4,FALSE),IF($C935="Aesir",VLOOKUP($D935,RoleTitles!$A:$E,5,FALSE),VLOOKUP($D935,RoleTitles!$A:$E,3,FALSE))))</f>
        <v/>
      </c>
      <c r="J935" s="27">
        <f>IF($D935="","",IF($E935&gt;=VLOOKUP($D935,RoleTitles!$A:$B,2,FALSE),"Yes","No"))</f>
        <v/>
      </c>
      <c r="K935" s="27">
        <f>IF($D935="","",IF($D935="T1","T2",IF($D935="T2","T3",IF($D935="T3","T4",IF($D935="T4","T5",IF($D935="T5","T6",IF($D935="T6","T7",IF($D935="T7","T8",IF($D935="T8","T9","")))))))))</f>
        <v/>
      </c>
      <c r="L935" s="28">
        <f>IF($K935="","",MAX(0,VLOOKUP($K935,RoleTitles!$A:$B,2,FALSE)-$E935))</f>
        <v/>
      </c>
    </row>
    <row r="936">
      <c r="A936" s="24">
        <f>IFERROR(INDEX(CoachRoster!$A$2:$A$1000,ROW()-1),"")</f>
        <v/>
      </c>
      <c r="B936" s="27">
        <f>IF($A936="","",VLOOKUP($A936,CoachRoster!$A:$E,2,FALSE))</f>
        <v/>
      </c>
      <c r="C936" s="27">
        <f>IF($A936="","",VLOOKUP($A936,CoachRoster!$A:$E,3,FALSE))</f>
        <v/>
      </c>
      <c r="D936" s="27">
        <f>IF($A936="","",VLOOKUP($A936,CoachRoster!$A:$E,4,FALSE))</f>
        <v/>
      </c>
      <c r="E936" s="27">
        <f>IF($A936="","",MIN(Settings!$B$8,IFERROR(SUMIF(Weekly_Coaching!$B:$B,$A936,Weekly_Coaching!$D:$D),0)+IFERROR(SUMIF(Monthly_Edu!$B:$B,$A936,Monthly_Edu!$D:$D),0)+IFERROR(SUMIF(Monthly_Ops!$B:$B,$A936,Monthly_Ops!$D:$D),0)+IFERROR(SUMIF(Monthly_Mentor!$B:$B,$A936,Monthly_Mentor!$D:$D),0)+IFERROR(SUMIF(Quarterly_Impact!$B:$B,$A936,Quarterly_Impact!$D:$D),0)+IFERROR(SUMIFS(XPLog!$M:$M,XPLog!$B:$B,$A936,XPLog!$J:$J,"Admin"),0)+IFERROR(SUMIFS(XPLog!$M:$M,XPLog!$B:$B,$A936,XPLog!$J:$J,"Seeding"),0)))</f>
        <v/>
      </c>
      <c r="F936" s="27">
        <f>IF($E936="","",LOOKUP($E936, XPBands!B$2:B$10, XPBands!A$2:A$10))</f>
        <v/>
      </c>
      <c r="G936" s="27">
        <f>IF($E936="","", VLOOKUP($F936, XPBands!A$2:G$10, 4, FALSE) + MIN(VLOOKUP($F936, XPBands!A$2:G$10, 5, FALSE) - VLOOKUP($F936, XPBands!A$2:G$10, 4, FALSE), FLOOR(( $E936 - VLOOKUP($F936, XPBands!A$2:G$10, 2, FALSE) ) / VLOOKUP($F936, XPBands!A$2:G$10, 7, FALSE),1)))</f>
        <v/>
      </c>
      <c r="H936" s="27">
        <f>IF($D936="","",VLOOKUP($D936,RoleTitles!$A:$E,3,FALSE))</f>
        <v/>
      </c>
      <c r="I936" s="27">
        <f>IF($D936="","",IF($C936="Greek",VLOOKUP($D936,RoleTitles!$A:$E,4,FALSE),IF($C936="Aesir",VLOOKUP($D936,RoleTitles!$A:$E,5,FALSE),VLOOKUP($D936,RoleTitles!$A:$E,3,FALSE))))</f>
        <v/>
      </c>
      <c r="J936" s="27">
        <f>IF($D936="","",IF($E936&gt;=VLOOKUP($D936,RoleTitles!$A:$B,2,FALSE),"Yes","No"))</f>
        <v/>
      </c>
      <c r="K936" s="27">
        <f>IF($D936="","",IF($D936="T1","T2",IF($D936="T2","T3",IF($D936="T3","T4",IF($D936="T4","T5",IF($D936="T5","T6",IF($D936="T6","T7",IF($D936="T7","T8",IF($D936="T8","T9","")))))))))</f>
        <v/>
      </c>
      <c r="L936" s="28">
        <f>IF($K936="","",MAX(0,VLOOKUP($K936,RoleTitles!$A:$B,2,FALSE)-$E936))</f>
        <v/>
      </c>
    </row>
    <row r="937">
      <c r="A937" s="24">
        <f>IFERROR(INDEX(CoachRoster!$A$2:$A$1000,ROW()-1),"")</f>
        <v/>
      </c>
      <c r="B937" s="27">
        <f>IF($A937="","",VLOOKUP($A937,CoachRoster!$A:$E,2,FALSE))</f>
        <v/>
      </c>
      <c r="C937" s="27">
        <f>IF($A937="","",VLOOKUP($A937,CoachRoster!$A:$E,3,FALSE))</f>
        <v/>
      </c>
      <c r="D937" s="27">
        <f>IF($A937="","",VLOOKUP($A937,CoachRoster!$A:$E,4,FALSE))</f>
        <v/>
      </c>
      <c r="E937" s="27">
        <f>IF($A937="","",MIN(Settings!$B$8,IFERROR(SUMIF(Weekly_Coaching!$B:$B,$A937,Weekly_Coaching!$D:$D),0)+IFERROR(SUMIF(Monthly_Edu!$B:$B,$A937,Monthly_Edu!$D:$D),0)+IFERROR(SUMIF(Monthly_Ops!$B:$B,$A937,Monthly_Ops!$D:$D),0)+IFERROR(SUMIF(Monthly_Mentor!$B:$B,$A937,Monthly_Mentor!$D:$D),0)+IFERROR(SUMIF(Quarterly_Impact!$B:$B,$A937,Quarterly_Impact!$D:$D),0)+IFERROR(SUMIFS(XPLog!$M:$M,XPLog!$B:$B,$A937,XPLog!$J:$J,"Admin"),0)+IFERROR(SUMIFS(XPLog!$M:$M,XPLog!$B:$B,$A937,XPLog!$J:$J,"Seeding"),0)))</f>
        <v/>
      </c>
      <c r="F937" s="27">
        <f>IF($E937="","",LOOKUP($E937, XPBands!B$2:B$10, XPBands!A$2:A$10))</f>
        <v/>
      </c>
      <c r="G937" s="27">
        <f>IF($E937="","", VLOOKUP($F937, XPBands!A$2:G$10, 4, FALSE) + MIN(VLOOKUP($F937, XPBands!A$2:G$10, 5, FALSE) - VLOOKUP($F937, XPBands!A$2:G$10, 4, FALSE), FLOOR(( $E937 - VLOOKUP($F937, XPBands!A$2:G$10, 2, FALSE) ) / VLOOKUP($F937, XPBands!A$2:G$10, 7, FALSE),1)))</f>
        <v/>
      </c>
      <c r="H937" s="27">
        <f>IF($D937="","",VLOOKUP($D937,RoleTitles!$A:$E,3,FALSE))</f>
        <v/>
      </c>
      <c r="I937" s="27">
        <f>IF($D937="","",IF($C937="Greek",VLOOKUP($D937,RoleTitles!$A:$E,4,FALSE),IF($C937="Aesir",VLOOKUP($D937,RoleTitles!$A:$E,5,FALSE),VLOOKUP($D937,RoleTitles!$A:$E,3,FALSE))))</f>
        <v/>
      </c>
      <c r="J937" s="27">
        <f>IF($D937="","",IF($E937&gt;=VLOOKUP($D937,RoleTitles!$A:$B,2,FALSE),"Yes","No"))</f>
        <v/>
      </c>
      <c r="K937" s="27">
        <f>IF($D937="","",IF($D937="T1","T2",IF($D937="T2","T3",IF($D937="T3","T4",IF($D937="T4","T5",IF($D937="T5","T6",IF($D937="T6","T7",IF($D937="T7","T8",IF($D937="T8","T9","")))))))))</f>
        <v/>
      </c>
      <c r="L937" s="28">
        <f>IF($K937="","",MAX(0,VLOOKUP($K937,RoleTitles!$A:$B,2,FALSE)-$E937))</f>
        <v/>
      </c>
    </row>
    <row r="938">
      <c r="A938" s="24">
        <f>IFERROR(INDEX(CoachRoster!$A$2:$A$1000,ROW()-1),"")</f>
        <v/>
      </c>
      <c r="B938" s="27">
        <f>IF($A938="","",VLOOKUP($A938,CoachRoster!$A:$E,2,FALSE))</f>
        <v/>
      </c>
      <c r="C938" s="27">
        <f>IF($A938="","",VLOOKUP($A938,CoachRoster!$A:$E,3,FALSE))</f>
        <v/>
      </c>
      <c r="D938" s="27">
        <f>IF($A938="","",VLOOKUP($A938,CoachRoster!$A:$E,4,FALSE))</f>
        <v/>
      </c>
      <c r="E938" s="27">
        <f>IF($A938="","",MIN(Settings!$B$8,IFERROR(SUMIF(Weekly_Coaching!$B:$B,$A938,Weekly_Coaching!$D:$D),0)+IFERROR(SUMIF(Monthly_Edu!$B:$B,$A938,Monthly_Edu!$D:$D),0)+IFERROR(SUMIF(Monthly_Ops!$B:$B,$A938,Monthly_Ops!$D:$D),0)+IFERROR(SUMIF(Monthly_Mentor!$B:$B,$A938,Monthly_Mentor!$D:$D),0)+IFERROR(SUMIF(Quarterly_Impact!$B:$B,$A938,Quarterly_Impact!$D:$D),0)+IFERROR(SUMIFS(XPLog!$M:$M,XPLog!$B:$B,$A938,XPLog!$J:$J,"Admin"),0)+IFERROR(SUMIFS(XPLog!$M:$M,XPLog!$B:$B,$A938,XPLog!$J:$J,"Seeding"),0)))</f>
        <v/>
      </c>
      <c r="F938" s="27">
        <f>IF($E938="","",LOOKUP($E938, XPBands!B$2:B$10, XPBands!A$2:A$10))</f>
        <v/>
      </c>
      <c r="G938" s="27">
        <f>IF($E938="","", VLOOKUP($F938, XPBands!A$2:G$10, 4, FALSE) + MIN(VLOOKUP($F938, XPBands!A$2:G$10, 5, FALSE) - VLOOKUP($F938, XPBands!A$2:G$10, 4, FALSE), FLOOR(( $E938 - VLOOKUP($F938, XPBands!A$2:G$10, 2, FALSE) ) / VLOOKUP($F938, XPBands!A$2:G$10, 7, FALSE),1)))</f>
        <v/>
      </c>
      <c r="H938" s="27">
        <f>IF($D938="","",VLOOKUP($D938,RoleTitles!$A:$E,3,FALSE))</f>
        <v/>
      </c>
      <c r="I938" s="27">
        <f>IF($D938="","",IF($C938="Greek",VLOOKUP($D938,RoleTitles!$A:$E,4,FALSE),IF($C938="Aesir",VLOOKUP($D938,RoleTitles!$A:$E,5,FALSE),VLOOKUP($D938,RoleTitles!$A:$E,3,FALSE))))</f>
        <v/>
      </c>
      <c r="J938" s="27">
        <f>IF($D938="","",IF($E938&gt;=VLOOKUP($D938,RoleTitles!$A:$B,2,FALSE),"Yes","No"))</f>
        <v/>
      </c>
      <c r="K938" s="27">
        <f>IF($D938="","",IF($D938="T1","T2",IF($D938="T2","T3",IF($D938="T3","T4",IF($D938="T4","T5",IF($D938="T5","T6",IF($D938="T6","T7",IF($D938="T7","T8",IF($D938="T8","T9","")))))))))</f>
        <v/>
      </c>
      <c r="L938" s="28">
        <f>IF($K938="","",MAX(0,VLOOKUP($K938,RoleTitles!$A:$B,2,FALSE)-$E938))</f>
        <v/>
      </c>
    </row>
    <row r="939">
      <c r="A939" s="24">
        <f>IFERROR(INDEX(CoachRoster!$A$2:$A$1000,ROW()-1),"")</f>
        <v/>
      </c>
      <c r="B939" s="27">
        <f>IF($A939="","",VLOOKUP($A939,CoachRoster!$A:$E,2,FALSE))</f>
        <v/>
      </c>
      <c r="C939" s="27">
        <f>IF($A939="","",VLOOKUP($A939,CoachRoster!$A:$E,3,FALSE))</f>
        <v/>
      </c>
      <c r="D939" s="27">
        <f>IF($A939="","",VLOOKUP($A939,CoachRoster!$A:$E,4,FALSE))</f>
        <v/>
      </c>
      <c r="E939" s="27">
        <f>IF($A939="","",MIN(Settings!$B$8,IFERROR(SUMIF(Weekly_Coaching!$B:$B,$A939,Weekly_Coaching!$D:$D),0)+IFERROR(SUMIF(Monthly_Edu!$B:$B,$A939,Monthly_Edu!$D:$D),0)+IFERROR(SUMIF(Monthly_Ops!$B:$B,$A939,Monthly_Ops!$D:$D),0)+IFERROR(SUMIF(Monthly_Mentor!$B:$B,$A939,Monthly_Mentor!$D:$D),0)+IFERROR(SUMIF(Quarterly_Impact!$B:$B,$A939,Quarterly_Impact!$D:$D),0)+IFERROR(SUMIFS(XPLog!$M:$M,XPLog!$B:$B,$A939,XPLog!$J:$J,"Admin"),0)+IFERROR(SUMIFS(XPLog!$M:$M,XPLog!$B:$B,$A939,XPLog!$J:$J,"Seeding"),0)))</f>
        <v/>
      </c>
      <c r="F939" s="27">
        <f>IF($E939="","",LOOKUP($E939, XPBands!B$2:B$10, XPBands!A$2:A$10))</f>
        <v/>
      </c>
      <c r="G939" s="27">
        <f>IF($E939="","", VLOOKUP($F939, XPBands!A$2:G$10, 4, FALSE) + MIN(VLOOKUP($F939, XPBands!A$2:G$10, 5, FALSE) - VLOOKUP($F939, XPBands!A$2:G$10, 4, FALSE), FLOOR(( $E939 - VLOOKUP($F939, XPBands!A$2:G$10, 2, FALSE) ) / VLOOKUP($F939, XPBands!A$2:G$10, 7, FALSE),1)))</f>
        <v/>
      </c>
      <c r="H939" s="27">
        <f>IF($D939="","",VLOOKUP($D939,RoleTitles!$A:$E,3,FALSE))</f>
        <v/>
      </c>
      <c r="I939" s="27">
        <f>IF($D939="","",IF($C939="Greek",VLOOKUP($D939,RoleTitles!$A:$E,4,FALSE),IF($C939="Aesir",VLOOKUP($D939,RoleTitles!$A:$E,5,FALSE),VLOOKUP($D939,RoleTitles!$A:$E,3,FALSE))))</f>
        <v/>
      </c>
      <c r="J939" s="27">
        <f>IF($D939="","",IF($E939&gt;=VLOOKUP($D939,RoleTitles!$A:$B,2,FALSE),"Yes","No"))</f>
        <v/>
      </c>
      <c r="K939" s="27">
        <f>IF($D939="","",IF($D939="T1","T2",IF($D939="T2","T3",IF($D939="T3","T4",IF($D939="T4","T5",IF($D939="T5","T6",IF($D939="T6","T7",IF($D939="T7","T8",IF($D939="T8","T9","")))))))))</f>
        <v/>
      </c>
      <c r="L939" s="28">
        <f>IF($K939="","",MAX(0,VLOOKUP($K939,RoleTitles!$A:$B,2,FALSE)-$E939))</f>
        <v/>
      </c>
    </row>
    <row r="940">
      <c r="A940" s="24">
        <f>IFERROR(INDEX(CoachRoster!$A$2:$A$1000,ROW()-1),"")</f>
        <v/>
      </c>
      <c r="B940" s="27">
        <f>IF($A940="","",VLOOKUP($A940,CoachRoster!$A:$E,2,FALSE))</f>
        <v/>
      </c>
      <c r="C940" s="27">
        <f>IF($A940="","",VLOOKUP($A940,CoachRoster!$A:$E,3,FALSE))</f>
        <v/>
      </c>
      <c r="D940" s="27">
        <f>IF($A940="","",VLOOKUP($A940,CoachRoster!$A:$E,4,FALSE))</f>
        <v/>
      </c>
      <c r="E940" s="27">
        <f>IF($A940="","",MIN(Settings!$B$8,IFERROR(SUMIF(Weekly_Coaching!$B:$B,$A940,Weekly_Coaching!$D:$D),0)+IFERROR(SUMIF(Monthly_Edu!$B:$B,$A940,Monthly_Edu!$D:$D),0)+IFERROR(SUMIF(Monthly_Ops!$B:$B,$A940,Monthly_Ops!$D:$D),0)+IFERROR(SUMIF(Monthly_Mentor!$B:$B,$A940,Monthly_Mentor!$D:$D),0)+IFERROR(SUMIF(Quarterly_Impact!$B:$B,$A940,Quarterly_Impact!$D:$D),0)+IFERROR(SUMIFS(XPLog!$M:$M,XPLog!$B:$B,$A940,XPLog!$J:$J,"Admin"),0)+IFERROR(SUMIFS(XPLog!$M:$M,XPLog!$B:$B,$A940,XPLog!$J:$J,"Seeding"),0)))</f>
        <v/>
      </c>
      <c r="F940" s="27">
        <f>IF($E940="","",LOOKUP($E940, XPBands!B$2:B$10, XPBands!A$2:A$10))</f>
        <v/>
      </c>
      <c r="G940" s="27">
        <f>IF($E940="","", VLOOKUP($F940, XPBands!A$2:G$10, 4, FALSE) + MIN(VLOOKUP($F940, XPBands!A$2:G$10, 5, FALSE) - VLOOKUP($F940, XPBands!A$2:G$10, 4, FALSE), FLOOR(( $E940 - VLOOKUP($F940, XPBands!A$2:G$10, 2, FALSE) ) / VLOOKUP($F940, XPBands!A$2:G$10, 7, FALSE),1)))</f>
        <v/>
      </c>
      <c r="H940" s="27">
        <f>IF($D940="","",VLOOKUP($D940,RoleTitles!$A:$E,3,FALSE))</f>
        <v/>
      </c>
      <c r="I940" s="27">
        <f>IF($D940="","",IF($C940="Greek",VLOOKUP($D940,RoleTitles!$A:$E,4,FALSE),IF($C940="Aesir",VLOOKUP($D940,RoleTitles!$A:$E,5,FALSE),VLOOKUP($D940,RoleTitles!$A:$E,3,FALSE))))</f>
        <v/>
      </c>
      <c r="J940" s="27">
        <f>IF($D940="","",IF($E940&gt;=VLOOKUP($D940,RoleTitles!$A:$B,2,FALSE),"Yes","No"))</f>
        <v/>
      </c>
      <c r="K940" s="27">
        <f>IF($D940="","",IF($D940="T1","T2",IF($D940="T2","T3",IF($D940="T3","T4",IF($D940="T4","T5",IF($D940="T5","T6",IF($D940="T6","T7",IF($D940="T7","T8",IF($D940="T8","T9","")))))))))</f>
        <v/>
      </c>
      <c r="L940" s="28">
        <f>IF($K940="","",MAX(0,VLOOKUP($K940,RoleTitles!$A:$B,2,FALSE)-$E940))</f>
        <v/>
      </c>
    </row>
    <row r="941">
      <c r="A941" s="24">
        <f>IFERROR(INDEX(CoachRoster!$A$2:$A$1000,ROW()-1),"")</f>
        <v/>
      </c>
      <c r="B941" s="27">
        <f>IF($A941="","",VLOOKUP($A941,CoachRoster!$A:$E,2,FALSE))</f>
        <v/>
      </c>
      <c r="C941" s="27">
        <f>IF($A941="","",VLOOKUP($A941,CoachRoster!$A:$E,3,FALSE))</f>
        <v/>
      </c>
      <c r="D941" s="27">
        <f>IF($A941="","",VLOOKUP($A941,CoachRoster!$A:$E,4,FALSE))</f>
        <v/>
      </c>
      <c r="E941" s="27">
        <f>IF($A941="","",MIN(Settings!$B$8,IFERROR(SUMIF(Weekly_Coaching!$B:$B,$A941,Weekly_Coaching!$D:$D),0)+IFERROR(SUMIF(Monthly_Edu!$B:$B,$A941,Monthly_Edu!$D:$D),0)+IFERROR(SUMIF(Monthly_Ops!$B:$B,$A941,Monthly_Ops!$D:$D),0)+IFERROR(SUMIF(Monthly_Mentor!$B:$B,$A941,Monthly_Mentor!$D:$D),0)+IFERROR(SUMIF(Quarterly_Impact!$B:$B,$A941,Quarterly_Impact!$D:$D),0)+IFERROR(SUMIFS(XPLog!$M:$M,XPLog!$B:$B,$A941,XPLog!$J:$J,"Admin"),0)+IFERROR(SUMIFS(XPLog!$M:$M,XPLog!$B:$B,$A941,XPLog!$J:$J,"Seeding"),0)))</f>
        <v/>
      </c>
      <c r="F941" s="27">
        <f>IF($E941="","",LOOKUP($E941, XPBands!B$2:B$10, XPBands!A$2:A$10))</f>
        <v/>
      </c>
      <c r="G941" s="27">
        <f>IF($E941="","", VLOOKUP($F941, XPBands!A$2:G$10, 4, FALSE) + MIN(VLOOKUP($F941, XPBands!A$2:G$10, 5, FALSE) - VLOOKUP($F941, XPBands!A$2:G$10, 4, FALSE), FLOOR(( $E941 - VLOOKUP($F941, XPBands!A$2:G$10, 2, FALSE) ) / VLOOKUP($F941, XPBands!A$2:G$10, 7, FALSE),1)))</f>
        <v/>
      </c>
      <c r="H941" s="27">
        <f>IF($D941="","",VLOOKUP($D941,RoleTitles!$A:$E,3,FALSE))</f>
        <v/>
      </c>
      <c r="I941" s="27">
        <f>IF($D941="","",IF($C941="Greek",VLOOKUP($D941,RoleTitles!$A:$E,4,FALSE),IF($C941="Aesir",VLOOKUP($D941,RoleTitles!$A:$E,5,FALSE),VLOOKUP($D941,RoleTitles!$A:$E,3,FALSE))))</f>
        <v/>
      </c>
      <c r="J941" s="27">
        <f>IF($D941="","",IF($E941&gt;=VLOOKUP($D941,RoleTitles!$A:$B,2,FALSE),"Yes","No"))</f>
        <v/>
      </c>
      <c r="K941" s="27">
        <f>IF($D941="","",IF($D941="T1","T2",IF($D941="T2","T3",IF($D941="T3","T4",IF($D941="T4","T5",IF($D941="T5","T6",IF($D941="T6","T7",IF($D941="T7","T8",IF($D941="T8","T9","")))))))))</f>
        <v/>
      </c>
      <c r="L941" s="28">
        <f>IF($K941="","",MAX(0,VLOOKUP($K941,RoleTitles!$A:$B,2,FALSE)-$E941))</f>
        <v/>
      </c>
    </row>
    <row r="942">
      <c r="A942" s="24">
        <f>IFERROR(INDEX(CoachRoster!$A$2:$A$1000,ROW()-1),"")</f>
        <v/>
      </c>
      <c r="B942" s="27">
        <f>IF($A942="","",VLOOKUP($A942,CoachRoster!$A:$E,2,FALSE))</f>
        <v/>
      </c>
      <c r="C942" s="27">
        <f>IF($A942="","",VLOOKUP($A942,CoachRoster!$A:$E,3,FALSE))</f>
        <v/>
      </c>
      <c r="D942" s="27">
        <f>IF($A942="","",VLOOKUP($A942,CoachRoster!$A:$E,4,FALSE))</f>
        <v/>
      </c>
      <c r="E942" s="27">
        <f>IF($A942="","",MIN(Settings!$B$8,IFERROR(SUMIF(Weekly_Coaching!$B:$B,$A942,Weekly_Coaching!$D:$D),0)+IFERROR(SUMIF(Monthly_Edu!$B:$B,$A942,Monthly_Edu!$D:$D),0)+IFERROR(SUMIF(Monthly_Ops!$B:$B,$A942,Monthly_Ops!$D:$D),0)+IFERROR(SUMIF(Monthly_Mentor!$B:$B,$A942,Monthly_Mentor!$D:$D),0)+IFERROR(SUMIF(Quarterly_Impact!$B:$B,$A942,Quarterly_Impact!$D:$D),0)+IFERROR(SUMIFS(XPLog!$M:$M,XPLog!$B:$B,$A942,XPLog!$J:$J,"Admin"),0)+IFERROR(SUMIFS(XPLog!$M:$M,XPLog!$B:$B,$A942,XPLog!$J:$J,"Seeding"),0)))</f>
        <v/>
      </c>
      <c r="F942" s="27">
        <f>IF($E942="","",LOOKUP($E942, XPBands!B$2:B$10, XPBands!A$2:A$10))</f>
        <v/>
      </c>
      <c r="G942" s="27">
        <f>IF($E942="","", VLOOKUP($F942, XPBands!A$2:G$10, 4, FALSE) + MIN(VLOOKUP($F942, XPBands!A$2:G$10, 5, FALSE) - VLOOKUP($F942, XPBands!A$2:G$10, 4, FALSE), FLOOR(( $E942 - VLOOKUP($F942, XPBands!A$2:G$10, 2, FALSE) ) / VLOOKUP($F942, XPBands!A$2:G$10, 7, FALSE),1)))</f>
        <v/>
      </c>
      <c r="H942" s="27">
        <f>IF($D942="","",VLOOKUP($D942,RoleTitles!$A:$E,3,FALSE))</f>
        <v/>
      </c>
      <c r="I942" s="27">
        <f>IF($D942="","",IF($C942="Greek",VLOOKUP($D942,RoleTitles!$A:$E,4,FALSE),IF($C942="Aesir",VLOOKUP($D942,RoleTitles!$A:$E,5,FALSE),VLOOKUP($D942,RoleTitles!$A:$E,3,FALSE))))</f>
        <v/>
      </c>
      <c r="J942" s="27">
        <f>IF($D942="","",IF($E942&gt;=VLOOKUP($D942,RoleTitles!$A:$B,2,FALSE),"Yes","No"))</f>
        <v/>
      </c>
      <c r="K942" s="27">
        <f>IF($D942="","",IF($D942="T1","T2",IF($D942="T2","T3",IF($D942="T3","T4",IF($D942="T4","T5",IF($D942="T5","T6",IF($D942="T6","T7",IF($D942="T7","T8",IF($D942="T8","T9","")))))))))</f>
        <v/>
      </c>
      <c r="L942" s="28">
        <f>IF($K942="","",MAX(0,VLOOKUP($K942,RoleTitles!$A:$B,2,FALSE)-$E942))</f>
        <v/>
      </c>
    </row>
    <row r="943">
      <c r="A943" s="24">
        <f>IFERROR(INDEX(CoachRoster!$A$2:$A$1000,ROW()-1),"")</f>
        <v/>
      </c>
      <c r="B943" s="27">
        <f>IF($A943="","",VLOOKUP($A943,CoachRoster!$A:$E,2,FALSE))</f>
        <v/>
      </c>
      <c r="C943" s="27">
        <f>IF($A943="","",VLOOKUP($A943,CoachRoster!$A:$E,3,FALSE))</f>
        <v/>
      </c>
      <c r="D943" s="27">
        <f>IF($A943="","",VLOOKUP($A943,CoachRoster!$A:$E,4,FALSE))</f>
        <v/>
      </c>
      <c r="E943" s="27">
        <f>IF($A943="","",MIN(Settings!$B$8,IFERROR(SUMIF(Weekly_Coaching!$B:$B,$A943,Weekly_Coaching!$D:$D),0)+IFERROR(SUMIF(Monthly_Edu!$B:$B,$A943,Monthly_Edu!$D:$D),0)+IFERROR(SUMIF(Monthly_Ops!$B:$B,$A943,Monthly_Ops!$D:$D),0)+IFERROR(SUMIF(Monthly_Mentor!$B:$B,$A943,Monthly_Mentor!$D:$D),0)+IFERROR(SUMIF(Quarterly_Impact!$B:$B,$A943,Quarterly_Impact!$D:$D),0)+IFERROR(SUMIFS(XPLog!$M:$M,XPLog!$B:$B,$A943,XPLog!$J:$J,"Admin"),0)+IFERROR(SUMIFS(XPLog!$M:$M,XPLog!$B:$B,$A943,XPLog!$J:$J,"Seeding"),0)))</f>
        <v/>
      </c>
      <c r="F943" s="27">
        <f>IF($E943="","",LOOKUP($E943, XPBands!B$2:B$10, XPBands!A$2:A$10))</f>
        <v/>
      </c>
      <c r="G943" s="27">
        <f>IF($E943="","", VLOOKUP($F943, XPBands!A$2:G$10, 4, FALSE) + MIN(VLOOKUP($F943, XPBands!A$2:G$10, 5, FALSE) - VLOOKUP($F943, XPBands!A$2:G$10, 4, FALSE), FLOOR(( $E943 - VLOOKUP($F943, XPBands!A$2:G$10, 2, FALSE) ) / VLOOKUP($F943, XPBands!A$2:G$10, 7, FALSE),1)))</f>
        <v/>
      </c>
      <c r="H943" s="27">
        <f>IF($D943="","",VLOOKUP($D943,RoleTitles!$A:$E,3,FALSE))</f>
        <v/>
      </c>
      <c r="I943" s="27">
        <f>IF($D943="","",IF($C943="Greek",VLOOKUP($D943,RoleTitles!$A:$E,4,FALSE),IF($C943="Aesir",VLOOKUP($D943,RoleTitles!$A:$E,5,FALSE),VLOOKUP($D943,RoleTitles!$A:$E,3,FALSE))))</f>
        <v/>
      </c>
      <c r="J943" s="27">
        <f>IF($D943="","",IF($E943&gt;=VLOOKUP($D943,RoleTitles!$A:$B,2,FALSE),"Yes","No"))</f>
        <v/>
      </c>
      <c r="K943" s="27">
        <f>IF($D943="","",IF($D943="T1","T2",IF($D943="T2","T3",IF($D943="T3","T4",IF($D943="T4","T5",IF($D943="T5","T6",IF($D943="T6","T7",IF($D943="T7","T8",IF($D943="T8","T9","")))))))))</f>
        <v/>
      </c>
      <c r="L943" s="28">
        <f>IF($K943="","",MAX(0,VLOOKUP($K943,RoleTitles!$A:$B,2,FALSE)-$E943))</f>
        <v/>
      </c>
    </row>
    <row r="944">
      <c r="A944" s="24">
        <f>IFERROR(INDEX(CoachRoster!$A$2:$A$1000,ROW()-1),"")</f>
        <v/>
      </c>
      <c r="B944" s="27">
        <f>IF($A944="","",VLOOKUP($A944,CoachRoster!$A:$E,2,FALSE))</f>
        <v/>
      </c>
      <c r="C944" s="27">
        <f>IF($A944="","",VLOOKUP($A944,CoachRoster!$A:$E,3,FALSE))</f>
        <v/>
      </c>
      <c r="D944" s="27">
        <f>IF($A944="","",VLOOKUP($A944,CoachRoster!$A:$E,4,FALSE))</f>
        <v/>
      </c>
      <c r="E944" s="27">
        <f>IF($A944="","",MIN(Settings!$B$8,IFERROR(SUMIF(Weekly_Coaching!$B:$B,$A944,Weekly_Coaching!$D:$D),0)+IFERROR(SUMIF(Monthly_Edu!$B:$B,$A944,Monthly_Edu!$D:$D),0)+IFERROR(SUMIF(Monthly_Ops!$B:$B,$A944,Monthly_Ops!$D:$D),0)+IFERROR(SUMIF(Monthly_Mentor!$B:$B,$A944,Monthly_Mentor!$D:$D),0)+IFERROR(SUMIF(Quarterly_Impact!$B:$B,$A944,Quarterly_Impact!$D:$D),0)+IFERROR(SUMIFS(XPLog!$M:$M,XPLog!$B:$B,$A944,XPLog!$J:$J,"Admin"),0)+IFERROR(SUMIFS(XPLog!$M:$M,XPLog!$B:$B,$A944,XPLog!$J:$J,"Seeding"),0)))</f>
        <v/>
      </c>
      <c r="F944" s="27">
        <f>IF($E944="","",LOOKUP($E944, XPBands!B$2:B$10, XPBands!A$2:A$10))</f>
        <v/>
      </c>
      <c r="G944" s="27">
        <f>IF($E944="","", VLOOKUP($F944, XPBands!A$2:G$10, 4, FALSE) + MIN(VLOOKUP($F944, XPBands!A$2:G$10, 5, FALSE) - VLOOKUP($F944, XPBands!A$2:G$10, 4, FALSE), FLOOR(( $E944 - VLOOKUP($F944, XPBands!A$2:G$10, 2, FALSE) ) / VLOOKUP($F944, XPBands!A$2:G$10, 7, FALSE),1)))</f>
        <v/>
      </c>
      <c r="H944" s="27">
        <f>IF($D944="","",VLOOKUP($D944,RoleTitles!$A:$E,3,FALSE))</f>
        <v/>
      </c>
      <c r="I944" s="27">
        <f>IF($D944="","",IF($C944="Greek",VLOOKUP($D944,RoleTitles!$A:$E,4,FALSE),IF($C944="Aesir",VLOOKUP($D944,RoleTitles!$A:$E,5,FALSE),VLOOKUP($D944,RoleTitles!$A:$E,3,FALSE))))</f>
        <v/>
      </c>
      <c r="J944" s="27">
        <f>IF($D944="","",IF($E944&gt;=VLOOKUP($D944,RoleTitles!$A:$B,2,FALSE),"Yes","No"))</f>
        <v/>
      </c>
      <c r="K944" s="27">
        <f>IF($D944="","",IF($D944="T1","T2",IF($D944="T2","T3",IF($D944="T3","T4",IF($D944="T4","T5",IF($D944="T5","T6",IF($D944="T6","T7",IF($D944="T7","T8",IF($D944="T8","T9","")))))))))</f>
        <v/>
      </c>
      <c r="L944" s="28">
        <f>IF($K944="","",MAX(0,VLOOKUP($K944,RoleTitles!$A:$B,2,FALSE)-$E944))</f>
        <v/>
      </c>
    </row>
    <row r="945">
      <c r="A945" s="24">
        <f>IFERROR(INDEX(CoachRoster!$A$2:$A$1000,ROW()-1),"")</f>
        <v/>
      </c>
      <c r="B945" s="27">
        <f>IF($A945="","",VLOOKUP($A945,CoachRoster!$A:$E,2,FALSE))</f>
        <v/>
      </c>
      <c r="C945" s="27">
        <f>IF($A945="","",VLOOKUP($A945,CoachRoster!$A:$E,3,FALSE))</f>
        <v/>
      </c>
      <c r="D945" s="27">
        <f>IF($A945="","",VLOOKUP($A945,CoachRoster!$A:$E,4,FALSE))</f>
        <v/>
      </c>
      <c r="E945" s="27">
        <f>IF($A945="","",MIN(Settings!$B$8,IFERROR(SUMIF(Weekly_Coaching!$B:$B,$A945,Weekly_Coaching!$D:$D),0)+IFERROR(SUMIF(Monthly_Edu!$B:$B,$A945,Monthly_Edu!$D:$D),0)+IFERROR(SUMIF(Monthly_Ops!$B:$B,$A945,Monthly_Ops!$D:$D),0)+IFERROR(SUMIF(Monthly_Mentor!$B:$B,$A945,Monthly_Mentor!$D:$D),0)+IFERROR(SUMIF(Quarterly_Impact!$B:$B,$A945,Quarterly_Impact!$D:$D),0)+IFERROR(SUMIFS(XPLog!$M:$M,XPLog!$B:$B,$A945,XPLog!$J:$J,"Admin"),0)+IFERROR(SUMIFS(XPLog!$M:$M,XPLog!$B:$B,$A945,XPLog!$J:$J,"Seeding"),0)))</f>
        <v/>
      </c>
      <c r="F945" s="27">
        <f>IF($E945="","",LOOKUP($E945, XPBands!B$2:B$10, XPBands!A$2:A$10))</f>
        <v/>
      </c>
      <c r="G945" s="27">
        <f>IF($E945="","", VLOOKUP($F945, XPBands!A$2:G$10, 4, FALSE) + MIN(VLOOKUP($F945, XPBands!A$2:G$10, 5, FALSE) - VLOOKUP($F945, XPBands!A$2:G$10, 4, FALSE), FLOOR(( $E945 - VLOOKUP($F945, XPBands!A$2:G$10, 2, FALSE) ) / VLOOKUP($F945, XPBands!A$2:G$10, 7, FALSE),1)))</f>
        <v/>
      </c>
      <c r="H945" s="27">
        <f>IF($D945="","",VLOOKUP($D945,RoleTitles!$A:$E,3,FALSE))</f>
        <v/>
      </c>
      <c r="I945" s="27">
        <f>IF($D945="","",IF($C945="Greek",VLOOKUP($D945,RoleTitles!$A:$E,4,FALSE),IF($C945="Aesir",VLOOKUP($D945,RoleTitles!$A:$E,5,FALSE),VLOOKUP($D945,RoleTitles!$A:$E,3,FALSE))))</f>
        <v/>
      </c>
      <c r="J945" s="27">
        <f>IF($D945="","",IF($E945&gt;=VLOOKUP($D945,RoleTitles!$A:$B,2,FALSE),"Yes","No"))</f>
        <v/>
      </c>
      <c r="K945" s="27">
        <f>IF($D945="","",IF($D945="T1","T2",IF($D945="T2","T3",IF($D945="T3","T4",IF($D945="T4","T5",IF($D945="T5","T6",IF($D945="T6","T7",IF($D945="T7","T8",IF($D945="T8","T9","")))))))))</f>
        <v/>
      </c>
      <c r="L945" s="28">
        <f>IF($K945="","",MAX(0,VLOOKUP($K945,RoleTitles!$A:$B,2,FALSE)-$E945))</f>
        <v/>
      </c>
    </row>
    <row r="946">
      <c r="A946" s="24">
        <f>IFERROR(INDEX(CoachRoster!$A$2:$A$1000,ROW()-1),"")</f>
        <v/>
      </c>
      <c r="B946" s="27">
        <f>IF($A946="","",VLOOKUP($A946,CoachRoster!$A:$E,2,FALSE))</f>
        <v/>
      </c>
      <c r="C946" s="27">
        <f>IF($A946="","",VLOOKUP($A946,CoachRoster!$A:$E,3,FALSE))</f>
        <v/>
      </c>
      <c r="D946" s="27">
        <f>IF($A946="","",VLOOKUP($A946,CoachRoster!$A:$E,4,FALSE))</f>
        <v/>
      </c>
      <c r="E946" s="27">
        <f>IF($A946="","",MIN(Settings!$B$8,IFERROR(SUMIF(Weekly_Coaching!$B:$B,$A946,Weekly_Coaching!$D:$D),0)+IFERROR(SUMIF(Monthly_Edu!$B:$B,$A946,Monthly_Edu!$D:$D),0)+IFERROR(SUMIF(Monthly_Ops!$B:$B,$A946,Monthly_Ops!$D:$D),0)+IFERROR(SUMIF(Monthly_Mentor!$B:$B,$A946,Monthly_Mentor!$D:$D),0)+IFERROR(SUMIF(Quarterly_Impact!$B:$B,$A946,Quarterly_Impact!$D:$D),0)+IFERROR(SUMIFS(XPLog!$M:$M,XPLog!$B:$B,$A946,XPLog!$J:$J,"Admin"),0)+IFERROR(SUMIFS(XPLog!$M:$M,XPLog!$B:$B,$A946,XPLog!$J:$J,"Seeding"),0)))</f>
        <v/>
      </c>
      <c r="F946" s="27">
        <f>IF($E946="","",LOOKUP($E946, XPBands!B$2:B$10, XPBands!A$2:A$10))</f>
        <v/>
      </c>
      <c r="G946" s="27">
        <f>IF($E946="","", VLOOKUP($F946, XPBands!A$2:G$10, 4, FALSE) + MIN(VLOOKUP($F946, XPBands!A$2:G$10, 5, FALSE) - VLOOKUP($F946, XPBands!A$2:G$10, 4, FALSE), FLOOR(( $E946 - VLOOKUP($F946, XPBands!A$2:G$10, 2, FALSE) ) / VLOOKUP($F946, XPBands!A$2:G$10, 7, FALSE),1)))</f>
        <v/>
      </c>
      <c r="H946" s="27">
        <f>IF($D946="","",VLOOKUP($D946,RoleTitles!$A:$E,3,FALSE))</f>
        <v/>
      </c>
      <c r="I946" s="27">
        <f>IF($D946="","",IF($C946="Greek",VLOOKUP($D946,RoleTitles!$A:$E,4,FALSE),IF($C946="Aesir",VLOOKUP($D946,RoleTitles!$A:$E,5,FALSE),VLOOKUP($D946,RoleTitles!$A:$E,3,FALSE))))</f>
        <v/>
      </c>
      <c r="J946" s="27">
        <f>IF($D946="","",IF($E946&gt;=VLOOKUP($D946,RoleTitles!$A:$B,2,FALSE),"Yes","No"))</f>
        <v/>
      </c>
      <c r="K946" s="27">
        <f>IF($D946="","",IF($D946="T1","T2",IF($D946="T2","T3",IF($D946="T3","T4",IF($D946="T4","T5",IF($D946="T5","T6",IF($D946="T6","T7",IF($D946="T7","T8",IF($D946="T8","T9","")))))))))</f>
        <v/>
      </c>
      <c r="L946" s="28">
        <f>IF($K946="","",MAX(0,VLOOKUP($K946,RoleTitles!$A:$B,2,FALSE)-$E946))</f>
        <v/>
      </c>
    </row>
    <row r="947">
      <c r="A947" s="24">
        <f>IFERROR(INDEX(CoachRoster!$A$2:$A$1000,ROW()-1),"")</f>
        <v/>
      </c>
      <c r="B947" s="27">
        <f>IF($A947="","",VLOOKUP($A947,CoachRoster!$A:$E,2,FALSE))</f>
        <v/>
      </c>
      <c r="C947" s="27">
        <f>IF($A947="","",VLOOKUP($A947,CoachRoster!$A:$E,3,FALSE))</f>
        <v/>
      </c>
      <c r="D947" s="27">
        <f>IF($A947="","",VLOOKUP($A947,CoachRoster!$A:$E,4,FALSE))</f>
        <v/>
      </c>
      <c r="E947" s="27">
        <f>IF($A947="","",MIN(Settings!$B$8,IFERROR(SUMIF(Weekly_Coaching!$B:$B,$A947,Weekly_Coaching!$D:$D),0)+IFERROR(SUMIF(Monthly_Edu!$B:$B,$A947,Monthly_Edu!$D:$D),0)+IFERROR(SUMIF(Monthly_Ops!$B:$B,$A947,Monthly_Ops!$D:$D),0)+IFERROR(SUMIF(Monthly_Mentor!$B:$B,$A947,Monthly_Mentor!$D:$D),0)+IFERROR(SUMIF(Quarterly_Impact!$B:$B,$A947,Quarterly_Impact!$D:$D),0)+IFERROR(SUMIFS(XPLog!$M:$M,XPLog!$B:$B,$A947,XPLog!$J:$J,"Admin"),0)+IFERROR(SUMIFS(XPLog!$M:$M,XPLog!$B:$B,$A947,XPLog!$J:$J,"Seeding"),0)))</f>
        <v/>
      </c>
      <c r="F947" s="27">
        <f>IF($E947="","",LOOKUP($E947, XPBands!B$2:B$10, XPBands!A$2:A$10))</f>
        <v/>
      </c>
      <c r="G947" s="27">
        <f>IF($E947="","", VLOOKUP($F947, XPBands!A$2:G$10, 4, FALSE) + MIN(VLOOKUP($F947, XPBands!A$2:G$10, 5, FALSE) - VLOOKUP($F947, XPBands!A$2:G$10, 4, FALSE), FLOOR(( $E947 - VLOOKUP($F947, XPBands!A$2:G$10, 2, FALSE) ) / VLOOKUP($F947, XPBands!A$2:G$10, 7, FALSE),1)))</f>
        <v/>
      </c>
      <c r="H947" s="27">
        <f>IF($D947="","",VLOOKUP($D947,RoleTitles!$A:$E,3,FALSE))</f>
        <v/>
      </c>
      <c r="I947" s="27">
        <f>IF($D947="","",IF($C947="Greek",VLOOKUP($D947,RoleTitles!$A:$E,4,FALSE),IF($C947="Aesir",VLOOKUP($D947,RoleTitles!$A:$E,5,FALSE),VLOOKUP($D947,RoleTitles!$A:$E,3,FALSE))))</f>
        <v/>
      </c>
      <c r="J947" s="27">
        <f>IF($D947="","",IF($E947&gt;=VLOOKUP($D947,RoleTitles!$A:$B,2,FALSE),"Yes","No"))</f>
        <v/>
      </c>
      <c r="K947" s="27">
        <f>IF($D947="","",IF($D947="T1","T2",IF($D947="T2","T3",IF($D947="T3","T4",IF($D947="T4","T5",IF($D947="T5","T6",IF($D947="T6","T7",IF($D947="T7","T8",IF($D947="T8","T9","")))))))))</f>
        <v/>
      </c>
      <c r="L947" s="28">
        <f>IF($K947="","",MAX(0,VLOOKUP($K947,RoleTitles!$A:$B,2,FALSE)-$E947))</f>
        <v/>
      </c>
    </row>
    <row r="948">
      <c r="A948" s="24">
        <f>IFERROR(INDEX(CoachRoster!$A$2:$A$1000,ROW()-1),"")</f>
        <v/>
      </c>
      <c r="B948" s="27">
        <f>IF($A948="","",VLOOKUP($A948,CoachRoster!$A:$E,2,FALSE))</f>
        <v/>
      </c>
      <c r="C948" s="27">
        <f>IF($A948="","",VLOOKUP($A948,CoachRoster!$A:$E,3,FALSE))</f>
        <v/>
      </c>
      <c r="D948" s="27">
        <f>IF($A948="","",VLOOKUP($A948,CoachRoster!$A:$E,4,FALSE))</f>
        <v/>
      </c>
      <c r="E948" s="27">
        <f>IF($A948="","",MIN(Settings!$B$8,IFERROR(SUMIF(Weekly_Coaching!$B:$B,$A948,Weekly_Coaching!$D:$D),0)+IFERROR(SUMIF(Monthly_Edu!$B:$B,$A948,Monthly_Edu!$D:$D),0)+IFERROR(SUMIF(Monthly_Ops!$B:$B,$A948,Monthly_Ops!$D:$D),0)+IFERROR(SUMIF(Monthly_Mentor!$B:$B,$A948,Monthly_Mentor!$D:$D),0)+IFERROR(SUMIF(Quarterly_Impact!$B:$B,$A948,Quarterly_Impact!$D:$D),0)+IFERROR(SUMIFS(XPLog!$M:$M,XPLog!$B:$B,$A948,XPLog!$J:$J,"Admin"),0)+IFERROR(SUMIFS(XPLog!$M:$M,XPLog!$B:$B,$A948,XPLog!$J:$J,"Seeding"),0)))</f>
        <v/>
      </c>
      <c r="F948" s="27">
        <f>IF($E948="","",LOOKUP($E948, XPBands!B$2:B$10, XPBands!A$2:A$10))</f>
        <v/>
      </c>
      <c r="G948" s="27">
        <f>IF($E948="","", VLOOKUP($F948, XPBands!A$2:G$10, 4, FALSE) + MIN(VLOOKUP($F948, XPBands!A$2:G$10, 5, FALSE) - VLOOKUP($F948, XPBands!A$2:G$10, 4, FALSE), FLOOR(( $E948 - VLOOKUP($F948, XPBands!A$2:G$10, 2, FALSE) ) / VLOOKUP($F948, XPBands!A$2:G$10, 7, FALSE),1)))</f>
        <v/>
      </c>
      <c r="H948" s="27">
        <f>IF($D948="","",VLOOKUP($D948,RoleTitles!$A:$E,3,FALSE))</f>
        <v/>
      </c>
      <c r="I948" s="27">
        <f>IF($D948="","",IF($C948="Greek",VLOOKUP($D948,RoleTitles!$A:$E,4,FALSE),IF($C948="Aesir",VLOOKUP($D948,RoleTitles!$A:$E,5,FALSE),VLOOKUP($D948,RoleTitles!$A:$E,3,FALSE))))</f>
        <v/>
      </c>
      <c r="J948" s="27">
        <f>IF($D948="","",IF($E948&gt;=VLOOKUP($D948,RoleTitles!$A:$B,2,FALSE),"Yes","No"))</f>
        <v/>
      </c>
      <c r="K948" s="27">
        <f>IF($D948="","",IF($D948="T1","T2",IF($D948="T2","T3",IF($D948="T3","T4",IF($D948="T4","T5",IF($D948="T5","T6",IF($D948="T6","T7",IF($D948="T7","T8",IF($D948="T8","T9","")))))))))</f>
        <v/>
      </c>
      <c r="L948" s="28">
        <f>IF($K948="","",MAX(0,VLOOKUP($K948,RoleTitles!$A:$B,2,FALSE)-$E948))</f>
        <v/>
      </c>
    </row>
    <row r="949">
      <c r="A949" s="24">
        <f>IFERROR(INDEX(CoachRoster!$A$2:$A$1000,ROW()-1),"")</f>
        <v/>
      </c>
      <c r="B949" s="27">
        <f>IF($A949="","",VLOOKUP($A949,CoachRoster!$A:$E,2,FALSE))</f>
        <v/>
      </c>
      <c r="C949" s="27">
        <f>IF($A949="","",VLOOKUP($A949,CoachRoster!$A:$E,3,FALSE))</f>
        <v/>
      </c>
      <c r="D949" s="27">
        <f>IF($A949="","",VLOOKUP($A949,CoachRoster!$A:$E,4,FALSE))</f>
        <v/>
      </c>
      <c r="E949" s="27">
        <f>IF($A949="","",MIN(Settings!$B$8,IFERROR(SUMIF(Weekly_Coaching!$B:$B,$A949,Weekly_Coaching!$D:$D),0)+IFERROR(SUMIF(Monthly_Edu!$B:$B,$A949,Monthly_Edu!$D:$D),0)+IFERROR(SUMIF(Monthly_Ops!$B:$B,$A949,Monthly_Ops!$D:$D),0)+IFERROR(SUMIF(Monthly_Mentor!$B:$B,$A949,Monthly_Mentor!$D:$D),0)+IFERROR(SUMIF(Quarterly_Impact!$B:$B,$A949,Quarterly_Impact!$D:$D),0)+IFERROR(SUMIFS(XPLog!$M:$M,XPLog!$B:$B,$A949,XPLog!$J:$J,"Admin"),0)+IFERROR(SUMIFS(XPLog!$M:$M,XPLog!$B:$B,$A949,XPLog!$J:$J,"Seeding"),0)))</f>
        <v/>
      </c>
      <c r="F949" s="27">
        <f>IF($E949="","",LOOKUP($E949, XPBands!B$2:B$10, XPBands!A$2:A$10))</f>
        <v/>
      </c>
      <c r="G949" s="27">
        <f>IF($E949="","", VLOOKUP($F949, XPBands!A$2:G$10, 4, FALSE) + MIN(VLOOKUP($F949, XPBands!A$2:G$10, 5, FALSE) - VLOOKUP($F949, XPBands!A$2:G$10, 4, FALSE), FLOOR(( $E949 - VLOOKUP($F949, XPBands!A$2:G$10, 2, FALSE) ) / VLOOKUP($F949, XPBands!A$2:G$10, 7, FALSE),1)))</f>
        <v/>
      </c>
      <c r="H949" s="27">
        <f>IF($D949="","",VLOOKUP($D949,RoleTitles!$A:$E,3,FALSE))</f>
        <v/>
      </c>
      <c r="I949" s="27">
        <f>IF($D949="","",IF($C949="Greek",VLOOKUP($D949,RoleTitles!$A:$E,4,FALSE),IF($C949="Aesir",VLOOKUP($D949,RoleTitles!$A:$E,5,FALSE),VLOOKUP($D949,RoleTitles!$A:$E,3,FALSE))))</f>
        <v/>
      </c>
      <c r="J949" s="27">
        <f>IF($D949="","",IF($E949&gt;=VLOOKUP($D949,RoleTitles!$A:$B,2,FALSE),"Yes","No"))</f>
        <v/>
      </c>
      <c r="K949" s="27">
        <f>IF($D949="","",IF($D949="T1","T2",IF($D949="T2","T3",IF($D949="T3","T4",IF($D949="T4","T5",IF($D949="T5","T6",IF($D949="T6","T7",IF($D949="T7","T8",IF($D949="T8","T9","")))))))))</f>
        <v/>
      </c>
      <c r="L949" s="28">
        <f>IF($K949="","",MAX(0,VLOOKUP($K949,RoleTitles!$A:$B,2,FALSE)-$E949))</f>
        <v/>
      </c>
    </row>
    <row r="950">
      <c r="A950" s="24">
        <f>IFERROR(INDEX(CoachRoster!$A$2:$A$1000,ROW()-1),"")</f>
        <v/>
      </c>
      <c r="B950" s="27">
        <f>IF($A950="","",VLOOKUP($A950,CoachRoster!$A:$E,2,FALSE))</f>
        <v/>
      </c>
      <c r="C950" s="27">
        <f>IF($A950="","",VLOOKUP($A950,CoachRoster!$A:$E,3,FALSE))</f>
        <v/>
      </c>
      <c r="D950" s="27">
        <f>IF($A950="","",VLOOKUP($A950,CoachRoster!$A:$E,4,FALSE))</f>
        <v/>
      </c>
      <c r="E950" s="27">
        <f>IF($A950="","",MIN(Settings!$B$8,IFERROR(SUMIF(Weekly_Coaching!$B:$B,$A950,Weekly_Coaching!$D:$D),0)+IFERROR(SUMIF(Monthly_Edu!$B:$B,$A950,Monthly_Edu!$D:$D),0)+IFERROR(SUMIF(Monthly_Ops!$B:$B,$A950,Monthly_Ops!$D:$D),0)+IFERROR(SUMIF(Monthly_Mentor!$B:$B,$A950,Monthly_Mentor!$D:$D),0)+IFERROR(SUMIF(Quarterly_Impact!$B:$B,$A950,Quarterly_Impact!$D:$D),0)+IFERROR(SUMIFS(XPLog!$M:$M,XPLog!$B:$B,$A950,XPLog!$J:$J,"Admin"),0)+IFERROR(SUMIFS(XPLog!$M:$M,XPLog!$B:$B,$A950,XPLog!$J:$J,"Seeding"),0)))</f>
        <v/>
      </c>
      <c r="F950" s="27">
        <f>IF($E950="","",LOOKUP($E950, XPBands!B$2:B$10, XPBands!A$2:A$10))</f>
        <v/>
      </c>
      <c r="G950" s="27">
        <f>IF($E950="","", VLOOKUP($F950, XPBands!A$2:G$10, 4, FALSE) + MIN(VLOOKUP($F950, XPBands!A$2:G$10, 5, FALSE) - VLOOKUP($F950, XPBands!A$2:G$10, 4, FALSE), FLOOR(( $E950 - VLOOKUP($F950, XPBands!A$2:G$10, 2, FALSE) ) / VLOOKUP($F950, XPBands!A$2:G$10, 7, FALSE),1)))</f>
        <v/>
      </c>
      <c r="H950" s="27">
        <f>IF($D950="","",VLOOKUP($D950,RoleTitles!$A:$E,3,FALSE))</f>
        <v/>
      </c>
      <c r="I950" s="27">
        <f>IF($D950="","",IF($C950="Greek",VLOOKUP($D950,RoleTitles!$A:$E,4,FALSE),IF($C950="Aesir",VLOOKUP($D950,RoleTitles!$A:$E,5,FALSE),VLOOKUP($D950,RoleTitles!$A:$E,3,FALSE))))</f>
        <v/>
      </c>
      <c r="J950" s="27">
        <f>IF($D950="","",IF($E950&gt;=VLOOKUP($D950,RoleTitles!$A:$B,2,FALSE),"Yes","No"))</f>
        <v/>
      </c>
      <c r="K950" s="27">
        <f>IF($D950="","",IF($D950="T1","T2",IF($D950="T2","T3",IF($D950="T3","T4",IF($D950="T4","T5",IF($D950="T5","T6",IF($D950="T6","T7",IF($D950="T7","T8",IF($D950="T8","T9","")))))))))</f>
        <v/>
      </c>
      <c r="L950" s="28">
        <f>IF($K950="","",MAX(0,VLOOKUP($K950,RoleTitles!$A:$B,2,FALSE)-$E950))</f>
        <v/>
      </c>
    </row>
    <row r="951">
      <c r="A951" s="24">
        <f>IFERROR(INDEX(CoachRoster!$A$2:$A$1000,ROW()-1),"")</f>
        <v/>
      </c>
      <c r="B951" s="27">
        <f>IF($A951="","",VLOOKUP($A951,CoachRoster!$A:$E,2,FALSE))</f>
        <v/>
      </c>
      <c r="C951" s="27">
        <f>IF($A951="","",VLOOKUP($A951,CoachRoster!$A:$E,3,FALSE))</f>
        <v/>
      </c>
      <c r="D951" s="27">
        <f>IF($A951="","",VLOOKUP($A951,CoachRoster!$A:$E,4,FALSE))</f>
        <v/>
      </c>
      <c r="E951" s="27">
        <f>IF($A951="","",MIN(Settings!$B$8,IFERROR(SUMIF(Weekly_Coaching!$B:$B,$A951,Weekly_Coaching!$D:$D),0)+IFERROR(SUMIF(Monthly_Edu!$B:$B,$A951,Monthly_Edu!$D:$D),0)+IFERROR(SUMIF(Monthly_Ops!$B:$B,$A951,Monthly_Ops!$D:$D),0)+IFERROR(SUMIF(Monthly_Mentor!$B:$B,$A951,Monthly_Mentor!$D:$D),0)+IFERROR(SUMIF(Quarterly_Impact!$B:$B,$A951,Quarterly_Impact!$D:$D),0)+IFERROR(SUMIFS(XPLog!$M:$M,XPLog!$B:$B,$A951,XPLog!$J:$J,"Admin"),0)+IFERROR(SUMIFS(XPLog!$M:$M,XPLog!$B:$B,$A951,XPLog!$J:$J,"Seeding"),0)))</f>
        <v/>
      </c>
      <c r="F951" s="27">
        <f>IF($E951="","",LOOKUP($E951, XPBands!B$2:B$10, XPBands!A$2:A$10))</f>
        <v/>
      </c>
      <c r="G951" s="27">
        <f>IF($E951="","", VLOOKUP($F951, XPBands!A$2:G$10, 4, FALSE) + MIN(VLOOKUP($F951, XPBands!A$2:G$10, 5, FALSE) - VLOOKUP($F951, XPBands!A$2:G$10, 4, FALSE), FLOOR(( $E951 - VLOOKUP($F951, XPBands!A$2:G$10, 2, FALSE) ) / VLOOKUP($F951, XPBands!A$2:G$10, 7, FALSE),1)))</f>
        <v/>
      </c>
      <c r="H951" s="27">
        <f>IF($D951="","",VLOOKUP($D951,RoleTitles!$A:$E,3,FALSE))</f>
        <v/>
      </c>
      <c r="I951" s="27">
        <f>IF($D951="","",IF($C951="Greek",VLOOKUP($D951,RoleTitles!$A:$E,4,FALSE),IF($C951="Aesir",VLOOKUP($D951,RoleTitles!$A:$E,5,FALSE),VLOOKUP($D951,RoleTitles!$A:$E,3,FALSE))))</f>
        <v/>
      </c>
      <c r="J951" s="27">
        <f>IF($D951="","",IF($E951&gt;=VLOOKUP($D951,RoleTitles!$A:$B,2,FALSE),"Yes","No"))</f>
        <v/>
      </c>
      <c r="K951" s="27">
        <f>IF($D951="","",IF($D951="T1","T2",IF($D951="T2","T3",IF($D951="T3","T4",IF($D951="T4","T5",IF($D951="T5","T6",IF($D951="T6","T7",IF($D951="T7","T8",IF($D951="T8","T9","")))))))))</f>
        <v/>
      </c>
      <c r="L951" s="28">
        <f>IF($K951="","",MAX(0,VLOOKUP($K951,RoleTitles!$A:$B,2,FALSE)-$E951))</f>
        <v/>
      </c>
    </row>
    <row r="952">
      <c r="A952" s="24">
        <f>IFERROR(INDEX(CoachRoster!$A$2:$A$1000,ROW()-1),"")</f>
        <v/>
      </c>
      <c r="B952" s="27">
        <f>IF($A952="","",VLOOKUP($A952,CoachRoster!$A:$E,2,FALSE))</f>
        <v/>
      </c>
      <c r="C952" s="27">
        <f>IF($A952="","",VLOOKUP($A952,CoachRoster!$A:$E,3,FALSE))</f>
        <v/>
      </c>
      <c r="D952" s="27">
        <f>IF($A952="","",VLOOKUP($A952,CoachRoster!$A:$E,4,FALSE))</f>
        <v/>
      </c>
      <c r="E952" s="27">
        <f>IF($A952="","",MIN(Settings!$B$8,IFERROR(SUMIF(Weekly_Coaching!$B:$B,$A952,Weekly_Coaching!$D:$D),0)+IFERROR(SUMIF(Monthly_Edu!$B:$B,$A952,Monthly_Edu!$D:$D),0)+IFERROR(SUMIF(Monthly_Ops!$B:$B,$A952,Monthly_Ops!$D:$D),0)+IFERROR(SUMIF(Monthly_Mentor!$B:$B,$A952,Monthly_Mentor!$D:$D),0)+IFERROR(SUMIF(Quarterly_Impact!$B:$B,$A952,Quarterly_Impact!$D:$D),0)+IFERROR(SUMIFS(XPLog!$M:$M,XPLog!$B:$B,$A952,XPLog!$J:$J,"Admin"),0)+IFERROR(SUMIFS(XPLog!$M:$M,XPLog!$B:$B,$A952,XPLog!$J:$J,"Seeding"),0)))</f>
        <v/>
      </c>
      <c r="F952" s="27">
        <f>IF($E952="","",LOOKUP($E952, XPBands!B$2:B$10, XPBands!A$2:A$10))</f>
        <v/>
      </c>
      <c r="G952" s="27">
        <f>IF($E952="","", VLOOKUP($F952, XPBands!A$2:G$10, 4, FALSE) + MIN(VLOOKUP($F952, XPBands!A$2:G$10, 5, FALSE) - VLOOKUP($F952, XPBands!A$2:G$10, 4, FALSE), FLOOR(( $E952 - VLOOKUP($F952, XPBands!A$2:G$10, 2, FALSE) ) / VLOOKUP($F952, XPBands!A$2:G$10, 7, FALSE),1)))</f>
        <v/>
      </c>
      <c r="H952" s="27">
        <f>IF($D952="","",VLOOKUP($D952,RoleTitles!$A:$E,3,FALSE))</f>
        <v/>
      </c>
      <c r="I952" s="27">
        <f>IF($D952="","",IF($C952="Greek",VLOOKUP($D952,RoleTitles!$A:$E,4,FALSE),IF($C952="Aesir",VLOOKUP($D952,RoleTitles!$A:$E,5,FALSE),VLOOKUP($D952,RoleTitles!$A:$E,3,FALSE))))</f>
        <v/>
      </c>
      <c r="J952" s="27">
        <f>IF($D952="","",IF($E952&gt;=VLOOKUP($D952,RoleTitles!$A:$B,2,FALSE),"Yes","No"))</f>
        <v/>
      </c>
      <c r="K952" s="27">
        <f>IF($D952="","",IF($D952="T1","T2",IF($D952="T2","T3",IF($D952="T3","T4",IF($D952="T4","T5",IF($D952="T5","T6",IF($D952="T6","T7",IF($D952="T7","T8",IF($D952="T8","T9","")))))))))</f>
        <v/>
      </c>
      <c r="L952" s="28">
        <f>IF($K952="","",MAX(0,VLOOKUP($K952,RoleTitles!$A:$B,2,FALSE)-$E952))</f>
        <v/>
      </c>
    </row>
    <row r="953">
      <c r="A953" s="24">
        <f>IFERROR(INDEX(CoachRoster!$A$2:$A$1000,ROW()-1),"")</f>
        <v/>
      </c>
      <c r="B953" s="27">
        <f>IF($A953="","",VLOOKUP($A953,CoachRoster!$A:$E,2,FALSE))</f>
        <v/>
      </c>
      <c r="C953" s="27">
        <f>IF($A953="","",VLOOKUP($A953,CoachRoster!$A:$E,3,FALSE))</f>
        <v/>
      </c>
      <c r="D953" s="27">
        <f>IF($A953="","",VLOOKUP($A953,CoachRoster!$A:$E,4,FALSE))</f>
        <v/>
      </c>
      <c r="E953" s="27">
        <f>IF($A953="","",MIN(Settings!$B$8,IFERROR(SUMIF(Weekly_Coaching!$B:$B,$A953,Weekly_Coaching!$D:$D),0)+IFERROR(SUMIF(Monthly_Edu!$B:$B,$A953,Monthly_Edu!$D:$D),0)+IFERROR(SUMIF(Monthly_Ops!$B:$B,$A953,Monthly_Ops!$D:$D),0)+IFERROR(SUMIF(Monthly_Mentor!$B:$B,$A953,Monthly_Mentor!$D:$D),0)+IFERROR(SUMIF(Quarterly_Impact!$B:$B,$A953,Quarterly_Impact!$D:$D),0)+IFERROR(SUMIFS(XPLog!$M:$M,XPLog!$B:$B,$A953,XPLog!$J:$J,"Admin"),0)+IFERROR(SUMIFS(XPLog!$M:$M,XPLog!$B:$B,$A953,XPLog!$J:$J,"Seeding"),0)))</f>
        <v/>
      </c>
      <c r="F953" s="27">
        <f>IF($E953="","",LOOKUP($E953, XPBands!B$2:B$10, XPBands!A$2:A$10))</f>
        <v/>
      </c>
      <c r="G953" s="27">
        <f>IF($E953="","", VLOOKUP($F953, XPBands!A$2:G$10, 4, FALSE) + MIN(VLOOKUP($F953, XPBands!A$2:G$10, 5, FALSE) - VLOOKUP($F953, XPBands!A$2:G$10, 4, FALSE), FLOOR(( $E953 - VLOOKUP($F953, XPBands!A$2:G$10, 2, FALSE) ) / VLOOKUP($F953, XPBands!A$2:G$10, 7, FALSE),1)))</f>
        <v/>
      </c>
      <c r="H953" s="27">
        <f>IF($D953="","",VLOOKUP($D953,RoleTitles!$A:$E,3,FALSE))</f>
        <v/>
      </c>
      <c r="I953" s="27">
        <f>IF($D953="","",IF($C953="Greek",VLOOKUP($D953,RoleTitles!$A:$E,4,FALSE),IF($C953="Aesir",VLOOKUP($D953,RoleTitles!$A:$E,5,FALSE),VLOOKUP($D953,RoleTitles!$A:$E,3,FALSE))))</f>
        <v/>
      </c>
      <c r="J953" s="27">
        <f>IF($D953="","",IF($E953&gt;=VLOOKUP($D953,RoleTitles!$A:$B,2,FALSE),"Yes","No"))</f>
        <v/>
      </c>
      <c r="K953" s="27">
        <f>IF($D953="","",IF($D953="T1","T2",IF($D953="T2","T3",IF($D953="T3","T4",IF($D953="T4","T5",IF($D953="T5","T6",IF($D953="T6","T7",IF($D953="T7","T8",IF($D953="T8","T9","")))))))))</f>
        <v/>
      </c>
      <c r="L953" s="28">
        <f>IF($K953="","",MAX(0,VLOOKUP($K953,RoleTitles!$A:$B,2,FALSE)-$E953))</f>
        <v/>
      </c>
    </row>
    <row r="954">
      <c r="A954" s="24">
        <f>IFERROR(INDEX(CoachRoster!$A$2:$A$1000,ROW()-1),"")</f>
        <v/>
      </c>
      <c r="B954" s="27">
        <f>IF($A954="","",VLOOKUP($A954,CoachRoster!$A:$E,2,FALSE))</f>
        <v/>
      </c>
      <c r="C954" s="27">
        <f>IF($A954="","",VLOOKUP($A954,CoachRoster!$A:$E,3,FALSE))</f>
        <v/>
      </c>
      <c r="D954" s="27">
        <f>IF($A954="","",VLOOKUP($A954,CoachRoster!$A:$E,4,FALSE))</f>
        <v/>
      </c>
      <c r="E954" s="27">
        <f>IF($A954="","",MIN(Settings!$B$8,IFERROR(SUMIF(Weekly_Coaching!$B:$B,$A954,Weekly_Coaching!$D:$D),0)+IFERROR(SUMIF(Monthly_Edu!$B:$B,$A954,Monthly_Edu!$D:$D),0)+IFERROR(SUMIF(Monthly_Ops!$B:$B,$A954,Monthly_Ops!$D:$D),0)+IFERROR(SUMIF(Monthly_Mentor!$B:$B,$A954,Monthly_Mentor!$D:$D),0)+IFERROR(SUMIF(Quarterly_Impact!$B:$B,$A954,Quarterly_Impact!$D:$D),0)+IFERROR(SUMIFS(XPLog!$M:$M,XPLog!$B:$B,$A954,XPLog!$J:$J,"Admin"),0)+IFERROR(SUMIFS(XPLog!$M:$M,XPLog!$B:$B,$A954,XPLog!$J:$J,"Seeding"),0)))</f>
        <v/>
      </c>
      <c r="F954" s="27">
        <f>IF($E954="","",LOOKUP($E954, XPBands!B$2:B$10, XPBands!A$2:A$10))</f>
        <v/>
      </c>
      <c r="G954" s="27">
        <f>IF($E954="","", VLOOKUP($F954, XPBands!A$2:G$10, 4, FALSE) + MIN(VLOOKUP($F954, XPBands!A$2:G$10, 5, FALSE) - VLOOKUP($F954, XPBands!A$2:G$10, 4, FALSE), FLOOR(( $E954 - VLOOKUP($F954, XPBands!A$2:G$10, 2, FALSE) ) / VLOOKUP($F954, XPBands!A$2:G$10, 7, FALSE),1)))</f>
        <v/>
      </c>
      <c r="H954" s="27">
        <f>IF($D954="","",VLOOKUP($D954,RoleTitles!$A:$E,3,FALSE))</f>
        <v/>
      </c>
      <c r="I954" s="27">
        <f>IF($D954="","",IF($C954="Greek",VLOOKUP($D954,RoleTitles!$A:$E,4,FALSE),IF($C954="Aesir",VLOOKUP($D954,RoleTitles!$A:$E,5,FALSE),VLOOKUP($D954,RoleTitles!$A:$E,3,FALSE))))</f>
        <v/>
      </c>
      <c r="J954" s="27">
        <f>IF($D954="","",IF($E954&gt;=VLOOKUP($D954,RoleTitles!$A:$B,2,FALSE),"Yes","No"))</f>
        <v/>
      </c>
      <c r="K954" s="27">
        <f>IF($D954="","",IF($D954="T1","T2",IF($D954="T2","T3",IF($D954="T3","T4",IF($D954="T4","T5",IF($D954="T5","T6",IF($D954="T6","T7",IF($D954="T7","T8",IF($D954="T8","T9","")))))))))</f>
        <v/>
      </c>
      <c r="L954" s="28">
        <f>IF($K954="","",MAX(0,VLOOKUP($K954,RoleTitles!$A:$B,2,FALSE)-$E954))</f>
        <v/>
      </c>
    </row>
    <row r="955">
      <c r="A955" s="24">
        <f>IFERROR(INDEX(CoachRoster!$A$2:$A$1000,ROW()-1),"")</f>
        <v/>
      </c>
      <c r="B955" s="27">
        <f>IF($A955="","",VLOOKUP($A955,CoachRoster!$A:$E,2,FALSE))</f>
        <v/>
      </c>
      <c r="C955" s="27">
        <f>IF($A955="","",VLOOKUP($A955,CoachRoster!$A:$E,3,FALSE))</f>
        <v/>
      </c>
      <c r="D955" s="27">
        <f>IF($A955="","",VLOOKUP($A955,CoachRoster!$A:$E,4,FALSE))</f>
        <v/>
      </c>
      <c r="E955" s="27">
        <f>IF($A955="","",MIN(Settings!$B$8,IFERROR(SUMIF(Weekly_Coaching!$B:$B,$A955,Weekly_Coaching!$D:$D),0)+IFERROR(SUMIF(Monthly_Edu!$B:$B,$A955,Monthly_Edu!$D:$D),0)+IFERROR(SUMIF(Monthly_Ops!$B:$B,$A955,Monthly_Ops!$D:$D),0)+IFERROR(SUMIF(Monthly_Mentor!$B:$B,$A955,Monthly_Mentor!$D:$D),0)+IFERROR(SUMIF(Quarterly_Impact!$B:$B,$A955,Quarterly_Impact!$D:$D),0)+IFERROR(SUMIFS(XPLog!$M:$M,XPLog!$B:$B,$A955,XPLog!$J:$J,"Admin"),0)+IFERROR(SUMIFS(XPLog!$M:$M,XPLog!$B:$B,$A955,XPLog!$J:$J,"Seeding"),0)))</f>
        <v/>
      </c>
      <c r="F955" s="27">
        <f>IF($E955="","",LOOKUP($E955, XPBands!B$2:B$10, XPBands!A$2:A$10))</f>
        <v/>
      </c>
      <c r="G955" s="27">
        <f>IF($E955="","", VLOOKUP($F955, XPBands!A$2:G$10, 4, FALSE) + MIN(VLOOKUP($F955, XPBands!A$2:G$10, 5, FALSE) - VLOOKUP($F955, XPBands!A$2:G$10, 4, FALSE), FLOOR(( $E955 - VLOOKUP($F955, XPBands!A$2:G$10, 2, FALSE) ) / VLOOKUP($F955, XPBands!A$2:G$10, 7, FALSE),1)))</f>
        <v/>
      </c>
      <c r="H955" s="27">
        <f>IF($D955="","",VLOOKUP($D955,RoleTitles!$A:$E,3,FALSE))</f>
        <v/>
      </c>
      <c r="I955" s="27">
        <f>IF($D955="","",IF($C955="Greek",VLOOKUP($D955,RoleTitles!$A:$E,4,FALSE),IF($C955="Aesir",VLOOKUP($D955,RoleTitles!$A:$E,5,FALSE),VLOOKUP($D955,RoleTitles!$A:$E,3,FALSE))))</f>
        <v/>
      </c>
      <c r="J955" s="27">
        <f>IF($D955="","",IF($E955&gt;=VLOOKUP($D955,RoleTitles!$A:$B,2,FALSE),"Yes","No"))</f>
        <v/>
      </c>
      <c r="K955" s="27">
        <f>IF($D955="","",IF($D955="T1","T2",IF($D955="T2","T3",IF($D955="T3","T4",IF($D955="T4","T5",IF($D955="T5","T6",IF($D955="T6","T7",IF($D955="T7","T8",IF($D955="T8","T9","")))))))))</f>
        <v/>
      </c>
      <c r="L955" s="28">
        <f>IF($K955="","",MAX(0,VLOOKUP($K955,RoleTitles!$A:$B,2,FALSE)-$E955))</f>
        <v/>
      </c>
    </row>
    <row r="956">
      <c r="A956" s="24">
        <f>IFERROR(INDEX(CoachRoster!$A$2:$A$1000,ROW()-1),"")</f>
        <v/>
      </c>
      <c r="B956" s="27">
        <f>IF($A956="","",VLOOKUP($A956,CoachRoster!$A:$E,2,FALSE))</f>
        <v/>
      </c>
      <c r="C956" s="27">
        <f>IF($A956="","",VLOOKUP($A956,CoachRoster!$A:$E,3,FALSE))</f>
        <v/>
      </c>
      <c r="D956" s="27">
        <f>IF($A956="","",VLOOKUP($A956,CoachRoster!$A:$E,4,FALSE))</f>
        <v/>
      </c>
      <c r="E956" s="27">
        <f>IF($A956="","",MIN(Settings!$B$8,IFERROR(SUMIF(Weekly_Coaching!$B:$B,$A956,Weekly_Coaching!$D:$D),0)+IFERROR(SUMIF(Monthly_Edu!$B:$B,$A956,Monthly_Edu!$D:$D),0)+IFERROR(SUMIF(Monthly_Ops!$B:$B,$A956,Monthly_Ops!$D:$D),0)+IFERROR(SUMIF(Monthly_Mentor!$B:$B,$A956,Monthly_Mentor!$D:$D),0)+IFERROR(SUMIF(Quarterly_Impact!$B:$B,$A956,Quarterly_Impact!$D:$D),0)+IFERROR(SUMIFS(XPLog!$M:$M,XPLog!$B:$B,$A956,XPLog!$J:$J,"Admin"),0)+IFERROR(SUMIFS(XPLog!$M:$M,XPLog!$B:$B,$A956,XPLog!$J:$J,"Seeding"),0)))</f>
        <v/>
      </c>
      <c r="F956" s="27">
        <f>IF($E956="","",LOOKUP($E956, XPBands!B$2:B$10, XPBands!A$2:A$10))</f>
        <v/>
      </c>
      <c r="G956" s="27">
        <f>IF($E956="","", VLOOKUP($F956, XPBands!A$2:G$10, 4, FALSE) + MIN(VLOOKUP($F956, XPBands!A$2:G$10, 5, FALSE) - VLOOKUP($F956, XPBands!A$2:G$10, 4, FALSE), FLOOR(( $E956 - VLOOKUP($F956, XPBands!A$2:G$10, 2, FALSE) ) / VLOOKUP($F956, XPBands!A$2:G$10, 7, FALSE),1)))</f>
        <v/>
      </c>
      <c r="H956" s="27">
        <f>IF($D956="","",VLOOKUP($D956,RoleTitles!$A:$E,3,FALSE))</f>
        <v/>
      </c>
      <c r="I956" s="27">
        <f>IF($D956="","",IF($C956="Greek",VLOOKUP($D956,RoleTitles!$A:$E,4,FALSE),IF($C956="Aesir",VLOOKUP($D956,RoleTitles!$A:$E,5,FALSE),VLOOKUP($D956,RoleTitles!$A:$E,3,FALSE))))</f>
        <v/>
      </c>
      <c r="J956" s="27">
        <f>IF($D956="","",IF($E956&gt;=VLOOKUP($D956,RoleTitles!$A:$B,2,FALSE),"Yes","No"))</f>
        <v/>
      </c>
      <c r="K956" s="27">
        <f>IF($D956="","",IF($D956="T1","T2",IF($D956="T2","T3",IF($D956="T3","T4",IF($D956="T4","T5",IF($D956="T5","T6",IF($D956="T6","T7",IF($D956="T7","T8",IF($D956="T8","T9","")))))))))</f>
        <v/>
      </c>
      <c r="L956" s="28">
        <f>IF($K956="","",MAX(0,VLOOKUP($K956,RoleTitles!$A:$B,2,FALSE)-$E956))</f>
        <v/>
      </c>
    </row>
    <row r="957">
      <c r="A957" s="24">
        <f>IFERROR(INDEX(CoachRoster!$A$2:$A$1000,ROW()-1),"")</f>
        <v/>
      </c>
      <c r="B957" s="27">
        <f>IF($A957="","",VLOOKUP($A957,CoachRoster!$A:$E,2,FALSE))</f>
        <v/>
      </c>
      <c r="C957" s="27">
        <f>IF($A957="","",VLOOKUP($A957,CoachRoster!$A:$E,3,FALSE))</f>
        <v/>
      </c>
      <c r="D957" s="27">
        <f>IF($A957="","",VLOOKUP($A957,CoachRoster!$A:$E,4,FALSE))</f>
        <v/>
      </c>
      <c r="E957" s="27">
        <f>IF($A957="","",MIN(Settings!$B$8,IFERROR(SUMIF(Weekly_Coaching!$B:$B,$A957,Weekly_Coaching!$D:$D),0)+IFERROR(SUMIF(Monthly_Edu!$B:$B,$A957,Monthly_Edu!$D:$D),0)+IFERROR(SUMIF(Monthly_Ops!$B:$B,$A957,Monthly_Ops!$D:$D),0)+IFERROR(SUMIF(Monthly_Mentor!$B:$B,$A957,Monthly_Mentor!$D:$D),0)+IFERROR(SUMIF(Quarterly_Impact!$B:$B,$A957,Quarterly_Impact!$D:$D),0)+IFERROR(SUMIFS(XPLog!$M:$M,XPLog!$B:$B,$A957,XPLog!$J:$J,"Admin"),0)+IFERROR(SUMIFS(XPLog!$M:$M,XPLog!$B:$B,$A957,XPLog!$J:$J,"Seeding"),0)))</f>
        <v/>
      </c>
      <c r="F957" s="27">
        <f>IF($E957="","",LOOKUP($E957, XPBands!B$2:B$10, XPBands!A$2:A$10))</f>
        <v/>
      </c>
      <c r="G957" s="27">
        <f>IF($E957="","", VLOOKUP($F957, XPBands!A$2:G$10, 4, FALSE) + MIN(VLOOKUP($F957, XPBands!A$2:G$10, 5, FALSE) - VLOOKUP($F957, XPBands!A$2:G$10, 4, FALSE), FLOOR(( $E957 - VLOOKUP($F957, XPBands!A$2:G$10, 2, FALSE) ) / VLOOKUP($F957, XPBands!A$2:G$10, 7, FALSE),1)))</f>
        <v/>
      </c>
      <c r="H957" s="27">
        <f>IF($D957="","",VLOOKUP($D957,RoleTitles!$A:$E,3,FALSE))</f>
        <v/>
      </c>
      <c r="I957" s="27">
        <f>IF($D957="","",IF($C957="Greek",VLOOKUP($D957,RoleTitles!$A:$E,4,FALSE),IF($C957="Aesir",VLOOKUP($D957,RoleTitles!$A:$E,5,FALSE),VLOOKUP($D957,RoleTitles!$A:$E,3,FALSE))))</f>
        <v/>
      </c>
      <c r="J957" s="27">
        <f>IF($D957="","",IF($E957&gt;=VLOOKUP($D957,RoleTitles!$A:$B,2,FALSE),"Yes","No"))</f>
        <v/>
      </c>
      <c r="K957" s="27">
        <f>IF($D957="","",IF($D957="T1","T2",IF($D957="T2","T3",IF($D957="T3","T4",IF($D957="T4","T5",IF($D957="T5","T6",IF($D957="T6","T7",IF($D957="T7","T8",IF($D957="T8","T9","")))))))))</f>
        <v/>
      </c>
      <c r="L957" s="28">
        <f>IF($K957="","",MAX(0,VLOOKUP($K957,RoleTitles!$A:$B,2,FALSE)-$E957))</f>
        <v/>
      </c>
    </row>
    <row r="958">
      <c r="A958" s="24">
        <f>IFERROR(INDEX(CoachRoster!$A$2:$A$1000,ROW()-1),"")</f>
        <v/>
      </c>
      <c r="B958" s="27">
        <f>IF($A958="","",VLOOKUP($A958,CoachRoster!$A:$E,2,FALSE))</f>
        <v/>
      </c>
      <c r="C958" s="27">
        <f>IF($A958="","",VLOOKUP($A958,CoachRoster!$A:$E,3,FALSE))</f>
        <v/>
      </c>
      <c r="D958" s="27">
        <f>IF($A958="","",VLOOKUP($A958,CoachRoster!$A:$E,4,FALSE))</f>
        <v/>
      </c>
      <c r="E958" s="27">
        <f>IF($A958="","",MIN(Settings!$B$8,IFERROR(SUMIF(Weekly_Coaching!$B:$B,$A958,Weekly_Coaching!$D:$D),0)+IFERROR(SUMIF(Monthly_Edu!$B:$B,$A958,Monthly_Edu!$D:$D),0)+IFERROR(SUMIF(Monthly_Ops!$B:$B,$A958,Monthly_Ops!$D:$D),0)+IFERROR(SUMIF(Monthly_Mentor!$B:$B,$A958,Monthly_Mentor!$D:$D),0)+IFERROR(SUMIF(Quarterly_Impact!$B:$B,$A958,Quarterly_Impact!$D:$D),0)+IFERROR(SUMIFS(XPLog!$M:$M,XPLog!$B:$B,$A958,XPLog!$J:$J,"Admin"),0)+IFERROR(SUMIFS(XPLog!$M:$M,XPLog!$B:$B,$A958,XPLog!$J:$J,"Seeding"),0)))</f>
        <v/>
      </c>
      <c r="F958" s="27">
        <f>IF($E958="","",LOOKUP($E958, XPBands!B$2:B$10, XPBands!A$2:A$10))</f>
        <v/>
      </c>
      <c r="G958" s="27">
        <f>IF($E958="","", VLOOKUP($F958, XPBands!A$2:G$10, 4, FALSE) + MIN(VLOOKUP($F958, XPBands!A$2:G$10, 5, FALSE) - VLOOKUP($F958, XPBands!A$2:G$10, 4, FALSE), FLOOR(( $E958 - VLOOKUP($F958, XPBands!A$2:G$10, 2, FALSE) ) / VLOOKUP($F958, XPBands!A$2:G$10, 7, FALSE),1)))</f>
        <v/>
      </c>
      <c r="H958" s="27">
        <f>IF($D958="","",VLOOKUP($D958,RoleTitles!$A:$E,3,FALSE))</f>
        <v/>
      </c>
      <c r="I958" s="27">
        <f>IF($D958="","",IF($C958="Greek",VLOOKUP($D958,RoleTitles!$A:$E,4,FALSE),IF($C958="Aesir",VLOOKUP($D958,RoleTitles!$A:$E,5,FALSE),VLOOKUP($D958,RoleTitles!$A:$E,3,FALSE))))</f>
        <v/>
      </c>
      <c r="J958" s="27">
        <f>IF($D958="","",IF($E958&gt;=VLOOKUP($D958,RoleTitles!$A:$B,2,FALSE),"Yes","No"))</f>
        <v/>
      </c>
      <c r="K958" s="27">
        <f>IF($D958="","",IF($D958="T1","T2",IF($D958="T2","T3",IF($D958="T3","T4",IF($D958="T4","T5",IF($D958="T5","T6",IF($D958="T6","T7",IF($D958="T7","T8",IF($D958="T8","T9","")))))))))</f>
        <v/>
      </c>
      <c r="L958" s="28">
        <f>IF($K958="","",MAX(0,VLOOKUP($K958,RoleTitles!$A:$B,2,FALSE)-$E958))</f>
        <v/>
      </c>
    </row>
    <row r="959">
      <c r="A959" s="24">
        <f>IFERROR(INDEX(CoachRoster!$A$2:$A$1000,ROW()-1),"")</f>
        <v/>
      </c>
      <c r="B959" s="27">
        <f>IF($A959="","",VLOOKUP($A959,CoachRoster!$A:$E,2,FALSE))</f>
        <v/>
      </c>
      <c r="C959" s="27">
        <f>IF($A959="","",VLOOKUP($A959,CoachRoster!$A:$E,3,FALSE))</f>
        <v/>
      </c>
      <c r="D959" s="27">
        <f>IF($A959="","",VLOOKUP($A959,CoachRoster!$A:$E,4,FALSE))</f>
        <v/>
      </c>
      <c r="E959" s="27">
        <f>IF($A959="","",MIN(Settings!$B$8,IFERROR(SUMIF(Weekly_Coaching!$B:$B,$A959,Weekly_Coaching!$D:$D),0)+IFERROR(SUMIF(Monthly_Edu!$B:$B,$A959,Monthly_Edu!$D:$D),0)+IFERROR(SUMIF(Monthly_Ops!$B:$B,$A959,Monthly_Ops!$D:$D),0)+IFERROR(SUMIF(Monthly_Mentor!$B:$B,$A959,Monthly_Mentor!$D:$D),0)+IFERROR(SUMIF(Quarterly_Impact!$B:$B,$A959,Quarterly_Impact!$D:$D),0)+IFERROR(SUMIFS(XPLog!$M:$M,XPLog!$B:$B,$A959,XPLog!$J:$J,"Admin"),0)+IFERROR(SUMIFS(XPLog!$M:$M,XPLog!$B:$B,$A959,XPLog!$J:$J,"Seeding"),0)))</f>
        <v/>
      </c>
      <c r="F959" s="27">
        <f>IF($E959="","",LOOKUP($E959, XPBands!B$2:B$10, XPBands!A$2:A$10))</f>
        <v/>
      </c>
      <c r="G959" s="27">
        <f>IF($E959="","", VLOOKUP($F959, XPBands!A$2:G$10, 4, FALSE) + MIN(VLOOKUP($F959, XPBands!A$2:G$10, 5, FALSE) - VLOOKUP($F959, XPBands!A$2:G$10, 4, FALSE), FLOOR(( $E959 - VLOOKUP($F959, XPBands!A$2:G$10, 2, FALSE) ) / VLOOKUP($F959, XPBands!A$2:G$10, 7, FALSE),1)))</f>
        <v/>
      </c>
      <c r="H959" s="27">
        <f>IF($D959="","",VLOOKUP($D959,RoleTitles!$A:$E,3,FALSE))</f>
        <v/>
      </c>
      <c r="I959" s="27">
        <f>IF($D959="","",IF($C959="Greek",VLOOKUP($D959,RoleTitles!$A:$E,4,FALSE),IF($C959="Aesir",VLOOKUP($D959,RoleTitles!$A:$E,5,FALSE),VLOOKUP($D959,RoleTitles!$A:$E,3,FALSE))))</f>
        <v/>
      </c>
      <c r="J959" s="27">
        <f>IF($D959="","",IF($E959&gt;=VLOOKUP($D959,RoleTitles!$A:$B,2,FALSE),"Yes","No"))</f>
        <v/>
      </c>
      <c r="K959" s="27">
        <f>IF($D959="","",IF($D959="T1","T2",IF($D959="T2","T3",IF($D959="T3","T4",IF($D959="T4","T5",IF($D959="T5","T6",IF($D959="T6","T7",IF($D959="T7","T8",IF($D959="T8","T9","")))))))))</f>
        <v/>
      </c>
      <c r="L959" s="28">
        <f>IF($K959="","",MAX(0,VLOOKUP($K959,RoleTitles!$A:$B,2,FALSE)-$E959))</f>
        <v/>
      </c>
    </row>
    <row r="960">
      <c r="A960" s="24">
        <f>IFERROR(INDEX(CoachRoster!$A$2:$A$1000,ROW()-1),"")</f>
        <v/>
      </c>
      <c r="B960" s="27">
        <f>IF($A960="","",VLOOKUP($A960,CoachRoster!$A:$E,2,FALSE))</f>
        <v/>
      </c>
      <c r="C960" s="27">
        <f>IF($A960="","",VLOOKUP($A960,CoachRoster!$A:$E,3,FALSE))</f>
        <v/>
      </c>
      <c r="D960" s="27">
        <f>IF($A960="","",VLOOKUP($A960,CoachRoster!$A:$E,4,FALSE))</f>
        <v/>
      </c>
      <c r="E960" s="27">
        <f>IF($A960="","",MIN(Settings!$B$8,IFERROR(SUMIF(Weekly_Coaching!$B:$B,$A960,Weekly_Coaching!$D:$D),0)+IFERROR(SUMIF(Monthly_Edu!$B:$B,$A960,Monthly_Edu!$D:$D),0)+IFERROR(SUMIF(Monthly_Ops!$B:$B,$A960,Monthly_Ops!$D:$D),0)+IFERROR(SUMIF(Monthly_Mentor!$B:$B,$A960,Monthly_Mentor!$D:$D),0)+IFERROR(SUMIF(Quarterly_Impact!$B:$B,$A960,Quarterly_Impact!$D:$D),0)+IFERROR(SUMIFS(XPLog!$M:$M,XPLog!$B:$B,$A960,XPLog!$J:$J,"Admin"),0)+IFERROR(SUMIFS(XPLog!$M:$M,XPLog!$B:$B,$A960,XPLog!$J:$J,"Seeding"),0)))</f>
        <v/>
      </c>
      <c r="F960" s="27">
        <f>IF($E960="","",LOOKUP($E960, XPBands!B$2:B$10, XPBands!A$2:A$10))</f>
        <v/>
      </c>
      <c r="G960" s="27">
        <f>IF($E960="","", VLOOKUP($F960, XPBands!A$2:G$10, 4, FALSE) + MIN(VLOOKUP($F960, XPBands!A$2:G$10, 5, FALSE) - VLOOKUP($F960, XPBands!A$2:G$10, 4, FALSE), FLOOR(( $E960 - VLOOKUP($F960, XPBands!A$2:G$10, 2, FALSE) ) / VLOOKUP($F960, XPBands!A$2:G$10, 7, FALSE),1)))</f>
        <v/>
      </c>
      <c r="H960" s="27">
        <f>IF($D960="","",VLOOKUP($D960,RoleTitles!$A:$E,3,FALSE))</f>
        <v/>
      </c>
      <c r="I960" s="27">
        <f>IF($D960="","",IF($C960="Greek",VLOOKUP($D960,RoleTitles!$A:$E,4,FALSE),IF($C960="Aesir",VLOOKUP($D960,RoleTitles!$A:$E,5,FALSE),VLOOKUP($D960,RoleTitles!$A:$E,3,FALSE))))</f>
        <v/>
      </c>
      <c r="J960" s="27">
        <f>IF($D960="","",IF($E960&gt;=VLOOKUP($D960,RoleTitles!$A:$B,2,FALSE),"Yes","No"))</f>
        <v/>
      </c>
      <c r="K960" s="27">
        <f>IF($D960="","",IF($D960="T1","T2",IF($D960="T2","T3",IF($D960="T3","T4",IF($D960="T4","T5",IF($D960="T5","T6",IF($D960="T6","T7",IF($D960="T7","T8",IF($D960="T8","T9","")))))))))</f>
        <v/>
      </c>
      <c r="L960" s="28">
        <f>IF($K960="","",MAX(0,VLOOKUP($K960,RoleTitles!$A:$B,2,FALSE)-$E960))</f>
        <v/>
      </c>
    </row>
    <row r="961">
      <c r="A961" s="24">
        <f>IFERROR(INDEX(CoachRoster!$A$2:$A$1000,ROW()-1),"")</f>
        <v/>
      </c>
      <c r="B961" s="27">
        <f>IF($A961="","",VLOOKUP($A961,CoachRoster!$A:$E,2,FALSE))</f>
        <v/>
      </c>
      <c r="C961" s="27">
        <f>IF($A961="","",VLOOKUP($A961,CoachRoster!$A:$E,3,FALSE))</f>
        <v/>
      </c>
      <c r="D961" s="27">
        <f>IF($A961="","",VLOOKUP($A961,CoachRoster!$A:$E,4,FALSE))</f>
        <v/>
      </c>
      <c r="E961" s="27">
        <f>IF($A961="","",MIN(Settings!$B$8,IFERROR(SUMIF(Weekly_Coaching!$B:$B,$A961,Weekly_Coaching!$D:$D),0)+IFERROR(SUMIF(Monthly_Edu!$B:$B,$A961,Monthly_Edu!$D:$D),0)+IFERROR(SUMIF(Monthly_Ops!$B:$B,$A961,Monthly_Ops!$D:$D),0)+IFERROR(SUMIF(Monthly_Mentor!$B:$B,$A961,Monthly_Mentor!$D:$D),0)+IFERROR(SUMIF(Quarterly_Impact!$B:$B,$A961,Quarterly_Impact!$D:$D),0)+IFERROR(SUMIFS(XPLog!$M:$M,XPLog!$B:$B,$A961,XPLog!$J:$J,"Admin"),0)+IFERROR(SUMIFS(XPLog!$M:$M,XPLog!$B:$B,$A961,XPLog!$J:$J,"Seeding"),0)))</f>
        <v/>
      </c>
      <c r="F961" s="27">
        <f>IF($E961="","",LOOKUP($E961, XPBands!B$2:B$10, XPBands!A$2:A$10))</f>
        <v/>
      </c>
      <c r="G961" s="27">
        <f>IF($E961="","", VLOOKUP($F961, XPBands!A$2:G$10, 4, FALSE) + MIN(VLOOKUP($F961, XPBands!A$2:G$10, 5, FALSE) - VLOOKUP($F961, XPBands!A$2:G$10, 4, FALSE), FLOOR(( $E961 - VLOOKUP($F961, XPBands!A$2:G$10, 2, FALSE) ) / VLOOKUP($F961, XPBands!A$2:G$10, 7, FALSE),1)))</f>
        <v/>
      </c>
      <c r="H961" s="27">
        <f>IF($D961="","",VLOOKUP($D961,RoleTitles!$A:$E,3,FALSE))</f>
        <v/>
      </c>
      <c r="I961" s="27">
        <f>IF($D961="","",IF($C961="Greek",VLOOKUP($D961,RoleTitles!$A:$E,4,FALSE),IF($C961="Aesir",VLOOKUP($D961,RoleTitles!$A:$E,5,FALSE),VLOOKUP($D961,RoleTitles!$A:$E,3,FALSE))))</f>
        <v/>
      </c>
      <c r="J961" s="27">
        <f>IF($D961="","",IF($E961&gt;=VLOOKUP($D961,RoleTitles!$A:$B,2,FALSE),"Yes","No"))</f>
        <v/>
      </c>
      <c r="K961" s="27">
        <f>IF($D961="","",IF($D961="T1","T2",IF($D961="T2","T3",IF($D961="T3","T4",IF($D961="T4","T5",IF($D961="T5","T6",IF($D961="T6","T7",IF($D961="T7","T8",IF($D961="T8","T9","")))))))))</f>
        <v/>
      </c>
      <c r="L961" s="28">
        <f>IF($K961="","",MAX(0,VLOOKUP($K961,RoleTitles!$A:$B,2,FALSE)-$E961))</f>
        <v/>
      </c>
    </row>
    <row r="962">
      <c r="A962" s="24">
        <f>IFERROR(INDEX(CoachRoster!$A$2:$A$1000,ROW()-1),"")</f>
        <v/>
      </c>
      <c r="B962" s="27">
        <f>IF($A962="","",VLOOKUP($A962,CoachRoster!$A:$E,2,FALSE))</f>
        <v/>
      </c>
      <c r="C962" s="27">
        <f>IF($A962="","",VLOOKUP($A962,CoachRoster!$A:$E,3,FALSE))</f>
        <v/>
      </c>
      <c r="D962" s="27">
        <f>IF($A962="","",VLOOKUP($A962,CoachRoster!$A:$E,4,FALSE))</f>
        <v/>
      </c>
      <c r="E962" s="27">
        <f>IF($A962="","",MIN(Settings!$B$8,IFERROR(SUMIF(Weekly_Coaching!$B:$B,$A962,Weekly_Coaching!$D:$D),0)+IFERROR(SUMIF(Monthly_Edu!$B:$B,$A962,Monthly_Edu!$D:$D),0)+IFERROR(SUMIF(Monthly_Ops!$B:$B,$A962,Monthly_Ops!$D:$D),0)+IFERROR(SUMIF(Monthly_Mentor!$B:$B,$A962,Monthly_Mentor!$D:$D),0)+IFERROR(SUMIF(Quarterly_Impact!$B:$B,$A962,Quarterly_Impact!$D:$D),0)+IFERROR(SUMIFS(XPLog!$M:$M,XPLog!$B:$B,$A962,XPLog!$J:$J,"Admin"),0)+IFERROR(SUMIFS(XPLog!$M:$M,XPLog!$B:$B,$A962,XPLog!$J:$J,"Seeding"),0)))</f>
        <v/>
      </c>
      <c r="F962" s="27">
        <f>IF($E962="","",LOOKUP($E962, XPBands!B$2:B$10, XPBands!A$2:A$10))</f>
        <v/>
      </c>
      <c r="G962" s="27">
        <f>IF($E962="","", VLOOKUP($F962, XPBands!A$2:G$10, 4, FALSE) + MIN(VLOOKUP($F962, XPBands!A$2:G$10, 5, FALSE) - VLOOKUP($F962, XPBands!A$2:G$10, 4, FALSE), FLOOR(( $E962 - VLOOKUP($F962, XPBands!A$2:G$10, 2, FALSE) ) / VLOOKUP($F962, XPBands!A$2:G$10, 7, FALSE),1)))</f>
        <v/>
      </c>
      <c r="H962" s="27">
        <f>IF($D962="","",VLOOKUP($D962,RoleTitles!$A:$E,3,FALSE))</f>
        <v/>
      </c>
      <c r="I962" s="27">
        <f>IF($D962="","",IF($C962="Greek",VLOOKUP($D962,RoleTitles!$A:$E,4,FALSE),IF($C962="Aesir",VLOOKUP($D962,RoleTitles!$A:$E,5,FALSE),VLOOKUP($D962,RoleTitles!$A:$E,3,FALSE))))</f>
        <v/>
      </c>
      <c r="J962" s="27">
        <f>IF($D962="","",IF($E962&gt;=VLOOKUP($D962,RoleTitles!$A:$B,2,FALSE),"Yes","No"))</f>
        <v/>
      </c>
      <c r="K962" s="27">
        <f>IF($D962="","",IF($D962="T1","T2",IF($D962="T2","T3",IF($D962="T3","T4",IF($D962="T4","T5",IF($D962="T5","T6",IF($D962="T6","T7",IF($D962="T7","T8",IF($D962="T8","T9","")))))))))</f>
        <v/>
      </c>
      <c r="L962" s="28">
        <f>IF($K962="","",MAX(0,VLOOKUP($K962,RoleTitles!$A:$B,2,FALSE)-$E962))</f>
        <v/>
      </c>
    </row>
    <row r="963">
      <c r="A963" s="24">
        <f>IFERROR(INDEX(CoachRoster!$A$2:$A$1000,ROW()-1),"")</f>
        <v/>
      </c>
      <c r="B963" s="27">
        <f>IF($A963="","",VLOOKUP($A963,CoachRoster!$A:$E,2,FALSE))</f>
        <v/>
      </c>
      <c r="C963" s="27">
        <f>IF($A963="","",VLOOKUP($A963,CoachRoster!$A:$E,3,FALSE))</f>
        <v/>
      </c>
      <c r="D963" s="27">
        <f>IF($A963="","",VLOOKUP($A963,CoachRoster!$A:$E,4,FALSE))</f>
        <v/>
      </c>
      <c r="E963" s="27">
        <f>IF($A963="","",MIN(Settings!$B$8,IFERROR(SUMIF(Weekly_Coaching!$B:$B,$A963,Weekly_Coaching!$D:$D),0)+IFERROR(SUMIF(Monthly_Edu!$B:$B,$A963,Monthly_Edu!$D:$D),0)+IFERROR(SUMIF(Monthly_Ops!$B:$B,$A963,Monthly_Ops!$D:$D),0)+IFERROR(SUMIF(Monthly_Mentor!$B:$B,$A963,Monthly_Mentor!$D:$D),0)+IFERROR(SUMIF(Quarterly_Impact!$B:$B,$A963,Quarterly_Impact!$D:$D),0)+IFERROR(SUMIFS(XPLog!$M:$M,XPLog!$B:$B,$A963,XPLog!$J:$J,"Admin"),0)+IFERROR(SUMIFS(XPLog!$M:$M,XPLog!$B:$B,$A963,XPLog!$J:$J,"Seeding"),0)))</f>
        <v/>
      </c>
      <c r="F963" s="27">
        <f>IF($E963="","",LOOKUP($E963, XPBands!B$2:B$10, XPBands!A$2:A$10))</f>
        <v/>
      </c>
      <c r="G963" s="27">
        <f>IF($E963="","", VLOOKUP($F963, XPBands!A$2:G$10, 4, FALSE) + MIN(VLOOKUP($F963, XPBands!A$2:G$10, 5, FALSE) - VLOOKUP($F963, XPBands!A$2:G$10, 4, FALSE), FLOOR(( $E963 - VLOOKUP($F963, XPBands!A$2:G$10, 2, FALSE) ) / VLOOKUP($F963, XPBands!A$2:G$10, 7, FALSE),1)))</f>
        <v/>
      </c>
      <c r="H963" s="27">
        <f>IF($D963="","",VLOOKUP($D963,RoleTitles!$A:$E,3,FALSE))</f>
        <v/>
      </c>
      <c r="I963" s="27">
        <f>IF($D963="","",IF($C963="Greek",VLOOKUP($D963,RoleTitles!$A:$E,4,FALSE),IF($C963="Aesir",VLOOKUP($D963,RoleTitles!$A:$E,5,FALSE),VLOOKUP($D963,RoleTitles!$A:$E,3,FALSE))))</f>
        <v/>
      </c>
      <c r="J963" s="27">
        <f>IF($D963="","",IF($E963&gt;=VLOOKUP($D963,RoleTitles!$A:$B,2,FALSE),"Yes","No"))</f>
        <v/>
      </c>
      <c r="K963" s="27">
        <f>IF($D963="","",IF($D963="T1","T2",IF($D963="T2","T3",IF($D963="T3","T4",IF($D963="T4","T5",IF($D963="T5","T6",IF($D963="T6","T7",IF($D963="T7","T8",IF($D963="T8","T9","")))))))))</f>
        <v/>
      </c>
      <c r="L963" s="28">
        <f>IF($K963="","",MAX(0,VLOOKUP($K963,RoleTitles!$A:$B,2,FALSE)-$E963))</f>
        <v/>
      </c>
    </row>
    <row r="964">
      <c r="A964" s="24">
        <f>IFERROR(INDEX(CoachRoster!$A$2:$A$1000,ROW()-1),"")</f>
        <v/>
      </c>
      <c r="B964" s="27">
        <f>IF($A964="","",VLOOKUP($A964,CoachRoster!$A:$E,2,FALSE))</f>
        <v/>
      </c>
      <c r="C964" s="27">
        <f>IF($A964="","",VLOOKUP($A964,CoachRoster!$A:$E,3,FALSE))</f>
        <v/>
      </c>
      <c r="D964" s="27">
        <f>IF($A964="","",VLOOKUP($A964,CoachRoster!$A:$E,4,FALSE))</f>
        <v/>
      </c>
      <c r="E964" s="27">
        <f>IF($A964="","",MIN(Settings!$B$8,IFERROR(SUMIF(Weekly_Coaching!$B:$B,$A964,Weekly_Coaching!$D:$D),0)+IFERROR(SUMIF(Monthly_Edu!$B:$B,$A964,Monthly_Edu!$D:$D),0)+IFERROR(SUMIF(Monthly_Ops!$B:$B,$A964,Monthly_Ops!$D:$D),0)+IFERROR(SUMIF(Monthly_Mentor!$B:$B,$A964,Monthly_Mentor!$D:$D),0)+IFERROR(SUMIF(Quarterly_Impact!$B:$B,$A964,Quarterly_Impact!$D:$D),0)+IFERROR(SUMIFS(XPLog!$M:$M,XPLog!$B:$B,$A964,XPLog!$J:$J,"Admin"),0)+IFERROR(SUMIFS(XPLog!$M:$M,XPLog!$B:$B,$A964,XPLog!$J:$J,"Seeding"),0)))</f>
        <v/>
      </c>
      <c r="F964" s="27">
        <f>IF($E964="","",LOOKUP($E964, XPBands!B$2:B$10, XPBands!A$2:A$10))</f>
        <v/>
      </c>
      <c r="G964" s="27">
        <f>IF($E964="","", VLOOKUP($F964, XPBands!A$2:G$10, 4, FALSE) + MIN(VLOOKUP($F964, XPBands!A$2:G$10, 5, FALSE) - VLOOKUP($F964, XPBands!A$2:G$10, 4, FALSE), FLOOR(( $E964 - VLOOKUP($F964, XPBands!A$2:G$10, 2, FALSE) ) / VLOOKUP($F964, XPBands!A$2:G$10, 7, FALSE),1)))</f>
        <v/>
      </c>
      <c r="H964" s="27">
        <f>IF($D964="","",VLOOKUP($D964,RoleTitles!$A:$E,3,FALSE))</f>
        <v/>
      </c>
      <c r="I964" s="27">
        <f>IF($D964="","",IF($C964="Greek",VLOOKUP($D964,RoleTitles!$A:$E,4,FALSE),IF($C964="Aesir",VLOOKUP($D964,RoleTitles!$A:$E,5,FALSE),VLOOKUP($D964,RoleTitles!$A:$E,3,FALSE))))</f>
        <v/>
      </c>
      <c r="J964" s="27">
        <f>IF($D964="","",IF($E964&gt;=VLOOKUP($D964,RoleTitles!$A:$B,2,FALSE),"Yes","No"))</f>
        <v/>
      </c>
      <c r="K964" s="27">
        <f>IF($D964="","",IF($D964="T1","T2",IF($D964="T2","T3",IF($D964="T3","T4",IF($D964="T4","T5",IF($D964="T5","T6",IF($D964="T6","T7",IF($D964="T7","T8",IF($D964="T8","T9","")))))))))</f>
        <v/>
      </c>
      <c r="L964" s="28">
        <f>IF($K964="","",MAX(0,VLOOKUP($K964,RoleTitles!$A:$B,2,FALSE)-$E964))</f>
        <v/>
      </c>
    </row>
    <row r="965">
      <c r="A965" s="24">
        <f>IFERROR(INDEX(CoachRoster!$A$2:$A$1000,ROW()-1),"")</f>
        <v/>
      </c>
      <c r="B965" s="27">
        <f>IF($A965="","",VLOOKUP($A965,CoachRoster!$A:$E,2,FALSE))</f>
        <v/>
      </c>
      <c r="C965" s="27">
        <f>IF($A965="","",VLOOKUP($A965,CoachRoster!$A:$E,3,FALSE))</f>
        <v/>
      </c>
      <c r="D965" s="27">
        <f>IF($A965="","",VLOOKUP($A965,CoachRoster!$A:$E,4,FALSE))</f>
        <v/>
      </c>
      <c r="E965" s="27">
        <f>IF($A965="","",MIN(Settings!$B$8,IFERROR(SUMIF(Weekly_Coaching!$B:$B,$A965,Weekly_Coaching!$D:$D),0)+IFERROR(SUMIF(Monthly_Edu!$B:$B,$A965,Monthly_Edu!$D:$D),0)+IFERROR(SUMIF(Monthly_Ops!$B:$B,$A965,Monthly_Ops!$D:$D),0)+IFERROR(SUMIF(Monthly_Mentor!$B:$B,$A965,Monthly_Mentor!$D:$D),0)+IFERROR(SUMIF(Quarterly_Impact!$B:$B,$A965,Quarterly_Impact!$D:$D),0)+IFERROR(SUMIFS(XPLog!$M:$M,XPLog!$B:$B,$A965,XPLog!$J:$J,"Admin"),0)+IFERROR(SUMIFS(XPLog!$M:$M,XPLog!$B:$B,$A965,XPLog!$J:$J,"Seeding"),0)))</f>
        <v/>
      </c>
      <c r="F965" s="27">
        <f>IF($E965="","",LOOKUP($E965, XPBands!B$2:B$10, XPBands!A$2:A$10))</f>
        <v/>
      </c>
      <c r="G965" s="27">
        <f>IF($E965="","", VLOOKUP($F965, XPBands!A$2:G$10, 4, FALSE) + MIN(VLOOKUP($F965, XPBands!A$2:G$10, 5, FALSE) - VLOOKUP($F965, XPBands!A$2:G$10, 4, FALSE), FLOOR(( $E965 - VLOOKUP($F965, XPBands!A$2:G$10, 2, FALSE) ) / VLOOKUP($F965, XPBands!A$2:G$10, 7, FALSE),1)))</f>
        <v/>
      </c>
      <c r="H965" s="27">
        <f>IF($D965="","",VLOOKUP($D965,RoleTitles!$A:$E,3,FALSE))</f>
        <v/>
      </c>
      <c r="I965" s="27">
        <f>IF($D965="","",IF($C965="Greek",VLOOKUP($D965,RoleTitles!$A:$E,4,FALSE),IF($C965="Aesir",VLOOKUP($D965,RoleTitles!$A:$E,5,FALSE),VLOOKUP($D965,RoleTitles!$A:$E,3,FALSE))))</f>
        <v/>
      </c>
      <c r="J965" s="27">
        <f>IF($D965="","",IF($E965&gt;=VLOOKUP($D965,RoleTitles!$A:$B,2,FALSE),"Yes","No"))</f>
        <v/>
      </c>
      <c r="K965" s="27">
        <f>IF($D965="","",IF($D965="T1","T2",IF($D965="T2","T3",IF($D965="T3","T4",IF($D965="T4","T5",IF($D965="T5","T6",IF($D965="T6","T7",IF($D965="T7","T8",IF($D965="T8","T9","")))))))))</f>
        <v/>
      </c>
      <c r="L965" s="28">
        <f>IF($K965="","",MAX(0,VLOOKUP($K965,RoleTitles!$A:$B,2,FALSE)-$E965))</f>
        <v/>
      </c>
    </row>
    <row r="966">
      <c r="A966" s="24">
        <f>IFERROR(INDEX(CoachRoster!$A$2:$A$1000,ROW()-1),"")</f>
        <v/>
      </c>
      <c r="B966" s="27">
        <f>IF($A966="","",VLOOKUP($A966,CoachRoster!$A:$E,2,FALSE))</f>
        <v/>
      </c>
      <c r="C966" s="27">
        <f>IF($A966="","",VLOOKUP($A966,CoachRoster!$A:$E,3,FALSE))</f>
        <v/>
      </c>
      <c r="D966" s="27">
        <f>IF($A966="","",VLOOKUP($A966,CoachRoster!$A:$E,4,FALSE))</f>
        <v/>
      </c>
      <c r="E966" s="27">
        <f>IF($A966="","",MIN(Settings!$B$8,IFERROR(SUMIF(Weekly_Coaching!$B:$B,$A966,Weekly_Coaching!$D:$D),0)+IFERROR(SUMIF(Monthly_Edu!$B:$B,$A966,Monthly_Edu!$D:$D),0)+IFERROR(SUMIF(Monthly_Ops!$B:$B,$A966,Monthly_Ops!$D:$D),0)+IFERROR(SUMIF(Monthly_Mentor!$B:$B,$A966,Monthly_Mentor!$D:$D),0)+IFERROR(SUMIF(Quarterly_Impact!$B:$B,$A966,Quarterly_Impact!$D:$D),0)+IFERROR(SUMIFS(XPLog!$M:$M,XPLog!$B:$B,$A966,XPLog!$J:$J,"Admin"),0)+IFERROR(SUMIFS(XPLog!$M:$M,XPLog!$B:$B,$A966,XPLog!$J:$J,"Seeding"),0)))</f>
        <v/>
      </c>
      <c r="F966" s="27">
        <f>IF($E966="","",LOOKUP($E966, XPBands!B$2:B$10, XPBands!A$2:A$10))</f>
        <v/>
      </c>
      <c r="G966" s="27">
        <f>IF($E966="","", VLOOKUP($F966, XPBands!A$2:G$10, 4, FALSE) + MIN(VLOOKUP($F966, XPBands!A$2:G$10, 5, FALSE) - VLOOKUP($F966, XPBands!A$2:G$10, 4, FALSE), FLOOR(( $E966 - VLOOKUP($F966, XPBands!A$2:G$10, 2, FALSE) ) / VLOOKUP($F966, XPBands!A$2:G$10, 7, FALSE),1)))</f>
        <v/>
      </c>
      <c r="H966" s="27">
        <f>IF($D966="","",VLOOKUP($D966,RoleTitles!$A:$E,3,FALSE))</f>
        <v/>
      </c>
      <c r="I966" s="27">
        <f>IF($D966="","",IF($C966="Greek",VLOOKUP($D966,RoleTitles!$A:$E,4,FALSE),IF($C966="Aesir",VLOOKUP($D966,RoleTitles!$A:$E,5,FALSE),VLOOKUP($D966,RoleTitles!$A:$E,3,FALSE))))</f>
        <v/>
      </c>
      <c r="J966" s="27">
        <f>IF($D966="","",IF($E966&gt;=VLOOKUP($D966,RoleTitles!$A:$B,2,FALSE),"Yes","No"))</f>
        <v/>
      </c>
      <c r="K966" s="27">
        <f>IF($D966="","",IF($D966="T1","T2",IF($D966="T2","T3",IF($D966="T3","T4",IF($D966="T4","T5",IF($D966="T5","T6",IF($D966="T6","T7",IF($D966="T7","T8",IF($D966="T8","T9","")))))))))</f>
        <v/>
      </c>
      <c r="L966" s="28">
        <f>IF($K966="","",MAX(0,VLOOKUP($K966,RoleTitles!$A:$B,2,FALSE)-$E966))</f>
        <v/>
      </c>
    </row>
    <row r="967">
      <c r="A967" s="24">
        <f>IFERROR(INDEX(CoachRoster!$A$2:$A$1000,ROW()-1),"")</f>
        <v/>
      </c>
      <c r="B967" s="27">
        <f>IF($A967="","",VLOOKUP($A967,CoachRoster!$A:$E,2,FALSE))</f>
        <v/>
      </c>
      <c r="C967" s="27">
        <f>IF($A967="","",VLOOKUP($A967,CoachRoster!$A:$E,3,FALSE))</f>
        <v/>
      </c>
      <c r="D967" s="27">
        <f>IF($A967="","",VLOOKUP($A967,CoachRoster!$A:$E,4,FALSE))</f>
        <v/>
      </c>
      <c r="E967" s="27">
        <f>IF($A967="","",MIN(Settings!$B$8,IFERROR(SUMIF(Weekly_Coaching!$B:$B,$A967,Weekly_Coaching!$D:$D),0)+IFERROR(SUMIF(Monthly_Edu!$B:$B,$A967,Monthly_Edu!$D:$D),0)+IFERROR(SUMIF(Monthly_Ops!$B:$B,$A967,Monthly_Ops!$D:$D),0)+IFERROR(SUMIF(Monthly_Mentor!$B:$B,$A967,Monthly_Mentor!$D:$D),0)+IFERROR(SUMIF(Quarterly_Impact!$B:$B,$A967,Quarterly_Impact!$D:$D),0)+IFERROR(SUMIFS(XPLog!$M:$M,XPLog!$B:$B,$A967,XPLog!$J:$J,"Admin"),0)+IFERROR(SUMIFS(XPLog!$M:$M,XPLog!$B:$B,$A967,XPLog!$J:$J,"Seeding"),0)))</f>
        <v/>
      </c>
      <c r="F967" s="27">
        <f>IF($E967="","",LOOKUP($E967, XPBands!B$2:B$10, XPBands!A$2:A$10))</f>
        <v/>
      </c>
      <c r="G967" s="27">
        <f>IF($E967="","", VLOOKUP($F967, XPBands!A$2:G$10, 4, FALSE) + MIN(VLOOKUP($F967, XPBands!A$2:G$10, 5, FALSE) - VLOOKUP($F967, XPBands!A$2:G$10, 4, FALSE), FLOOR(( $E967 - VLOOKUP($F967, XPBands!A$2:G$10, 2, FALSE) ) / VLOOKUP($F967, XPBands!A$2:G$10, 7, FALSE),1)))</f>
        <v/>
      </c>
      <c r="H967" s="27">
        <f>IF($D967="","",VLOOKUP($D967,RoleTitles!$A:$E,3,FALSE))</f>
        <v/>
      </c>
      <c r="I967" s="27">
        <f>IF($D967="","",IF($C967="Greek",VLOOKUP($D967,RoleTitles!$A:$E,4,FALSE),IF($C967="Aesir",VLOOKUP($D967,RoleTitles!$A:$E,5,FALSE),VLOOKUP($D967,RoleTitles!$A:$E,3,FALSE))))</f>
        <v/>
      </c>
      <c r="J967" s="27">
        <f>IF($D967="","",IF($E967&gt;=VLOOKUP($D967,RoleTitles!$A:$B,2,FALSE),"Yes","No"))</f>
        <v/>
      </c>
      <c r="K967" s="27">
        <f>IF($D967="","",IF($D967="T1","T2",IF($D967="T2","T3",IF($D967="T3","T4",IF($D967="T4","T5",IF($D967="T5","T6",IF($D967="T6","T7",IF($D967="T7","T8",IF($D967="T8","T9","")))))))))</f>
        <v/>
      </c>
      <c r="L967" s="28">
        <f>IF($K967="","",MAX(0,VLOOKUP($K967,RoleTitles!$A:$B,2,FALSE)-$E967))</f>
        <v/>
      </c>
    </row>
    <row r="968">
      <c r="A968" s="24">
        <f>IFERROR(INDEX(CoachRoster!$A$2:$A$1000,ROW()-1),"")</f>
        <v/>
      </c>
      <c r="B968" s="27">
        <f>IF($A968="","",VLOOKUP($A968,CoachRoster!$A:$E,2,FALSE))</f>
        <v/>
      </c>
      <c r="C968" s="27">
        <f>IF($A968="","",VLOOKUP($A968,CoachRoster!$A:$E,3,FALSE))</f>
        <v/>
      </c>
      <c r="D968" s="27">
        <f>IF($A968="","",VLOOKUP($A968,CoachRoster!$A:$E,4,FALSE))</f>
        <v/>
      </c>
      <c r="E968" s="27">
        <f>IF($A968="","",MIN(Settings!$B$8,IFERROR(SUMIF(Weekly_Coaching!$B:$B,$A968,Weekly_Coaching!$D:$D),0)+IFERROR(SUMIF(Monthly_Edu!$B:$B,$A968,Monthly_Edu!$D:$D),0)+IFERROR(SUMIF(Monthly_Ops!$B:$B,$A968,Monthly_Ops!$D:$D),0)+IFERROR(SUMIF(Monthly_Mentor!$B:$B,$A968,Monthly_Mentor!$D:$D),0)+IFERROR(SUMIF(Quarterly_Impact!$B:$B,$A968,Quarterly_Impact!$D:$D),0)+IFERROR(SUMIFS(XPLog!$M:$M,XPLog!$B:$B,$A968,XPLog!$J:$J,"Admin"),0)+IFERROR(SUMIFS(XPLog!$M:$M,XPLog!$B:$B,$A968,XPLog!$J:$J,"Seeding"),0)))</f>
        <v/>
      </c>
      <c r="F968" s="27">
        <f>IF($E968="","",LOOKUP($E968, XPBands!B$2:B$10, XPBands!A$2:A$10))</f>
        <v/>
      </c>
      <c r="G968" s="27">
        <f>IF($E968="","", VLOOKUP($F968, XPBands!A$2:G$10, 4, FALSE) + MIN(VLOOKUP($F968, XPBands!A$2:G$10, 5, FALSE) - VLOOKUP($F968, XPBands!A$2:G$10, 4, FALSE), FLOOR(( $E968 - VLOOKUP($F968, XPBands!A$2:G$10, 2, FALSE) ) / VLOOKUP($F968, XPBands!A$2:G$10, 7, FALSE),1)))</f>
        <v/>
      </c>
      <c r="H968" s="27">
        <f>IF($D968="","",VLOOKUP($D968,RoleTitles!$A:$E,3,FALSE))</f>
        <v/>
      </c>
      <c r="I968" s="27">
        <f>IF($D968="","",IF($C968="Greek",VLOOKUP($D968,RoleTitles!$A:$E,4,FALSE),IF($C968="Aesir",VLOOKUP($D968,RoleTitles!$A:$E,5,FALSE),VLOOKUP($D968,RoleTitles!$A:$E,3,FALSE))))</f>
        <v/>
      </c>
      <c r="J968" s="27">
        <f>IF($D968="","",IF($E968&gt;=VLOOKUP($D968,RoleTitles!$A:$B,2,FALSE),"Yes","No"))</f>
        <v/>
      </c>
      <c r="K968" s="27">
        <f>IF($D968="","",IF($D968="T1","T2",IF($D968="T2","T3",IF($D968="T3","T4",IF($D968="T4","T5",IF($D968="T5","T6",IF($D968="T6","T7",IF($D968="T7","T8",IF($D968="T8","T9","")))))))))</f>
        <v/>
      </c>
      <c r="L968" s="28">
        <f>IF($K968="","",MAX(0,VLOOKUP($K968,RoleTitles!$A:$B,2,FALSE)-$E968))</f>
        <v/>
      </c>
    </row>
    <row r="969">
      <c r="A969" s="24">
        <f>IFERROR(INDEX(CoachRoster!$A$2:$A$1000,ROW()-1),"")</f>
        <v/>
      </c>
      <c r="B969" s="27">
        <f>IF($A969="","",VLOOKUP($A969,CoachRoster!$A:$E,2,FALSE))</f>
        <v/>
      </c>
      <c r="C969" s="27">
        <f>IF($A969="","",VLOOKUP($A969,CoachRoster!$A:$E,3,FALSE))</f>
        <v/>
      </c>
      <c r="D969" s="27">
        <f>IF($A969="","",VLOOKUP($A969,CoachRoster!$A:$E,4,FALSE))</f>
        <v/>
      </c>
      <c r="E969" s="27">
        <f>IF($A969="","",MIN(Settings!$B$8,IFERROR(SUMIF(Weekly_Coaching!$B:$B,$A969,Weekly_Coaching!$D:$D),0)+IFERROR(SUMIF(Monthly_Edu!$B:$B,$A969,Monthly_Edu!$D:$D),0)+IFERROR(SUMIF(Monthly_Ops!$B:$B,$A969,Monthly_Ops!$D:$D),0)+IFERROR(SUMIF(Monthly_Mentor!$B:$B,$A969,Monthly_Mentor!$D:$D),0)+IFERROR(SUMIF(Quarterly_Impact!$B:$B,$A969,Quarterly_Impact!$D:$D),0)+IFERROR(SUMIFS(XPLog!$M:$M,XPLog!$B:$B,$A969,XPLog!$J:$J,"Admin"),0)+IFERROR(SUMIFS(XPLog!$M:$M,XPLog!$B:$B,$A969,XPLog!$J:$J,"Seeding"),0)))</f>
        <v/>
      </c>
      <c r="F969" s="27">
        <f>IF($E969="","",LOOKUP($E969, XPBands!B$2:B$10, XPBands!A$2:A$10))</f>
        <v/>
      </c>
      <c r="G969" s="27">
        <f>IF($E969="","", VLOOKUP($F969, XPBands!A$2:G$10, 4, FALSE) + MIN(VLOOKUP($F969, XPBands!A$2:G$10, 5, FALSE) - VLOOKUP($F969, XPBands!A$2:G$10, 4, FALSE), FLOOR(( $E969 - VLOOKUP($F969, XPBands!A$2:G$10, 2, FALSE) ) / VLOOKUP($F969, XPBands!A$2:G$10, 7, FALSE),1)))</f>
        <v/>
      </c>
      <c r="H969" s="27">
        <f>IF($D969="","",VLOOKUP($D969,RoleTitles!$A:$E,3,FALSE))</f>
        <v/>
      </c>
      <c r="I969" s="27">
        <f>IF($D969="","",IF($C969="Greek",VLOOKUP($D969,RoleTitles!$A:$E,4,FALSE),IF($C969="Aesir",VLOOKUP($D969,RoleTitles!$A:$E,5,FALSE),VLOOKUP($D969,RoleTitles!$A:$E,3,FALSE))))</f>
        <v/>
      </c>
      <c r="J969" s="27">
        <f>IF($D969="","",IF($E969&gt;=VLOOKUP($D969,RoleTitles!$A:$B,2,FALSE),"Yes","No"))</f>
        <v/>
      </c>
      <c r="K969" s="27">
        <f>IF($D969="","",IF($D969="T1","T2",IF($D969="T2","T3",IF($D969="T3","T4",IF($D969="T4","T5",IF($D969="T5","T6",IF($D969="T6","T7",IF($D969="T7","T8",IF($D969="T8","T9","")))))))))</f>
        <v/>
      </c>
      <c r="L969" s="28">
        <f>IF($K969="","",MAX(0,VLOOKUP($K969,RoleTitles!$A:$B,2,FALSE)-$E969))</f>
        <v/>
      </c>
    </row>
    <row r="970">
      <c r="A970" s="24">
        <f>IFERROR(INDEX(CoachRoster!$A$2:$A$1000,ROW()-1),"")</f>
        <v/>
      </c>
      <c r="B970" s="27">
        <f>IF($A970="","",VLOOKUP($A970,CoachRoster!$A:$E,2,FALSE))</f>
        <v/>
      </c>
      <c r="C970" s="27">
        <f>IF($A970="","",VLOOKUP($A970,CoachRoster!$A:$E,3,FALSE))</f>
        <v/>
      </c>
      <c r="D970" s="27">
        <f>IF($A970="","",VLOOKUP($A970,CoachRoster!$A:$E,4,FALSE))</f>
        <v/>
      </c>
      <c r="E970" s="27">
        <f>IF($A970="","",MIN(Settings!$B$8,IFERROR(SUMIF(Weekly_Coaching!$B:$B,$A970,Weekly_Coaching!$D:$D),0)+IFERROR(SUMIF(Monthly_Edu!$B:$B,$A970,Monthly_Edu!$D:$D),0)+IFERROR(SUMIF(Monthly_Ops!$B:$B,$A970,Monthly_Ops!$D:$D),0)+IFERROR(SUMIF(Monthly_Mentor!$B:$B,$A970,Monthly_Mentor!$D:$D),0)+IFERROR(SUMIF(Quarterly_Impact!$B:$B,$A970,Quarterly_Impact!$D:$D),0)+IFERROR(SUMIFS(XPLog!$M:$M,XPLog!$B:$B,$A970,XPLog!$J:$J,"Admin"),0)+IFERROR(SUMIFS(XPLog!$M:$M,XPLog!$B:$B,$A970,XPLog!$J:$J,"Seeding"),0)))</f>
        <v/>
      </c>
      <c r="F970" s="27">
        <f>IF($E970="","",LOOKUP($E970, XPBands!B$2:B$10, XPBands!A$2:A$10))</f>
        <v/>
      </c>
      <c r="G970" s="27">
        <f>IF($E970="","", VLOOKUP($F970, XPBands!A$2:G$10, 4, FALSE) + MIN(VLOOKUP($F970, XPBands!A$2:G$10, 5, FALSE) - VLOOKUP($F970, XPBands!A$2:G$10, 4, FALSE), FLOOR(( $E970 - VLOOKUP($F970, XPBands!A$2:G$10, 2, FALSE) ) / VLOOKUP($F970, XPBands!A$2:G$10, 7, FALSE),1)))</f>
        <v/>
      </c>
      <c r="H970" s="27">
        <f>IF($D970="","",VLOOKUP($D970,RoleTitles!$A:$E,3,FALSE))</f>
        <v/>
      </c>
      <c r="I970" s="27">
        <f>IF($D970="","",IF($C970="Greek",VLOOKUP($D970,RoleTitles!$A:$E,4,FALSE),IF($C970="Aesir",VLOOKUP($D970,RoleTitles!$A:$E,5,FALSE),VLOOKUP($D970,RoleTitles!$A:$E,3,FALSE))))</f>
        <v/>
      </c>
      <c r="J970" s="27">
        <f>IF($D970="","",IF($E970&gt;=VLOOKUP($D970,RoleTitles!$A:$B,2,FALSE),"Yes","No"))</f>
        <v/>
      </c>
      <c r="K970" s="27">
        <f>IF($D970="","",IF($D970="T1","T2",IF($D970="T2","T3",IF($D970="T3","T4",IF($D970="T4","T5",IF($D970="T5","T6",IF($D970="T6","T7",IF($D970="T7","T8",IF($D970="T8","T9","")))))))))</f>
        <v/>
      </c>
      <c r="L970" s="28">
        <f>IF($K970="","",MAX(0,VLOOKUP($K970,RoleTitles!$A:$B,2,FALSE)-$E970))</f>
        <v/>
      </c>
    </row>
    <row r="971">
      <c r="A971" s="24">
        <f>IFERROR(INDEX(CoachRoster!$A$2:$A$1000,ROW()-1),"")</f>
        <v/>
      </c>
      <c r="B971" s="27">
        <f>IF($A971="","",VLOOKUP($A971,CoachRoster!$A:$E,2,FALSE))</f>
        <v/>
      </c>
      <c r="C971" s="27">
        <f>IF($A971="","",VLOOKUP($A971,CoachRoster!$A:$E,3,FALSE))</f>
        <v/>
      </c>
      <c r="D971" s="27">
        <f>IF($A971="","",VLOOKUP($A971,CoachRoster!$A:$E,4,FALSE))</f>
        <v/>
      </c>
      <c r="E971" s="27">
        <f>IF($A971="","",MIN(Settings!$B$8,IFERROR(SUMIF(Weekly_Coaching!$B:$B,$A971,Weekly_Coaching!$D:$D),0)+IFERROR(SUMIF(Monthly_Edu!$B:$B,$A971,Monthly_Edu!$D:$D),0)+IFERROR(SUMIF(Monthly_Ops!$B:$B,$A971,Monthly_Ops!$D:$D),0)+IFERROR(SUMIF(Monthly_Mentor!$B:$B,$A971,Monthly_Mentor!$D:$D),0)+IFERROR(SUMIF(Quarterly_Impact!$B:$B,$A971,Quarterly_Impact!$D:$D),0)+IFERROR(SUMIFS(XPLog!$M:$M,XPLog!$B:$B,$A971,XPLog!$J:$J,"Admin"),0)+IFERROR(SUMIFS(XPLog!$M:$M,XPLog!$B:$B,$A971,XPLog!$J:$J,"Seeding"),0)))</f>
        <v/>
      </c>
      <c r="F971" s="27">
        <f>IF($E971="","",LOOKUP($E971, XPBands!B$2:B$10, XPBands!A$2:A$10))</f>
        <v/>
      </c>
      <c r="G971" s="27">
        <f>IF($E971="","", VLOOKUP($F971, XPBands!A$2:G$10, 4, FALSE) + MIN(VLOOKUP($F971, XPBands!A$2:G$10, 5, FALSE) - VLOOKUP($F971, XPBands!A$2:G$10, 4, FALSE), FLOOR(( $E971 - VLOOKUP($F971, XPBands!A$2:G$10, 2, FALSE) ) / VLOOKUP($F971, XPBands!A$2:G$10, 7, FALSE),1)))</f>
        <v/>
      </c>
      <c r="H971" s="27">
        <f>IF($D971="","",VLOOKUP($D971,RoleTitles!$A:$E,3,FALSE))</f>
        <v/>
      </c>
      <c r="I971" s="27">
        <f>IF($D971="","",IF($C971="Greek",VLOOKUP($D971,RoleTitles!$A:$E,4,FALSE),IF($C971="Aesir",VLOOKUP($D971,RoleTitles!$A:$E,5,FALSE),VLOOKUP($D971,RoleTitles!$A:$E,3,FALSE))))</f>
        <v/>
      </c>
      <c r="J971" s="27">
        <f>IF($D971="","",IF($E971&gt;=VLOOKUP($D971,RoleTitles!$A:$B,2,FALSE),"Yes","No"))</f>
        <v/>
      </c>
      <c r="K971" s="27">
        <f>IF($D971="","",IF($D971="T1","T2",IF($D971="T2","T3",IF($D971="T3","T4",IF($D971="T4","T5",IF($D971="T5","T6",IF($D971="T6","T7",IF($D971="T7","T8",IF($D971="T8","T9","")))))))))</f>
        <v/>
      </c>
      <c r="L971" s="28">
        <f>IF($K971="","",MAX(0,VLOOKUP($K971,RoleTitles!$A:$B,2,FALSE)-$E971))</f>
        <v/>
      </c>
    </row>
    <row r="972">
      <c r="A972" s="24">
        <f>IFERROR(INDEX(CoachRoster!$A$2:$A$1000,ROW()-1),"")</f>
        <v/>
      </c>
      <c r="B972" s="27">
        <f>IF($A972="","",VLOOKUP($A972,CoachRoster!$A:$E,2,FALSE))</f>
        <v/>
      </c>
      <c r="C972" s="27">
        <f>IF($A972="","",VLOOKUP($A972,CoachRoster!$A:$E,3,FALSE))</f>
        <v/>
      </c>
      <c r="D972" s="27">
        <f>IF($A972="","",VLOOKUP($A972,CoachRoster!$A:$E,4,FALSE))</f>
        <v/>
      </c>
      <c r="E972" s="27">
        <f>IF($A972="","",MIN(Settings!$B$8,IFERROR(SUMIF(Weekly_Coaching!$B:$B,$A972,Weekly_Coaching!$D:$D),0)+IFERROR(SUMIF(Monthly_Edu!$B:$B,$A972,Monthly_Edu!$D:$D),0)+IFERROR(SUMIF(Monthly_Ops!$B:$B,$A972,Monthly_Ops!$D:$D),0)+IFERROR(SUMIF(Monthly_Mentor!$B:$B,$A972,Monthly_Mentor!$D:$D),0)+IFERROR(SUMIF(Quarterly_Impact!$B:$B,$A972,Quarterly_Impact!$D:$D),0)+IFERROR(SUMIFS(XPLog!$M:$M,XPLog!$B:$B,$A972,XPLog!$J:$J,"Admin"),0)+IFERROR(SUMIFS(XPLog!$M:$M,XPLog!$B:$B,$A972,XPLog!$J:$J,"Seeding"),0)))</f>
        <v/>
      </c>
      <c r="F972" s="27">
        <f>IF($E972="","",LOOKUP($E972, XPBands!B$2:B$10, XPBands!A$2:A$10))</f>
        <v/>
      </c>
      <c r="G972" s="27">
        <f>IF($E972="","", VLOOKUP($F972, XPBands!A$2:G$10, 4, FALSE) + MIN(VLOOKUP($F972, XPBands!A$2:G$10, 5, FALSE) - VLOOKUP($F972, XPBands!A$2:G$10, 4, FALSE), FLOOR(( $E972 - VLOOKUP($F972, XPBands!A$2:G$10, 2, FALSE) ) / VLOOKUP($F972, XPBands!A$2:G$10, 7, FALSE),1)))</f>
        <v/>
      </c>
      <c r="H972" s="27">
        <f>IF($D972="","",VLOOKUP($D972,RoleTitles!$A:$E,3,FALSE))</f>
        <v/>
      </c>
      <c r="I972" s="27">
        <f>IF($D972="","",IF($C972="Greek",VLOOKUP($D972,RoleTitles!$A:$E,4,FALSE),IF($C972="Aesir",VLOOKUP($D972,RoleTitles!$A:$E,5,FALSE),VLOOKUP($D972,RoleTitles!$A:$E,3,FALSE))))</f>
        <v/>
      </c>
      <c r="J972" s="27">
        <f>IF($D972="","",IF($E972&gt;=VLOOKUP($D972,RoleTitles!$A:$B,2,FALSE),"Yes","No"))</f>
        <v/>
      </c>
      <c r="K972" s="27">
        <f>IF($D972="","",IF($D972="T1","T2",IF($D972="T2","T3",IF($D972="T3","T4",IF($D972="T4","T5",IF($D972="T5","T6",IF($D972="T6","T7",IF($D972="T7","T8",IF($D972="T8","T9","")))))))))</f>
        <v/>
      </c>
      <c r="L972" s="28">
        <f>IF($K972="","",MAX(0,VLOOKUP($K972,RoleTitles!$A:$B,2,FALSE)-$E972))</f>
        <v/>
      </c>
    </row>
    <row r="973">
      <c r="A973" s="24">
        <f>IFERROR(INDEX(CoachRoster!$A$2:$A$1000,ROW()-1),"")</f>
        <v/>
      </c>
      <c r="B973" s="27">
        <f>IF($A973="","",VLOOKUP($A973,CoachRoster!$A:$E,2,FALSE))</f>
        <v/>
      </c>
      <c r="C973" s="27">
        <f>IF($A973="","",VLOOKUP($A973,CoachRoster!$A:$E,3,FALSE))</f>
        <v/>
      </c>
      <c r="D973" s="27">
        <f>IF($A973="","",VLOOKUP($A973,CoachRoster!$A:$E,4,FALSE))</f>
        <v/>
      </c>
      <c r="E973" s="27">
        <f>IF($A973="","",MIN(Settings!$B$8,IFERROR(SUMIF(Weekly_Coaching!$B:$B,$A973,Weekly_Coaching!$D:$D),0)+IFERROR(SUMIF(Monthly_Edu!$B:$B,$A973,Monthly_Edu!$D:$D),0)+IFERROR(SUMIF(Monthly_Ops!$B:$B,$A973,Monthly_Ops!$D:$D),0)+IFERROR(SUMIF(Monthly_Mentor!$B:$B,$A973,Monthly_Mentor!$D:$D),0)+IFERROR(SUMIF(Quarterly_Impact!$B:$B,$A973,Quarterly_Impact!$D:$D),0)+IFERROR(SUMIFS(XPLog!$M:$M,XPLog!$B:$B,$A973,XPLog!$J:$J,"Admin"),0)+IFERROR(SUMIFS(XPLog!$M:$M,XPLog!$B:$B,$A973,XPLog!$J:$J,"Seeding"),0)))</f>
        <v/>
      </c>
      <c r="F973" s="27">
        <f>IF($E973="","",LOOKUP($E973, XPBands!B$2:B$10, XPBands!A$2:A$10))</f>
        <v/>
      </c>
      <c r="G973" s="27">
        <f>IF($E973="","", VLOOKUP($F973, XPBands!A$2:G$10, 4, FALSE) + MIN(VLOOKUP($F973, XPBands!A$2:G$10, 5, FALSE) - VLOOKUP($F973, XPBands!A$2:G$10, 4, FALSE), FLOOR(( $E973 - VLOOKUP($F973, XPBands!A$2:G$10, 2, FALSE) ) / VLOOKUP($F973, XPBands!A$2:G$10, 7, FALSE),1)))</f>
        <v/>
      </c>
      <c r="H973" s="27">
        <f>IF($D973="","",VLOOKUP($D973,RoleTitles!$A:$E,3,FALSE))</f>
        <v/>
      </c>
      <c r="I973" s="27">
        <f>IF($D973="","",IF($C973="Greek",VLOOKUP($D973,RoleTitles!$A:$E,4,FALSE),IF($C973="Aesir",VLOOKUP($D973,RoleTitles!$A:$E,5,FALSE),VLOOKUP($D973,RoleTitles!$A:$E,3,FALSE))))</f>
        <v/>
      </c>
      <c r="J973" s="27">
        <f>IF($D973="","",IF($E973&gt;=VLOOKUP($D973,RoleTitles!$A:$B,2,FALSE),"Yes","No"))</f>
        <v/>
      </c>
      <c r="K973" s="27">
        <f>IF($D973="","",IF($D973="T1","T2",IF($D973="T2","T3",IF($D973="T3","T4",IF($D973="T4","T5",IF($D973="T5","T6",IF($D973="T6","T7",IF($D973="T7","T8",IF($D973="T8","T9","")))))))))</f>
        <v/>
      </c>
      <c r="L973" s="28">
        <f>IF($K973="","",MAX(0,VLOOKUP($K973,RoleTitles!$A:$B,2,FALSE)-$E973))</f>
        <v/>
      </c>
    </row>
    <row r="974">
      <c r="A974" s="24">
        <f>IFERROR(INDEX(CoachRoster!$A$2:$A$1000,ROW()-1),"")</f>
        <v/>
      </c>
      <c r="B974" s="27">
        <f>IF($A974="","",VLOOKUP($A974,CoachRoster!$A:$E,2,FALSE))</f>
        <v/>
      </c>
      <c r="C974" s="27">
        <f>IF($A974="","",VLOOKUP($A974,CoachRoster!$A:$E,3,FALSE))</f>
        <v/>
      </c>
      <c r="D974" s="27">
        <f>IF($A974="","",VLOOKUP($A974,CoachRoster!$A:$E,4,FALSE))</f>
        <v/>
      </c>
      <c r="E974" s="27">
        <f>IF($A974="","",MIN(Settings!$B$8,IFERROR(SUMIF(Weekly_Coaching!$B:$B,$A974,Weekly_Coaching!$D:$D),0)+IFERROR(SUMIF(Monthly_Edu!$B:$B,$A974,Monthly_Edu!$D:$D),0)+IFERROR(SUMIF(Monthly_Ops!$B:$B,$A974,Monthly_Ops!$D:$D),0)+IFERROR(SUMIF(Monthly_Mentor!$B:$B,$A974,Monthly_Mentor!$D:$D),0)+IFERROR(SUMIF(Quarterly_Impact!$B:$B,$A974,Quarterly_Impact!$D:$D),0)+IFERROR(SUMIFS(XPLog!$M:$M,XPLog!$B:$B,$A974,XPLog!$J:$J,"Admin"),0)+IFERROR(SUMIFS(XPLog!$M:$M,XPLog!$B:$B,$A974,XPLog!$J:$J,"Seeding"),0)))</f>
        <v/>
      </c>
      <c r="F974" s="27">
        <f>IF($E974="","",LOOKUP($E974, XPBands!B$2:B$10, XPBands!A$2:A$10))</f>
        <v/>
      </c>
      <c r="G974" s="27">
        <f>IF($E974="","", VLOOKUP($F974, XPBands!A$2:G$10, 4, FALSE) + MIN(VLOOKUP($F974, XPBands!A$2:G$10, 5, FALSE) - VLOOKUP($F974, XPBands!A$2:G$10, 4, FALSE), FLOOR(( $E974 - VLOOKUP($F974, XPBands!A$2:G$10, 2, FALSE) ) / VLOOKUP($F974, XPBands!A$2:G$10, 7, FALSE),1)))</f>
        <v/>
      </c>
      <c r="H974" s="27">
        <f>IF($D974="","",VLOOKUP($D974,RoleTitles!$A:$E,3,FALSE))</f>
        <v/>
      </c>
      <c r="I974" s="27">
        <f>IF($D974="","",IF($C974="Greek",VLOOKUP($D974,RoleTitles!$A:$E,4,FALSE),IF($C974="Aesir",VLOOKUP($D974,RoleTitles!$A:$E,5,FALSE),VLOOKUP($D974,RoleTitles!$A:$E,3,FALSE))))</f>
        <v/>
      </c>
      <c r="J974" s="27">
        <f>IF($D974="","",IF($E974&gt;=VLOOKUP($D974,RoleTitles!$A:$B,2,FALSE),"Yes","No"))</f>
        <v/>
      </c>
      <c r="K974" s="27">
        <f>IF($D974="","",IF($D974="T1","T2",IF($D974="T2","T3",IF($D974="T3","T4",IF($D974="T4","T5",IF($D974="T5","T6",IF($D974="T6","T7",IF($D974="T7","T8",IF($D974="T8","T9","")))))))))</f>
        <v/>
      </c>
      <c r="L974" s="28">
        <f>IF($K974="","",MAX(0,VLOOKUP($K974,RoleTitles!$A:$B,2,FALSE)-$E974))</f>
        <v/>
      </c>
    </row>
    <row r="975">
      <c r="A975" s="24">
        <f>IFERROR(INDEX(CoachRoster!$A$2:$A$1000,ROW()-1),"")</f>
        <v/>
      </c>
      <c r="B975" s="27">
        <f>IF($A975="","",VLOOKUP($A975,CoachRoster!$A:$E,2,FALSE))</f>
        <v/>
      </c>
      <c r="C975" s="27">
        <f>IF($A975="","",VLOOKUP($A975,CoachRoster!$A:$E,3,FALSE))</f>
        <v/>
      </c>
      <c r="D975" s="27">
        <f>IF($A975="","",VLOOKUP($A975,CoachRoster!$A:$E,4,FALSE))</f>
        <v/>
      </c>
      <c r="E975" s="27">
        <f>IF($A975="","",MIN(Settings!$B$8,IFERROR(SUMIF(Weekly_Coaching!$B:$B,$A975,Weekly_Coaching!$D:$D),0)+IFERROR(SUMIF(Monthly_Edu!$B:$B,$A975,Monthly_Edu!$D:$D),0)+IFERROR(SUMIF(Monthly_Ops!$B:$B,$A975,Monthly_Ops!$D:$D),0)+IFERROR(SUMIF(Monthly_Mentor!$B:$B,$A975,Monthly_Mentor!$D:$D),0)+IFERROR(SUMIF(Quarterly_Impact!$B:$B,$A975,Quarterly_Impact!$D:$D),0)+IFERROR(SUMIFS(XPLog!$M:$M,XPLog!$B:$B,$A975,XPLog!$J:$J,"Admin"),0)+IFERROR(SUMIFS(XPLog!$M:$M,XPLog!$B:$B,$A975,XPLog!$J:$J,"Seeding"),0)))</f>
        <v/>
      </c>
      <c r="F975" s="27">
        <f>IF($E975="","",LOOKUP($E975, XPBands!B$2:B$10, XPBands!A$2:A$10))</f>
        <v/>
      </c>
      <c r="G975" s="27">
        <f>IF($E975="","", VLOOKUP($F975, XPBands!A$2:G$10, 4, FALSE) + MIN(VLOOKUP($F975, XPBands!A$2:G$10, 5, FALSE) - VLOOKUP($F975, XPBands!A$2:G$10, 4, FALSE), FLOOR(( $E975 - VLOOKUP($F975, XPBands!A$2:G$10, 2, FALSE) ) / VLOOKUP($F975, XPBands!A$2:G$10, 7, FALSE),1)))</f>
        <v/>
      </c>
      <c r="H975" s="27">
        <f>IF($D975="","",VLOOKUP($D975,RoleTitles!$A:$E,3,FALSE))</f>
        <v/>
      </c>
      <c r="I975" s="27">
        <f>IF($D975="","",IF($C975="Greek",VLOOKUP($D975,RoleTitles!$A:$E,4,FALSE),IF($C975="Aesir",VLOOKUP($D975,RoleTitles!$A:$E,5,FALSE),VLOOKUP($D975,RoleTitles!$A:$E,3,FALSE))))</f>
        <v/>
      </c>
      <c r="J975" s="27">
        <f>IF($D975="","",IF($E975&gt;=VLOOKUP($D975,RoleTitles!$A:$B,2,FALSE),"Yes","No"))</f>
        <v/>
      </c>
      <c r="K975" s="27">
        <f>IF($D975="","",IF($D975="T1","T2",IF($D975="T2","T3",IF($D975="T3","T4",IF($D975="T4","T5",IF($D975="T5","T6",IF($D975="T6","T7",IF($D975="T7","T8",IF($D975="T8","T9","")))))))))</f>
        <v/>
      </c>
      <c r="L975" s="28">
        <f>IF($K975="","",MAX(0,VLOOKUP($K975,RoleTitles!$A:$B,2,FALSE)-$E975))</f>
        <v/>
      </c>
    </row>
    <row r="976">
      <c r="A976" s="24">
        <f>IFERROR(INDEX(CoachRoster!$A$2:$A$1000,ROW()-1),"")</f>
        <v/>
      </c>
      <c r="B976" s="27">
        <f>IF($A976="","",VLOOKUP($A976,CoachRoster!$A:$E,2,FALSE))</f>
        <v/>
      </c>
      <c r="C976" s="27">
        <f>IF($A976="","",VLOOKUP($A976,CoachRoster!$A:$E,3,FALSE))</f>
        <v/>
      </c>
      <c r="D976" s="27">
        <f>IF($A976="","",VLOOKUP($A976,CoachRoster!$A:$E,4,FALSE))</f>
        <v/>
      </c>
      <c r="E976" s="27">
        <f>IF($A976="","",MIN(Settings!$B$8,IFERROR(SUMIF(Weekly_Coaching!$B:$B,$A976,Weekly_Coaching!$D:$D),0)+IFERROR(SUMIF(Monthly_Edu!$B:$B,$A976,Monthly_Edu!$D:$D),0)+IFERROR(SUMIF(Monthly_Ops!$B:$B,$A976,Monthly_Ops!$D:$D),0)+IFERROR(SUMIF(Monthly_Mentor!$B:$B,$A976,Monthly_Mentor!$D:$D),0)+IFERROR(SUMIF(Quarterly_Impact!$B:$B,$A976,Quarterly_Impact!$D:$D),0)+IFERROR(SUMIFS(XPLog!$M:$M,XPLog!$B:$B,$A976,XPLog!$J:$J,"Admin"),0)+IFERROR(SUMIFS(XPLog!$M:$M,XPLog!$B:$B,$A976,XPLog!$J:$J,"Seeding"),0)))</f>
        <v/>
      </c>
      <c r="F976" s="27">
        <f>IF($E976="","",LOOKUP($E976, XPBands!B$2:B$10, XPBands!A$2:A$10))</f>
        <v/>
      </c>
      <c r="G976" s="27">
        <f>IF($E976="","", VLOOKUP($F976, XPBands!A$2:G$10, 4, FALSE) + MIN(VLOOKUP($F976, XPBands!A$2:G$10, 5, FALSE) - VLOOKUP($F976, XPBands!A$2:G$10, 4, FALSE), FLOOR(( $E976 - VLOOKUP($F976, XPBands!A$2:G$10, 2, FALSE) ) / VLOOKUP($F976, XPBands!A$2:G$10, 7, FALSE),1)))</f>
        <v/>
      </c>
      <c r="H976" s="27">
        <f>IF($D976="","",VLOOKUP($D976,RoleTitles!$A:$E,3,FALSE))</f>
        <v/>
      </c>
      <c r="I976" s="27">
        <f>IF($D976="","",IF($C976="Greek",VLOOKUP($D976,RoleTitles!$A:$E,4,FALSE),IF($C976="Aesir",VLOOKUP($D976,RoleTitles!$A:$E,5,FALSE),VLOOKUP($D976,RoleTitles!$A:$E,3,FALSE))))</f>
        <v/>
      </c>
      <c r="J976" s="27">
        <f>IF($D976="","",IF($E976&gt;=VLOOKUP($D976,RoleTitles!$A:$B,2,FALSE),"Yes","No"))</f>
        <v/>
      </c>
      <c r="K976" s="27">
        <f>IF($D976="","",IF($D976="T1","T2",IF($D976="T2","T3",IF($D976="T3","T4",IF($D976="T4","T5",IF($D976="T5","T6",IF($D976="T6","T7",IF($D976="T7","T8",IF($D976="T8","T9","")))))))))</f>
        <v/>
      </c>
      <c r="L976" s="28">
        <f>IF($K976="","",MAX(0,VLOOKUP($K976,RoleTitles!$A:$B,2,FALSE)-$E976))</f>
        <v/>
      </c>
    </row>
    <row r="977">
      <c r="A977" s="24">
        <f>IFERROR(INDEX(CoachRoster!$A$2:$A$1000,ROW()-1),"")</f>
        <v/>
      </c>
      <c r="B977" s="27">
        <f>IF($A977="","",VLOOKUP($A977,CoachRoster!$A:$E,2,FALSE))</f>
        <v/>
      </c>
      <c r="C977" s="27">
        <f>IF($A977="","",VLOOKUP($A977,CoachRoster!$A:$E,3,FALSE))</f>
        <v/>
      </c>
      <c r="D977" s="27">
        <f>IF($A977="","",VLOOKUP($A977,CoachRoster!$A:$E,4,FALSE))</f>
        <v/>
      </c>
      <c r="E977" s="27">
        <f>IF($A977="","",MIN(Settings!$B$8,IFERROR(SUMIF(Weekly_Coaching!$B:$B,$A977,Weekly_Coaching!$D:$D),0)+IFERROR(SUMIF(Monthly_Edu!$B:$B,$A977,Monthly_Edu!$D:$D),0)+IFERROR(SUMIF(Monthly_Ops!$B:$B,$A977,Monthly_Ops!$D:$D),0)+IFERROR(SUMIF(Monthly_Mentor!$B:$B,$A977,Monthly_Mentor!$D:$D),0)+IFERROR(SUMIF(Quarterly_Impact!$B:$B,$A977,Quarterly_Impact!$D:$D),0)+IFERROR(SUMIFS(XPLog!$M:$M,XPLog!$B:$B,$A977,XPLog!$J:$J,"Admin"),0)+IFERROR(SUMIFS(XPLog!$M:$M,XPLog!$B:$B,$A977,XPLog!$J:$J,"Seeding"),0)))</f>
        <v/>
      </c>
      <c r="F977" s="27">
        <f>IF($E977="","",LOOKUP($E977, XPBands!B$2:B$10, XPBands!A$2:A$10))</f>
        <v/>
      </c>
      <c r="G977" s="27">
        <f>IF($E977="","", VLOOKUP($F977, XPBands!A$2:G$10, 4, FALSE) + MIN(VLOOKUP($F977, XPBands!A$2:G$10, 5, FALSE) - VLOOKUP($F977, XPBands!A$2:G$10, 4, FALSE), FLOOR(( $E977 - VLOOKUP($F977, XPBands!A$2:G$10, 2, FALSE) ) / VLOOKUP($F977, XPBands!A$2:G$10, 7, FALSE),1)))</f>
        <v/>
      </c>
      <c r="H977" s="27">
        <f>IF($D977="","",VLOOKUP($D977,RoleTitles!$A:$E,3,FALSE))</f>
        <v/>
      </c>
      <c r="I977" s="27">
        <f>IF($D977="","",IF($C977="Greek",VLOOKUP($D977,RoleTitles!$A:$E,4,FALSE),IF($C977="Aesir",VLOOKUP($D977,RoleTitles!$A:$E,5,FALSE),VLOOKUP($D977,RoleTitles!$A:$E,3,FALSE))))</f>
        <v/>
      </c>
      <c r="J977" s="27">
        <f>IF($D977="","",IF($E977&gt;=VLOOKUP($D977,RoleTitles!$A:$B,2,FALSE),"Yes","No"))</f>
        <v/>
      </c>
      <c r="K977" s="27">
        <f>IF($D977="","",IF($D977="T1","T2",IF($D977="T2","T3",IF($D977="T3","T4",IF($D977="T4","T5",IF($D977="T5","T6",IF($D977="T6","T7",IF($D977="T7","T8",IF($D977="T8","T9","")))))))))</f>
        <v/>
      </c>
      <c r="L977" s="28">
        <f>IF($K977="","",MAX(0,VLOOKUP($K977,RoleTitles!$A:$B,2,FALSE)-$E977))</f>
        <v/>
      </c>
    </row>
    <row r="978">
      <c r="A978" s="24">
        <f>IFERROR(INDEX(CoachRoster!$A$2:$A$1000,ROW()-1),"")</f>
        <v/>
      </c>
      <c r="B978" s="27">
        <f>IF($A978="","",VLOOKUP($A978,CoachRoster!$A:$E,2,FALSE))</f>
        <v/>
      </c>
      <c r="C978" s="27">
        <f>IF($A978="","",VLOOKUP($A978,CoachRoster!$A:$E,3,FALSE))</f>
        <v/>
      </c>
      <c r="D978" s="27">
        <f>IF($A978="","",VLOOKUP($A978,CoachRoster!$A:$E,4,FALSE))</f>
        <v/>
      </c>
      <c r="E978" s="27">
        <f>IF($A978="","",MIN(Settings!$B$8,IFERROR(SUMIF(Weekly_Coaching!$B:$B,$A978,Weekly_Coaching!$D:$D),0)+IFERROR(SUMIF(Monthly_Edu!$B:$B,$A978,Monthly_Edu!$D:$D),0)+IFERROR(SUMIF(Monthly_Ops!$B:$B,$A978,Monthly_Ops!$D:$D),0)+IFERROR(SUMIF(Monthly_Mentor!$B:$B,$A978,Monthly_Mentor!$D:$D),0)+IFERROR(SUMIF(Quarterly_Impact!$B:$B,$A978,Quarterly_Impact!$D:$D),0)+IFERROR(SUMIFS(XPLog!$M:$M,XPLog!$B:$B,$A978,XPLog!$J:$J,"Admin"),0)+IFERROR(SUMIFS(XPLog!$M:$M,XPLog!$B:$B,$A978,XPLog!$J:$J,"Seeding"),0)))</f>
        <v/>
      </c>
      <c r="F978" s="27">
        <f>IF($E978="","",LOOKUP($E978, XPBands!B$2:B$10, XPBands!A$2:A$10))</f>
        <v/>
      </c>
      <c r="G978" s="27">
        <f>IF($E978="","", VLOOKUP($F978, XPBands!A$2:G$10, 4, FALSE) + MIN(VLOOKUP($F978, XPBands!A$2:G$10, 5, FALSE) - VLOOKUP($F978, XPBands!A$2:G$10, 4, FALSE), FLOOR(( $E978 - VLOOKUP($F978, XPBands!A$2:G$10, 2, FALSE) ) / VLOOKUP($F978, XPBands!A$2:G$10, 7, FALSE),1)))</f>
        <v/>
      </c>
      <c r="H978" s="27">
        <f>IF($D978="","",VLOOKUP($D978,RoleTitles!$A:$E,3,FALSE))</f>
        <v/>
      </c>
      <c r="I978" s="27">
        <f>IF($D978="","",IF($C978="Greek",VLOOKUP($D978,RoleTitles!$A:$E,4,FALSE),IF($C978="Aesir",VLOOKUP($D978,RoleTitles!$A:$E,5,FALSE),VLOOKUP($D978,RoleTitles!$A:$E,3,FALSE))))</f>
        <v/>
      </c>
      <c r="J978" s="27">
        <f>IF($D978="","",IF($E978&gt;=VLOOKUP($D978,RoleTitles!$A:$B,2,FALSE),"Yes","No"))</f>
        <v/>
      </c>
      <c r="K978" s="27">
        <f>IF($D978="","",IF($D978="T1","T2",IF($D978="T2","T3",IF($D978="T3","T4",IF($D978="T4","T5",IF($D978="T5","T6",IF($D978="T6","T7",IF($D978="T7","T8",IF($D978="T8","T9","")))))))))</f>
        <v/>
      </c>
      <c r="L978" s="28">
        <f>IF($K978="","",MAX(0,VLOOKUP($K978,RoleTitles!$A:$B,2,FALSE)-$E978))</f>
        <v/>
      </c>
    </row>
    <row r="979">
      <c r="A979" s="24">
        <f>IFERROR(INDEX(CoachRoster!$A$2:$A$1000,ROW()-1),"")</f>
        <v/>
      </c>
      <c r="B979" s="27">
        <f>IF($A979="","",VLOOKUP($A979,CoachRoster!$A:$E,2,FALSE))</f>
        <v/>
      </c>
      <c r="C979" s="27">
        <f>IF($A979="","",VLOOKUP($A979,CoachRoster!$A:$E,3,FALSE))</f>
        <v/>
      </c>
      <c r="D979" s="27">
        <f>IF($A979="","",VLOOKUP($A979,CoachRoster!$A:$E,4,FALSE))</f>
        <v/>
      </c>
      <c r="E979" s="27">
        <f>IF($A979="","",MIN(Settings!$B$8,IFERROR(SUMIF(Weekly_Coaching!$B:$B,$A979,Weekly_Coaching!$D:$D),0)+IFERROR(SUMIF(Monthly_Edu!$B:$B,$A979,Monthly_Edu!$D:$D),0)+IFERROR(SUMIF(Monthly_Ops!$B:$B,$A979,Monthly_Ops!$D:$D),0)+IFERROR(SUMIF(Monthly_Mentor!$B:$B,$A979,Monthly_Mentor!$D:$D),0)+IFERROR(SUMIF(Quarterly_Impact!$B:$B,$A979,Quarterly_Impact!$D:$D),0)+IFERROR(SUMIFS(XPLog!$M:$M,XPLog!$B:$B,$A979,XPLog!$J:$J,"Admin"),0)+IFERROR(SUMIFS(XPLog!$M:$M,XPLog!$B:$B,$A979,XPLog!$J:$J,"Seeding"),0)))</f>
        <v/>
      </c>
      <c r="F979" s="27">
        <f>IF($E979="","",LOOKUP($E979, XPBands!B$2:B$10, XPBands!A$2:A$10))</f>
        <v/>
      </c>
      <c r="G979" s="27">
        <f>IF($E979="","", VLOOKUP($F979, XPBands!A$2:G$10, 4, FALSE) + MIN(VLOOKUP($F979, XPBands!A$2:G$10, 5, FALSE) - VLOOKUP($F979, XPBands!A$2:G$10, 4, FALSE), FLOOR(( $E979 - VLOOKUP($F979, XPBands!A$2:G$10, 2, FALSE) ) / VLOOKUP($F979, XPBands!A$2:G$10, 7, FALSE),1)))</f>
        <v/>
      </c>
      <c r="H979" s="27">
        <f>IF($D979="","",VLOOKUP($D979,RoleTitles!$A:$E,3,FALSE))</f>
        <v/>
      </c>
      <c r="I979" s="27">
        <f>IF($D979="","",IF($C979="Greek",VLOOKUP($D979,RoleTitles!$A:$E,4,FALSE),IF($C979="Aesir",VLOOKUP($D979,RoleTitles!$A:$E,5,FALSE),VLOOKUP($D979,RoleTitles!$A:$E,3,FALSE))))</f>
        <v/>
      </c>
      <c r="J979" s="27">
        <f>IF($D979="","",IF($E979&gt;=VLOOKUP($D979,RoleTitles!$A:$B,2,FALSE),"Yes","No"))</f>
        <v/>
      </c>
      <c r="K979" s="27">
        <f>IF($D979="","",IF($D979="T1","T2",IF($D979="T2","T3",IF($D979="T3","T4",IF($D979="T4","T5",IF($D979="T5","T6",IF($D979="T6","T7",IF($D979="T7","T8",IF($D979="T8","T9","")))))))))</f>
        <v/>
      </c>
      <c r="L979" s="28">
        <f>IF($K979="","",MAX(0,VLOOKUP($K979,RoleTitles!$A:$B,2,FALSE)-$E979))</f>
        <v/>
      </c>
    </row>
    <row r="980">
      <c r="A980" s="24">
        <f>IFERROR(INDEX(CoachRoster!$A$2:$A$1000,ROW()-1),"")</f>
        <v/>
      </c>
      <c r="B980" s="27">
        <f>IF($A980="","",VLOOKUP($A980,CoachRoster!$A:$E,2,FALSE))</f>
        <v/>
      </c>
      <c r="C980" s="27">
        <f>IF($A980="","",VLOOKUP($A980,CoachRoster!$A:$E,3,FALSE))</f>
        <v/>
      </c>
      <c r="D980" s="27">
        <f>IF($A980="","",VLOOKUP($A980,CoachRoster!$A:$E,4,FALSE))</f>
        <v/>
      </c>
      <c r="E980" s="27">
        <f>IF($A980="","",MIN(Settings!$B$8,IFERROR(SUMIF(Weekly_Coaching!$B:$B,$A980,Weekly_Coaching!$D:$D),0)+IFERROR(SUMIF(Monthly_Edu!$B:$B,$A980,Monthly_Edu!$D:$D),0)+IFERROR(SUMIF(Monthly_Ops!$B:$B,$A980,Monthly_Ops!$D:$D),0)+IFERROR(SUMIF(Monthly_Mentor!$B:$B,$A980,Monthly_Mentor!$D:$D),0)+IFERROR(SUMIF(Quarterly_Impact!$B:$B,$A980,Quarterly_Impact!$D:$D),0)+IFERROR(SUMIFS(XPLog!$M:$M,XPLog!$B:$B,$A980,XPLog!$J:$J,"Admin"),0)+IFERROR(SUMIFS(XPLog!$M:$M,XPLog!$B:$B,$A980,XPLog!$J:$J,"Seeding"),0)))</f>
        <v/>
      </c>
      <c r="F980" s="27">
        <f>IF($E980="","",LOOKUP($E980, XPBands!B$2:B$10, XPBands!A$2:A$10))</f>
        <v/>
      </c>
      <c r="G980" s="27">
        <f>IF($E980="","", VLOOKUP($F980, XPBands!A$2:G$10, 4, FALSE) + MIN(VLOOKUP($F980, XPBands!A$2:G$10, 5, FALSE) - VLOOKUP($F980, XPBands!A$2:G$10, 4, FALSE), FLOOR(( $E980 - VLOOKUP($F980, XPBands!A$2:G$10, 2, FALSE) ) / VLOOKUP($F980, XPBands!A$2:G$10, 7, FALSE),1)))</f>
        <v/>
      </c>
      <c r="H980" s="27">
        <f>IF($D980="","",VLOOKUP($D980,RoleTitles!$A:$E,3,FALSE))</f>
        <v/>
      </c>
      <c r="I980" s="27">
        <f>IF($D980="","",IF($C980="Greek",VLOOKUP($D980,RoleTitles!$A:$E,4,FALSE),IF($C980="Aesir",VLOOKUP($D980,RoleTitles!$A:$E,5,FALSE),VLOOKUP($D980,RoleTitles!$A:$E,3,FALSE))))</f>
        <v/>
      </c>
      <c r="J980" s="27">
        <f>IF($D980="","",IF($E980&gt;=VLOOKUP($D980,RoleTitles!$A:$B,2,FALSE),"Yes","No"))</f>
        <v/>
      </c>
      <c r="K980" s="27">
        <f>IF($D980="","",IF($D980="T1","T2",IF($D980="T2","T3",IF($D980="T3","T4",IF($D980="T4","T5",IF($D980="T5","T6",IF($D980="T6","T7",IF($D980="T7","T8",IF($D980="T8","T9","")))))))))</f>
        <v/>
      </c>
      <c r="L980" s="28">
        <f>IF($K980="","",MAX(0,VLOOKUP($K980,RoleTitles!$A:$B,2,FALSE)-$E980))</f>
        <v/>
      </c>
    </row>
    <row r="981">
      <c r="A981" s="24">
        <f>IFERROR(INDEX(CoachRoster!$A$2:$A$1000,ROW()-1),"")</f>
        <v/>
      </c>
      <c r="B981" s="27">
        <f>IF($A981="","",VLOOKUP($A981,CoachRoster!$A:$E,2,FALSE))</f>
        <v/>
      </c>
      <c r="C981" s="27">
        <f>IF($A981="","",VLOOKUP($A981,CoachRoster!$A:$E,3,FALSE))</f>
        <v/>
      </c>
      <c r="D981" s="27">
        <f>IF($A981="","",VLOOKUP($A981,CoachRoster!$A:$E,4,FALSE))</f>
        <v/>
      </c>
      <c r="E981" s="27">
        <f>IF($A981="","",MIN(Settings!$B$8,IFERROR(SUMIF(Weekly_Coaching!$B:$B,$A981,Weekly_Coaching!$D:$D),0)+IFERROR(SUMIF(Monthly_Edu!$B:$B,$A981,Monthly_Edu!$D:$D),0)+IFERROR(SUMIF(Monthly_Ops!$B:$B,$A981,Monthly_Ops!$D:$D),0)+IFERROR(SUMIF(Monthly_Mentor!$B:$B,$A981,Monthly_Mentor!$D:$D),0)+IFERROR(SUMIF(Quarterly_Impact!$B:$B,$A981,Quarterly_Impact!$D:$D),0)+IFERROR(SUMIFS(XPLog!$M:$M,XPLog!$B:$B,$A981,XPLog!$J:$J,"Admin"),0)+IFERROR(SUMIFS(XPLog!$M:$M,XPLog!$B:$B,$A981,XPLog!$J:$J,"Seeding"),0)))</f>
        <v/>
      </c>
      <c r="F981" s="27">
        <f>IF($E981="","",LOOKUP($E981, XPBands!B$2:B$10, XPBands!A$2:A$10))</f>
        <v/>
      </c>
      <c r="G981" s="27">
        <f>IF($E981="","", VLOOKUP($F981, XPBands!A$2:G$10, 4, FALSE) + MIN(VLOOKUP($F981, XPBands!A$2:G$10, 5, FALSE) - VLOOKUP($F981, XPBands!A$2:G$10, 4, FALSE), FLOOR(( $E981 - VLOOKUP($F981, XPBands!A$2:G$10, 2, FALSE) ) / VLOOKUP($F981, XPBands!A$2:G$10, 7, FALSE),1)))</f>
        <v/>
      </c>
      <c r="H981" s="27">
        <f>IF($D981="","",VLOOKUP($D981,RoleTitles!$A:$E,3,FALSE))</f>
        <v/>
      </c>
      <c r="I981" s="27">
        <f>IF($D981="","",IF($C981="Greek",VLOOKUP($D981,RoleTitles!$A:$E,4,FALSE),IF($C981="Aesir",VLOOKUP($D981,RoleTitles!$A:$E,5,FALSE),VLOOKUP($D981,RoleTitles!$A:$E,3,FALSE))))</f>
        <v/>
      </c>
      <c r="J981" s="27">
        <f>IF($D981="","",IF($E981&gt;=VLOOKUP($D981,RoleTitles!$A:$B,2,FALSE),"Yes","No"))</f>
        <v/>
      </c>
      <c r="K981" s="27">
        <f>IF($D981="","",IF($D981="T1","T2",IF($D981="T2","T3",IF($D981="T3","T4",IF($D981="T4","T5",IF($D981="T5","T6",IF($D981="T6","T7",IF($D981="T7","T8",IF($D981="T8","T9","")))))))))</f>
        <v/>
      </c>
      <c r="L981" s="28">
        <f>IF($K981="","",MAX(0,VLOOKUP($K981,RoleTitles!$A:$B,2,FALSE)-$E981))</f>
        <v/>
      </c>
    </row>
    <row r="982">
      <c r="A982" s="24">
        <f>IFERROR(INDEX(CoachRoster!$A$2:$A$1000,ROW()-1),"")</f>
        <v/>
      </c>
      <c r="B982" s="27">
        <f>IF($A982="","",VLOOKUP($A982,CoachRoster!$A:$E,2,FALSE))</f>
        <v/>
      </c>
      <c r="C982" s="27">
        <f>IF($A982="","",VLOOKUP($A982,CoachRoster!$A:$E,3,FALSE))</f>
        <v/>
      </c>
      <c r="D982" s="27">
        <f>IF($A982="","",VLOOKUP($A982,CoachRoster!$A:$E,4,FALSE))</f>
        <v/>
      </c>
      <c r="E982" s="27">
        <f>IF($A982="","",MIN(Settings!$B$8,IFERROR(SUMIF(Weekly_Coaching!$B:$B,$A982,Weekly_Coaching!$D:$D),0)+IFERROR(SUMIF(Monthly_Edu!$B:$B,$A982,Monthly_Edu!$D:$D),0)+IFERROR(SUMIF(Monthly_Ops!$B:$B,$A982,Monthly_Ops!$D:$D),0)+IFERROR(SUMIF(Monthly_Mentor!$B:$B,$A982,Monthly_Mentor!$D:$D),0)+IFERROR(SUMIF(Quarterly_Impact!$B:$B,$A982,Quarterly_Impact!$D:$D),0)+IFERROR(SUMIFS(XPLog!$M:$M,XPLog!$B:$B,$A982,XPLog!$J:$J,"Admin"),0)+IFERROR(SUMIFS(XPLog!$M:$M,XPLog!$B:$B,$A982,XPLog!$J:$J,"Seeding"),0)))</f>
        <v/>
      </c>
      <c r="F982" s="27">
        <f>IF($E982="","",LOOKUP($E982, XPBands!B$2:B$10, XPBands!A$2:A$10))</f>
        <v/>
      </c>
      <c r="G982" s="27">
        <f>IF($E982="","", VLOOKUP($F982, XPBands!A$2:G$10, 4, FALSE) + MIN(VLOOKUP($F982, XPBands!A$2:G$10, 5, FALSE) - VLOOKUP($F982, XPBands!A$2:G$10, 4, FALSE), FLOOR(( $E982 - VLOOKUP($F982, XPBands!A$2:G$10, 2, FALSE) ) / VLOOKUP($F982, XPBands!A$2:G$10, 7, FALSE),1)))</f>
        <v/>
      </c>
      <c r="H982" s="27">
        <f>IF($D982="","",VLOOKUP($D982,RoleTitles!$A:$E,3,FALSE))</f>
        <v/>
      </c>
      <c r="I982" s="27">
        <f>IF($D982="","",IF($C982="Greek",VLOOKUP($D982,RoleTitles!$A:$E,4,FALSE),IF($C982="Aesir",VLOOKUP($D982,RoleTitles!$A:$E,5,FALSE),VLOOKUP($D982,RoleTitles!$A:$E,3,FALSE))))</f>
        <v/>
      </c>
      <c r="J982" s="27">
        <f>IF($D982="","",IF($E982&gt;=VLOOKUP($D982,RoleTitles!$A:$B,2,FALSE),"Yes","No"))</f>
        <v/>
      </c>
      <c r="K982" s="27">
        <f>IF($D982="","",IF($D982="T1","T2",IF($D982="T2","T3",IF($D982="T3","T4",IF($D982="T4","T5",IF($D982="T5","T6",IF($D982="T6","T7",IF($D982="T7","T8",IF($D982="T8","T9","")))))))))</f>
        <v/>
      </c>
      <c r="L982" s="28">
        <f>IF($K982="","",MAX(0,VLOOKUP($K982,RoleTitles!$A:$B,2,FALSE)-$E982))</f>
        <v/>
      </c>
    </row>
    <row r="983">
      <c r="A983" s="24">
        <f>IFERROR(INDEX(CoachRoster!$A$2:$A$1000,ROW()-1),"")</f>
        <v/>
      </c>
      <c r="B983" s="27">
        <f>IF($A983="","",VLOOKUP($A983,CoachRoster!$A:$E,2,FALSE))</f>
        <v/>
      </c>
      <c r="C983" s="27">
        <f>IF($A983="","",VLOOKUP($A983,CoachRoster!$A:$E,3,FALSE))</f>
        <v/>
      </c>
      <c r="D983" s="27">
        <f>IF($A983="","",VLOOKUP($A983,CoachRoster!$A:$E,4,FALSE))</f>
        <v/>
      </c>
      <c r="E983" s="27">
        <f>IF($A983="","",MIN(Settings!$B$8,IFERROR(SUMIF(Weekly_Coaching!$B:$B,$A983,Weekly_Coaching!$D:$D),0)+IFERROR(SUMIF(Monthly_Edu!$B:$B,$A983,Monthly_Edu!$D:$D),0)+IFERROR(SUMIF(Monthly_Ops!$B:$B,$A983,Monthly_Ops!$D:$D),0)+IFERROR(SUMIF(Monthly_Mentor!$B:$B,$A983,Monthly_Mentor!$D:$D),0)+IFERROR(SUMIF(Quarterly_Impact!$B:$B,$A983,Quarterly_Impact!$D:$D),0)+IFERROR(SUMIFS(XPLog!$M:$M,XPLog!$B:$B,$A983,XPLog!$J:$J,"Admin"),0)+IFERROR(SUMIFS(XPLog!$M:$M,XPLog!$B:$B,$A983,XPLog!$J:$J,"Seeding"),0)))</f>
        <v/>
      </c>
      <c r="F983" s="27">
        <f>IF($E983="","",LOOKUP($E983, XPBands!B$2:B$10, XPBands!A$2:A$10))</f>
        <v/>
      </c>
      <c r="G983" s="27">
        <f>IF($E983="","", VLOOKUP($F983, XPBands!A$2:G$10, 4, FALSE) + MIN(VLOOKUP($F983, XPBands!A$2:G$10, 5, FALSE) - VLOOKUP($F983, XPBands!A$2:G$10, 4, FALSE), FLOOR(( $E983 - VLOOKUP($F983, XPBands!A$2:G$10, 2, FALSE) ) / VLOOKUP($F983, XPBands!A$2:G$10, 7, FALSE),1)))</f>
        <v/>
      </c>
      <c r="H983" s="27">
        <f>IF($D983="","",VLOOKUP($D983,RoleTitles!$A:$E,3,FALSE))</f>
        <v/>
      </c>
      <c r="I983" s="27">
        <f>IF($D983="","",IF($C983="Greek",VLOOKUP($D983,RoleTitles!$A:$E,4,FALSE),IF($C983="Aesir",VLOOKUP($D983,RoleTitles!$A:$E,5,FALSE),VLOOKUP($D983,RoleTitles!$A:$E,3,FALSE))))</f>
        <v/>
      </c>
      <c r="J983" s="27">
        <f>IF($D983="","",IF($E983&gt;=VLOOKUP($D983,RoleTitles!$A:$B,2,FALSE),"Yes","No"))</f>
        <v/>
      </c>
      <c r="K983" s="27">
        <f>IF($D983="","",IF($D983="T1","T2",IF($D983="T2","T3",IF($D983="T3","T4",IF($D983="T4","T5",IF($D983="T5","T6",IF($D983="T6","T7",IF($D983="T7","T8",IF($D983="T8","T9","")))))))))</f>
        <v/>
      </c>
      <c r="L983" s="28">
        <f>IF($K983="","",MAX(0,VLOOKUP($K983,RoleTitles!$A:$B,2,FALSE)-$E983))</f>
        <v/>
      </c>
    </row>
    <row r="984">
      <c r="A984" s="24">
        <f>IFERROR(INDEX(CoachRoster!$A$2:$A$1000,ROW()-1),"")</f>
        <v/>
      </c>
      <c r="B984" s="27">
        <f>IF($A984="","",VLOOKUP($A984,CoachRoster!$A:$E,2,FALSE))</f>
        <v/>
      </c>
      <c r="C984" s="27">
        <f>IF($A984="","",VLOOKUP($A984,CoachRoster!$A:$E,3,FALSE))</f>
        <v/>
      </c>
      <c r="D984" s="27">
        <f>IF($A984="","",VLOOKUP($A984,CoachRoster!$A:$E,4,FALSE))</f>
        <v/>
      </c>
      <c r="E984" s="27">
        <f>IF($A984="","",MIN(Settings!$B$8,IFERROR(SUMIF(Weekly_Coaching!$B:$B,$A984,Weekly_Coaching!$D:$D),0)+IFERROR(SUMIF(Monthly_Edu!$B:$B,$A984,Monthly_Edu!$D:$D),0)+IFERROR(SUMIF(Monthly_Ops!$B:$B,$A984,Monthly_Ops!$D:$D),0)+IFERROR(SUMIF(Monthly_Mentor!$B:$B,$A984,Monthly_Mentor!$D:$D),0)+IFERROR(SUMIF(Quarterly_Impact!$B:$B,$A984,Quarterly_Impact!$D:$D),0)+IFERROR(SUMIFS(XPLog!$M:$M,XPLog!$B:$B,$A984,XPLog!$J:$J,"Admin"),0)+IFERROR(SUMIFS(XPLog!$M:$M,XPLog!$B:$B,$A984,XPLog!$J:$J,"Seeding"),0)))</f>
        <v/>
      </c>
      <c r="F984" s="27">
        <f>IF($E984="","",LOOKUP($E984, XPBands!B$2:B$10, XPBands!A$2:A$10))</f>
        <v/>
      </c>
      <c r="G984" s="27">
        <f>IF($E984="","", VLOOKUP($F984, XPBands!A$2:G$10, 4, FALSE) + MIN(VLOOKUP($F984, XPBands!A$2:G$10, 5, FALSE) - VLOOKUP($F984, XPBands!A$2:G$10, 4, FALSE), FLOOR(( $E984 - VLOOKUP($F984, XPBands!A$2:G$10, 2, FALSE) ) / VLOOKUP($F984, XPBands!A$2:G$10, 7, FALSE),1)))</f>
        <v/>
      </c>
      <c r="H984" s="27">
        <f>IF($D984="","",VLOOKUP($D984,RoleTitles!$A:$E,3,FALSE))</f>
        <v/>
      </c>
      <c r="I984" s="27">
        <f>IF($D984="","",IF($C984="Greek",VLOOKUP($D984,RoleTitles!$A:$E,4,FALSE),IF($C984="Aesir",VLOOKUP($D984,RoleTitles!$A:$E,5,FALSE),VLOOKUP($D984,RoleTitles!$A:$E,3,FALSE))))</f>
        <v/>
      </c>
      <c r="J984" s="27">
        <f>IF($D984="","",IF($E984&gt;=VLOOKUP($D984,RoleTitles!$A:$B,2,FALSE),"Yes","No"))</f>
        <v/>
      </c>
      <c r="K984" s="27">
        <f>IF($D984="","",IF($D984="T1","T2",IF($D984="T2","T3",IF($D984="T3","T4",IF($D984="T4","T5",IF($D984="T5","T6",IF($D984="T6","T7",IF($D984="T7","T8",IF($D984="T8","T9","")))))))))</f>
        <v/>
      </c>
      <c r="L984" s="28">
        <f>IF($K984="","",MAX(0,VLOOKUP($K984,RoleTitles!$A:$B,2,FALSE)-$E984))</f>
        <v/>
      </c>
    </row>
    <row r="985">
      <c r="A985" s="24">
        <f>IFERROR(INDEX(CoachRoster!$A$2:$A$1000,ROW()-1),"")</f>
        <v/>
      </c>
      <c r="B985" s="27">
        <f>IF($A985="","",VLOOKUP($A985,CoachRoster!$A:$E,2,FALSE))</f>
        <v/>
      </c>
      <c r="C985" s="27">
        <f>IF($A985="","",VLOOKUP($A985,CoachRoster!$A:$E,3,FALSE))</f>
        <v/>
      </c>
      <c r="D985" s="27">
        <f>IF($A985="","",VLOOKUP($A985,CoachRoster!$A:$E,4,FALSE))</f>
        <v/>
      </c>
      <c r="E985" s="27">
        <f>IF($A985="","",MIN(Settings!$B$8,IFERROR(SUMIF(Weekly_Coaching!$B:$B,$A985,Weekly_Coaching!$D:$D),0)+IFERROR(SUMIF(Monthly_Edu!$B:$B,$A985,Monthly_Edu!$D:$D),0)+IFERROR(SUMIF(Monthly_Ops!$B:$B,$A985,Monthly_Ops!$D:$D),0)+IFERROR(SUMIF(Monthly_Mentor!$B:$B,$A985,Monthly_Mentor!$D:$D),0)+IFERROR(SUMIF(Quarterly_Impact!$B:$B,$A985,Quarterly_Impact!$D:$D),0)+IFERROR(SUMIFS(XPLog!$M:$M,XPLog!$B:$B,$A985,XPLog!$J:$J,"Admin"),0)+IFERROR(SUMIFS(XPLog!$M:$M,XPLog!$B:$B,$A985,XPLog!$J:$J,"Seeding"),0)))</f>
        <v/>
      </c>
      <c r="F985" s="27">
        <f>IF($E985="","",LOOKUP($E985, XPBands!B$2:B$10, XPBands!A$2:A$10))</f>
        <v/>
      </c>
      <c r="G985" s="27">
        <f>IF($E985="","", VLOOKUP($F985, XPBands!A$2:G$10, 4, FALSE) + MIN(VLOOKUP($F985, XPBands!A$2:G$10, 5, FALSE) - VLOOKUP($F985, XPBands!A$2:G$10, 4, FALSE), FLOOR(( $E985 - VLOOKUP($F985, XPBands!A$2:G$10, 2, FALSE) ) / VLOOKUP($F985, XPBands!A$2:G$10, 7, FALSE),1)))</f>
        <v/>
      </c>
      <c r="H985" s="27">
        <f>IF($D985="","",VLOOKUP($D985,RoleTitles!$A:$E,3,FALSE))</f>
        <v/>
      </c>
      <c r="I985" s="27">
        <f>IF($D985="","",IF($C985="Greek",VLOOKUP($D985,RoleTitles!$A:$E,4,FALSE),IF($C985="Aesir",VLOOKUP($D985,RoleTitles!$A:$E,5,FALSE),VLOOKUP($D985,RoleTitles!$A:$E,3,FALSE))))</f>
        <v/>
      </c>
      <c r="J985" s="27">
        <f>IF($D985="","",IF($E985&gt;=VLOOKUP($D985,RoleTitles!$A:$B,2,FALSE),"Yes","No"))</f>
        <v/>
      </c>
      <c r="K985" s="27">
        <f>IF($D985="","",IF($D985="T1","T2",IF($D985="T2","T3",IF($D985="T3","T4",IF($D985="T4","T5",IF($D985="T5","T6",IF($D985="T6","T7",IF($D985="T7","T8",IF($D985="T8","T9","")))))))))</f>
        <v/>
      </c>
      <c r="L985" s="28">
        <f>IF($K985="","",MAX(0,VLOOKUP($K985,RoleTitles!$A:$B,2,FALSE)-$E985))</f>
        <v/>
      </c>
    </row>
    <row r="986">
      <c r="A986" s="24">
        <f>IFERROR(INDEX(CoachRoster!$A$2:$A$1000,ROW()-1),"")</f>
        <v/>
      </c>
      <c r="B986" s="27">
        <f>IF($A986="","",VLOOKUP($A986,CoachRoster!$A:$E,2,FALSE))</f>
        <v/>
      </c>
      <c r="C986" s="27">
        <f>IF($A986="","",VLOOKUP($A986,CoachRoster!$A:$E,3,FALSE))</f>
        <v/>
      </c>
      <c r="D986" s="27">
        <f>IF($A986="","",VLOOKUP($A986,CoachRoster!$A:$E,4,FALSE))</f>
        <v/>
      </c>
      <c r="E986" s="27">
        <f>IF($A986="","",MIN(Settings!$B$8,IFERROR(SUMIF(Weekly_Coaching!$B:$B,$A986,Weekly_Coaching!$D:$D),0)+IFERROR(SUMIF(Monthly_Edu!$B:$B,$A986,Monthly_Edu!$D:$D),0)+IFERROR(SUMIF(Monthly_Ops!$B:$B,$A986,Monthly_Ops!$D:$D),0)+IFERROR(SUMIF(Monthly_Mentor!$B:$B,$A986,Monthly_Mentor!$D:$D),0)+IFERROR(SUMIF(Quarterly_Impact!$B:$B,$A986,Quarterly_Impact!$D:$D),0)+IFERROR(SUMIFS(XPLog!$M:$M,XPLog!$B:$B,$A986,XPLog!$J:$J,"Admin"),0)+IFERROR(SUMIFS(XPLog!$M:$M,XPLog!$B:$B,$A986,XPLog!$J:$J,"Seeding"),0)))</f>
        <v/>
      </c>
      <c r="F986" s="27">
        <f>IF($E986="","",LOOKUP($E986, XPBands!B$2:B$10, XPBands!A$2:A$10))</f>
        <v/>
      </c>
      <c r="G986" s="27">
        <f>IF($E986="","", VLOOKUP($F986, XPBands!A$2:G$10, 4, FALSE) + MIN(VLOOKUP($F986, XPBands!A$2:G$10, 5, FALSE) - VLOOKUP($F986, XPBands!A$2:G$10, 4, FALSE), FLOOR(( $E986 - VLOOKUP($F986, XPBands!A$2:G$10, 2, FALSE) ) / VLOOKUP($F986, XPBands!A$2:G$10, 7, FALSE),1)))</f>
        <v/>
      </c>
      <c r="H986" s="27">
        <f>IF($D986="","",VLOOKUP($D986,RoleTitles!$A:$E,3,FALSE))</f>
        <v/>
      </c>
      <c r="I986" s="27">
        <f>IF($D986="","",IF($C986="Greek",VLOOKUP($D986,RoleTitles!$A:$E,4,FALSE),IF($C986="Aesir",VLOOKUP($D986,RoleTitles!$A:$E,5,FALSE),VLOOKUP($D986,RoleTitles!$A:$E,3,FALSE))))</f>
        <v/>
      </c>
      <c r="J986" s="27">
        <f>IF($D986="","",IF($E986&gt;=VLOOKUP($D986,RoleTitles!$A:$B,2,FALSE),"Yes","No"))</f>
        <v/>
      </c>
      <c r="K986" s="27">
        <f>IF($D986="","",IF($D986="T1","T2",IF($D986="T2","T3",IF($D986="T3","T4",IF($D986="T4","T5",IF($D986="T5","T6",IF($D986="T6","T7",IF($D986="T7","T8",IF($D986="T8","T9","")))))))))</f>
        <v/>
      </c>
      <c r="L986" s="28">
        <f>IF($K986="","",MAX(0,VLOOKUP($K986,RoleTitles!$A:$B,2,FALSE)-$E986))</f>
        <v/>
      </c>
    </row>
    <row r="987">
      <c r="A987" s="24">
        <f>IFERROR(INDEX(CoachRoster!$A$2:$A$1000,ROW()-1),"")</f>
        <v/>
      </c>
      <c r="B987" s="27">
        <f>IF($A987="","",VLOOKUP($A987,CoachRoster!$A:$E,2,FALSE))</f>
        <v/>
      </c>
      <c r="C987" s="27">
        <f>IF($A987="","",VLOOKUP($A987,CoachRoster!$A:$E,3,FALSE))</f>
        <v/>
      </c>
      <c r="D987" s="27">
        <f>IF($A987="","",VLOOKUP($A987,CoachRoster!$A:$E,4,FALSE))</f>
        <v/>
      </c>
      <c r="E987" s="27">
        <f>IF($A987="","",MIN(Settings!$B$8,IFERROR(SUMIF(Weekly_Coaching!$B:$B,$A987,Weekly_Coaching!$D:$D),0)+IFERROR(SUMIF(Monthly_Edu!$B:$B,$A987,Monthly_Edu!$D:$D),0)+IFERROR(SUMIF(Monthly_Ops!$B:$B,$A987,Monthly_Ops!$D:$D),0)+IFERROR(SUMIF(Monthly_Mentor!$B:$B,$A987,Monthly_Mentor!$D:$D),0)+IFERROR(SUMIF(Quarterly_Impact!$B:$B,$A987,Quarterly_Impact!$D:$D),0)+IFERROR(SUMIFS(XPLog!$M:$M,XPLog!$B:$B,$A987,XPLog!$J:$J,"Admin"),0)+IFERROR(SUMIFS(XPLog!$M:$M,XPLog!$B:$B,$A987,XPLog!$J:$J,"Seeding"),0)))</f>
        <v/>
      </c>
      <c r="F987" s="27">
        <f>IF($E987="","",LOOKUP($E987, XPBands!B$2:B$10, XPBands!A$2:A$10))</f>
        <v/>
      </c>
      <c r="G987" s="27">
        <f>IF($E987="","", VLOOKUP($F987, XPBands!A$2:G$10, 4, FALSE) + MIN(VLOOKUP($F987, XPBands!A$2:G$10, 5, FALSE) - VLOOKUP($F987, XPBands!A$2:G$10, 4, FALSE), FLOOR(( $E987 - VLOOKUP($F987, XPBands!A$2:G$10, 2, FALSE) ) / VLOOKUP($F987, XPBands!A$2:G$10, 7, FALSE),1)))</f>
        <v/>
      </c>
      <c r="H987" s="27">
        <f>IF($D987="","",VLOOKUP($D987,RoleTitles!$A:$E,3,FALSE))</f>
        <v/>
      </c>
      <c r="I987" s="27">
        <f>IF($D987="","",IF($C987="Greek",VLOOKUP($D987,RoleTitles!$A:$E,4,FALSE),IF($C987="Aesir",VLOOKUP($D987,RoleTitles!$A:$E,5,FALSE),VLOOKUP($D987,RoleTitles!$A:$E,3,FALSE))))</f>
        <v/>
      </c>
      <c r="J987" s="27">
        <f>IF($D987="","",IF($E987&gt;=VLOOKUP($D987,RoleTitles!$A:$B,2,FALSE),"Yes","No"))</f>
        <v/>
      </c>
      <c r="K987" s="27">
        <f>IF($D987="","",IF($D987="T1","T2",IF($D987="T2","T3",IF($D987="T3","T4",IF($D987="T4","T5",IF($D987="T5","T6",IF($D987="T6","T7",IF($D987="T7","T8",IF($D987="T8","T9","")))))))))</f>
        <v/>
      </c>
      <c r="L987" s="28">
        <f>IF($K987="","",MAX(0,VLOOKUP($K987,RoleTitles!$A:$B,2,FALSE)-$E987))</f>
        <v/>
      </c>
    </row>
    <row r="988">
      <c r="A988" s="24">
        <f>IFERROR(INDEX(CoachRoster!$A$2:$A$1000,ROW()-1),"")</f>
        <v/>
      </c>
      <c r="B988" s="27">
        <f>IF($A988="","",VLOOKUP($A988,CoachRoster!$A:$E,2,FALSE))</f>
        <v/>
      </c>
      <c r="C988" s="27">
        <f>IF($A988="","",VLOOKUP($A988,CoachRoster!$A:$E,3,FALSE))</f>
        <v/>
      </c>
      <c r="D988" s="27">
        <f>IF($A988="","",VLOOKUP($A988,CoachRoster!$A:$E,4,FALSE))</f>
        <v/>
      </c>
      <c r="E988" s="27">
        <f>IF($A988="","",MIN(Settings!$B$8,IFERROR(SUMIF(Weekly_Coaching!$B:$B,$A988,Weekly_Coaching!$D:$D),0)+IFERROR(SUMIF(Monthly_Edu!$B:$B,$A988,Monthly_Edu!$D:$D),0)+IFERROR(SUMIF(Monthly_Ops!$B:$B,$A988,Monthly_Ops!$D:$D),0)+IFERROR(SUMIF(Monthly_Mentor!$B:$B,$A988,Monthly_Mentor!$D:$D),0)+IFERROR(SUMIF(Quarterly_Impact!$B:$B,$A988,Quarterly_Impact!$D:$D),0)+IFERROR(SUMIFS(XPLog!$M:$M,XPLog!$B:$B,$A988,XPLog!$J:$J,"Admin"),0)+IFERROR(SUMIFS(XPLog!$M:$M,XPLog!$B:$B,$A988,XPLog!$J:$J,"Seeding"),0)))</f>
        <v/>
      </c>
      <c r="F988" s="27">
        <f>IF($E988="","",LOOKUP($E988, XPBands!B$2:B$10, XPBands!A$2:A$10))</f>
        <v/>
      </c>
      <c r="G988" s="27">
        <f>IF($E988="","", VLOOKUP($F988, XPBands!A$2:G$10, 4, FALSE) + MIN(VLOOKUP($F988, XPBands!A$2:G$10, 5, FALSE) - VLOOKUP($F988, XPBands!A$2:G$10, 4, FALSE), FLOOR(( $E988 - VLOOKUP($F988, XPBands!A$2:G$10, 2, FALSE) ) / VLOOKUP($F988, XPBands!A$2:G$10, 7, FALSE),1)))</f>
        <v/>
      </c>
      <c r="H988" s="27">
        <f>IF($D988="","",VLOOKUP($D988,RoleTitles!$A:$E,3,FALSE))</f>
        <v/>
      </c>
      <c r="I988" s="27">
        <f>IF($D988="","",IF($C988="Greek",VLOOKUP($D988,RoleTitles!$A:$E,4,FALSE),IF($C988="Aesir",VLOOKUP($D988,RoleTitles!$A:$E,5,FALSE),VLOOKUP($D988,RoleTitles!$A:$E,3,FALSE))))</f>
        <v/>
      </c>
      <c r="J988" s="27">
        <f>IF($D988="","",IF($E988&gt;=VLOOKUP($D988,RoleTitles!$A:$B,2,FALSE),"Yes","No"))</f>
        <v/>
      </c>
      <c r="K988" s="27">
        <f>IF($D988="","",IF($D988="T1","T2",IF($D988="T2","T3",IF($D988="T3","T4",IF($D988="T4","T5",IF($D988="T5","T6",IF($D988="T6","T7",IF($D988="T7","T8",IF($D988="T8","T9","")))))))))</f>
        <v/>
      </c>
      <c r="L988" s="28">
        <f>IF($K988="","",MAX(0,VLOOKUP($K988,RoleTitles!$A:$B,2,FALSE)-$E988))</f>
        <v/>
      </c>
    </row>
    <row r="989">
      <c r="A989" s="24">
        <f>IFERROR(INDEX(CoachRoster!$A$2:$A$1000,ROW()-1),"")</f>
        <v/>
      </c>
      <c r="B989" s="27">
        <f>IF($A989="","",VLOOKUP($A989,CoachRoster!$A:$E,2,FALSE))</f>
        <v/>
      </c>
      <c r="C989" s="27">
        <f>IF($A989="","",VLOOKUP($A989,CoachRoster!$A:$E,3,FALSE))</f>
        <v/>
      </c>
      <c r="D989" s="27">
        <f>IF($A989="","",VLOOKUP($A989,CoachRoster!$A:$E,4,FALSE))</f>
        <v/>
      </c>
      <c r="E989" s="27">
        <f>IF($A989="","",MIN(Settings!$B$8,IFERROR(SUMIF(Weekly_Coaching!$B:$B,$A989,Weekly_Coaching!$D:$D),0)+IFERROR(SUMIF(Monthly_Edu!$B:$B,$A989,Monthly_Edu!$D:$D),0)+IFERROR(SUMIF(Monthly_Ops!$B:$B,$A989,Monthly_Ops!$D:$D),0)+IFERROR(SUMIF(Monthly_Mentor!$B:$B,$A989,Monthly_Mentor!$D:$D),0)+IFERROR(SUMIF(Quarterly_Impact!$B:$B,$A989,Quarterly_Impact!$D:$D),0)+IFERROR(SUMIFS(XPLog!$M:$M,XPLog!$B:$B,$A989,XPLog!$J:$J,"Admin"),0)+IFERROR(SUMIFS(XPLog!$M:$M,XPLog!$B:$B,$A989,XPLog!$J:$J,"Seeding"),0)))</f>
        <v/>
      </c>
      <c r="F989" s="27">
        <f>IF($E989="","",LOOKUP($E989, XPBands!B$2:B$10, XPBands!A$2:A$10))</f>
        <v/>
      </c>
      <c r="G989" s="27">
        <f>IF($E989="","", VLOOKUP($F989, XPBands!A$2:G$10, 4, FALSE) + MIN(VLOOKUP($F989, XPBands!A$2:G$10, 5, FALSE) - VLOOKUP($F989, XPBands!A$2:G$10, 4, FALSE), FLOOR(( $E989 - VLOOKUP($F989, XPBands!A$2:G$10, 2, FALSE) ) / VLOOKUP($F989, XPBands!A$2:G$10, 7, FALSE),1)))</f>
        <v/>
      </c>
      <c r="H989" s="27">
        <f>IF($D989="","",VLOOKUP($D989,RoleTitles!$A:$E,3,FALSE))</f>
        <v/>
      </c>
      <c r="I989" s="27">
        <f>IF($D989="","",IF($C989="Greek",VLOOKUP($D989,RoleTitles!$A:$E,4,FALSE),IF($C989="Aesir",VLOOKUP($D989,RoleTitles!$A:$E,5,FALSE),VLOOKUP($D989,RoleTitles!$A:$E,3,FALSE))))</f>
        <v/>
      </c>
      <c r="J989" s="27">
        <f>IF($D989="","",IF($E989&gt;=VLOOKUP($D989,RoleTitles!$A:$B,2,FALSE),"Yes","No"))</f>
        <v/>
      </c>
      <c r="K989" s="27">
        <f>IF($D989="","",IF($D989="T1","T2",IF($D989="T2","T3",IF($D989="T3","T4",IF($D989="T4","T5",IF($D989="T5","T6",IF($D989="T6","T7",IF($D989="T7","T8",IF($D989="T8","T9","")))))))))</f>
        <v/>
      </c>
      <c r="L989" s="28">
        <f>IF($K989="","",MAX(0,VLOOKUP($K989,RoleTitles!$A:$B,2,FALSE)-$E989))</f>
        <v/>
      </c>
    </row>
    <row r="990">
      <c r="A990" s="24">
        <f>IFERROR(INDEX(CoachRoster!$A$2:$A$1000,ROW()-1),"")</f>
        <v/>
      </c>
      <c r="B990" s="27">
        <f>IF($A990="","",VLOOKUP($A990,CoachRoster!$A:$E,2,FALSE))</f>
        <v/>
      </c>
      <c r="C990" s="27">
        <f>IF($A990="","",VLOOKUP($A990,CoachRoster!$A:$E,3,FALSE))</f>
        <v/>
      </c>
      <c r="D990" s="27">
        <f>IF($A990="","",VLOOKUP($A990,CoachRoster!$A:$E,4,FALSE))</f>
        <v/>
      </c>
      <c r="E990" s="27">
        <f>IF($A990="","",MIN(Settings!$B$8,IFERROR(SUMIF(Weekly_Coaching!$B:$B,$A990,Weekly_Coaching!$D:$D),0)+IFERROR(SUMIF(Monthly_Edu!$B:$B,$A990,Monthly_Edu!$D:$D),0)+IFERROR(SUMIF(Monthly_Ops!$B:$B,$A990,Monthly_Ops!$D:$D),0)+IFERROR(SUMIF(Monthly_Mentor!$B:$B,$A990,Monthly_Mentor!$D:$D),0)+IFERROR(SUMIF(Quarterly_Impact!$B:$B,$A990,Quarterly_Impact!$D:$D),0)+IFERROR(SUMIFS(XPLog!$M:$M,XPLog!$B:$B,$A990,XPLog!$J:$J,"Admin"),0)+IFERROR(SUMIFS(XPLog!$M:$M,XPLog!$B:$B,$A990,XPLog!$J:$J,"Seeding"),0)))</f>
        <v/>
      </c>
      <c r="F990" s="27">
        <f>IF($E990="","",LOOKUP($E990, XPBands!B$2:B$10, XPBands!A$2:A$10))</f>
        <v/>
      </c>
      <c r="G990" s="27">
        <f>IF($E990="","", VLOOKUP($F990, XPBands!A$2:G$10, 4, FALSE) + MIN(VLOOKUP($F990, XPBands!A$2:G$10, 5, FALSE) - VLOOKUP($F990, XPBands!A$2:G$10, 4, FALSE), FLOOR(( $E990 - VLOOKUP($F990, XPBands!A$2:G$10, 2, FALSE) ) / VLOOKUP($F990, XPBands!A$2:G$10, 7, FALSE),1)))</f>
        <v/>
      </c>
      <c r="H990" s="27">
        <f>IF($D990="","",VLOOKUP($D990,RoleTitles!$A:$E,3,FALSE))</f>
        <v/>
      </c>
      <c r="I990" s="27">
        <f>IF($D990="","",IF($C990="Greek",VLOOKUP($D990,RoleTitles!$A:$E,4,FALSE),IF($C990="Aesir",VLOOKUP($D990,RoleTitles!$A:$E,5,FALSE),VLOOKUP($D990,RoleTitles!$A:$E,3,FALSE))))</f>
        <v/>
      </c>
      <c r="J990" s="27">
        <f>IF($D990="","",IF($E990&gt;=VLOOKUP($D990,RoleTitles!$A:$B,2,FALSE),"Yes","No"))</f>
        <v/>
      </c>
      <c r="K990" s="27">
        <f>IF($D990="","",IF($D990="T1","T2",IF($D990="T2","T3",IF($D990="T3","T4",IF($D990="T4","T5",IF($D990="T5","T6",IF($D990="T6","T7",IF($D990="T7","T8",IF($D990="T8","T9","")))))))))</f>
        <v/>
      </c>
      <c r="L990" s="28">
        <f>IF($K990="","",MAX(0,VLOOKUP($K990,RoleTitles!$A:$B,2,FALSE)-$E990))</f>
        <v/>
      </c>
    </row>
    <row r="991">
      <c r="A991" s="24">
        <f>IFERROR(INDEX(CoachRoster!$A$2:$A$1000,ROW()-1),"")</f>
        <v/>
      </c>
      <c r="B991" s="27">
        <f>IF($A991="","",VLOOKUP($A991,CoachRoster!$A:$E,2,FALSE))</f>
        <v/>
      </c>
      <c r="C991" s="27">
        <f>IF($A991="","",VLOOKUP($A991,CoachRoster!$A:$E,3,FALSE))</f>
        <v/>
      </c>
      <c r="D991" s="27">
        <f>IF($A991="","",VLOOKUP($A991,CoachRoster!$A:$E,4,FALSE))</f>
        <v/>
      </c>
      <c r="E991" s="27">
        <f>IF($A991="","",MIN(Settings!$B$8,IFERROR(SUMIF(Weekly_Coaching!$B:$B,$A991,Weekly_Coaching!$D:$D),0)+IFERROR(SUMIF(Monthly_Edu!$B:$B,$A991,Monthly_Edu!$D:$D),0)+IFERROR(SUMIF(Monthly_Ops!$B:$B,$A991,Monthly_Ops!$D:$D),0)+IFERROR(SUMIF(Monthly_Mentor!$B:$B,$A991,Monthly_Mentor!$D:$D),0)+IFERROR(SUMIF(Quarterly_Impact!$B:$B,$A991,Quarterly_Impact!$D:$D),0)+IFERROR(SUMIFS(XPLog!$M:$M,XPLog!$B:$B,$A991,XPLog!$J:$J,"Admin"),0)+IFERROR(SUMIFS(XPLog!$M:$M,XPLog!$B:$B,$A991,XPLog!$J:$J,"Seeding"),0)))</f>
        <v/>
      </c>
      <c r="F991" s="27">
        <f>IF($E991="","",LOOKUP($E991, XPBands!B$2:B$10, XPBands!A$2:A$10))</f>
        <v/>
      </c>
      <c r="G991" s="27">
        <f>IF($E991="","", VLOOKUP($F991, XPBands!A$2:G$10, 4, FALSE) + MIN(VLOOKUP($F991, XPBands!A$2:G$10, 5, FALSE) - VLOOKUP($F991, XPBands!A$2:G$10, 4, FALSE), FLOOR(( $E991 - VLOOKUP($F991, XPBands!A$2:G$10, 2, FALSE) ) / VLOOKUP($F991, XPBands!A$2:G$10, 7, FALSE),1)))</f>
        <v/>
      </c>
      <c r="H991" s="27">
        <f>IF($D991="","",VLOOKUP($D991,RoleTitles!$A:$E,3,FALSE))</f>
        <v/>
      </c>
      <c r="I991" s="27">
        <f>IF($D991="","",IF($C991="Greek",VLOOKUP($D991,RoleTitles!$A:$E,4,FALSE),IF($C991="Aesir",VLOOKUP($D991,RoleTitles!$A:$E,5,FALSE),VLOOKUP($D991,RoleTitles!$A:$E,3,FALSE))))</f>
        <v/>
      </c>
      <c r="J991" s="27">
        <f>IF($D991="","",IF($E991&gt;=VLOOKUP($D991,RoleTitles!$A:$B,2,FALSE),"Yes","No"))</f>
        <v/>
      </c>
      <c r="K991" s="27">
        <f>IF($D991="","",IF($D991="T1","T2",IF($D991="T2","T3",IF($D991="T3","T4",IF($D991="T4","T5",IF($D991="T5","T6",IF($D991="T6","T7",IF($D991="T7","T8",IF($D991="T8","T9","")))))))))</f>
        <v/>
      </c>
      <c r="L991" s="28">
        <f>IF($K991="","",MAX(0,VLOOKUP($K991,RoleTitles!$A:$B,2,FALSE)-$E991))</f>
        <v/>
      </c>
    </row>
    <row r="992">
      <c r="A992" s="24">
        <f>IFERROR(INDEX(CoachRoster!$A$2:$A$1000,ROW()-1),"")</f>
        <v/>
      </c>
      <c r="B992" s="27">
        <f>IF($A992="","",VLOOKUP($A992,CoachRoster!$A:$E,2,FALSE))</f>
        <v/>
      </c>
      <c r="C992" s="27">
        <f>IF($A992="","",VLOOKUP($A992,CoachRoster!$A:$E,3,FALSE))</f>
        <v/>
      </c>
      <c r="D992" s="27">
        <f>IF($A992="","",VLOOKUP($A992,CoachRoster!$A:$E,4,FALSE))</f>
        <v/>
      </c>
      <c r="E992" s="27">
        <f>IF($A992="","",MIN(Settings!$B$8,IFERROR(SUMIF(Weekly_Coaching!$B:$B,$A992,Weekly_Coaching!$D:$D),0)+IFERROR(SUMIF(Monthly_Edu!$B:$B,$A992,Monthly_Edu!$D:$D),0)+IFERROR(SUMIF(Monthly_Ops!$B:$B,$A992,Monthly_Ops!$D:$D),0)+IFERROR(SUMIF(Monthly_Mentor!$B:$B,$A992,Monthly_Mentor!$D:$D),0)+IFERROR(SUMIF(Quarterly_Impact!$B:$B,$A992,Quarterly_Impact!$D:$D),0)+IFERROR(SUMIFS(XPLog!$M:$M,XPLog!$B:$B,$A992,XPLog!$J:$J,"Admin"),0)+IFERROR(SUMIFS(XPLog!$M:$M,XPLog!$B:$B,$A992,XPLog!$J:$J,"Seeding"),0)))</f>
        <v/>
      </c>
      <c r="F992" s="27">
        <f>IF($E992="","",LOOKUP($E992, XPBands!B$2:B$10, XPBands!A$2:A$10))</f>
        <v/>
      </c>
      <c r="G992" s="27">
        <f>IF($E992="","", VLOOKUP($F992, XPBands!A$2:G$10, 4, FALSE) + MIN(VLOOKUP($F992, XPBands!A$2:G$10, 5, FALSE) - VLOOKUP($F992, XPBands!A$2:G$10, 4, FALSE), FLOOR(( $E992 - VLOOKUP($F992, XPBands!A$2:G$10, 2, FALSE) ) / VLOOKUP($F992, XPBands!A$2:G$10, 7, FALSE),1)))</f>
        <v/>
      </c>
      <c r="H992" s="27">
        <f>IF($D992="","",VLOOKUP($D992,RoleTitles!$A:$E,3,FALSE))</f>
        <v/>
      </c>
      <c r="I992" s="27">
        <f>IF($D992="","",IF($C992="Greek",VLOOKUP($D992,RoleTitles!$A:$E,4,FALSE),IF($C992="Aesir",VLOOKUP($D992,RoleTitles!$A:$E,5,FALSE),VLOOKUP($D992,RoleTitles!$A:$E,3,FALSE))))</f>
        <v/>
      </c>
      <c r="J992" s="27">
        <f>IF($D992="","",IF($E992&gt;=VLOOKUP($D992,RoleTitles!$A:$B,2,FALSE),"Yes","No"))</f>
        <v/>
      </c>
      <c r="K992" s="27">
        <f>IF($D992="","",IF($D992="T1","T2",IF($D992="T2","T3",IF($D992="T3","T4",IF($D992="T4","T5",IF($D992="T5","T6",IF($D992="T6","T7",IF($D992="T7","T8",IF($D992="T8","T9","")))))))))</f>
        <v/>
      </c>
      <c r="L992" s="28">
        <f>IF($K992="","",MAX(0,VLOOKUP($K992,RoleTitles!$A:$B,2,FALSE)-$E992))</f>
        <v/>
      </c>
    </row>
    <row r="993">
      <c r="A993" s="24">
        <f>IFERROR(INDEX(CoachRoster!$A$2:$A$1000,ROW()-1),"")</f>
        <v/>
      </c>
      <c r="B993" s="27">
        <f>IF($A993="","",VLOOKUP($A993,CoachRoster!$A:$E,2,FALSE))</f>
        <v/>
      </c>
      <c r="C993" s="27">
        <f>IF($A993="","",VLOOKUP($A993,CoachRoster!$A:$E,3,FALSE))</f>
        <v/>
      </c>
      <c r="D993" s="27">
        <f>IF($A993="","",VLOOKUP($A993,CoachRoster!$A:$E,4,FALSE))</f>
        <v/>
      </c>
      <c r="E993" s="27">
        <f>IF($A993="","",MIN(Settings!$B$8,IFERROR(SUMIF(Weekly_Coaching!$B:$B,$A993,Weekly_Coaching!$D:$D),0)+IFERROR(SUMIF(Monthly_Edu!$B:$B,$A993,Monthly_Edu!$D:$D),0)+IFERROR(SUMIF(Monthly_Ops!$B:$B,$A993,Monthly_Ops!$D:$D),0)+IFERROR(SUMIF(Monthly_Mentor!$B:$B,$A993,Monthly_Mentor!$D:$D),0)+IFERROR(SUMIF(Quarterly_Impact!$B:$B,$A993,Quarterly_Impact!$D:$D),0)+IFERROR(SUMIFS(XPLog!$M:$M,XPLog!$B:$B,$A993,XPLog!$J:$J,"Admin"),0)+IFERROR(SUMIFS(XPLog!$M:$M,XPLog!$B:$B,$A993,XPLog!$J:$J,"Seeding"),0)))</f>
        <v/>
      </c>
      <c r="F993" s="27">
        <f>IF($E993="","",LOOKUP($E993, XPBands!B$2:B$10, XPBands!A$2:A$10))</f>
        <v/>
      </c>
      <c r="G993" s="27">
        <f>IF($E993="","", VLOOKUP($F993, XPBands!A$2:G$10, 4, FALSE) + MIN(VLOOKUP($F993, XPBands!A$2:G$10, 5, FALSE) - VLOOKUP($F993, XPBands!A$2:G$10, 4, FALSE), FLOOR(( $E993 - VLOOKUP($F993, XPBands!A$2:G$10, 2, FALSE) ) / VLOOKUP($F993, XPBands!A$2:G$10, 7, FALSE),1)))</f>
        <v/>
      </c>
      <c r="H993" s="27">
        <f>IF($D993="","",VLOOKUP($D993,RoleTitles!$A:$E,3,FALSE))</f>
        <v/>
      </c>
      <c r="I993" s="27">
        <f>IF($D993="","",IF($C993="Greek",VLOOKUP($D993,RoleTitles!$A:$E,4,FALSE),IF($C993="Aesir",VLOOKUP($D993,RoleTitles!$A:$E,5,FALSE),VLOOKUP($D993,RoleTitles!$A:$E,3,FALSE))))</f>
        <v/>
      </c>
      <c r="J993" s="27">
        <f>IF($D993="","",IF($E993&gt;=VLOOKUP($D993,RoleTitles!$A:$B,2,FALSE),"Yes","No"))</f>
        <v/>
      </c>
      <c r="K993" s="27">
        <f>IF($D993="","",IF($D993="T1","T2",IF($D993="T2","T3",IF($D993="T3","T4",IF($D993="T4","T5",IF($D993="T5","T6",IF($D993="T6","T7",IF($D993="T7","T8",IF($D993="T8","T9","")))))))))</f>
        <v/>
      </c>
      <c r="L993" s="28">
        <f>IF($K993="","",MAX(0,VLOOKUP($K993,RoleTitles!$A:$B,2,FALSE)-$E993))</f>
        <v/>
      </c>
    </row>
    <row r="994">
      <c r="A994" s="24">
        <f>IFERROR(INDEX(CoachRoster!$A$2:$A$1000,ROW()-1),"")</f>
        <v/>
      </c>
      <c r="B994" s="27">
        <f>IF($A994="","",VLOOKUP($A994,CoachRoster!$A:$E,2,FALSE))</f>
        <v/>
      </c>
      <c r="C994" s="27">
        <f>IF($A994="","",VLOOKUP($A994,CoachRoster!$A:$E,3,FALSE))</f>
        <v/>
      </c>
      <c r="D994" s="27">
        <f>IF($A994="","",VLOOKUP($A994,CoachRoster!$A:$E,4,FALSE))</f>
        <v/>
      </c>
      <c r="E994" s="27">
        <f>IF($A994="","",MIN(Settings!$B$8,IFERROR(SUMIF(Weekly_Coaching!$B:$B,$A994,Weekly_Coaching!$D:$D),0)+IFERROR(SUMIF(Monthly_Edu!$B:$B,$A994,Monthly_Edu!$D:$D),0)+IFERROR(SUMIF(Monthly_Ops!$B:$B,$A994,Monthly_Ops!$D:$D),0)+IFERROR(SUMIF(Monthly_Mentor!$B:$B,$A994,Monthly_Mentor!$D:$D),0)+IFERROR(SUMIF(Quarterly_Impact!$B:$B,$A994,Quarterly_Impact!$D:$D),0)+IFERROR(SUMIFS(XPLog!$M:$M,XPLog!$B:$B,$A994,XPLog!$J:$J,"Admin"),0)+IFERROR(SUMIFS(XPLog!$M:$M,XPLog!$B:$B,$A994,XPLog!$J:$J,"Seeding"),0)))</f>
        <v/>
      </c>
      <c r="F994" s="27">
        <f>IF($E994="","",LOOKUP($E994, XPBands!B$2:B$10, XPBands!A$2:A$10))</f>
        <v/>
      </c>
      <c r="G994" s="27">
        <f>IF($E994="","", VLOOKUP($F994, XPBands!A$2:G$10, 4, FALSE) + MIN(VLOOKUP($F994, XPBands!A$2:G$10, 5, FALSE) - VLOOKUP($F994, XPBands!A$2:G$10, 4, FALSE), FLOOR(( $E994 - VLOOKUP($F994, XPBands!A$2:G$10, 2, FALSE) ) / VLOOKUP($F994, XPBands!A$2:G$10, 7, FALSE),1)))</f>
        <v/>
      </c>
      <c r="H994" s="27">
        <f>IF($D994="","",VLOOKUP($D994,RoleTitles!$A:$E,3,FALSE))</f>
        <v/>
      </c>
      <c r="I994" s="27">
        <f>IF($D994="","",IF($C994="Greek",VLOOKUP($D994,RoleTitles!$A:$E,4,FALSE),IF($C994="Aesir",VLOOKUP($D994,RoleTitles!$A:$E,5,FALSE),VLOOKUP($D994,RoleTitles!$A:$E,3,FALSE))))</f>
        <v/>
      </c>
      <c r="J994" s="27">
        <f>IF($D994="","",IF($E994&gt;=VLOOKUP($D994,RoleTitles!$A:$B,2,FALSE),"Yes","No"))</f>
        <v/>
      </c>
      <c r="K994" s="27">
        <f>IF($D994="","",IF($D994="T1","T2",IF($D994="T2","T3",IF($D994="T3","T4",IF($D994="T4","T5",IF($D994="T5","T6",IF($D994="T6","T7",IF($D994="T7","T8",IF($D994="T8","T9","")))))))))</f>
        <v/>
      </c>
      <c r="L994" s="28">
        <f>IF($K994="","",MAX(0,VLOOKUP($K994,RoleTitles!$A:$B,2,FALSE)-$E994))</f>
        <v/>
      </c>
    </row>
    <row r="995">
      <c r="A995" s="24">
        <f>IFERROR(INDEX(CoachRoster!$A$2:$A$1000,ROW()-1),"")</f>
        <v/>
      </c>
      <c r="B995" s="27">
        <f>IF($A995="","",VLOOKUP($A995,CoachRoster!$A:$E,2,FALSE))</f>
        <v/>
      </c>
      <c r="C995" s="27">
        <f>IF($A995="","",VLOOKUP($A995,CoachRoster!$A:$E,3,FALSE))</f>
        <v/>
      </c>
      <c r="D995" s="27">
        <f>IF($A995="","",VLOOKUP($A995,CoachRoster!$A:$E,4,FALSE))</f>
        <v/>
      </c>
      <c r="E995" s="27">
        <f>IF($A995="","",MIN(Settings!$B$8,IFERROR(SUMIF(Weekly_Coaching!$B:$B,$A995,Weekly_Coaching!$D:$D),0)+IFERROR(SUMIF(Monthly_Edu!$B:$B,$A995,Monthly_Edu!$D:$D),0)+IFERROR(SUMIF(Monthly_Ops!$B:$B,$A995,Monthly_Ops!$D:$D),0)+IFERROR(SUMIF(Monthly_Mentor!$B:$B,$A995,Monthly_Mentor!$D:$D),0)+IFERROR(SUMIF(Quarterly_Impact!$B:$B,$A995,Quarterly_Impact!$D:$D),0)+IFERROR(SUMIFS(XPLog!$M:$M,XPLog!$B:$B,$A995,XPLog!$J:$J,"Admin"),0)+IFERROR(SUMIFS(XPLog!$M:$M,XPLog!$B:$B,$A995,XPLog!$J:$J,"Seeding"),0)))</f>
        <v/>
      </c>
      <c r="F995" s="27">
        <f>IF($E995="","",LOOKUP($E995, XPBands!B$2:B$10, XPBands!A$2:A$10))</f>
        <v/>
      </c>
      <c r="G995" s="27">
        <f>IF($E995="","", VLOOKUP($F995, XPBands!A$2:G$10, 4, FALSE) + MIN(VLOOKUP($F995, XPBands!A$2:G$10, 5, FALSE) - VLOOKUP($F995, XPBands!A$2:G$10, 4, FALSE), FLOOR(( $E995 - VLOOKUP($F995, XPBands!A$2:G$10, 2, FALSE) ) / VLOOKUP($F995, XPBands!A$2:G$10, 7, FALSE),1)))</f>
        <v/>
      </c>
      <c r="H995" s="27">
        <f>IF($D995="","",VLOOKUP($D995,RoleTitles!$A:$E,3,FALSE))</f>
        <v/>
      </c>
      <c r="I995" s="27">
        <f>IF($D995="","",IF($C995="Greek",VLOOKUP($D995,RoleTitles!$A:$E,4,FALSE),IF($C995="Aesir",VLOOKUP($D995,RoleTitles!$A:$E,5,FALSE),VLOOKUP($D995,RoleTitles!$A:$E,3,FALSE))))</f>
        <v/>
      </c>
      <c r="J995" s="27">
        <f>IF($D995="","",IF($E995&gt;=VLOOKUP($D995,RoleTitles!$A:$B,2,FALSE),"Yes","No"))</f>
        <v/>
      </c>
      <c r="K995" s="27">
        <f>IF($D995="","",IF($D995="T1","T2",IF($D995="T2","T3",IF($D995="T3","T4",IF($D995="T4","T5",IF($D995="T5","T6",IF($D995="T6","T7",IF($D995="T7","T8",IF($D995="T8","T9","")))))))))</f>
        <v/>
      </c>
      <c r="L995" s="28">
        <f>IF($K995="","",MAX(0,VLOOKUP($K995,RoleTitles!$A:$B,2,FALSE)-$E995))</f>
        <v/>
      </c>
    </row>
    <row r="996">
      <c r="A996" s="24">
        <f>IFERROR(INDEX(CoachRoster!$A$2:$A$1000,ROW()-1),"")</f>
        <v/>
      </c>
      <c r="B996" s="27">
        <f>IF($A996="","",VLOOKUP($A996,CoachRoster!$A:$E,2,FALSE))</f>
        <v/>
      </c>
      <c r="C996" s="27">
        <f>IF($A996="","",VLOOKUP($A996,CoachRoster!$A:$E,3,FALSE))</f>
        <v/>
      </c>
      <c r="D996" s="27">
        <f>IF($A996="","",VLOOKUP($A996,CoachRoster!$A:$E,4,FALSE))</f>
        <v/>
      </c>
      <c r="E996" s="27">
        <f>IF($A996="","",MIN(Settings!$B$8,IFERROR(SUMIF(Weekly_Coaching!$B:$B,$A996,Weekly_Coaching!$D:$D),0)+IFERROR(SUMIF(Monthly_Edu!$B:$B,$A996,Monthly_Edu!$D:$D),0)+IFERROR(SUMIF(Monthly_Ops!$B:$B,$A996,Monthly_Ops!$D:$D),0)+IFERROR(SUMIF(Monthly_Mentor!$B:$B,$A996,Monthly_Mentor!$D:$D),0)+IFERROR(SUMIF(Quarterly_Impact!$B:$B,$A996,Quarterly_Impact!$D:$D),0)+IFERROR(SUMIFS(XPLog!$M:$M,XPLog!$B:$B,$A996,XPLog!$J:$J,"Admin"),0)+IFERROR(SUMIFS(XPLog!$M:$M,XPLog!$B:$B,$A996,XPLog!$J:$J,"Seeding"),0)))</f>
        <v/>
      </c>
      <c r="F996" s="27">
        <f>IF($E996="","",LOOKUP($E996, XPBands!B$2:B$10, XPBands!A$2:A$10))</f>
        <v/>
      </c>
      <c r="G996" s="27">
        <f>IF($E996="","", VLOOKUP($F996, XPBands!A$2:G$10, 4, FALSE) + MIN(VLOOKUP($F996, XPBands!A$2:G$10, 5, FALSE) - VLOOKUP($F996, XPBands!A$2:G$10, 4, FALSE), FLOOR(( $E996 - VLOOKUP($F996, XPBands!A$2:G$10, 2, FALSE) ) / VLOOKUP($F996, XPBands!A$2:G$10, 7, FALSE),1)))</f>
        <v/>
      </c>
      <c r="H996" s="27">
        <f>IF($D996="","",VLOOKUP($D996,RoleTitles!$A:$E,3,FALSE))</f>
        <v/>
      </c>
      <c r="I996" s="27">
        <f>IF($D996="","",IF($C996="Greek",VLOOKUP($D996,RoleTitles!$A:$E,4,FALSE),IF($C996="Aesir",VLOOKUP($D996,RoleTitles!$A:$E,5,FALSE),VLOOKUP($D996,RoleTitles!$A:$E,3,FALSE))))</f>
        <v/>
      </c>
      <c r="J996" s="27">
        <f>IF($D996="","",IF($E996&gt;=VLOOKUP($D996,RoleTitles!$A:$B,2,FALSE),"Yes","No"))</f>
        <v/>
      </c>
      <c r="K996" s="27">
        <f>IF($D996="","",IF($D996="T1","T2",IF($D996="T2","T3",IF($D996="T3","T4",IF($D996="T4","T5",IF($D996="T5","T6",IF($D996="T6","T7",IF($D996="T7","T8",IF($D996="T8","T9","")))))))))</f>
        <v/>
      </c>
      <c r="L996" s="28">
        <f>IF($K996="","",MAX(0,VLOOKUP($K996,RoleTitles!$A:$B,2,FALSE)-$E996))</f>
        <v/>
      </c>
    </row>
    <row r="997">
      <c r="A997" s="24">
        <f>IFERROR(INDEX(CoachRoster!$A$2:$A$1000,ROW()-1),"")</f>
        <v/>
      </c>
      <c r="B997" s="27">
        <f>IF($A997="","",VLOOKUP($A997,CoachRoster!$A:$E,2,FALSE))</f>
        <v/>
      </c>
      <c r="C997" s="27">
        <f>IF($A997="","",VLOOKUP($A997,CoachRoster!$A:$E,3,FALSE))</f>
        <v/>
      </c>
      <c r="D997" s="27">
        <f>IF($A997="","",VLOOKUP($A997,CoachRoster!$A:$E,4,FALSE))</f>
        <v/>
      </c>
      <c r="E997" s="27">
        <f>IF($A997="","",MIN(Settings!$B$8,IFERROR(SUMIF(Weekly_Coaching!$B:$B,$A997,Weekly_Coaching!$D:$D),0)+IFERROR(SUMIF(Monthly_Edu!$B:$B,$A997,Monthly_Edu!$D:$D),0)+IFERROR(SUMIF(Monthly_Ops!$B:$B,$A997,Monthly_Ops!$D:$D),0)+IFERROR(SUMIF(Monthly_Mentor!$B:$B,$A997,Monthly_Mentor!$D:$D),0)+IFERROR(SUMIF(Quarterly_Impact!$B:$B,$A997,Quarterly_Impact!$D:$D),0)+IFERROR(SUMIFS(XPLog!$M:$M,XPLog!$B:$B,$A997,XPLog!$J:$J,"Admin"),0)+IFERROR(SUMIFS(XPLog!$M:$M,XPLog!$B:$B,$A997,XPLog!$J:$J,"Seeding"),0)))</f>
        <v/>
      </c>
      <c r="F997" s="27">
        <f>IF($E997="","",LOOKUP($E997, XPBands!B$2:B$10, XPBands!A$2:A$10))</f>
        <v/>
      </c>
      <c r="G997" s="27">
        <f>IF($E997="","", VLOOKUP($F997, XPBands!A$2:G$10, 4, FALSE) + MIN(VLOOKUP($F997, XPBands!A$2:G$10, 5, FALSE) - VLOOKUP($F997, XPBands!A$2:G$10, 4, FALSE), FLOOR(( $E997 - VLOOKUP($F997, XPBands!A$2:G$10, 2, FALSE) ) / VLOOKUP($F997, XPBands!A$2:G$10, 7, FALSE),1)))</f>
        <v/>
      </c>
      <c r="H997" s="27">
        <f>IF($D997="","",VLOOKUP($D997,RoleTitles!$A:$E,3,FALSE))</f>
        <v/>
      </c>
      <c r="I997" s="27">
        <f>IF($D997="","",IF($C997="Greek",VLOOKUP($D997,RoleTitles!$A:$E,4,FALSE),IF($C997="Aesir",VLOOKUP($D997,RoleTitles!$A:$E,5,FALSE),VLOOKUP($D997,RoleTitles!$A:$E,3,FALSE))))</f>
        <v/>
      </c>
      <c r="J997" s="27">
        <f>IF($D997="","",IF($E997&gt;=VLOOKUP($D997,RoleTitles!$A:$B,2,FALSE),"Yes","No"))</f>
        <v/>
      </c>
      <c r="K997" s="27">
        <f>IF($D997="","",IF($D997="T1","T2",IF($D997="T2","T3",IF($D997="T3","T4",IF($D997="T4","T5",IF($D997="T5","T6",IF($D997="T6","T7",IF($D997="T7","T8",IF($D997="T8","T9","")))))))))</f>
        <v/>
      </c>
      <c r="L997" s="28">
        <f>IF($K997="","",MAX(0,VLOOKUP($K997,RoleTitles!$A:$B,2,FALSE)-$E997))</f>
        <v/>
      </c>
    </row>
    <row r="998">
      <c r="A998" s="24">
        <f>IFERROR(INDEX(CoachRoster!$A$2:$A$1000,ROW()-1),"")</f>
        <v/>
      </c>
      <c r="B998" s="27">
        <f>IF($A998="","",VLOOKUP($A998,CoachRoster!$A:$E,2,FALSE))</f>
        <v/>
      </c>
      <c r="C998" s="27">
        <f>IF($A998="","",VLOOKUP($A998,CoachRoster!$A:$E,3,FALSE))</f>
        <v/>
      </c>
      <c r="D998" s="27">
        <f>IF($A998="","",VLOOKUP($A998,CoachRoster!$A:$E,4,FALSE))</f>
        <v/>
      </c>
      <c r="E998" s="27">
        <f>IF($A998="","",MIN(Settings!$B$8,IFERROR(SUMIF(Weekly_Coaching!$B:$B,$A998,Weekly_Coaching!$D:$D),0)+IFERROR(SUMIF(Monthly_Edu!$B:$B,$A998,Monthly_Edu!$D:$D),0)+IFERROR(SUMIF(Monthly_Ops!$B:$B,$A998,Monthly_Ops!$D:$D),0)+IFERROR(SUMIF(Monthly_Mentor!$B:$B,$A998,Monthly_Mentor!$D:$D),0)+IFERROR(SUMIF(Quarterly_Impact!$B:$B,$A998,Quarterly_Impact!$D:$D),0)+IFERROR(SUMIFS(XPLog!$M:$M,XPLog!$B:$B,$A998,XPLog!$J:$J,"Admin"),0)+IFERROR(SUMIFS(XPLog!$M:$M,XPLog!$B:$B,$A998,XPLog!$J:$J,"Seeding"),0)))</f>
        <v/>
      </c>
      <c r="F998" s="27">
        <f>IF($E998="","",LOOKUP($E998, XPBands!B$2:B$10, XPBands!A$2:A$10))</f>
        <v/>
      </c>
      <c r="G998" s="27">
        <f>IF($E998="","", VLOOKUP($F998, XPBands!A$2:G$10, 4, FALSE) + MIN(VLOOKUP($F998, XPBands!A$2:G$10, 5, FALSE) - VLOOKUP($F998, XPBands!A$2:G$10, 4, FALSE), FLOOR(( $E998 - VLOOKUP($F998, XPBands!A$2:G$10, 2, FALSE) ) / VLOOKUP($F998, XPBands!A$2:G$10, 7, FALSE),1)))</f>
        <v/>
      </c>
      <c r="H998" s="27">
        <f>IF($D998="","",VLOOKUP($D998,RoleTitles!$A:$E,3,FALSE))</f>
        <v/>
      </c>
      <c r="I998" s="27">
        <f>IF($D998="","",IF($C998="Greek",VLOOKUP($D998,RoleTitles!$A:$E,4,FALSE),IF($C998="Aesir",VLOOKUP($D998,RoleTitles!$A:$E,5,FALSE),VLOOKUP($D998,RoleTitles!$A:$E,3,FALSE))))</f>
        <v/>
      </c>
      <c r="J998" s="27">
        <f>IF($D998="","",IF($E998&gt;=VLOOKUP($D998,RoleTitles!$A:$B,2,FALSE),"Yes","No"))</f>
        <v/>
      </c>
      <c r="K998" s="27">
        <f>IF($D998="","",IF($D998="T1","T2",IF($D998="T2","T3",IF($D998="T3","T4",IF($D998="T4","T5",IF($D998="T5","T6",IF($D998="T6","T7",IF($D998="T7","T8",IF($D998="T8","T9","")))))))))</f>
        <v/>
      </c>
      <c r="L998" s="28">
        <f>IF($K998="","",MAX(0,VLOOKUP($K998,RoleTitles!$A:$B,2,FALSE)-$E998))</f>
        <v/>
      </c>
    </row>
    <row r="999">
      <c r="A999" s="24">
        <f>IFERROR(INDEX(CoachRoster!$A$2:$A$1000,ROW()-1),"")</f>
        <v/>
      </c>
      <c r="B999" s="27">
        <f>IF($A999="","",VLOOKUP($A999,CoachRoster!$A:$E,2,FALSE))</f>
        <v/>
      </c>
      <c r="C999" s="27">
        <f>IF($A999="","",VLOOKUP($A999,CoachRoster!$A:$E,3,FALSE))</f>
        <v/>
      </c>
      <c r="D999" s="27">
        <f>IF($A999="","",VLOOKUP($A999,CoachRoster!$A:$E,4,FALSE))</f>
        <v/>
      </c>
      <c r="E999" s="27">
        <f>IF($A999="","",MIN(Settings!$B$8,IFERROR(SUMIF(Weekly_Coaching!$B:$B,$A999,Weekly_Coaching!$D:$D),0)+IFERROR(SUMIF(Monthly_Edu!$B:$B,$A999,Monthly_Edu!$D:$D),0)+IFERROR(SUMIF(Monthly_Ops!$B:$B,$A999,Monthly_Ops!$D:$D),0)+IFERROR(SUMIF(Monthly_Mentor!$B:$B,$A999,Monthly_Mentor!$D:$D),0)+IFERROR(SUMIF(Quarterly_Impact!$B:$B,$A999,Quarterly_Impact!$D:$D),0)+IFERROR(SUMIFS(XPLog!$M:$M,XPLog!$B:$B,$A999,XPLog!$J:$J,"Admin"),0)+IFERROR(SUMIFS(XPLog!$M:$M,XPLog!$B:$B,$A999,XPLog!$J:$J,"Seeding"),0)))</f>
        <v/>
      </c>
      <c r="F999" s="27">
        <f>IF($E999="","",LOOKUP($E999, XPBands!B$2:B$10, XPBands!A$2:A$10))</f>
        <v/>
      </c>
      <c r="G999" s="27">
        <f>IF($E999="","", VLOOKUP($F999, XPBands!A$2:G$10, 4, FALSE) + MIN(VLOOKUP($F999, XPBands!A$2:G$10, 5, FALSE) - VLOOKUP($F999, XPBands!A$2:G$10, 4, FALSE), FLOOR(( $E999 - VLOOKUP($F999, XPBands!A$2:G$10, 2, FALSE) ) / VLOOKUP($F999, XPBands!A$2:G$10, 7, FALSE),1)))</f>
        <v/>
      </c>
      <c r="H999" s="27">
        <f>IF($D999="","",VLOOKUP($D999,RoleTitles!$A:$E,3,FALSE))</f>
        <v/>
      </c>
      <c r="I999" s="27">
        <f>IF($D999="","",IF($C999="Greek",VLOOKUP($D999,RoleTitles!$A:$E,4,FALSE),IF($C999="Aesir",VLOOKUP($D999,RoleTitles!$A:$E,5,FALSE),VLOOKUP($D999,RoleTitles!$A:$E,3,FALSE))))</f>
        <v/>
      </c>
      <c r="J999" s="27">
        <f>IF($D999="","",IF($E999&gt;=VLOOKUP($D999,RoleTitles!$A:$B,2,FALSE),"Yes","No"))</f>
        <v/>
      </c>
      <c r="K999" s="27">
        <f>IF($D999="","",IF($D999="T1","T2",IF($D999="T2","T3",IF($D999="T3","T4",IF($D999="T4","T5",IF($D999="T5","T6",IF($D999="T6","T7",IF($D999="T7","T8",IF($D999="T8","T9","")))))))))</f>
        <v/>
      </c>
      <c r="L999" s="28">
        <f>IF($K999="","",MAX(0,VLOOKUP($K999,RoleTitles!$A:$B,2,FALSE)-$E999))</f>
        <v/>
      </c>
    </row>
    <row r="1000">
      <c r="A1000" s="24">
        <f>IFERROR(INDEX(CoachRoster!$A$2:$A$1000,ROW()-1),"")</f>
        <v/>
      </c>
      <c r="B1000" s="27">
        <f>IF($A1000="","",VLOOKUP($A1000,CoachRoster!$A:$E,2,FALSE))</f>
        <v/>
      </c>
      <c r="C1000" s="27">
        <f>IF($A1000="","",VLOOKUP($A1000,CoachRoster!$A:$E,3,FALSE))</f>
        <v/>
      </c>
      <c r="D1000" s="27">
        <f>IF($A1000="","",VLOOKUP($A1000,CoachRoster!$A:$E,4,FALSE))</f>
        <v/>
      </c>
      <c r="E1000" s="27">
        <f>IF($A1000="","",MIN(Settings!$B$8,IFERROR(SUMIF(Weekly_Coaching!$B:$B,$A1000,Weekly_Coaching!$D:$D),0)+IFERROR(SUMIF(Monthly_Edu!$B:$B,$A1000,Monthly_Edu!$D:$D),0)+IFERROR(SUMIF(Monthly_Ops!$B:$B,$A1000,Monthly_Ops!$D:$D),0)+IFERROR(SUMIF(Monthly_Mentor!$B:$B,$A1000,Monthly_Mentor!$D:$D),0)+IFERROR(SUMIF(Quarterly_Impact!$B:$B,$A1000,Quarterly_Impact!$D:$D),0)+IFERROR(SUMIFS(XPLog!$M:$M,XPLog!$B:$B,$A1000,XPLog!$J:$J,"Admin"),0)+IFERROR(SUMIFS(XPLog!$M:$M,XPLog!$B:$B,$A1000,XPLog!$J:$J,"Seeding"),0)))</f>
        <v/>
      </c>
      <c r="F1000" s="27">
        <f>IF($E1000="","",LOOKUP($E1000, XPBands!B$2:B$10, XPBands!A$2:A$10))</f>
        <v/>
      </c>
      <c r="G1000" s="27">
        <f>IF($E1000="","", VLOOKUP($F1000, XPBands!A$2:G$10, 4, FALSE) + MIN(VLOOKUP($F1000, XPBands!A$2:G$10, 5, FALSE) - VLOOKUP($F1000, XPBands!A$2:G$10, 4, FALSE), FLOOR(( $E1000 - VLOOKUP($F1000, XPBands!A$2:G$10, 2, FALSE) ) / VLOOKUP($F1000, XPBands!A$2:G$10, 7, FALSE),1)))</f>
        <v/>
      </c>
      <c r="H1000" s="27">
        <f>IF($D1000="","",VLOOKUP($D1000,RoleTitles!$A:$E,3,FALSE))</f>
        <v/>
      </c>
      <c r="I1000" s="27">
        <f>IF($D1000="","",IF($C1000="Greek",VLOOKUP($D1000,RoleTitles!$A:$E,4,FALSE),IF($C1000="Aesir",VLOOKUP($D1000,RoleTitles!$A:$E,5,FALSE),VLOOKUP($D1000,RoleTitles!$A:$E,3,FALSE))))</f>
        <v/>
      </c>
      <c r="J1000" s="27">
        <f>IF($D1000="","",IF($E1000&gt;=VLOOKUP($D1000,RoleTitles!$A:$B,2,FALSE),"Yes","No"))</f>
        <v/>
      </c>
      <c r="K1000" s="27">
        <f>IF($D1000="","",IF($D1000="T1","T2",IF($D1000="T2","T3",IF($D1000="T3","T4",IF($D1000="T4","T5",IF($D1000="T5","T6",IF($D1000="T6","T7",IF($D1000="T7","T8",IF($D1000="T8","T9","")))))))))</f>
        <v/>
      </c>
      <c r="L1000" s="28">
        <f>IF($K1000="","",MAX(0,VLOOKUP($K1000,RoleTitles!$A:$B,2,FALSE)-$E1000))</f>
        <v/>
      </c>
    </row>
  </sheetData>
  <dataValidations count="1">
    <dataValidation sqref="A2:A1000" showDropDown="0" showInputMessage="0" showErrorMessage="1" allowBlank="1" type="list">
      <formula1>CoachRoster!$A$2:$A$1000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00FF00"/>
    <outlinePr summaryBelow="0" summaryRight="0"/>
    <pageSetUpPr/>
  </sheetPr>
  <dimension ref="A1:R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8" min="1" max="1"/>
    <col width="40" customWidth="1" style="38" min="2" max="2"/>
    <col width="12" customWidth="1" style="38" min="3" max="3"/>
    <col width="12" customWidth="1" style="38" min="4" max="4"/>
    <col width="12" customWidth="1" style="38" min="5" max="5"/>
    <col width="16" customWidth="1" style="38" min="6" max="6"/>
    <col width="12" customWidth="1" style="38" min="7" max="7"/>
    <col width="40" customWidth="1" style="38" min="8" max="8"/>
    <col width="12" customWidth="1" style="38" min="9" max="9"/>
    <col width="40" customWidth="1" style="38" min="10" max="10"/>
    <col width="40" customWidth="1" style="38" min="11" max="11"/>
    <col width="12" customWidth="1" style="38" min="12" max="12"/>
    <col width="12" customWidth="1" style="38" min="13" max="13"/>
    <col width="12" customWidth="1" style="38" min="14" max="14"/>
    <col width="12" customWidth="1" style="38" min="15" max="15"/>
    <col width="12" customWidth="1" style="38" min="16" max="16"/>
  </cols>
  <sheetData>
    <row r="1">
      <c r="A1" s="40" t="inlineStr">
        <is>
          <t>CoachID</t>
        </is>
      </c>
      <c r="B1" s="40" t="inlineStr">
        <is>
          <t>CurrentRole</t>
        </is>
      </c>
      <c r="C1" s="40" t="inlineStr">
        <is>
          <t>TargetRole</t>
        </is>
      </c>
      <c r="D1" s="40" t="inlineStr">
        <is>
          <t>TrialDate</t>
        </is>
      </c>
      <c r="E1" s="40" t="inlineStr">
        <is>
          <t>SkillTrial</t>
        </is>
      </c>
      <c r="F1" s="40" t="inlineStr">
        <is>
          <t>KnowledgeTrial</t>
        </is>
      </c>
      <c r="G1" s="40" t="inlineStr">
        <is>
          <t>Portfolio</t>
        </is>
      </c>
      <c r="H1" s="40" t="inlineStr">
        <is>
          <t>Result</t>
        </is>
      </c>
      <c r="I1" s="40" t="inlineStr">
        <is>
          <t>Notes</t>
        </is>
      </c>
      <c r="J1" s="40" t="inlineStr">
        <is>
          <t>XPEligible?</t>
        </is>
      </c>
      <c r="K1" s="40" t="inlineStr">
        <is>
          <t>PromoteAllowed?</t>
        </is>
      </c>
      <c r="L1" s="4" t="n"/>
      <c r="M1" s="4" t="n"/>
      <c r="N1" s="4" t="n"/>
      <c r="O1" s="4" t="n"/>
      <c r="P1" s="4" t="n"/>
      <c r="Q1" s="4" t="n"/>
      <c r="R1" s="4" t="n"/>
    </row>
    <row r="2">
      <c r="A2" s="29" t="n"/>
      <c r="B2" s="29">
        <f>IF($A2="","",VLOOKUP($A2,CoachRoster!$A:$E,4,FALSE))</f>
        <v/>
      </c>
      <c r="C2" s="29" t="n"/>
      <c r="D2" s="29" t="n"/>
      <c r="E2" s="29" t="n"/>
      <c r="F2" s="29" t="n"/>
      <c r="G2" s="29" t="n"/>
      <c r="H2" s="29">
        <f>IF($A2="","",IF(AND($E2="Pass",$F2="Pass",$G2="Pass"),"PROMOTE","NOT YET"))</f>
        <v/>
      </c>
      <c r="I2" s="29" t="n"/>
      <c r="J2" s="32">
        <f>IF(OR($A2="",$C2=""),"",IF(IFERROR(VLOOKUP($A2,Ledger!$A:$E,5,FALSE),0)&gt;=VLOOKUP($C2,RoleTitles!$A:$B,2,FALSE),"YES","NO"))</f>
        <v/>
      </c>
      <c r="K2" s="32">
        <f>IF($A2="","",IF(AND($H2="PROMOTE",$J2="YES"),"YES — PROMOTE","NO"))</f>
        <v/>
      </c>
    </row>
    <row r="3">
      <c r="A3" s="7" t="n"/>
      <c r="B3" s="7">
        <f>IF($A3="","",VLOOKUP($A3,CoachRoster!$A:$E,4,FALSE))</f>
        <v/>
      </c>
      <c r="C3" s="7" t="n"/>
      <c r="D3" s="7" t="n"/>
      <c r="E3" s="7" t="n"/>
      <c r="F3" s="7" t="n"/>
      <c r="G3" s="7" t="n"/>
      <c r="H3" s="7">
        <f>IF($A3="","",IF(AND($E3="Pass",$F3="Pass",$G3="Pass"),"PROMOTE","NOT YET"))</f>
        <v/>
      </c>
      <c r="I3" s="7" t="n"/>
      <c r="J3" s="27">
        <f>IF(OR($A3="",$C3=""),"",IF(IFERROR(VLOOKUP($A3,Ledger!$A:$E,5,FALSE),0)&gt;=VLOOKUP($C3,RoleTitles!$A:$B,2,FALSE),"YES","NO"))</f>
        <v/>
      </c>
      <c r="K3" s="27">
        <f>IF($A3="","",IF(AND($H3="PROMOTE",$J3="YES"),"YES — PROMOTE","NO"))</f>
        <v/>
      </c>
    </row>
    <row r="4">
      <c r="A4" s="7" t="n"/>
      <c r="B4" s="7">
        <f>IF($A4="","",VLOOKUP($A4,CoachRoster!$A:$E,4,FALSE))</f>
        <v/>
      </c>
      <c r="C4" s="7" t="n"/>
      <c r="D4" s="7" t="n"/>
      <c r="E4" s="7" t="n"/>
      <c r="F4" s="7" t="n"/>
      <c r="G4" s="7" t="n"/>
      <c r="H4" s="7">
        <f>IF($A4="","",IF(AND($E4="Pass",$F4="Pass",$G4="Pass"),"PROMOTE","NOT YET"))</f>
        <v/>
      </c>
      <c r="I4" s="7" t="n"/>
      <c r="J4" s="27">
        <f>IF(OR($A4="",$C4=""),"",IF(IFERROR(VLOOKUP($A4,Ledger!$A:$E,5,FALSE),0)&gt;=VLOOKUP($C4,RoleTitles!$A:$B,2,FALSE),"YES","NO"))</f>
        <v/>
      </c>
      <c r="K4" s="27">
        <f>IF($A4="","",IF(AND($H4="PROMOTE",$J4="YES"),"YES — PROMOTE","NO"))</f>
        <v/>
      </c>
    </row>
    <row r="5">
      <c r="A5" s="7" t="n"/>
      <c r="B5" s="7">
        <f>IF($A5="","",VLOOKUP($A5,CoachRoster!$A:$E,4,FALSE))</f>
        <v/>
      </c>
      <c r="C5" s="7" t="n"/>
      <c r="D5" s="7" t="n"/>
      <c r="E5" s="7" t="n"/>
      <c r="F5" s="7" t="n"/>
      <c r="G5" s="7" t="n"/>
      <c r="H5" s="7">
        <f>IF($A5="","",IF(AND($E5="Pass",$F5="Pass",$G5="Pass"),"PROMOTE","NOT YET"))</f>
        <v/>
      </c>
      <c r="I5" s="7" t="n"/>
      <c r="J5" s="27">
        <f>IF(OR($A5="",$C5=""),"",IF(IFERROR(VLOOKUP($A5,Ledger!$A:$E,5,FALSE),0)&gt;=VLOOKUP($C5,RoleTitles!$A:$B,2,FALSE),"YES","NO"))</f>
        <v/>
      </c>
      <c r="K5" s="27">
        <f>IF($A5="","",IF(AND($H5="PROMOTE",$J5="YES"),"YES — PROMOTE","NO"))</f>
        <v/>
      </c>
    </row>
    <row r="6">
      <c r="A6" s="7" t="n"/>
      <c r="B6" s="7">
        <f>IF($A6="","",VLOOKUP($A6,CoachRoster!$A:$E,4,FALSE))</f>
        <v/>
      </c>
      <c r="C6" s="7" t="n"/>
      <c r="D6" s="7" t="n"/>
      <c r="E6" s="7" t="n"/>
      <c r="F6" s="7" t="n"/>
      <c r="G6" s="7" t="n"/>
      <c r="H6" s="7">
        <f>IF($A6="","",IF(AND($E6="Pass",$F6="Pass",$G6="Pass"),"PROMOTE","NOT YET"))</f>
        <v/>
      </c>
      <c r="I6" s="7" t="n"/>
      <c r="J6" s="27">
        <f>IF(OR($A6="",$C6=""),"",IF(IFERROR(VLOOKUP($A6,Ledger!$A:$E,5,FALSE),0)&gt;=VLOOKUP($C6,RoleTitles!$A:$B,2,FALSE),"YES","NO"))</f>
        <v/>
      </c>
      <c r="K6" s="27">
        <f>IF($A6="","",IF(AND($H6="PROMOTE",$J6="YES"),"YES — PROMOTE","NO"))</f>
        <v/>
      </c>
    </row>
    <row r="7">
      <c r="A7" s="7" t="n"/>
      <c r="B7" s="7">
        <f>IF($A7="","",VLOOKUP($A7,CoachRoster!$A:$E,4,FALSE))</f>
        <v/>
      </c>
      <c r="C7" s="7" t="n"/>
      <c r="D7" s="7" t="n"/>
      <c r="E7" s="7" t="n"/>
      <c r="F7" s="7" t="n"/>
      <c r="G7" s="7" t="n"/>
      <c r="H7" s="7">
        <f>IF($A7="","",IF(AND($E7="Pass",$F7="Pass",$G7="Pass"),"PROMOTE","NOT YET"))</f>
        <v/>
      </c>
      <c r="I7" s="7" t="n"/>
      <c r="J7" s="27">
        <f>IF(OR($A7="",$C7=""),"",IF(IFERROR(VLOOKUP($A7,Ledger!$A:$E,5,FALSE),0)&gt;=VLOOKUP($C7,RoleTitles!$A:$B,2,FALSE),"YES","NO"))</f>
        <v/>
      </c>
      <c r="K7" s="27">
        <f>IF($A7="","",IF(AND($H7="PROMOTE",$J7="YES"),"YES — PROMOTE","NO"))</f>
        <v/>
      </c>
    </row>
    <row r="8">
      <c r="A8" s="7" t="n"/>
      <c r="B8" s="7">
        <f>IF($A8="","",VLOOKUP($A8,CoachRoster!$A:$E,4,FALSE))</f>
        <v/>
      </c>
      <c r="C8" s="7" t="n"/>
      <c r="D8" s="7" t="n"/>
      <c r="E8" s="7" t="n"/>
      <c r="F8" s="7" t="n"/>
      <c r="G8" s="7" t="n"/>
      <c r="H8" s="7">
        <f>IF($A8="","",IF(AND($E8="Pass",$F8="Pass",$G8="Pass"),"PROMOTE","NOT YET"))</f>
        <v/>
      </c>
      <c r="I8" s="7" t="n"/>
      <c r="J8" s="27">
        <f>IF(OR($A8="",$C8=""),"",IF(IFERROR(VLOOKUP($A8,Ledger!$A:$E,5,FALSE),0)&gt;=VLOOKUP($C8,RoleTitles!$A:$B,2,FALSE),"YES","NO"))</f>
        <v/>
      </c>
      <c r="K8" s="27">
        <f>IF($A8="","",IF(AND($H8="PROMOTE",$J8="YES"),"YES — PROMOTE","NO"))</f>
        <v/>
      </c>
    </row>
    <row r="9">
      <c r="A9" s="7" t="n"/>
      <c r="B9" s="7">
        <f>IF($A9="","",VLOOKUP($A9,CoachRoster!$A:$E,4,FALSE))</f>
        <v/>
      </c>
      <c r="C9" s="7" t="n"/>
      <c r="D9" s="7" t="n"/>
      <c r="E9" s="7" t="n"/>
      <c r="F9" s="7" t="n"/>
      <c r="G9" s="7" t="n"/>
      <c r="H9" s="7">
        <f>IF($A9="","",IF(AND($E9="Pass",$F9="Pass",$G9="Pass"),"PROMOTE","NOT YET"))</f>
        <v/>
      </c>
      <c r="I9" s="7" t="n"/>
      <c r="J9" s="27">
        <f>IF(OR($A9="",$C9=""),"",IF(IFERROR(VLOOKUP($A9,Ledger!$A:$E,5,FALSE),0)&gt;=VLOOKUP($C9,RoleTitles!$A:$B,2,FALSE),"YES","NO"))</f>
        <v/>
      </c>
      <c r="K9" s="27">
        <f>IF($A9="","",IF(AND($H9="PROMOTE",$J9="YES"),"YES — PROMOTE","NO"))</f>
        <v/>
      </c>
    </row>
    <row r="10">
      <c r="A10" s="7" t="n"/>
      <c r="B10" s="7">
        <f>IF($A10="","",VLOOKUP($A10,CoachRoster!$A:$E,4,FALSE))</f>
        <v/>
      </c>
      <c r="C10" s="7" t="n"/>
      <c r="D10" s="7" t="n"/>
      <c r="E10" s="7" t="n"/>
      <c r="F10" s="7" t="n"/>
      <c r="G10" s="7" t="n"/>
      <c r="H10" s="7">
        <f>IF($A10="","",IF(AND($E10="Pass",$F10="Pass",$G10="Pass"),"PROMOTE","NOT YET"))</f>
        <v/>
      </c>
      <c r="I10" s="7" t="n"/>
      <c r="J10" s="27">
        <f>IF(OR($A10="",$C10=""),"",IF(IFERROR(VLOOKUP($A10,Ledger!$A:$E,5,FALSE),0)&gt;=VLOOKUP($C10,RoleTitles!$A:$B,2,FALSE),"YES","NO"))</f>
        <v/>
      </c>
      <c r="K10" s="27">
        <f>IF($A10="","",IF(AND($H10="PROMOTE",$J10="YES"),"YES — PROMOTE","NO"))</f>
        <v/>
      </c>
    </row>
    <row r="11">
      <c r="A11" s="7" t="n"/>
      <c r="B11" s="7">
        <f>IF($A11="","",VLOOKUP($A11,CoachRoster!$A:$E,4,FALSE))</f>
        <v/>
      </c>
      <c r="C11" s="7" t="n"/>
      <c r="D11" s="7" t="n"/>
      <c r="E11" s="7" t="n"/>
      <c r="F11" s="7" t="n"/>
      <c r="G11" s="7" t="n"/>
      <c r="H11" s="7">
        <f>IF($A11="","",IF(AND($E11="Pass",$F11="Pass",$G11="Pass"),"PROMOTE","NOT YET"))</f>
        <v/>
      </c>
      <c r="I11" s="7" t="n"/>
      <c r="J11" s="27">
        <f>IF(OR($A11="",$C11=""),"",IF(IFERROR(VLOOKUP($A11,Ledger!$A:$E,5,FALSE),0)&gt;=VLOOKUP($C11,RoleTitles!$A:$B,2,FALSE),"YES","NO"))</f>
        <v/>
      </c>
      <c r="K11" s="27">
        <f>IF($A11="","",IF(AND($H11="PROMOTE",$J11="YES"),"YES — PROMOTE","NO"))</f>
        <v/>
      </c>
    </row>
    <row r="12">
      <c r="A12" s="7" t="n"/>
      <c r="B12" s="7">
        <f>IF($A12="","",VLOOKUP($A12,CoachRoster!$A:$E,4,FALSE))</f>
        <v/>
      </c>
      <c r="C12" s="7" t="n"/>
      <c r="D12" s="7" t="n"/>
      <c r="E12" s="7" t="n"/>
      <c r="F12" s="7" t="n"/>
      <c r="G12" s="7" t="n"/>
      <c r="H12" s="7">
        <f>IF($A12="","",IF(AND($E12="Pass",$F12="Pass",$G12="Pass"),"PROMOTE","NOT YET"))</f>
        <v/>
      </c>
      <c r="I12" s="7" t="n"/>
      <c r="J12" s="27">
        <f>IF(OR($A12="",$C12=""),"",IF(IFERROR(VLOOKUP($A12,Ledger!$A:$E,5,FALSE),0)&gt;=VLOOKUP($C12,RoleTitles!$A:$B,2,FALSE),"YES","NO"))</f>
        <v/>
      </c>
      <c r="K12" s="27">
        <f>IF($A12="","",IF(AND($H12="PROMOTE",$J12="YES"),"YES — PROMOTE","NO"))</f>
        <v/>
      </c>
    </row>
    <row r="13">
      <c r="A13" s="7" t="n"/>
      <c r="B13" s="7">
        <f>IF($A13="","",VLOOKUP($A13,CoachRoster!$A:$E,4,FALSE))</f>
        <v/>
      </c>
      <c r="C13" s="7" t="n"/>
      <c r="D13" s="7" t="n"/>
      <c r="E13" s="7" t="n"/>
      <c r="F13" s="7" t="n"/>
      <c r="G13" s="7" t="n"/>
      <c r="H13" s="7">
        <f>IF($A13="","",IF(AND($E13="Pass",$F13="Pass",$G13="Pass"),"PROMOTE","NOT YET"))</f>
        <v/>
      </c>
      <c r="I13" s="7" t="n"/>
      <c r="J13" s="27">
        <f>IF(OR($A13="",$C13=""),"",IF(IFERROR(VLOOKUP($A13,Ledger!$A:$E,5,FALSE),0)&gt;=VLOOKUP($C13,RoleTitles!$A:$B,2,FALSE),"YES","NO"))</f>
        <v/>
      </c>
      <c r="K13" s="27">
        <f>IF($A13="","",IF(AND($H13="PROMOTE",$J13="YES"),"YES — PROMOTE","NO"))</f>
        <v/>
      </c>
    </row>
    <row r="14">
      <c r="A14" s="7" t="n"/>
      <c r="B14" s="7">
        <f>IF($A14="","",VLOOKUP($A14,CoachRoster!$A:$E,4,FALSE))</f>
        <v/>
      </c>
      <c r="C14" s="7" t="n"/>
      <c r="D14" s="7" t="n"/>
      <c r="E14" s="7" t="n"/>
      <c r="F14" s="7" t="n"/>
      <c r="G14" s="7" t="n"/>
      <c r="H14" s="7">
        <f>IF($A14="","",IF(AND($E14="Pass",$F14="Pass",$G14="Pass"),"PROMOTE","NOT YET"))</f>
        <v/>
      </c>
      <c r="I14" s="7" t="n"/>
      <c r="J14" s="27">
        <f>IF(OR($A14="",$C14=""),"",IF(IFERROR(VLOOKUP($A14,Ledger!$A:$E,5,FALSE),0)&gt;=VLOOKUP($C14,RoleTitles!$A:$B,2,FALSE),"YES","NO"))</f>
        <v/>
      </c>
      <c r="K14" s="27">
        <f>IF($A14="","",IF(AND($H14="PROMOTE",$J14="YES"),"YES — PROMOTE","NO"))</f>
        <v/>
      </c>
    </row>
    <row r="15">
      <c r="A15" s="7" t="n"/>
      <c r="B15" s="7">
        <f>IF($A15="","",VLOOKUP($A15,CoachRoster!$A:$E,4,FALSE))</f>
        <v/>
      </c>
      <c r="C15" s="7" t="n"/>
      <c r="D15" s="7" t="n"/>
      <c r="E15" s="7" t="n"/>
      <c r="F15" s="7" t="n"/>
      <c r="G15" s="7" t="n"/>
      <c r="H15" s="7">
        <f>IF($A15="","",IF(AND($E15="Pass",$F15="Pass",$G15="Pass"),"PROMOTE","NOT YET"))</f>
        <v/>
      </c>
      <c r="I15" s="7" t="n"/>
      <c r="J15" s="27">
        <f>IF(OR($A15="",$C15=""),"",IF(IFERROR(VLOOKUP($A15,Ledger!$A:$E,5,FALSE),0)&gt;=VLOOKUP($C15,RoleTitles!$A:$B,2,FALSE),"YES","NO"))</f>
        <v/>
      </c>
      <c r="K15" s="27">
        <f>IF($A15="","",IF(AND($H15="PROMOTE",$J15="YES"),"YES — PROMOTE","NO"))</f>
        <v/>
      </c>
    </row>
    <row r="16">
      <c r="A16" s="7" t="n"/>
      <c r="B16" s="7">
        <f>IF($A16="","",VLOOKUP($A16,CoachRoster!$A:$E,4,FALSE))</f>
        <v/>
      </c>
      <c r="C16" s="7" t="n"/>
      <c r="D16" s="7" t="n"/>
      <c r="E16" s="7" t="n"/>
      <c r="F16" s="7" t="n"/>
      <c r="G16" s="7" t="n"/>
      <c r="H16" s="7">
        <f>IF($A16="","",IF(AND($E16="Pass",$F16="Pass",$G16="Pass"),"PROMOTE","NOT YET"))</f>
        <v/>
      </c>
      <c r="I16" s="7" t="n"/>
      <c r="J16" s="27">
        <f>IF(OR($A16="",$C16=""),"",IF(IFERROR(VLOOKUP($A16,Ledger!$A:$E,5,FALSE),0)&gt;=VLOOKUP($C16,RoleTitles!$A:$B,2,FALSE),"YES","NO"))</f>
        <v/>
      </c>
      <c r="K16" s="27">
        <f>IF($A16="","",IF(AND($H16="PROMOTE",$J16="YES"),"YES — PROMOTE","NO"))</f>
        <v/>
      </c>
    </row>
    <row r="17">
      <c r="A17" s="7" t="n"/>
      <c r="B17" s="7">
        <f>IF($A17="","",VLOOKUP($A17,CoachRoster!$A:$E,4,FALSE))</f>
        <v/>
      </c>
      <c r="C17" s="7" t="n"/>
      <c r="D17" s="7" t="n"/>
      <c r="E17" s="7" t="n"/>
      <c r="F17" s="7" t="n"/>
      <c r="G17" s="7" t="n"/>
      <c r="H17" s="7">
        <f>IF($A17="","",IF(AND($E17="Pass",$F17="Pass",$G17="Pass"),"PROMOTE","NOT YET"))</f>
        <v/>
      </c>
      <c r="I17" s="7" t="n"/>
      <c r="J17" s="27">
        <f>IF(OR($A17="",$C17=""),"",IF(IFERROR(VLOOKUP($A17,Ledger!$A:$E,5,FALSE),0)&gt;=VLOOKUP($C17,RoleTitles!$A:$B,2,FALSE),"YES","NO"))</f>
        <v/>
      </c>
      <c r="K17" s="27">
        <f>IF($A17="","",IF(AND($H17="PROMOTE",$J17="YES"),"YES — PROMOTE","NO"))</f>
        <v/>
      </c>
    </row>
    <row r="18">
      <c r="A18" s="7" t="n"/>
      <c r="B18" s="7">
        <f>IF($A18="","",VLOOKUP($A18,CoachRoster!$A:$E,4,FALSE))</f>
        <v/>
      </c>
      <c r="C18" s="7" t="n"/>
      <c r="D18" s="7" t="n"/>
      <c r="E18" s="7" t="n"/>
      <c r="F18" s="7" t="n"/>
      <c r="G18" s="7" t="n"/>
      <c r="H18" s="7">
        <f>IF($A18="","",IF(AND($E18="Pass",$F18="Pass",$G18="Pass"),"PROMOTE","NOT YET"))</f>
        <v/>
      </c>
      <c r="I18" s="7" t="n"/>
      <c r="J18" s="27">
        <f>IF(OR($A18="",$C18=""),"",IF(IFERROR(VLOOKUP($A18,Ledger!$A:$E,5,FALSE),0)&gt;=VLOOKUP($C18,RoleTitles!$A:$B,2,FALSE),"YES","NO"))</f>
        <v/>
      </c>
      <c r="K18" s="27">
        <f>IF($A18="","",IF(AND($H18="PROMOTE",$J18="YES"),"YES — PROMOTE","NO"))</f>
        <v/>
      </c>
    </row>
    <row r="19">
      <c r="A19" s="7" t="n"/>
      <c r="B19" s="7">
        <f>IF($A19="","",VLOOKUP($A19,CoachRoster!$A:$E,4,FALSE))</f>
        <v/>
      </c>
      <c r="C19" s="7" t="n"/>
      <c r="D19" s="7" t="n"/>
      <c r="E19" s="7" t="n"/>
      <c r="F19" s="7" t="n"/>
      <c r="G19" s="7" t="n"/>
      <c r="H19" s="7">
        <f>IF($A19="","",IF(AND($E19="Pass",$F19="Pass",$G19="Pass"),"PROMOTE","NOT YET"))</f>
        <v/>
      </c>
      <c r="I19" s="7" t="n"/>
      <c r="J19" s="27">
        <f>IF(OR($A19="",$C19=""),"",IF(IFERROR(VLOOKUP($A19,Ledger!$A:$E,5,FALSE),0)&gt;=VLOOKUP($C19,RoleTitles!$A:$B,2,FALSE),"YES","NO"))</f>
        <v/>
      </c>
      <c r="K19" s="27">
        <f>IF($A19="","",IF(AND($H19="PROMOTE",$J19="YES"),"YES — PROMOTE","NO"))</f>
        <v/>
      </c>
    </row>
    <row r="20">
      <c r="A20" s="7" t="n"/>
      <c r="B20" s="7">
        <f>IF($A20="","",VLOOKUP($A20,CoachRoster!$A:$E,4,FALSE))</f>
        <v/>
      </c>
      <c r="C20" s="7" t="n"/>
      <c r="D20" s="7" t="n"/>
      <c r="E20" s="7" t="n"/>
      <c r="F20" s="7" t="n"/>
      <c r="G20" s="7" t="n"/>
      <c r="H20" s="7">
        <f>IF($A20="","",IF(AND($E20="Pass",$F20="Pass",$G20="Pass"),"PROMOTE","NOT YET"))</f>
        <v/>
      </c>
      <c r="I20" s="7" t="n"/>
      <c r="J20" s="27">
        <f>IF(OR($A20="",$C20=""),"",IF(IFERROR(VLOOKUP($A20,Ledger!$A:$E,5,FALSE),0)&gt;=VLOOKUP($C20,RoleTitles!$A:$B,2,FALSE),"YES","NO"))</f>
        <v/>
      </c>
      <c r="K20" s="27">
        <f>IF($A20="","",IF(AND($H20="PROMOTE",$J20="YES"),"YES — PROMOTE","NO"))</f>
        <v/>
      </c>
    </row>
    <row r="21">
      <c r="A21" s="7" t="n"/>
      <c r="B21" s="7">
        <f>IF($A21="","",VLOOKUP($A21,CoachRoster!$A:$E,4,FALSE))</f>
        <v/>
      </c>
      <c r="C21" s="7" t="n"/>
      <c r="D21" s="7" t="n"/>
      <c r="E21" s="7" t="n"/>
      <c r="F21" s="7" t="n"/>
      <c r="G21" s="7" t="n"/>
      <c r="H21" s="7">
        <f>IF($A21="","",IF(AND($E21="Pass",$F21="Pass",$G21="Pass"),"PROMOTE","NOT YET"))</f>
        <v/>
      </c>
      <c r="I21" s="7" t="n"/>
      <c r="J21" s="27">
        <f>IF(OR($A21="",$C21=""),"",IF(IFERROR(VLOOKUP($A21,Ledger!$A:$E,5,FALSE),0)&gt;=VLOOKUP($C21,RoleTitles!$A:$B,2,FALSE),"YES","NO"))</f>
        <v/>
      </c>
      <c r="K21" s="27">
        <f>IF($A21="","",IF(AND($H21="PROMOTE",$J21="YES"),"YES — PROMOTE","NO"))</f>
        <v/>
      </c>
    </row>
    <row r="22">
      <c r="A22" s="7" t="n"/>
      <c r="B22" s="7">
        <f>IF($A22="","",VLOOKUP($A22,CoachRoster!$A:$E,4,FALSE))</f>
        <v/>
      </c>
      <c r="C22" s="7" t="n"/>
      <c r="D22" s="7" t="n"/>
      <c r="E22" s="7" t="n"/>
      <c r="F22" s="7" t="n"/>
      <c r="G22" s="7" t="n"/>
      <c r="H22" s="7">
        <f>IF($A22="","",IF(AND($E22="Pass",$F22="Pass",$G22="Pass"),"PROMOTE","NOT YET"))</f>
        <v/>
      </c>
      <c r="I22" s="7" t="n"/>
      <c r="J22" s="27">
        <f>IF(OR($A22="",$C22=""),"",IF(IFERROR(VLOOKUP($A22,Ledger!$A:$E,5,FALSE),0)&gt;=VLOOKUP($C22,RoleTitles!$A:$B,2,FALSE),"YES","NO"))</f>
        <v/>
      </c>
      <c r="K22" s="27">
        <f>IF($A22="","",IF(AND($H22="PROMOTE",$J22="YES"),"YES — PROMOTE","NO"))</f>
        <v/>
      </c>
    </row>
    <row r="23">
      <c r="A23" s="7" t="n"/>
      <c r="B23" s="7">
        <f>IF($A23="","",VLOOKUP($A23,CoachRoster!$A:$E,4,FALSE))</f>
        <v/>
      </c>
      <c r="C23" s="7" t="n"/>
      <c r="D23" s="7" t="n"/>
      <c r="E23" s="7" t="n"/>
      <c r="F23" s="7" t="n"/>
      <c r="G23" s="7" t="n"/>
      <c r="H23" s="7">
        <f>IF($A23="","",IF(AND($E23="Pass",$F23="Pass",$G23="Pass"),"PROMOTE","NOT YET"))</f>
        <v/>
      </c>
      <c r="I23" s="7" t="n"/>
      <c r="J23" s="27">
        <f>IF(OR($A23="",$C23=""),"",IF(IFERROR(VLOOKUP($A23,Ledger!$A:$E,5,FALSE),0)&gt;=VLOOKUP($C23,RoleTitles!$A:$B,2,FALSE),"YES","NO"))</f>
        <v/>
      </c>
      <c r="K23" s="27">
        <f>IF($A23="","",IF(AND($H23="PROMOTE",$J23="YES"),"YES — PROMOTE","NO"))</f>
        <v/>
      </c>
    </row>
    <row r="24">
      <c r="A24" s="7" t="n"/>
      <c r="B24" s="7">
        <f>IF($A24="","",VLOOKUP($A24,CoachRoster!$A:$E,4,FALSE))</f>
        <v/>
      </c>
      <c r="C24" s="7" t="n"/>
      <c r="D24" s="7" t="n"/>
      <c r="E24" s="7" t="n"/>
      <c r="F24" s="7" t="n"/>
      <c r="G24" s="7" t="n"/>
      <c r="H24" s="7">
        <f>IF($A24="","",IF(AND($E24="Pass",$F24="Pass",$G24="Pass"),"PROMOTE","NOT YET"))</f>
        <v/>
      </c>
      <c r="I24" s="7" t="n"/>
      <c r="J24" s="27">
        <f>IF(OR($A24="",$C24=""),"",IF(IFERROR(VLOOKUP($A24,Ledger!$A:$E,5,FALSE),0)&gt;=VLOOKUP($C24,RoleTitles!$A:$B,2,FALSE),"YES","NO"))</f>
        <v/>
      </c>
      <c r="K24" s="27">
        <f>IF($A24="","",IF(AND($H24="PROMOTE",$J24="YES"),"YES — PROMOTE","NO"))</f>
        <v/>
      </c>
    </row>
    <row r="25">
      <c r="A25" s="7" t="n"/>
      <c r="B25" s="7">
        <f>IF($A25="","",VLOOKUP($A25,CoachRoster!$A:$E,4,FALSE))</f>
        <v/>
      </c>
      <c r="C25" s="7" t="n"/>
      <c r="D25" s="7" t="n"/>
      <c r="E25" s="7" t="n"/>
      <c r="F25" s="7" t="n"/>
      <c r="G25" s="7" t="n"/>
      <c r="H25" s="7">
        <f>IF($A25="","",IF(AND($E25="Pass",$F25="Pass",$G25="Pass"),"PROMOTE","NOT YET"))</f>
        <v/>
      </c>
      <c r="I25" s="7" t="n"/>
      <c r="J25" s="27">
        <f>IF(OR($A25="",$C25=""),"",IF(IFERROR(VLOOKUP($A25,Ledger!$A:$E,5,FALSE),0)&gt;=VLOOKUP($C25,RoleTitles!$A:$B,2,FALSE),"YES","NO"))</f>
        <v/>
      </c>
      <c r="K25" s="27">
        <f>IF($A25="","",IF(AND($H25="PROMOTE",$J25="YES"),"YES — PROMOTE","NO"))</f>
        <v/>
      </c>
    </row>
    <row r="26">
      <c r="A26" s="7" t="n"/>
      <c r="B26" s="7">
        <f>IF($A26="","",VLOOKUP($A26,CoachRoster!$A:$E,4,FALSE))</f>
        <v/>
      </c>
      <c r="C26" s="7" t="n"/>
      <c r="D26" s="7" t="n"/>
      <c r="E26" s="7" t="n"/>
      <c r="F26" s="7" t="n"/>
      <c r="G26" s="7" t="n"/>
      <c r="H26" s="7">
        <f>IF($A26="","",IF(AND($E26="Pass",$F26="Pass",$G26="Pass"),"PROMOTE","NOT YET"))</f>
        <v/>
      </c>
      <c r="I26" s="7" t="n"/>
      <c r="J26" s="27">
        <f>IF(OR($A26="",$C26=""),"",IF(IFERROR(VLOOKUP($A26,Ledger!$A:$E,5,FALSE),0)&gt;=VLOOKUP($C26,RoleTitles!$A:$B,2,FALSE),"YES","NO"))</f>
        <v/>
      </c>
      <c r="K26" s="27">
        <f>IF($A26="","",IF(AND($H26="PROMOTE",$J26="YES"),"YES — PROMOTE","NO"))</f>
        <v/>
      </c>
    </row>
    <row r="27">
      <c r="A27" s="7" t="n"/>
      <c r="B27" s="7">
        <f>IF($A27="","",VLOOKUP($A27,CoachRoster!$A:$E,4,FALSE))</f>
        <v/>
      </c>
      <c r="C27" s="7" t="n"/>
      <c r="D27" s="7" t="n"/>
      <c r="E27" s="7" t="n"/>
      <c r="F27" s="7" t="n"/>
      <c r="G27" s="7" t="n"/>
      <c r="H27" s="7">
        <f>IF($A27="","",IF(AND($E27="Pass",$F27="Pass",$G27="Pass"),"PROMOTE","NOT YET"))</f>
        <v/>
      </c>
      <c r="I27" s="7" t="n"/>
      <c r="J27" s="27">
        <f>IF(OR($A27="",$C27=""),"",IF(IFERROR(VLOOKUP($A27,Ledger!$A:$E,5,FALSE),0)&gt;=VLOOKUP($C27,RoleTitles!$A:$B,2,FALSE),"YES","NO"))</f>
        <v/>
      </c>
      <c r="K27" s="27">
        <f>IF($A27="","",IF(AND($H27="PROMOTE",$J27="YES"),"YES — PROMOTE","NO"))</f>
        <v/>
      </c>
    </row>
    <row r="28">
      <c r="A28" s="7" t="n"/>
      <c r="B28" s="7">
        <f>IF($A28="","",VLOOKUP($A28,CoachRoster!$A:$E,4,FALSE))</f>
        <v/>
      </c>
      <c r="C28" s="7" t="n"/>
      <c r="D28" s="7" t="n"/>
      <c r="E28" s="7" t="n"/>
      <c r="F28" s="7" t="n"/>
      <c r="G28" s="7" t="n"/>
      <c r="H28" s="7">
        <f>IF($A28="","",IF(AND($E28="Pass",$F28="Pass",$G28="Pass"),"PROMOTE","NOT YET"))</f>
        <v/>
      </c>
      <c r="I28" s="7" t="n"/>
      <c r="J28" s="27">
        <f>IF(OR($A28="",$C28=""),"",IF(IFERROR(VLOOKUP($A28,Ledger!$A:$E,5,FALSE),0)&gt;=VLOOKUP($C28,RoleTitles!$A:$B,2,FALSE),"YES","NO"))</f>
        <v/>
      </c>
      <c r="K28" s="27">
        <f>IF($A28="","",IF(AND($H28="PROMOTE",$J28="YES"),"YES — PROMOTE","NO"))</f>
        <v/>
      </c>
    </row>
    <row r="29">
      <c r="A29" s="7" t="n"/>
      <c r="B29" s="7">
        <f>IF($A29="","",VLOOKUP($A29,CoachRoster!$A:$E,4,FALSE))</f>
        <v/>
      </c>
      <c r="C29" s="7" t="n"/>
      <c r="D29" s="7" t="n"/>
      <c r="E29" s="7" t="n"/>
      <c r="F29" s="7" t="n"/>
      <c r="G29" s="7" t="n"/>
      <c r="H29" s="7">
        <f>IF($A29="","",IF(AND($E29="Pass",$F29="Pass",$G29="Pass"),"PROMOTE","NOT YET"))</f>
        <v/>
      </c>
      <c r="I29" s="7" t="n"/>
      <c r="J29" s="27">
        <f>IF(OR($A29="",$C29=""),"",IF(IFERROR(VLOOKUP($A29,Ledger!$A:$E,5,FALSE),0)&gt;=VLOOKUP($C29,RoleTitles!$A:$B,2,FALSE),"YES","NO"))</f>
        <v/>
      </c>
      <c r="K29" s="27">
        <f>IF($A29="","",IF(AND($H29="PROMOTE",$J29="YES"),"YES — PROMOTE","NO"))</f>
        <v/>
      </c>
    </row>
    <row r="30">
      <c r="A30" s="7" t="n"/>
      <c r="B30" s="7">
        <f>IF($A30="","",VLOOKUP($A30,CoachRoster!$A:$E,4,FALSE))</f>
        <v/>
      </c>
      <c r="C30" s="7" t="n"/>
      <c r="D30" s="7" t="n"/>
      <c r="E30" s="7" t="n"/>
      <c r="F30" s="7" t="n"/>
      <c r="G30" s="7" t="n"/>
      <c r="H30" s="7">
        <f>IF($A30="","",IF(AND($E30="Pass",$F30="Pass",$G30="Pass"),"PROMOTE","NOT YET"))</f>
        <v/>
      </c>
      <c r="I30" s="7" t="n"/>
      <c r="J30" s="27">
        <f>IF(OR($A30="",$C30=""),"",IF(IFERROR(VLOOKUP($A30,Ledger!$A:$E,5,FALSE),0)&gt;=VLOOKUP($C30,RoleTitles!$A:$B,2,FALSE),"YES","NO"))</f>
        <v/>
      </c>
      <c r="K30" s="27">
        <f>IF($A30="","",IF(AND($H30="PROMOTE",$J30="YES"),"YES — PROMOTE","NO"))</f>
        <v/>
      </c>
    </row>
    <row r="31">
      <c r="A31" s="7" t="n"/>
      <c r="B31" s="7">
        <f>IF($A31="","",VLOOKUP($A31,CoachRoster!$A:$E,4,FALSE))</f>
        <v/>
      </c>
      <c r="C31" s="7" t="n"/>
      <c r="D31" s="7" t="n"/>
      <c r="E31" s="7" t="n"/>
      <c r="F31" s="7" t="n"/>
      <c r="G31" s="7" t="n"/>
      <c r="H31" s="7">
        <f>IF($A31="","",IF(AND($E31="Pass",$F31="Pass",$G31="Pass"),"PROMOTE","NOT YET"))</f>
        <v/>
      </c>
      <c r="I31" s="7" t="n"/>
      <c r="J31" s="27">
        <f>IF(OR($A31="",$C31=""),"",IF(IFERROR(VLOOKUP($A31,Ledger!$A:$E,5,FALSE),0)&gt;=VLOOKUP($C31,RoleTitles!$A:$B,2,FALSE),"YES","NO"))</f>
        <v/>
      </c>
      <c r="K31" s="27">
        <f>IF($A31="","",IF(AND($H31="PROMOTE",$J31="YES"),"YES — PROMOTE","NO"))</f>
        <v/>
      </c>
    </row>
    <row r="32">
      <c r="A32" s="7" t="n"/>
      <c r="B32" s="7">
        <f>IF($A32="","",VLOOKUP($A32,CoachRoster!$A:$E,4,FALSE))</f>
        <v/>
      </c>
      <c r="C32" s="7" t="n"/>
      <c r="D32" s="7" t="n"/>
      <c r="E32" s="7" t="n"/>
      <c r="F32" s="7" t="n"/>
      <c r="G32" s="7" t="n"/>
      <c r="H32" s="7">
        <f>IF($A32="","",IF(AND($E32="Pass",$F32="Pass",$G32="Pass"),"PROMOTE","NOT YET"))</f>
        <v/>
      </c>
      <c r="I32" s="7" t="n"/>
      <c r="J32" s="27">
        <f>IF(OR($A32="",$C32=""),"",IF(IFERROR(VLOOKUP($A32,Ledger!$A:$E,5,FALSE),0)&gt;=VLOOKUP($C32,RoleTitles!$A:$B,2,FALSE),"YES","NO"))</f>
        <v/>
      </c>
      <c r="K32" s="27">
        <f>IF($A32="","",IF(AND($H32="PROMOTE",$J32="YES"),"YES — PROMOTE","NO"))</f>
        <v/>
      </c>
    </row>
    <row r="33">
      <c r="A33" s="7" t="n"/>
      <c r="B33" s="7">
        <f>IF($A33="","",VLOOKUP($A33,CoachRoster!$A:$E,4,FALSE))</f>
        <v/>
      </c>
      <c r="C33" s="7" t="n"/>
      <c r="D33" s="7" t="n"/>
      <c r="E33" s="7" t="n"/>
      <c r="F33" s="7" t="n"/>
      <c r="G33" s="7" t="n"/>
      <c r="H33" s="7">
        <f>IF($A33="","",IF(AND($E33="Pass",$F33="Pass",$G33="Pass"),"PROMOTE","NOT YET"))</f>
        <v/>
      </c>
      <c r="I33" s="7" t="n"/>
      <c r="J33" s="27">
        <f>IF(OR($A33="",$C33=""),"",IF(IFERROR(VLOOKUP($A33,Ledger!$A:$E,5,FALSE),0)&gt;=VLOOKUP($C33,RoleTitles!$A:$B,2,FALSE),"YES","NO"))</f>
        <v/>
      </c>
      <c r="K33" s="27">
        <f>IF($A33="","",IF(AND($H33="PROMOTE",$J33="YES"),"YES — PROMOTE","NO"))</f>
        <v/>
      </c>
    </row>
    <row r="34">
      <c r="A34" s="7" t="n"/>
      <c r="B34" s="7">
        <f>IF($A34="","",VLOOKUP($A34,CoachRoster!$A:$E,4,FALSE))</f>
        <v/>
      </c>
      <c r="C34" s="7" t="n"/>
      <c r="D34" s="7" t="n"/>
      <c r="E34" s="7" t="n"/>
      <c r="F34" s="7" t="n"/>
      <c r="G34" s="7" t="n"/>
      <c r="H34" s="7">
        <f>IF($A34="","",IF(AND($E34="Pass",$F34="Pass",$G34="Pass"),"PROMOTE","NOT YET"))</f>
        <v/>
      </c>
      <c r="I34" s="7" t="n"/>
      <c r="J34" s="27">
        <f>IF(OR($A34="",$C34=""),"",IF(IFERROR(VLOOKUP($A34,Ledger!$A:$E,5,FALSE),0)&gt;=VLOOKUP($C34,RoleTitles!$A:$B,2,FALSE),"YES","NO"))</f>
        <v/>
      </c>
      <c r="K34" s="27">
        <f>IF($A34="","",IF(AND($H34="PROMOTE",$J34="YES"),"YES — PROMOTE","NO"))</f>
        <v/>
      </c>
    </row>
    <row r="35">
      <c r="A35" s="7" t="n"/>
      <c r="B35" s="7">
        <f>IF($A35="","",VLOOKUP($A35,CoachRoster!$A:$E,4,FALSE))</f>
        <v/>
      </c>
      <c r="C35" s="7" t="n"/>
      <c r="D35" s="7" t="n"/>
      <c r="E35" s="7" t="n"/>
      <c r="F35" s="7" t="n"/>
      <c r="G35" s="7" t="n"/>
      <c r="H35" s="7">
        <f>IF($A35="","",IF(AND($E35="Pass",$F35="Pass",$G35="Pass"),"PROMOTE","NOT YET"))</f>
        <v/>
      </c>
      <c r="I35" s="7" t="n"/>
      <c r="J35" s="27">
        <f>IF(OR($A35="",$C35=""),"",IF(IFERROR(VLOOKUP($A35,Ledger!$A:$E,5,FALSE),0)&gt;=VLOOKUP($C35,RoleTitles!$A:$B,2,FALSE),"YES","NO"))</f>
        <v/>
      </c>
      <c r="K35" s="27">
        <f>IF($A35="","",IF(AND($H35="PROMOTE",$J35="YES"),"YES — PROMOTE","NO"))</f>
        <v/>
      </c>
    </row>
    <row r="36">
      <c r="A36" s="7" t="n"/>
      <c r="B36" s="7">
        <f>IF($A36="","",VLOOKUP($A36,CoachRoster!$A:$E,4,FALSE))</f>
        <v/>
      </c>
      <c r="C36" s="7" t="n"/>
      <c r="D36" s="7" t="n"/>
      <c r="E36" s="7" t="n"/>
      <c r="F36" s="7" t="n"/>
      <c r="G36" s="7" t="n"/>
      <c r="H36" s="7">
        <f>IF($A36="","",IF(AND($E36="Pass",$F36="Pass",$G36="Pass"),"PROMOTE","NOT YET"))</f>
        <v/>
      </c>
      <c r="I36" s="7" t="n"/>
      <c r="J36" s="27">
        <f>IF(OR($A36="",$C36=""),"",IF(IFERROR(VLOOKUP($A36,Ledger!$A:$E,5,FALSE),0)&gt;=VLOOKUP($C36,RoleTitles!$A:$B,2,FALSE),"YES","NO"))</f>
        <v/>
      </c>
      <c r="K36" s="27">
        <f>IF($A36="","",IF(AND($H36="PROMOTE",$J36="YES"),"YES — PROMOTE","NO"))</f>
        <v/>
      </c>
    </row>
    <row r="37">
      <c r="A37" s="7" t="n"/>
      <c r="B37" s="7">
        <f>IF($A37="","",VLOOKUP($A37,CoachRoster!$A:$E,4,FALSE))</f>
        <v/>
      </c>
      <c r="C37" s="7" t="n"/>
      <c r="D37" s="7" t="n"/>
      <c r="E37" s="7" t="n"/>
      <c r="F37" s="7" t="n"/>
      <c r="G37" s="7" t="n"/>
      <c r="H37" s="7">
        <f>IF($A37="","",IF(AND($E37="Pass",$F37="Pass",$G37="Pass"),"PROMOTE","NOT YET"))</f>
        <v/>
      </c>
      <c r="I37" s="7" t="n"/>
      <c r="J37" s="27">
        <f>IF(OR($A37="",$C37=""),"",IF(IFERROR(VLOOKUP($A37,Ledger!$A:$E,5,FALSE),0)&gt;=VLOOKUP($C37,RoleTitles!$A:$B,2,FALSE),"YES","NO"))</f>
        <v/>
      </c>
      <c r="K37" s="27">
        <f>IF($A37="","",IF(AND($H37="PROMOTE",$J37="YES"),"YES — PROMOTE","NO"))</f>
        <v/>
      </c>
    </row>
    <row r="38">
      <c r="A38" s="7" t="n"/>
      <c r="B38" s="7">
        <f>IF($A38="","",VLOOKUP($A38,CoachRoster!$A:$E,4,FALSE))</f>
        <v/>
      </c>
      <c r="C38" s="7" t="n"/>
      <c r="D38" s="7" t="n"/>
      <c r="E38" s="7" t="n"/>
      <c r="F38" s="7" t="n"/>
      <c r="G38" s="7" t="n"/>
      <c r="H38" s="7">
        <f>IF($A38="","",IF(AND($E38="Pass",$F38="Pass",$G38="Pass"),"PROMOTE","NOT YET"))</f>
        <v/>
      </c>
      <c r="I38" s="7" t="n"/>
      <c r="J38" s="27">
        <f>IF(OR($A38="",$C38=""),"",IF(IFERROR(VLOOKUP($A38,Ledger!$A:$E,5,FALSE),0)&gt;=VLOOKUP($C38,RoleTitles!$A:$B,2,FALSE),"YES","NO"))</f>
        <v/>
      </c>
      <c r="K38" s="27">
        <f>IF($A38="","",IF(AND($H38="PROMOTE",$J38="YES"),"YES — PROMOTE","NO"))</f>
        <v/>
      </c>
    </row>
    <row r="39">
      <c r="A39" s="7" t="n"/>
      <c r="B39" s="7">
        <f>IF($A39="","",VLOOKUP($A39,CoachRoster!$A:$E,4,FALSE))</f>
        <v/>
      </c>
      <c r="C39" s="7" t="n"/>
      <c r="D39" s="7" t="n"/>
      <c r="E39" s="7" t="n"/>
      <c r="F39" s="7" t="n"/>
      <c r="G39" s="7" t="n"/>
      <c r="H39" s="7">
        <f>IF($A39="","",IF(AND($E39="Pass",$F39="Pass",$G39="Pass"),"PROMOTE","NOT YET"))</f>
        <v/>
      </c>
      <c r="I39" s="7" t="n"/>
      <c r="J39" s="27">
        <f>IF(OR($A39="",$C39=""),"",IF(IFERROR(VLOOKUP($A39,Ledger!$A:$E,5,FALSE),0)&gt;=VLOOKUP($C39,RoleTitles!$A:$B,2,FALSE),"YES","NO"))</f>
        <v/>
      </c>
      <c r="K39" s="27">
        <f>IF($A39="","",IF(AND($H39="PROMOTE",$J39="YES"),"YES — PROMOTE","NO"))</f>
        <v/>
      </c>
    </row>
    <row r="40">
      <c r="A40" s="7" t="n"/>
      <c r="B40" s="7">
        <f>IF($A40="","",VLOOKUP($A40,CoachRoster!$A:$E,4,FALSE))</f>
        <v/>
      </c>
      <c r="C40" s="7" t="n"/>
      <c r="D40" s="7" t="n"/>
      <c r="E40" s="7" t="n"/>
      <c r="F40" s="7" t="n"/>
      <c r="G40" s="7" t="n"/>
      <c r="H40" s="7">
        <f>IF($A40="","",IF(AND($E40="Pass",$F40="Pass",$G40="Pass"),"PROMOTE","NOT YET"))</f>
        <v/>
      </c>
      <c r="I40" s="7" t="n"/>
      <c r="J40" s="27">
        <f>IF(OR($A40="",$C40=""),"",IF(IFERROR(VLOOKUP($A40,Ledger!$A:$E,5,FALSE),0)&gt;=VLOOKUP($C40,RoleTitles!$A:$B,2,FALSE),"YES","NO"))</f>
        <v/>
      </c>
      <c r="K40" s="27">
        <f>IF($A40="","",IF(AND($H40="PROMOTE",$J40="YES"),"YES — PROMOTE","NO"))</f>
        <v/>
      </c>
    </row>
    <row r="41">
      <c r="A41" s="7" t="n"/>
      <c r="B41" s="7">
        <f>IF($A41="","",VLOOKUP($A41,CoachRoster!$A:$E,4,FALSE))</f>
        <v/>
      </c>
      <c r="C41" s="7" t="n"/>
      <c r="D41" s="7" t="n"/>
      <c r="E41" s="7" t="n"/>
      <c r="F41" s="7" t="n"/>
      <c r="G41" s="7" t="n"/>
      <c r="H41" s="7">
        <f>IF($A41="","",IF(AND($E41="Pass",$F41="Pass",$G41="Pass"),"PROMOTE","NOT YET"))</f>
        <v/>
      </c>
      <c r="I41" s="7" t="n"/>
      <c r="J41" s="27">
        <f>IF(OR($A41="",$C41=""),"",IF(IFERROR(VLOOKUP($A41,Ledger!$A:$E,5,FALSE),0)&gt;=VLOOKUP($C41,RoleTitles!$A:$B,2,FALSE),"YES","NO"))</f>
        <v/>
      </c>
      <c r="K41" s="27">
        <f>IF($A41="","",IF(AND($H41="PROMOTE",$J41="YES"),"YES — PROMOTE","NO"))</f>
        <v/>
      </c>
    </row>
    <row r="42">
      <c r="A42" s="7" t="n"/>
      <c r="B42" s="7">
        <f>IF($A42="","",VLOOKUP($A42,CoachRoster!$A:$E,4,FALSE))</f>
        <v/>
      </c>
      <c r="C42" s="7" t="n"/>
      <c r="D42" s="7" t="n"/>
      <c r="E42" s="7" t="n"/>
      <c r="F42" s="7" t="n"/>
      <c r="G42" s="7" t="n"/>
      <c r="H42" s="7">
        <f>IF($A42="","",IF(AND($E42="Pass",$F42="Pass",$G42="Pass"),"PROMOTE","NOT YET"))</f>
        <v/>
      </c>
      <c r="I42" s="7" t="n"/>
      <c r="J42" s="27">
        <f>IF(OR($A42="",$C42=""),"",IF(IFERROR(VLOOKUP($A42,Ledger!$A:$E,5,FALSE),0)&gt;=VLOOKUP($C42,RoleTitles!$A:$B,2,FALSE),"YES","NO"))</f>
        <v/>
      </c>
      <c r="K42" s="27">
        <f>IF($A42="","",IF(AND($H42="PROMOTE",$J42="YES"),"YES — PROMOTE","NO"))</f>
        <v/>
      </c>
    </row>
    <row r="43">
      <c r="A43" s="7" t="n"/>
      <c r="B43" s="7">
        <f>IF($A43="","",VLOOKUP($A43,CoachRoster!$A:$E,4,FALSE))</f>
        <v/>
      </c>
      <c r="C43" s="7" t="n"/>
      <c r="D43" s="7" t="n"/>
      <c r="E43" s="7" t="n"/>
      <c r="F43" s="7" t="n"/>
      <c r="G43" s="7" t="n"/>
      <c r="H43" s="7">
        <f>IF($A43="","",IF(AND($E43="Pass",$F43="Pass",$G43="Pass"),"PROMOTE","NOT YET"))</f>
        <v/>
      </c>
      <c r="I43" s="7" t="n"/>
      <c r="J43" s="27">
        <f>IF(OR($A43="",$C43=""),"",IF(IFERROR(VLOOKUP($A43,Ledger!$A:$E,5,FALSE),0)&gt;=VLOOKUP($C43,RoleTitles!$A:$B,2,FALSE),"YES","NO"))</f>
        <v/>
      </c>
      <c r="K43" s="27">
        <f>IF($A43="","",IF(AND($H43="PROMOTE",$J43="YES"),"YES — PROMOTE","NO"))</f>
        <v/>
      </c>
    </row>
    <row r="44">
      <c r="A44" s="7" t="n"/>
      <c r="B44" s="7">
        <f>IF($A44="","",VLOOKUP($A44,CoachRoster!$A:$E,4,FALSE))</f>
        <v/>
      </c>
      <c r="C44" s="7" t="n"/>
      <c r="D44" s="7" t="n"/>
      <c r="E44" s="7" t="n"/>
      <c r="F44" s="7" t="n"/>
      <c r="G44" s="7" t="n"/>
      <c r="H44" s="7">
        <f>IF($A44="","",IF(AND($E44="Pass",$F44="Pass",$G44="Pass"),"PROMOTE","NOT YET"))</f>
        <v/>
      </c>
      <c r="I44" s="7" t="n"/>
      <c r="J44" s="27">
        <f>IF(OR($A44="",$C44=""),"",IF(IFERROR(VLOOKUP($A44,Ledger!$A:$E,5,FALSE),0)&gt;=VLOOKUP($C44,RoleTitles!$A:$B,2,FALSE),"YES","NO"))</f>
        <v/>
      </c>
      <c r="K44" s="27">
        <f>IF($A44="","",IF(AND($H44="PROMOTE",$J44="YES"),"YES — PROMOTE","NO"))</f>
        <v/>
      </c>
    </row>
    <row r="45">
      <c r="A45" s="7" t="n"/>
      <c r="B45" s="7">
        <f>IF($A45="","",VLOOKUP($A45,CoachRoster!$A:$E,4,FALSE))</f>
        <v/>
      </c>
      <c r="C45" s="7" t="n"/>
      <c r="D45" s="7" t="n"/>
      <c r="E45" s="7" t="n"/>
      <c r="F45" s="7" t="n"/>
      <c r="G45" s="7" t="n"/>
      <c r="H45" s="7">
        <f>IF($A45="","",IF(AND($E45="Pass",$F45="Pass",$G45="Pass"),"PROMOTE","NOT YET"))</f>
        <v/>
      </c>
      <c r="I45" s="7" t="n"/>
      <c r="J45" s="27">
        <f>IF(OR($A45="",$C45=""),"",IF(IFERROR(VLOOKUP($A45,Ledger!$A:$E,5,FALSE),0)&gt;=VLOOKUP($C45,RoleTitles!$A:$B,2,FALSE),"YES","NO"))</f>
        <v/>
      </c>
      <c r="K45" s="27">
        <f>IF($A45="","",IF(AND($H45="PROMOTE",$J45="YES"),"YES — PROMOTE","NO"))</f>
        <v/>
      </c>
    </row>
    <row r="46">
      <c r="A46" s="7" t="n"/>
      <c r="B46" s="7">
        <f>IF($A46="","",VLOOKUP($A46,CoachRoster!$A:$E,4,FALSE))</f>
        <v/>
      </c>
      <c r="C46" s="7" t="n"/>
      <c r="D46" s="7" t="n"/>
      <c r="E46" s="7" t="n"/>
      <c r="F46" s="7" t="n"/>
      <c r="G46" s="7" t="n"/>
      <c r="H46" s="7">
        <f>IF($A46="","",IF(AND($E46="Pass",$F46="Pass",$G46="Pass"),"PROMOTE","NOT YET"))</f>
        <v/>
      </c>
      <c r="I46" s="7" t="n"/>
      <c r="J46" s="27">
        <f>IF(OR($A46="",$C46=""),"",IF(IFERROR(VLOOKUP($A46,Ledger!$A:$E,5,FALSE),0)&gt;=VLOOKUP($C46,RoleTitles!$A:$B,2,FALSE),"YES","NO"))</f>
        <v/>
      </c>
      <c r="K46" s="27">
        <f>IF($A46="","",IF(AND($H46="PROMOTE",$J46="YES"),"YES — PROMOTE","NO"))</f>
        <v/>
      </c>
    </row>
    <row r="47">
      <c r="A47" s="7" t="n"/>
      <c r="B47" s="7">
        <f>IF($A47="","",VLOOKUP($A47,CoachRoster!$A:$E,4,FALSE))</f>
        <v/>
      </c>
      <c r="C47" s="7" t="n"/>
      <c r="D47" s="7" t="n"/>
      <c r="E47" s="7" t="n"/>
      <c r="F47" s="7" t="n"/>
      <c r="G47" s="7" t="n"/>
      <c r="H47" s="7">
        <f>IF($A47="","",IF(AND($E47="Pass",$F47="Pass",$G47="Pass"),"PROMOTE","NOT YET"))</f>
        <v/>
      </c>
      <c r="I47" s="7" t="n"/>
      <c r="J47" s="27">
        <f>IF(OR($A47="",$C47=""),"",IF(IFERROR(VLOOKUP($A47,Ledger!$A:$E,5,FALSE),0)&gt;=VLOOKUP($C47,RoleTitles!$A:$B,2,FALSE),"YES","NO"))</f>
        <v/>
      </c>
      <c r="K47" s="27">
        <f>IF($A47="","",IF(AND($H47="PROMOTE",$J47="YES"),"YES — PROMOTE","NO"))</f>
        <v/>
      </c>
    </row>
    <row r="48">
      <c r="A48" s="7" t="n"/>
      <c r="B48" s="7">
        <f>IF($A48="","",VLOOKUP($A48,CoachRoster!$A:$E,4,FALSE))</f>
        <v/>
      </c>
      <c r="C48" s="7" t="n"/>
      <c r="D48" s="7" t="n"/>
      <c r="E48" s="7" t="n"/>
      <c r="F48" s="7" t="n"/>
      <c r="G48" s="7" t="n"/>
      <c r="H48" s="7">
        <f>IF($A48="","",IF(AND($E48="Pass",$F48="Pass",$G48="Pass"),"PROMOTE","NOT YET"))</f>
        <v/>
      </c>
      <c r="I48" s="7" t="n"/>
      <c r="J48" s="27">
        <f>IF(OR($A48="",$C48=""),"",IF(IFERROR(VLOOKUP($A48,Ledger!$A:$E,5,FALSE),0)&gt;=VLOOKUP($C48,RoleTitles!$A:$B,2,FALSE),"YES","NO"))</f>
        <v/>
      </c>
      <c r="K48" s="27">
        <f>IF($A48="","",IF(AND($H48="PROMOTE",$J48="YES"),"YES — PROMOTE","NO"))</f>
        <v/>
      </c>
    </row>
    <row r="49">
      <c r="A49" s="7" t="n"/>
      <c r="B49" s="7">
        <f>IF($A49="","",VLOOKUP($A49,CoachRoster!$A:$E,4,FALSE))</f>
        <v/>
      </c>
      <c r="C49" s="7" t="n"/>
      <c r="D49" s="7" t="n"/>
      <c r="E49" s="7" t="n"/>
      <c r="F49" s="7" t="n"/>
      <c r="G49" s="7" t="n"/>
      <c r="H49" s="7">
        <f>IF($A49="","",IF(AND($E49="Pass",$F49="Pass",$G49="Pass"),"PROMOTE","NOT YET"))</f>
        <v/>
      </c>
      <c r="I49" s="7" t="n"/>
      <c r="J49" s="27">
        <f>IF(OR($A49="",$C49=""),"",IF(IFERROR(VLOOKUP($A49,Ledger!$A:$E,5,FALSE),0)&gt;=VLOOKUP($C49,RoleTitles!$A:$B,2,FALSE),"YES","NO"))</f>
        <v/>
      </c>
      <c r="K49" s="27">
        <f>IF($A49="","",IF(AND($H49="PROMOTE",$J49="YES"),"YES — PROMOTE","NO"))</f>
        <v/>
      </c>
    </row>
    <row r="50">
      <c r="A50" s="7" t="n"/>
      <c r="B50" s="7">
        <f>IF($A50="","",VLOOKUP($A50,CoachRoster!$A:$E,4,FALSE))</f>
        <v/>
      </c>
      <c r="C50" s="7" t="n"/>
      <c r="D50" s="7" t="n"/>
      <c r="E50" s="7" t="n"/>
      <c r="F50" s="7" t="n"/>
      <c r="G50" s="7" t="n"/>
      <c r="H50" s="7">
        <f>IF($A50="","",IF(AND($E50="Pass",$F50="Pass",$G50="Pass"),"PROMOTE","NOT YET"))</f>
        <v/>
      </c>
      <c r="I50" s="7" t="n"/>
      <c r="J50" s="27">
        <f>IF(OR($A50="",$C50=""),"",IF(IFERROR(VLOOKUP($A50,Ledger!$A:$E,5,FALSE),0)&gt;=VLOOKUP($C50,RoleTitles!$A:$B,2,FALSE),"YES","NO"))</f>
        <v/>
      </c>
      <c r="K50" s="27">
        <f>IF($A50="","",IF(AND($H50="PROMOTE",$J50="YES"),"YES — PROMOTE","NO"))</f>
        <v/>
      </c>
    </row>
    <row r="51">
      <c r="A51" s="7" t="n"/>
      <c r="B51" s="7">
        <f>IF($A51="","",VLOOKUP($A51,CoachRoster!$A:$E,4,FALSE))</f>
        <v/>
      </c>
      <c r="C51" s="7" t="n"/>
      <c r="D51" s="7" t="n"/>
      <c r="E51" s="7" t="n"/>
      <c r="F51" s="7" t="n"/>
      <c r="G51" s="7" t="n"/>
      <c r="H51" s="7">
        <f>IF($A51="","",IF(AND($E51="Pass",$F51="Pass",$G51="Pass"),"PROMOTE","NOT YET"))</f>
        <v/>
      </c>
      <c r="I51" s="7" t="n"/>
      <c r="J51" s="27">
        <f>IF(OR($A51="",$C51=""),"",IF(IFERROR(VLOOKUP($A51,Ledger!$A:$E,5,FALSE),0)&gt;=VLOOKUP($C51,RoleTitles!$A:$B,2,FALSE),"YES","NO"))</f>
        <v/>
      </c>
      <c r="K51" s="27">
        <f>IF($A51="","",IF(AND($H51="PROMOTE",$J51="YES"),"YES — PROMOTE","NO"))</f>
        <v/>
      </c>
    </row>
    <row r="52">
      <c r="A52" s="7" t="n"/>
      <c r="B52" s="7">
        <f>IF($A52="","",VLOOKUP($A52,CoachRoster!$A:$E,4,FALSE))</f>
        <v/>
      </c>
      <c r="C52" s="7" t="n"/>
      <c r="D52" s="7" t="n"/>
      <c r="E52" s="7" t="n"/>
      <c r="F52" s="7" t="n"/>
      <c r="G52" s="7" t="n"/>
      <c r="H52" s="7">
        <f>IF($A52="","",IF(AND($E52="Pass",$F52="Pass",$G52="Pass"),"PROMOTE","NOT YET"))</f>
        <v/>
      </c>
      <c r="I52" s="7" t="n"/>
      <c r="J52" s="27">
        <f>IF(OR($A52="",$C52=""),"",IF(IFERROR(VLOOKUP($A52,Ledger!$A:$E,5,FALSE),0)&gt;=VLOOKUP($C52,RoleTitles!$A:$B,2,FALSE),"YES","NO"))</f>
        <v/>
      </c>
      <c r="K52" s="27">
        <f>IF($A52="","",IF(AND($H52="PROMOTE",$J52="YES"),"YES — PROMOTE","NO"))</f>
        <v/>
      </c>
    </row>
    <row r="53">
      <c r="A53" s="7" t="n"/>
      <c r="B53" s="7">
        <f>IF($A53="","",VLOOKUP($A53,CoachRoster!$A:$E,4,FALSE))</f>
        <v/>
      </c>
      <c r="C53" s="7" t="n"/>
      <c r="D53" s="7" t="n"/>
      <c r="E53" s="7" t="n"/>
      <c r="F53" s="7" t="n"/>
      <c r="G53" s="7" t="n"/>
      <c r="H53" s="7">
        <f>IF($A53="","",IF(AND($E53="Pass",$F53="Pass",$G53="Pass"),"PROMOTE","NOT YET"))</f>
        <v/>
      </c>
      <c r="I53" s="7" t="n"/>
      <c r="J53" s="27">
        <f>IF(OR($A53="",$C53=""),"",IF(IFERROR(VLOOKUP($A53,Ledger!$A:$E,5,FALSE),0)&gt;=VLOOKUP($C53,RoleTitles!$A:$B,2,FALSE),"YES","NO"))</f>
        <v/>
      </c>
      <c r="K53" s="27">
        <f>IF($A53="","",IF(AND($H53="PROMOTE",$J53="YES"),"YES — PROMOTE","NO"))</f>
        <v/>
      </c>
    </row>
    <row r="54">
      <c r="A54" s="7" t="n"/>
      <c r="B54" s="7">
        <f>IF($A54="","",VLOOKUP($A54,CoachRoster!$A:$E,4,FALSE))</f>
        <v/>
      </c>
      <c r="C54" s="7" t="n"/>
      <c r="D54" s="7" t="n"/>
      <c r="E54" s="7" t="n"/>
      <c r="F54" s="7" t="n"/>
      <c r="G54" s="7" t="n"/>
      <c r="H54" s="7">
        <f>IF($A54="","",IF(AND($E54="Pass",$F54="Pass",$G54="Pass"),"PROMOTE","NOT YET"))</f>
        <v/>
      </c>
      <c r="I54" s="7" t="n"/>
      <c r="J54" s="27">
        <f>IF(OR($A54="",$C54=""),"",IF(IFERROR(VLOOKUP($A54,Ledger!$A:$E,5,FALSE),0)&gt;=VLOOKUP($C54,RoleTitles!$A:$B,2,FALSE),"YES","NO"))</f>
        <v/>
      </c>
      <c r="K54" s="27">
        <f>IF($A54="","",IF(AND($H54="PROMOTE",$J54="YES"),"YES — PROMOTE","NO"))</f>
        <v/>
      </c>
    </row>
    <row r="55">
      <c r="A55" s="7" t="n"/>
      <c r="B55" s="7">
        <f>IF($A55="","",VLOOKUP($A55,CoachRoster!$A:$E,4,FALSE))</f>
        <v/>
      </c>
      <c r="C55" s="7" t="n"/>
      <c r="D55" s="7" t="n"/>
      <c r="E55" s="7" t="n"/>
      <c r="F55" s="7" t="n"/>
      <c r="G55" s="7" t="n"/>
      <c r="H55" s="7">
        <f>IF($A55="","",IF(AND($E55="Pass",$F55="Pass",$G55="Pass"),"PROMOTE","NOT YET"))</f>
        <v/>
      </c>
      <c r="I55" s="7" t="n"/>
      <c r="J55" s="27">
        <f>IF(OR($A55="",$C55=""),"",IF(IFERROR(VLOOKUP($A55,Ledger!$A:$E,5,FALSE),0)&gt;=VLOOKUP($C55,RoleTitles!$A:$B,2,FALSE),"YES","NO"))</f>
        <v/>
      </c>
      <c r="K55" s="27">
        <f>IF($A55="","",IF(AND($H55="PROMOTE",$J55="YES"),"YES — PROMOTE","NO"))</f>
        <v/>
      </c>
    </row>
    <row r="56">
      <c r="A56" s="7" t="n"/>
      <c r="B56" s="7">
        <f>IF($A56="","",VLOOKUP($A56,CoachRoster!$A:$E,4,FALSE))</f>
        <v/>
      </c>
      <c r="C56" s="7" t="n"/>
      <c r="D56" s="7" t="n"/>
      <c r="E56" s="7" t="n"/>
      <c r="F56" s="7" t="n"/>
      <c r="G56" s="7" t="n"/>
      <c r="H56" s="7">
        <f>IF($A56="","",IF(AND($E56="Pass",$F56="Pass",$G56="Pass"),"PROMOTE","NOT YET"))</f>
        <v/>
      </c>
      <c r="I56" s="7" t="n"/>
      <c r="J56" s="27">
        <f>IF(OR($A56="",$C56=""),"",IF(IFERROR(VLOOKUP($A56,Ledger!$A:$E,5,FALSE),0)&gt;=VLOOKUP($C56,RoleTitles!$A:$B,2,FALSE),"YES","NO"))</f>
        <v/>
      </c>
      <c r="K56" s="27">
        <f>IF($A56="","",IF(AND($H56="PROMOTE",$J56="YES"),"YES — PROMOTE","NO"))</f>
        <v/>
      </c>
    </row>
    <row r="57">
      <c r="A57" s="7" t="n"/>
      <c r="B57" s="7">
        <f>IF($A57="","",VLOOKUP($A57,CoachRoster!$A:$E,4,FALSE))</f>
        <v/>
      </c>
      <c r="C57" s="7" t="n"/>
      <c r="D57" s="7" t="n"/>
      <c r="E57" s="7" t="n"/>
      <c r="F57" s="7" t="n"/>
      <c r="G57" s="7" t="n"/>
      <c r="H57" s="7">
        <f>IF($A57="","",IF(AND($E57="Pass",$F57="Pass",$G57="Pass"),"PROMOTE","NOT YET"))</f>
        <v/>
      </c>
      <c r="I57" s="7" t="n"/>
      <c r="J57" s="27">
        <f>IF(OR($A57="",$C57=""),"",IF(IFERROR(VLOOKUP($A57,Ledger!$A:$E,5,FALSE),0)&gt;=VLOOKUP($C57,RoleTitles!$A:$B,2,FALSE),"YES","NO"))</f>
        <v/>
      </c>
      <c r="K57" s="27">
        <f>IF($A57="","",IF(AND($H57="PROMOTE",$J57="YES"),"YES — PROMOTE","NO"))</f>
        <v/>
      </c>
    </row>
    <row r="58">
      <c r="A58" s="7" t="n"/>
      <c r="B58" s="7">
        <f>IF($A58="","",VLOOKUP($A58,CoachRoster!$A:$E,4,FALSE))</f>
        <v/>
      </c>
      <c r="C58" s="7" t="n"/>
      <c r="D58" s="7" t="n"/>
      <c r="E58" s="7" t="n"/>
      <c r="F58" s="7" t="n"/>
      <c r="G58" s="7" t="n"/>
      <c r="H58" s="7">
        <f>IF($A58="","",IF(AND($E58="Pass",$F58="Pass",$G58="Pass"),"PROMOTE","NOT YET"))</f>
        <v/>
      </c>
      <c r="I58" s="7" t="n"/>
      <c r="J58" s="27">
        <f>IF(OR($A58="",$C58=""),"",IF(IFERROR(VLOOKUP($A58,Ledger!$A:$E,5,FALSE),0)&gt;=VLOOKUP($C58,RoleTitles!$A:$B,2,FALSE),"YES","NO"))</f>
        <v/>
      </c>
      <c r="K58" s="27">
        <f>IF($A58="","",IF(AND($H58="PROMOTE",$J58="YES"),"YES — PROMOTE","NO"))</f>
        <v/>
      </c>
    </row>
    <row r="59">
      <c r="A59" s="7" t="n"/>
      <c r="B59" s="7">
        <f>IF($A59="","",VLOOKUP($A59,CoachRoster!$A:$E,4,FALSE))</f>
        <v/>
      </c>
      <c r="C59" s="7" t="n"/>
      <c r="D59" s="7" t="n"/>
      <c r="E59" s="7" t="n"/>
      <c r="F59" s="7" t="n"/>
      <c r="G59" s="7" t="n"/>
      <c r="H59" s="7">
        <f>IF($A59="","",IF(AND($E59="Pass",$F59="Pass",$G59="Pass"),"PROMOTE","NOT YET"))</f>
        <v/>
      </c>
      <c r="I59" s="7" t="n"/>
      <c r="J59" s="27">
        <f>IF(OR($A59="",$C59=""),"",IF(IFERROR(VLOOKUP($A59,Ledger!$A:$E,5,FALSE),0)&gt;=VLOOKUP($C59,RoleTitles!$A:$B,2,FALSE),"YES","NO"))</f>
        <v/>
      </c>
      <c r="K59" s="27">
        <f>IF($A59="","",IF(AND($H59="PROMOTE",$J59="YES"),"YES — PROMOTE","NO"))</f>
        <v/>
      </c>
    </row>
    <row r="60">
      <c r="A60" s="7" t="n"/>
      <c r="B60" s="7">
        <f>IF($A60="","",VLOOKUP($A60,CoachRoster!$A:$E,4,FALSE))</f>
        <v/>
      </c>
      <c r="C60" s="7" t="n"/>
      <c r="D60" s="7" t="n"/>
      <c r="E60" s="7" t="n"/>
      <c r="F60" s="7" t="n"/>
      <c r="G60" s="7" t="n"/>
      <c r="H60" s="7">
        <f>IF($A60="","",IF(AND($E60="Pass",$F60="Pass",$G60="Pass"),"PROMOTE","NOT YET"))</f>
        <v/>
      </c>
      <c r="I60" s="7" t="n"/>
      <c r="J60" s="27">
        <f>IF(OR($A60="",$C60=""),"",IF(IFERROR(VLOOKUP($A60,Ledger!$A:$E,5,FALSE),0)&gt;=VLOOKUP($C60,RoleTitles!$A:$B,2,FALSE),"YES","NO"))</f>
        <v/>
      </c>
      <c r="K60" s="27">
        <f>IF($A60="","",IF(AND($H60="PROMOTE",$J60="YES"),"YES — PROMOTE","NO"))</f>
        <v/>
      </c>
    </row>
    <row r="61">
      <c r="A61" s="7" t="n"/>
      <c r="B61" s="7">
        <f>IF($A61="","",VLOOKUP($A61,CoachRoster!$A:$E,4,FALSE))</f>
        <v/>
      </c>
      <c r="C61" s="7" t="n"/>
      <c r="D61" s="7" t="n"/>
      <c r="E61" s="7" t="n"/>
      <c r="F61" s="7" t="n"/>
      <c r="G61" s="7" t="n"/>
      <c r="H61" s="7">
        <f>IF($A61="","",IF(AND($E61="Pass",$F61="Pass",$G61="Pass"),"PROMOTE","NOT YET"))</f>
        <v/>
      </c>
      <c r="I61" s="7" t="n"/>
      <c r="J61" s="27">
        <f>IF(OR($A61="",$C61=""),"",IF(IFERROR(VLOOKUP($A61,Ledger!$A:$E,5,FALSE),0)&gt;=VLOOKUP($C61,RoleTitles!$A:$B,2,FALSE),"YES","NO"))</f>
        <v/>
      </c>
      <c r="K61" s="27">
        <f>IF($A61="","",IF(AND($H61="PROMOTE",$J61="YES"),"YES — PROMOTE","NO"))</f>
        <v/>
      </c>
    </row>
    <row r="62">
      <c r="A62" s="7" t="n"/>
      <c r="B62" s="7">
        <f>IF($A62="","",VLOOKUP($A62,CoachRoster!$A:$E,4,FALSE))</f>
        <v/>
      </c>
      <c r="C62" s="7" t="n"/>
      <c r="D62" s="7" t="n"/>
      <c r="E62" s="7" t="n"/>
      <c r="F62" s="7" t="n"/>
      <c r="G62" s="7" t="n"/>
      <c r="H62" s="7">
        <f>IF($A62="","",IF(AND($E62="Pass",$F62="Pass",$G62="Pass"),"PROMOTE","NOT YET"))</f>
        <v/>
      </c>
      <c r="I62" s="7" t="n"/>
      <c r="J62" s="27">
        <f>IF(OR($A62="",$C62=""),"",IF(IFERROR(VLOOKUP($A62,Ledger!$A:$E,5,FALSE),0)&gt;=VLOOKUP($C62,RoleTitles!$A:$B,2,FALSE),"YES","NO"))</f>
        <v/>
      </c>
      <c r="K62" s="27">
        <f>IF($A62="","",IF(AND($H62="PROMOTE",$J62="YES"),"YES — PROMOTE","NO"))</f>
        <v/>
      </c>
    </row>
    <row r="63">
      <c r="A63" s="7" t="n"/>
      <c r="B63" s="7">
        <f>IF($A63="","",VLOOKUP($A63,CoachRoster!$A:$E,4,FALSE))</f>
        <v/>
      </c>
      <c r="C63" s="7" t="n"/>
      <c r="D63" s="7" t="n"/>
      <c r="E63" s="7" t="n"/>
      <c r="F63" s="7" t="n"/>
      <c r="G63" s="7" t="n"/>
      <c r="H63" s="7">
        <f>IF($A63="","",IF(AND($E63="Pass",$F63="Pass",$G63="Pass"),"PROMOTE","NOT YET"))</f>
        <v/>
      </c>
      <c r="I63" s="7" t="n"/>
      <c r="J63" s="27">
        <f>IF(OR($A63="",$C63=""),"",IF(IFERROR(VLOOKUP($A63,Ledger!$A:$E,5,FALSE),0)&gt;=VLOOKUP($C63,RoleTitles!$A:$B,2,FALSE),"YES","NO"))</f>
        <v/>
      </c>
      <c r="K63" s="27">
        <f>IF($A63="","",IF(AND($H63="PROMOTE",$J63="YES"),"YES — PROMOTE","NO"))</f>
        <v/>
      </c>
    </row>
    <row r="64">
      <c r="A64" s="7" t="n"/>
      <c r="B64" s="7">
        <f>IF($A64="","",VLOOKUP($A64,CoachRoster!$A:$E,4,FALSE))</f>
        <v/>
      </c>
      <c r="C64" s="7" t="n"/>
      <c r="D64" s="7" t="n"/>
      <c r="E64" s="7" t="n"/>
      <c r="F64" s="7" t="n"/>
      <c r="G64" s="7" t="n"/>
      <c r="H64" s="7">
        <f>IF($A64="","",IF(AND($E64="Pass",$F64="Pass",$G64="Pass"),"PROMOTE","NOT YET"))</f>
        <v/>
      </c>
      <c r="I64" s="7" t="n"/>
      <c r="J64" s="27">
        <f>IF(OR($A64="",$C64=""),"",IF(IFERROR(VLOOKUP($A64,Ledger!$A:$E,5,FALSE),0)&gt;=VLOOKUP($C64,RoleTitles!$A:$B,2,FALSE),"YES","NO"))</f>
        <v/>
      </c>
      <c r="K64" s="27">
        <f>IF($A64="","",IF(AND($H64="PROMOTE",$J64="YES"),"YES — PROMOTE","NO"))</f>
        <v/>
      </c>
    </row>
    <row r="65">
      <c r="A65" s="7" t="n"/>
      <c r="B65" s="7">
        <f>IF($A65="","",VLOOKUP($A65,CoachRoster!$A:$E,4,FALSE))</f>
        <v/>
      </c>
      <c r="C65" s="7" t="n"/>
      <c r="D65" s="7" t="n"/>
      <c r="E65" s="7" t="n"/>
      <c r="F65" s="7" t="n"/>
      <c r="G65" s="7" t="n"/>
      <c r="H65" s="7">
        <f>IF($A65="","",IF(AND($E65="Pass",$F65="Pass",$G65="Pass"),"PROMOTE","NOT YET"))</f>
        <v/>
      </c>
      <c r="I65" s="7" t="n"/>
      <c r="J65" s="27">
        <f>IF(OR($A65="",$C65=""),"",IF(IFERROR(VLOOKUP($A65,Ledger!$A:$E,5,FALSE),0)&gt;=VLOOKUP($C65,RoleTitles!$A:$B,2,FALSE),"YES","NO"))</f>
        <v/>
      </c>
      <c r="K65" s="27">
        <f>IF($A65="","",IF(AND($H65="PROMOTE",$J65="YES"),"YES — PROMOTE","NO"))</f>
        <v/>
      </c>
    </row>
    <row r="66">
      <c r="A66" s="7" t="n"/>
      <c r="B66" s="7">
        <f>IF($A66="","",VLOOKUP($A66,CoachRoster!$A:$E,4,FALSE))</f>
        <v/>
      </c>
      <c r="C66" s="7" t="n"/>
      <c r="D66" s="7" t="n"/>
      <c r="E66" s="7" t="n"/>
      <c r="F66" s="7" t="n"/>
      <c r="G66" s="7" t="n"/>
      <c r="H66" s="7">
        <f>IF($A66="","",IF(AND($E66="Pass",$F66="Pass",$G66="Pass"),"PROMOTE","NOT YET"))</f>
        <v/>
      </c>
      <c r="I66" s="7" t="n"/>
      <c r="J66" s="27">
        <f>IF(OR($A66="",$C66=""),"",IF(IFERROR(VLOOKUP($A66,Ledger!$A:$E,5,FALSE),0)&gt;=VLOOKUP($C66,RoleTitles!$A:$B,2,FALSE),"YES","NO"))</f>
        <v/>
      </c>
      <c r="K66" s="27">
        <f>IF($A66="","",IF(AND($H66="PROMOTE",$J66="YES"),"YES — PROMOTE","NO"))</f>
        <v/>
      </c>
    </row>
    <row r="67">
      <c r="A67" s="7" t="n"/>
      <c r="B67" s="7">
        <f>IF($A67="","",VLOOKUP($A67,CoachRoster!$A:$E,4,FALSE))</f>
        <v/>
      </c>
      <c r="C67" s="7" t="n"/>
      <c r="D67" s="7" t="n"/>
      <c r="E67" s="7" t="n"/>
      <c r="F67" s="7" t="n"/>
      <c r="G67" s="7" t="n"/>
      <c r="H67" s="7">
        <f>IF($A67="","",IF(AND($E67="Pass",$F67="Pass",$G67="Pass"),"PROMOTE","NOT YET"))</f>
        <v/>
      </c>
      <c r="I67" s="7" t="n"/>
      <c r="J67" s="27">
        <f>IF(OR($A67="",$C67=""),"",IF(IFERROR(VLOOKUP($A67,Ledger!$A:$E,5,FALSE),0)&gt;=VLOOKUP($C67,RoleTitles!$A:$B,2,FALSE),"YES","NO"))</f>
        <v/>
      </c>
      <c r="K67" s="27">
        <f>IF($A67="","",IF(AND($H67="PROMOTE",$J67="YES"),"YES — PROMOTE","NO"))</f>
        <v/>
      </c>
    </row>
    <row r="68">
      <c r="A68" s="7" t="n"/>
      <c r="B68" s="7">
        <f>IF($A68="","",VLOOKUP($A68,CoachRoster!$A:$E,4,FALSE))</f>
        <v/>
      </c>
      <c r="C68" s="7" t="n"/>
      <c r="D68" s="7" t="n"/>
      <c r="E68" s="7" t="n"/>
      <c r="F68" s="7" t="n"/>
      <c r="G68" s="7" t="n"/>
      <c r="H68" s="7">
        <f>IF($A68="","",IF(AND($E68="Pass",$F68="Pass",$G68="Pass"),"PROMOTE","NOT YET"))</f>
        <v/>
      </c>
      <c r="I68" s="7" t="n"/>
      <c r="J68" s="27">
        <f>IF(OR($A68="",$C68=""),"",IF(IFERROR(VLOOKUP($A68,Ledger!$A:$E,5,FALSE),0)&gt;=VLOOKUP($C68,RoleTitles!$A:$B,2,FALSE),"YES","NO"))</f>
        <v/>
      </c>
      <c r="K68" s="27">
        <f>IF($A68="","",IF(AND($H68="PROMOTE",$J68="YES"),"YES — PROMOTE","NO"))</f>
        <v/>
      </c>
    </row>
    <row r="69">
      <c r="A69" s="7" t="n"/>
      <c r="B69" s="7">
        <f>IF($A69="","",VLOOKUP($A69,CoachRoster!$A:$E,4,FALSE))</f>
        <v/>
      </c>
      <c r="C69" s="7" t="n"/>
      <c r="D69" s="7" t="n"/>
      <c r="E69" s="7" t="n"/>
      <c r="F69" s="7" t="n"/>
      <c r="G69" s="7" t="n"/>
      <c r="H69" s="7">
        <f>IF($A69="","",IF(AND($E69="Pass",$F69="Pass",$G69="Pass"),"PROMOTE","NOT YET"))</f>
        <v/>
      </c>
      <c r="I69" s="7" t="n"/>
      <c r="J69" s="27">
        <f>IF(OR($A69="",$C69=""),"",IF(IFERROR(VLOOKUP($A69,Ledger!$A:$E,5,FALSE),0)&gt;=VLOOKUP($C69,RoleTitles!$A:$B,2,FALSE),"YES","NO"))</f>
        <v/>
      </c>
      <c r="K69" s="27">
        <f>IF($A69="","",IF(AND($H69="PROMOTE",$J69="YES"),"YES — PROMOTE","NO"))</f>
        <v/>
      </c>
    </row>
    <row r="70">
      <c r="A70" s="7" t="n"/>
      <c r="B70" s="7">
        <f>IF($A70="","",VLOOKUP($A70,CoachRoster!$A:$E,4,FALSE))</f>
        <v/>
      </c>
      <c r="C70" s="7" t="n"/>
      <c r="D70" s="7" t="n"/>
      <c r="E70" s="7" t="n"/>
      <c r="F70" s="7" t="n"/>
      <c r="G70" s="7" t="n"/>
      <c r="H70" s="7">
        <f>IF($A70="","",IF(AND($E70="Pass",$F70="Pass",$G70="Pass"),"PROMOTE","NOT YET"))</f>
        <v/>
      </c>
      <c r="I70" s="7" t="n"/>
      <c r="J70" s="27">
        <f>IF(OR($A70="",$C70=""),"",IF(IFERROR(VLOOKUP($A70,Ledger!$A:$E,5,FALSE),0)&gt;=VLOOKUP($C70,RoleTitles!$A:$B,2,FALSE),"YES","NO"))</f>
        <v/>
      </c>
      <c r="K70" s="27">
        <f>IF($A70="","",IF(AND($H70="PROMOTE",$J70="YES"),"YES — PROMOTE","NO"))</f>
        <v/>
      </c>
    </row>
    <row r="71">
      <c r="A71" s="7" t="n"/>
      <c r="B71" s="7">
        <f>IF($A71="","",VLOOKUP($A71,CoachRoster!$A:$E,4,FALSE))</f>
        <v/>
      </c>
      <c r="C71" s="7" t="n"/>
      <c r="D71" s="7" t="n"/>
      <c r="E71" s="7" t="n"/>
      <c r="F71" s="7" t="n"/>
      <c r="G71" s="7" t="n"/>
      <c r="H71" s="7">
        <f>IF($A71="","",IF(AND($E71="Pass",$F71="Pass",$G71="Pass"),"PROMOTE","NOT YET"))</f>
        <v/>
      </c>
      <c r="I71" s="7" t="n"/>
      <c r="J71" s="27">
        <f>IF(OR($A71="",$C71=""),"",IF(IFERROR(VLOOKUP($A71,Ledger!$A:$E,5,FALSE),0)&gt;=VLOOKUP($C71,RoleTitles!$A:$B,2,FALSE),"YES","NO"))</f>
        <v/>
      </c>
      <c r="K71" s="27">
        <f>IF($A71="","",IF(AND($H71="PROMOTE",$J71="YES"),"YES — PROMOTE","NO"))</f>
        <v/>
      </c>
    </row>
    <row r="72">
      <c r="A72" s="7" t="n"/>
      <c r="B72" s="7">
        <f>IF($A72="","",VLOOKUP($A72,CoachRoster!$A:$E,4,FALSE))</f>
        <v/>
      </c>
      <c r="C72" s="7" t="n"/>
      <c r="D72" s="7" t="n"/>
      <c r="E72" s="7" t="n"/>
      <c r="F72" s="7" t="n"/>
      <c r="G72" s="7" t="n"/>
      <c r="H72" s="7">
        <f>IF($A72="","",IF(AND($E72="Pass",$F72="Pass",$G72="Pass"),"PROMOTE","NOT YET"))</f>
        <v/>
      </c>
      <c r="I72" s="7" t="n"/>
      <c r="J72" s="27">
        <f>IF(OR($A72="",$C72=""),"",IF(IFERROR(VLOOKUP($A72,Ledger!$A:$E,5,FALSE),0)&gt;=VLOOKUP($C72,RoleTitles!$A:$B,2,FALSE),"YES","NO"))</f>
        <v/>
      </c>
      <c r="K72" s="27">
        <f>IF($A72="","",IF(AND($H72="PROMOTE",$J72="YES"),"YES — PROMOTE","NO"))</f>
        <v/>
      </c>
    </row>
    <row r="73">
      <c r="A73" s="7" t="n"/>
      <c r="B73" s="7">
        <f>IF($A73="","",VLOOKUP($A73,CoachRoster!$A:$E,4,FALSE))</f>
        <v/>
      </c>
      <c r="C73" s="7" t="n"/>
      <c r="D73" s="7" t="n"/>
      <c r="E73" s="7" t="n"/>
      <c r="F73" s="7" t="n"/>
      <c r="G73" s="7" t="n"/>
      <c r="H73" s="7">
        <f>IF($A73="","",IF(AND($E73="Pass",$F73="Pass",$G73="Pass"),"PROMOTE","NOT YET"))</f>
        <v/>
      </c>
      <c r="I73" s="7" t="n"/>
      <c r="J73" s="27">
        <f>IF(OR($A73="",$C73=""),"",IF(IFERROR(VLOOKUP($A73,Ledger!$A:$E,5,FALSE),0)&gt;=VLOOKUP($C73,RoleTitles!$A:$B,2,FALSE),"YES","NO"))</f>
        <v/>
      </c>
      <c r="K73" s="27">
        <f>IF($A73="","",IF(AND($H73="PROMOTE",$J73="YES"),"YES — PROMOTE","NO"))</f>
        <v/>
      </c>
    </row>
    <row r="74">
      <c r="A74" s="7" t="n"/>
      <c r="B74" s="7">
        <f>IF($A74="","",VLOOKUP($A74,CoachRoster!$A:$E,4,FALSE))</f>
        <v/>
      </c>
      <c r="C74" s="7" t="n"/>
      <c r="D74" s="7" t="n"/>
      <c r="E74" s="7" t="n"/>
      <c r="F74" s="7" t="n"/>
      <c r="G74" s="7" t="n"/>
      <c r="H74" s="7">
        <f>IF($A74="","",IF(AND($E74="Pass",$F74="Pass",$G74="Pass"),"PROMOTE","NOT YET"))</f>
        <v/>
      </c>
      <c r="I74" s="7" t="n"/>
      <c r="J74" s="27">
        <f>IF(OR($A74="",$C74=""),"",IF(IFERROR(VLOOKUP($A74,Ledger!$A:$E,5,FALSE),0)&gt;=VLOOKUP($C74,RoleTitles!$A:$B,2,FALSE),"YES","NO"))</f>
        <v/>
      </c>
      <c r="K74" s="27">
        <f>IF($A74="","",IF(AND($H74="PROMOTE",$J74="YES"),"YES — PROMOTE","NO"))</f>
        <v/>
      </c>
    </row>
    <row r="75">
      <c r="A75" s="7" t="n"/>
      <c r="B75" s="7">
        <f>IF($A75="","",VLOOKUP($A75,CoachRoster!$A:$E,4,FALSE))</f>
        <v/>
      </c>
      <c r="C75" s="7" t="n"/>
      <c r="D75" s="7" t="n"/>
      <c r="E75" s="7" t="n"/>
      <c r="F75" s="7" t="n"/>
      <c r="G75" s="7" t="n"/>
      <c r="H75" s="7">
        <f>IF($A75="","",IF(AND($E75="Pass",$F75="Pass",$G75="Pass"),"PROMOTE","NOT YET"))</f>
        <v/>
      </c>
      <c r="I75" s="7" t="n"/>
      <c r="J75" s="27">
        <f>IF(OR($A75="",$C75=""),"",IF(IFERROR(VLOOKUP($A75,Ledger!$A:$E,5,FALSE),0)&gt;=VLOOKUP($C75,RoleTitles!$A:$B,2,FALSE),"YES","NO"))</f>
        <v/>
      </c>
      <c r="K75" s="27">
        <f>IF($A75="","",IF(AND($H75="PROMOTE",$J75="YES"),"YES — PROMOTE","NO"))</f>
        <v/>
      </c>
    </row>
    <row r="76">
      <c r="A76" s="7" t="n"/>
      <c r="B76" s="7">
        <f>IF($A76="","",VLOOKUP($A76,CoachRoster!$A:$E,4,FALSE))</f>
        <v/>
      </c>
      <c r="C76" s="7" t="n"/>
      <c r="D76" s="7" t="n"/>
      <c r="E76" s="7" t="n"/>
      <c r="F76" s="7" t="n"/>
      <c r="G76" s="7" t="n"/>
      <c r="H76" s="7">
        <f>IF($A76="","",IF(AND($E76="Pass",$F76="Pass",$G76="Pass"),"PROMOTE","NOT YET"))</f>
        <v/>
      </c>
      <c r="I76" s="7" t="n"/>
      <c r="J76" s="27">
        <f>IF(OR($A76="",$C76=""),"",IF(IFERROR(VLOOKUP($A76,Ledger!$A:$E,5,FALSE),0)&gt;=VLOOKUP($C76,RoleTitles!$A:$B,2,FALSE),"YES","NO"))</f>
        <v/>
      </c>
      <c r="K76" s="27">
        <f>IF($A76="","",IF(AND($H76="PROMOTE",$J76="YES"),"YES — PROMOTE","NO"))</f>
        <v/>
      </c>
    </row>
    <row r="77">
      <c r="A77" s="7" t="n"/>
      <c r="B77" s="7">
        <f>IF($A77="","",VLOOKUP($A77,CoachRoster!$A:$E,4,FALSE))</f>
        <v/>
      </c>
      <c r="C77" s="7" t="n"/>
      <c r="D77" s="7" t="n"/>
      <c r="E77" s="7" t="n"/>
      <c r="F77" s="7" t="n"/>
      <c r="G77" s="7" t="n"/>
      <c r="H77" s="7">
        <f>IF($A77="","",IF(AND($E77="Pass",$F77="Pass",$G77="Pass"),"PROMOTE","NOT YET"))</f>
        <v/>
      </c>
      <c r="I77" s="7" t="n"/>
      <c r="J77" s="27">
        <f>IF(OR($A77="",$C77=""),"",IF(IFERROR(VLOOKUP($A77,Ledger!$A:$E,5,FALSE),0)&gt;=VLOOKUP($C77,RoleTitles!$A:$B,2,FALSE),"YES","NO"))</f>
        <v/>
      </c>
      <c r="K77" s="27">
        <f>IF($A77="","",IF(AND($H77="PROMOTE",$J77="YES"),"YES — PROMOTE","NO"))</f>
        <v/>
      </c>
    </row>
    <row r="78">
      <c r="A78" s="7" t="n"/>
      <c r="B78" s="7">
        <f>IF($A78="","",VLOOKUP($A78,CoachRoster!$A:$E,4,FALSE))</f>
        <v/>
      </c>
      <c r="C78" s="7" t="n"/>
      <c r="D78" s="7" t="n"/>
      <c r="E78" s="7" t="n"/>
      <c r="F78" s="7" t="n"/>
      <c r="G78" s="7" t="n"/>
      <c r="H78" s="7">
        <f>IF($A78="","",IF(AND($E78="Pass",$F78="Pass",$G78="Pass"),"PROMOTE","NOT YET"))</f>
        <v/>
      </c>
      <c r="I78" s="7" t="n"/>
      <c r="J78" s="27">
        <f>IF(OR($A78="",$C78=""),"",IF(IFERROR(VLOOKUP($A78,Ledger!$A:$E,5,FALSE),0)&gt;=VLOOKUP($C78,RoleTitles!$A:$B,2,FALSE),"YES","NO"))</f>
        <v/>
      </c>
      <c r="K78" s="27">
        <f>IF($A78="","",IF(AND($H78="PROMOTE",$J78="YES"),"YES — PROMOTE","NO"))</f>
        <v/>
      </c>
    </row>
    <row r="79">
      <c r="A79" s="7" t="n"/>
      <c r="B79" s="7">
        <f>IF($A79="","",VLOOKUP($A79,CoachRoster!$A:$E,4,FALSE))</f>
        <v/>
      </c>
      <c r="C79" s="7" t="n"/>
      <c r="D79" s="7" t="n"/>
      <c r="E79" s="7" t="n"/>
      <c r="F79" s="7" t="n"/>
      <c r="G79" s="7" t="n"/>
      <c r="H79" s="7">
        <f>IF($A79="","",IF(AND($E79="Pass",$F79="Pass",$G79="Pass"),"PROMOTE","NOT YET"))</f>
        <v/>
      </c>
      <c r="I79" s="7" t="n"/>
      <c r="J79" s="27">
        <f>IF(OR($A79="",$C79=""),"",IF(IFERROR(VLOOKUP($A79,Ledger!$A:$E,5,FALSE),0)&gt;=VLOOKUP($C79,RoleTitles!$A:$B,2,FALSE),"YES","NO"))</f>
        <v/>
      </c>
      <c r="K79" s="27">
        <f>IF($A79="","",IF(AND($H79="PROMOTE",$J79="YES"),"YES — PROMOTE","NO"))</f>
        <v/>
      </c>
    </row>
    <row r="80">
      <c r="A80" s="7" t="n"/>
      <c r="B80" s="7">
        <f>IF($A80="","",VLOOKUP($A80,CoachRoster!$A:$E,4,FALSE))</f>
        <v/>
      </c>
      <c r="C80" s="7" t="n"/>
      <c r="D80" s="7" t="n"/>
      <c r="E80" s="7" t="n"/>
      <c r="F80" s="7" t="n"/>
      <c r="G80" s="7" t="n"/>
      <c r="H80" s="7">
        <f>IF($A80="","",IF(AND($E80="Pass",$F80="Pass",$G80="Pass"),"PROMOTE","NOT YET"))</f>
        <v/>
      </c>
      <c r="I80" s="7" t="n"/>
      <c r="J80" s="27">
        <f>IF(OR($A80="",$C80=""),"",IF(IFERROR(VLOOKUP($A80,Ledger!$A:$E,5,FALSE),0)&gt;=VLOOKUP($C80,RoleTitles!$A:$B,2,FALSE),"YES","NO"))</f>
        <v/>
      </c>
      <c r="K80" s="27">
        <f>IF($A80="","",IF(AND($H80="PROMOTE",$J80="YES"),"YES — PROMOTE","NO"))</f>
        <v/>
      </c>
    </row>
    <row r="81">
      <c r="A81" s="7" t="n"/>
      <c r="B81" s="7">
        <f>IF($A81="","",VLOOKUP($A81,CoachRoster!$A:$E,4,FALSE))</f>
        <v/>
      </c>
      <c r="C81" s="7" t="n"/>
      <c r="D81" s="7" t="n"/>
      <c r="E81" s="7" t="n"/>
      <c r="F81" s="7" t="n"/>
      <c r="G81" s="7" t="n"/>
      <c r="H81" s="7">
        <f>IF($A81="","",IF(AND($E81="Pass",$F81="Pass",$G81="Pass"),"PROMOTE","NOT YET"))</f>
        <v/>
      </c>
      <c r="I81" s="7" t="n"/>
      <c r="J81" s="27">
        <f>IF(OR($A81="",$C81=""),"",IF(IFERROR(VLOOKUP($A81,Ledger!$A:$E,5,FALSE),0)&gt;=VLOOKUP($C81,RoleTitles!$A:$B,2,FALSE),"YES","NO"))</f>
        <v/>
      </c>
      <c r="K81" s="27">
        <f>IF($A81="","",IF(AND($H81="PROMOTE",$J81="YES"),"YES — PROMOTE","NO"))</f>
        <v/>
      </c>
    </row>
    <row r="82">
      <c r="A82" s="7" t="n"/>
      <c r="B82" s="7">
        <f>IF($A82="","",VLOOKUP($A82,CoachRoster!$A:$E,4,FALSE))</f>
        <v/>
      </c>
      <c r="C82" s="7" t="n"/>
      <c r="D82" s="7" t="n"/>
      <c r="E82" s="7" t="n"/>
      <c r="F82" s="7" t="n"/>
      <c r="G82" s="7" t="n"/>
      <c r="H82" s="7">
        <f>IF($A82="","",IF(AND($E82="Pass",$F82="Pass",$G82="Pass"),"PROMOTE","NOT YET"))</f>
        <v/>
      </c>
      <c r="I82" s="7" t="n"/>
      <c r="J82" s="27">
        <f>IF(OR($A82="",$C82=""),"",IF(IFERROR(VLOOKUP($A82,Ledger!$A:$E,5,FALSE),0)&gt;=VLOOKUP($C82,RoleTitles!$A:$B,2,FALSE),"YES","NO"))</f>
        <v/>
      </c>
      <c r="K82" s="27">
        <f>IF($A82="","",IF(AND($H82="PROMOTE",$J82="YES"),"YES — PROMOTE","NO"))</f>
        <v/>
      </c>
    </row>
    <row r="83">
      <c r="A83" s="7" t="n"/>
      <c r="B83" s="7">
        <f>IF($A83="","",VLOOKUP($A83,CoachRoster!$A:$E,4,FALSE))</f>
        <v/>
      </c>
      <c r="C83" s="7" t="n"/>
      <c r="D83" s="7" t="n"/>
      <c r="E83" s="7" t="n"/>
      <c r="F83" s="7" t="n"/>
      <c r="G83" s="7" t="n"/>
      <c r="H83" s="7">
        <f>IF($A83="","",IF(AND($E83="Pass",$F83="Pass",$G83="Pass"),"PROMOTE","NOT YET"))</f>
        <v/>
      </c>
      <c r="I83" s="7" t="n"/>
      <c r="J83" s="27">
        <f>IF(OR($A83="",$C83=""),"",IF(IFERROR(VLOOKUP($A83,Ledger!$A:$E,5,FALSE),0)&gt;=VLOOKUP($C83,RoleTitles!$A:$B,2,FALSE),"YES","NO"))</f>
        <v/>
      </c>
      <c r="K83" s="27">
        <f>IF($A83="","",IF(AND($H83="PROMOTE",$J83="YES"),"YES — PROMOTE","NO"))</f>
        <v/>
      </c>
    </row>
    <row r="84">
      <c r="A84" s="7" t="n"/>
      <c r="B84" s="7">
        <f>IF($A84="","",VLOOKUP($A84,CoachRoster!$A:$E,4,FALSE))</f>
        <v/>
      </c>
      <c r="C84" s="7" t="n"/>
      <c r="D84" s="7" t="n"/>
      <c r="E84" s="7" t="n"/>
      <c r="F84" s="7" t="n"/>
      <c r="G84" s="7" t="n"/>
      <c r="H84" s="7">
        <f>IF($A84="","",IF(AND($E84="Pass",$F84="Pass",$G84="Pass"),"PROMOTE","NOT YET"))</f>
        <v/>
      </c>
      <c r="I84" s="7" t="n"/>
      <c r="J84" s="27">
        <f>IF(OR($A84="",$C84=""),"",IF(IFERROR(VLOOKUP($A84,Ledger!$A:$E,5,FALSE),0)&gt;=VLOOKUP($C84,RoleTitles!$A:$B,2,FALSE),"YES","NO"))</f>
        <v/>
      </c>
      <c r="K84" s="27">
        <f>IF($A84="","",IF(AND($H84="PROMOTE",$J84="YES"),"YES — PROMOTE","NO"))</f>
        <v/>
      </c>
    </row>
    <row r="85">
      <c r="A85" s="7" t="n"/>
      <c r="B85" s="7">
        <f>IF($A85="","",VLOOKUP($A85,CoachRoster!$A:$E,4,FALSE))</f>
        <v/>
      </c>
      <c r="C85" s="7" t="n"/>
      <c r="D85" s="7" t="n"/>
      <c r="E85" s="7" t="n"/>
      <c r="F85" s="7" t="n"/>
      <c r="G85" s="7" t="n"/>
      <c r="H85" s="7">
        <f>IF($A85="","",IF(AND($E85="Pass",$F85="Pass",$G85="Pass"),"PROMOTE","NOT YET"))</f>
        <v/>
      </c>
      <c r="I85" s="7" t="n"/>
      <c r="J85" s="27">
        <f>IF(OR($A85="",$C85=""),"",IF(IFERROR(VLOOKUP($A85,Ledger!$A:$E,5,FALSE),0)&gt;=VLOOKUP($C85,RoleTitles!$A:$B,2,FALSE),"YES","NO"))</f>
        <v/>
      </c>
      <c r="K85" s="27">
        <f>IF($A85="","",IF(AND($H85="PROMOTE",$J85="YES"),"YES — PROMOTE","NO"))</f>
        <v/>
      </c>
    </row>
    <row r="86">
      <c r="A86" s="7" t="n"/>
      <c r="B86" s="7">
        <f>IF($A86="","",VLOOKUP($A86,CoachRoster!$A:$E,4,FALSE))</f>
        <v/>
      </c>
      <c r="C86" s="7" t="n"/>
      <c r="D86" s="7" t="n"/>
      <c r="E86" s="7" t="n"/>
      <c r="F86" s="7" t="n"/>
      <c r="G86" s="7" t="n"/>
      <c r="H86" s="7">
        <f>IF($A86="","",IF(AND($E86="Pass",$F86="Pass",$G86="Pass"),"PROMOTE","NOT YET"))</f>
        <v/>
      </c>
      <c r="I86" s="7" t="n"/>
      <c r="J86" s="27">
        <f>IF(OR($A86="",$C86=""),"",IF(IFERROR(VLOOKUP($A86,Ledger!$A:$E,5,FALSE),0)&gt;=VLOOKUP($C86,RoleTitles!$A:$B,2,FALSE),"YES","NO"))</f>
        <v/>
      </c>
      <c r="K86" s="27">
        <f>IF($A86="","",IF(AND($H86="PROMOTE",$J86="YES"),"YES — PROMOTE","NO"))</f>
        <v/>
      </c>
    </row>
    <row r="87">
      <c r="A87" s="7" t="n"/>
      <c r="B87" s="7">
        <f>IF($A87="","",VLOOKUP($A87,CoachRoster!$A:$E,4,FALSE))</f>
        <v/>
      </c>
      <c r="C87" s="7" t="n"/>
      <c r="D87" s="7" t="n"/>
      <c r="E87" s="7" t="n"/>
      <c r="F87" s="7" t="n"/>
      <c r="G87" s="7" t="n"/>
      <c r="H87" s="7">
        <f>IF($A87="","",IF(AND($E87="Pass",$F87="Pass",$G87="Pass"),"PROMOTE","NOT YET"))</f>
        <v/>
      </c>
      <c r="I87" s="7" t="n"/>
      <c r="J87" s="27">
        <f>IF(OR($A87="",$C87=""),"",IF(IFERROR(VLOOKUP($A87,Ledger!$A:$E,5,FALSE),0)&gt;=VLOOKUP($C87,RoleTitles!$A:$B,2,FALSE),"YES","NO"))</f>
        <v/>
      </c>
      <c r="K87" s="27">
        <f>IF($A87="","",IF(AND($H87="PROMOTE",$J87="YES"),"YES — PROMOTE","NO"))</f>
        <v/>
      </c>
    </row>
    <row r="88">
      <c r="A88" s="7" t="n"/>
      <c r="B88" s="7">
        <f>IF($A88="","",VLOOKUP($A88,CoachRoster!$A:$E,4,FALSE))</f>
        <v/>
      </c>
      <c r="C88" s="7" t="n"/>
      <c r="D88" s="7" t="n"/>
      <c r="E88" s="7" t="n"/>
      <c r="F88" s="7" t="n"/>
      <c r="G88" s="7" t="n"/>
      <c r="H88" s="7">
        <f>IF($A88="","",IF(AND($E88="Pass",$F88="Pass",$G88="Pass"),"PROMOTE","NOT YET"))</f>
        <v/>
      </c>
      <c r="I88" s="7" t="n"/>
      <c r="J88" s="27">
        <f>IF(OR($A88="",$C88=""),"",IF(IFERROR(VLOOKUP($A88,Ledger!$A:$E,5,FALSE),0)&gt;=VLOOKUP($C88,RoleTitles!$A:$B,2,FALSE),"YES","NO"))</f>
        <v/>
      </c>
      <c r="K88" s="27">
        <f>IF($A88="","",IF(AND($H88="PROMOTE",$J88="YES"),"YES — PROMOTE","NO"))</f>
        <v/>
      </c>
    </row>
    <row r="89">
      <c r="A89" s="7" t="n"/>
      <c r="B89" s="7">
        <f>IF($A89="","",VLOOKUP($A89,CoachRoster!$A:$E,4,FALSE))</f>
        <v/>
      </c>
      <c r="C89" s="7" t="n"/>
      <c r="D89" s="7" t="n"/>
      <c r="E89" s="7" t="n"/>
      <c r="F89" s="7" t="n"/>
      <c r="G89" s="7" t="n"/>
      <c r="H89" s="7">
        <f>IF($A89="","",IF(AND($E89="Pass",$F89="Pass",$G89="Pass"),"PROMOTE","NOT YET"))</f>
        <v/>
      </c>
      <c r="I89" s="7" t="n"/>
      <c r="J89" s="27">
        <f>IF(OR($A89="",$C89=""),"",IF(IFERROR(VLOOKUP($A89,Ledger!$A:$E,5,FALSE),0)&gt;=VLOOKUP($C89,RoleTitles!$A:$B,2,FALSE),"YES","NO"))</f>
        <v/>
      </c>
      <c r="K89" s="27">
        <f>IF($A89="","",IF(AND($H89="PROMOTE",$J89="YES"),"YES — PROMOTE","NO"))</f>
        <v/>
      </c>
    </row>
    <row r="90">
      <c r="A90" s="7" t="n"/>
      <c r="B90" s="7">
        <f>IF($A90="","",VLOOKUP($A90,CoachRoster!$A:$E,4,FALSE))</f>
        <v/>
      </c>
      <c r="C90" s="7" t="n"/>
      <c r="D90" s="7" t="n"/>
      <c r="E90" s="7" t="n"/>
      <c r="F90" s="7" t="n"/>
      <c r="G90" s="7" t="n"/>
      <c r="H90" s="7">
        <f>IF($A90="","",IF(AND($E90="Pass",$F90="Pass",$G90="Pass"),"PROMOTE","NOT YET"))</f>
        <v/>
      </c>
      <c r="I90" s="7" t="n"/>
      <c r="J90" s="27">
        <f>IF(OR($A90="",$C90=""),"",IF(IFERROR(VLOOKUP($A90,Ledger!$A:$E,5,FALSE),0)&gt;=VLOOKUP($C90,RoleTitles!$A:$B,2,FALSE),"YES","NO"))</f>
        <v/>
      </c>
      <c r="K90" s="27">
        <f>IF($A90="","",IF(AND($H90="PROMOTE",$J90="YES"),"YES — PROMOTE","NO"))</f>
        <v/>
      </c>
    </row>
    <row r="91">
      <c r="A91" s="7" t="n"/>
      <c r="B91" s="7">
        <f>IF($A91="","",VLOOKUP($A91,CoachRoster!$A:$E,4,FALSE))</f>
        <v/>
      </c>
      <c r="C91" s="7" t="n"/>
      <c r="D91" s="7" t="n"/>
      <c r="E91" s="7" t="n"/>
      <c r="F91" s="7" t="n"/>
      <c r="G91" s="7" t="n"/>
      <c r="H91" s="7">
        <f>IF($A91="","",IF(AND($E91="Pass",$F91="Pass",$G91="Pass"),"PROMOTE","NOT YET"))</f>
        <v/>
      </c>
      <c r="I91" s="7" t="n"/>
      <c r="J91" s="27">
        <f>IF(OR($A91="",$C91=""),"",IF(IFERROR(VLOOKUP($A91,Ledger!$A:$E,5,FALSE),0)&gt;=VLOOKUP($C91,RoleTitles!$A:$B,2,FALSE),"YES","NO"))</f>
        <v/>
      </c>
      <c r="K91" s="27">
        <f>IF($A91="","",IF(AND($H91="PROMOTE",$J91="YES"),"YES — PROMOTE","NO"))</f>
        <v/>
      </c>
    </row>
    <row r="92">
      <c r="A92" s="7" t="n"/>
      <c r="B92" s="7">
        <f>IF($A92="","",VLOOKUP($A92,CoachRoster!$A:$E,4,FALSE))</f>
        <v/>
      </c>
      <c r="C92" s="7" t="n"/>
      <c r="D92" s="7" t="n"/>
      <c r="E92" s="7" t="n"/>
      <c r="F92" s="7" t="n"/>
      <c r="G92" s="7" t="n"/>
      <c r="H92" s="7">
        <f>IF($A92="","",IF(AND($E92="Pass",$F92="Pass",$G92="Pass"),"PROMOTE","NOT YET"))</f>
        <v/>
      </c>
      <c r="I92" s="7" t="n"/>
      <c r="J92" s="27">
        <f>IF(OR($A92="",$C92=""),"",IF(IFERROR(VLOOKUP($A92,Ledger!$A:$E,5,FALSE),0)&gt;=VLOOKUP($C92,RoleTitles!$A:$B,2,FALSE),"YES","NO"))</f>
        <v/>
      </c>
      <c r="K92" s="27">
        <f>IF($A92="","",IF(AND($H92="PROMOTE",$J92="YES"),"YES — PROMOTE","NO"))</f>
        <v/>
      </c>
    </row>
    <row r="93">
      <c r="A93" s="7" t="n"/>
      <c r="B93" s="7">
        <f>IF($A93="","",VLOOKUP($A93,CoachRoster!$A:$E,4,FALSE))</f>
        <v/>
      </c>
      <c r="C93" s="7" t="n"/>
      <c r="D93" s="7" t="n"/>
      <c r="E93" s="7" t="n"/>
      <c r="F93" s="7" t="n"/>
      <c r="G93" s="7" t="n"/>
      <c r="H93" s="7">
        <f>IF($A93="","",IF(AND($E93="Pass",$F93="Pass",$G93="Pass"),"PROMOTE","NOT YET"))</f>
        <v/>
      </c>
      <c r="I93" s="7" t="n"/>
      <c r="J93" s="27">
        <f>IF(OR($A93="",$C93=""),"",IF(IFERROR(VLOOKUP($A93,Ledger!$A:$E,5,FALSE),0)&gt;=VLOOKUP($C93,RoleTitles!$A:$B,2,FALSE),"YES","NO"))</f>
        <v/>
      </c>
      <c r="K93" s="27">
        <f>IF($A93="","",IF(AND($H93="PROMOTE",$J93="YES"),"YES — PROMOTE","NO"))</f>
        <v/>
      </c>
    </row>
    <row r="94">
      <c r="A94" s="7" t="n"/>
      <c r="B94" s="7">
        <f>IF($A94="","",VLOOKUP($A94,CoachRoster!$A:$E,4,FALSE))</f>
        <v/>
      </c>
      <c r="C94" s="7" t="n"/>
      <c r="D94" s="7" t="n"/>
      <c r="E94" s="7" t="n"/>
      <c r="F94" s="7" t="n"/>
      <c r="G94" s="7" t="n"/>
      <c r="H94" s="7">
        <f>IF($A94="","",IF(AND($E94="Pass",$F94="Pass",$G94="Pass"),"PROMOTE","NOT YET"))</f>
        <v/>
      </c>
      <c r="I94" s="7" t="n"/>
      <c r="J94" s="27">
        <f>IF(OR($A94="",$C94=""),"",IF(IFERROR(VLOOKUP($A94,Ledger!$A:$E,5,FALSE),0)&gt;=VLOOKUP($C94,RoleTitles!$A:$B,2,FALSE),"YES","NO"))</f>
        <v/>
      </c>
      <c r="K94" s="27">
        <f>IF($A94="","",IF(AND($H94="PROMOTE",$J94="YES"),"YES — PROMOTE","NO"))</f>
        <v/>
      </c>
    </row>
    <row r="95">
      <c r="A95" s="7" t="n"/>
      <c r="B95" s="7">
        <f>IF($A95="","",VLOOKUP($A95,CoachRoster!$A:$E,4,FALSE))</f>
        <v/>
      </c>
      <c r="C95" s="7" t="n"/>
      <c r="D95" s="7" t="n"/>
      <c r="E95" s="7" t="n"/>
      <c r="F95" s="7" t="n"/>
      <c r="G95" s="7" t="n"/>
      <c r="H95" s="7">
        <f>IF($A95="","",IF(AND($E95="Pass",$F95="Pass",$G95="Pass"),"PROMOTE","NOT YET"))</f>
        <v/>
      </c>
      <c r="I95" s="7" t="n"/>
      <c r="J95" s="27">
        <f>IF(OR($A95="",$C95=""),"",IF(IFERROR(VLOOKUP($A95,Ledger!$A:$E,5,FALSE),0)&gt;=VLOOKUP($C95,RoleTitles!$A:$B,2,FALSE),"YES","NO"))</f>
        <v/>
      </c>
      <c r="K95" s="27">
        <f>IF($A95="","",IF(AND($H95="PROMOTE",$J95="YES"),"YES — PROMOTE","NO"))</f>
        <v/>
      </c>
    </row>
    <row r="96">
      <c r="A96" s="7" t="n"/>
      <c r="B96" s="7">
        <f>IF($A96="","",VLOOKUP($A96,CoachRoster!$A:$E,4,FALSE))</f>
        <v/>
      </c>
      <c r="C96" s="7" t="n"/>
      <c r="D96" s="7" t="n"/>
      <c r="E96" s="7" t="n"/>
      <c r="F96" s="7" t="n"/>
      <c r="G96" s="7" t="n"/>
      <c r="H96" s="7">
        <f>IF($A96="","",IF(AND($E96="Pass",$F96="Pass",$G96="Pass"),"PROMOTE","NOT YET"))</f>
        <v/>
      </c>
      <c r="I96" s="7" t="n"/>
      <c r="J96" s="27">
        <f>IF(OR($A96="",$C96=""),"",IF(IFERROR(VLOOKUP($A96,Ledger!$A:$E,5,FALSE),0)&gt;=VLOOKUP($C96,RoleTitles!$A:$B,2,FALSE),"YES","NO"))</f>
        <v/>
      </c>
      <c r="K96" s="27">
        <f>IF($A96="","",IF(AND($H96="PROMOTE",$J96="YES"),"YES — PROMOTE","NO"))</f>
        <v/>
      </c>
    </row>
    <row r="97">
      <c r="A97" s="7" t="n"/>
      <c r="B97" s="7">
        <f>IF($A97="","",VLOOKUP($A97,CoachRoster!$A:$E,4,FALSE))</f>
        <v/>
      </c>
      <c r="C97" s="7" t="n"/>
      <c r="D97" s="7" t="n"/>
      <c r="E97" s="7" t="n"/>
      <c r="F97" s="7" t="n"/>
      <c r="G97" s="7" t="n"/>
      <c r="H97" s="7">
        <f>IF($A97="","",IF(AND($E97="Pass",$F97="Pass",$G97="Pass"),"PROMOTE","NOT YET"))</f>
        <v/>
      </c>
      <c r="I97" s="7" t="n"/>
      <c r="J97" s="27">
        <f>IF(OR($A97="",$C97=""),"",IF(IFERROR(VLOOKUP($A97,Ledger!$A:$E,5,FALSE),0)&gt;=VLOOKUP($C97,RoleTitles!$A:$B,2,FALSE),"YES","NO"))</f>
        <v/>
      </c>
      <c r="K97" s="27">
        <f>IF($A97="","",IF(AND($H97="PROMOTE",$J97="YES"),"YES — PROMOTE","NO"))</f>
        <v/>
      </c>
    </row>
    <row r="98">
      <c r="A98" s="7" t="n"/>
      <c r="B98" s="7">
        <f>IF($A98="","",VLOOKUP($A98,CoachRoster!$A:$E,4,FALSE))</f>
        <v/>
      </c>
      <c r="C98" s="7" t="n"/>
      <c r="D98" s="7" t="n"/>
      <c r="E98" s="7" t="n"/>
      <c r="F98" s="7" t="n"/>
      <c r="G98" s="7" t="n"/>
      <c r="H98" s="7">
        <f>IF($A98="","",IF(AND($E98="Pass",$F98="Pass",$G98="Pass"),"PROMOTE","NOT YET"))</f>
        <v/>
      </c>
      <c r="I98" s="7" t="n"/>
      <c r="J98" s="27">
        <f>IF(OR($A98="",$C98=""),"",IF(IFERROR(VLOOKUP($A98,Ledger!$A:$E,5,FALSE),0)&gt;=VLOOKUP($C98,RoleTitles!$A:$B,2,FALSE),"YES","NO"))</f>
        <v/>
      </c>
      <c r="K98" s="27">
        <f>IF($A98="","",IF(AND($H98="PROMOTE",$J98="YES"),"YES — PROMOTE","NO"))</f>
        <v/>
      </c>
    </row>
    <row r="99">
      <c r="A99" s="7" t="n"/>
      <c r="B99" s="7">
        <f>IF($A99="","",VLOOKUP($A99,CoachRoster!$A:$E,4,FALSE))</f>
        <v/>
      </c>
      <c r="C99" s="7" t="n"/>
      <c r="D99" s="7" t="n"/>
      <c r="E99" s="7" t="n"/>
      <c r="F99" s="7" t="n"/>
      <c r="G99" s="7" t="n"/>
      <c r="H99" s="7">
        <f>IF($A99="","",IF(AND($E99="Pass",$F99="Pass",$G99="Pass"),"PROMOTE","NOT YET"))</f>
        <v/>
      </c>
      <c r="I99" s="7" t="n"/>
      <c r="J99" s="27">
        <f>IF(OR($A99="",$C99=""),"",IF(IFERROR(VLOOKUP($A99,Ledger!$A:$E,5,FALSE),0)&gt;=VLOOKUP($C99,RoleTitles!$A:$B,2,FALSE),"YES","NO"))</f>
        <v/>
      </c>
      <c r="K99" s="27">
        <f>IF($A99="","",IF(AND($H99="PROMOTE",$J99="YES"),"YES — PROMOTE","NO"))</f>
        <v/>
      </c>
    </row>
    <row r="100">
      <c r="A100" s="7" t="n"/>
      <c r="B100" s="7">
        <f>IF($A100="","",VLOOKUP($A100,CoachRoster!$A:$E,4,FALSE))</f>
        <v/>
      </c>
      <c r="C100" s="7" t="n"/>
      <c r="D100" s="7" t="n"/>
      <c r="E100" s="7" t="n"/>
      <c r="F100" s="7" t="n"/>
      <c r="G100" s="7" t="n"/>
      <c r="H100" s="7">
        <f>IF($A100="","",IF(AND($E100="Pass",$F100="Pass",$G100="Pass"),"PROMOTE","NOT YET"))</f>
        <v/>
      </c>
      <c r="I100" s="7" t="n"/>
      <c r="J100" s="27">
        <f>IF(OR($A100="",$C100=""),"",IF(IFERROR(VLOOKUP($A100,Ledger!$A:$E,5,FALSE),0)&gt;=VLOOKUP($C100,RoleTitles!$A:$B,2,FALSE),"YES","NO"))</f>
        <v/>
      </c>
      <c r="K100" s="27">
        <f>IF($A100="","",IF(AND($H100="PROMOTE",$J100="YES"),"YES — PROMOTE","NO"))</f>
        <v/>
      </c>
    </row>
    <row r="101">
      <c r="A101" s="7" t="n"/>
      <c r="B101" s="7">
        <f>IF($A101="","",VLOOKUP($A101,CoachRoster!$A:$E,4,FALSE))</f>
        <v/>
      </c>
      <c r="C101" s="7" t="n"/>
      <c r="D101" s="7" t="n"/>
      <c r="E101" s="7" t="n"/>
      <c r="F101" s="7" t="n"/>
      <c r="G101" s="7" t="n"/>
      <c r="H101" s="7">
        <f>IF($A101="","",IF(AND($E101="Pass",$F101="Pass",$G101="Pass"),"PROMOTE","NOT YET"))</f>
        <v/>
      </c>
      <c r="I101" s="7" t="n"/>
      <c r="J101" s="27">
        <f>IF(OR($A101="",$C101=""),"",IF(IFERROR(VLOOKUP($A101,Ledger!$A:$E,5,FALSE),0)&gt;=VLOOKUP($C101,RoleTitles!$A:$B,2,FALSE),"YES","NO"))</f>
        <v/>
      </c>
      <c r="K101" s="27">
        <f>IF($A101="","",IF(AND($H101="PROMOTE",$J101="YES"),"YES — PROMOTE","NO"))</f>
        <v/>
      </c>
    </row>
    <row r="102">
      <c r="A102" s="7" t="n"/>
      <c r="B102" s="7">
        <f>IF($A102="","",VLOOKUP($A102,CoachRoster!$A:$E,4,FALSE))</f>
        <v/>
      </c>
      <c r="C102" s="7" t="n"/>
      <c r="D102" s="7" t="n"/>
      <c r="E102" s="7" t="n"/>
      <c r="F102" s="7" t="n"/>
      <c r="G102" s="7" t="n"/>
      <c r="H102" s="7">
        <f>IF($A102="","",IF(AND($E102="Pass",$F102="Pass",$G102="Pass"),"PROMOTE","NOT YET"))</f>
        <v/>
      </c>
      <c r="I102" s="7" t="n"/>
      <c r="J102" s="27">
        <f>IF(OR($A102="",$C102=""),"",IF(IFERROR(VLOOKUP($A102,Ledger!$A:$E,5,FALSE),0)&gt;=VLOOKUP($C102,RoleTitles!$A:$B,2,FALSE),"YES","NO"))</f>
        <v/>
      </c>
      <c r="K102" s="27">
        <f>IF($A102="","",IF(AND($H102="PROMOTE",$J102="YES"),"YES — PROMOTE","NO"))</f>
        <v/>
      </c>
    </row>
    <row r="103">
      <c r="A103" s="7" t="n"/>
      <c r="B103" s="7">
        <f>IF($A103="","",VLOOKUP($A103,CoachRoster!$A:$E,4,FALSE))</f>
        <v/>
      </c>
      <c r="C103" s="7" t="n"/>
      <c r="D103" s="7" t="n"/>
      <c r="E103" s="7" t="n"/>
      <c r="F103" s="7" t="n"/>
      <c r="G103" s="7" t="n"/>
      <c r="H103" s="7">
        <f>IF($A103="","",IF(AND($E103="Pass",$F103="Pass",$G103="Pass"),"PROMOTE","NOT YET"))</f>
        <v/>
      </c>
      <c r="I103" s="7" t="n"/>
      <c r="J103" s="27">
        <f>IF(OR($A103="",$C103=""),"",IF(IFERROR(VLOOKUP($A103,Ledger!$A:$E,5,FALSE),0)&gt;=VLOOKUP($C103,RoleTitles!$A:$B,2,FALSE),"YES","NO"))</f>
        <v/>
      </c>
      <c r="K103" s="27">
        <f>IF($A103="","",IF(AND($H103="PROMOTE",$J103="YES"),"YES — PROMOTE","NO"))</f>
        <v/>
      </c>
    </row>
    <row r="104">
      <c r="A104" s="7" t="n"/>
      <c r="B104" s="7">
        <f>IF($A104="","",VLOOKUP($A104,CoachRoster!$A:$E,4,FALSE))</f>
        <v/>
      </c>
      <c r="C104" s="7" t="n"/>
      <c r="D104" s="7" t="n"/>
      <c r="E104" s="7" t="n"/>
      <c r="F104" s="7" t="n"/>
      <c r="G104" s="7" t="n"/>
      <c r="H104" s="7">
        <f>IF($A104="","",IF(AND($E104="Pass",$F104="Pass",$G104="Pass"),"PROMOTE","NOT YET"))</f>
        <v/>
      </c>
      <c r="I104" s="7" t="n"/>
      <c r="J104" s="27">
        <f>IF(OR($A104="",$C104=""),"",IF(IFERROR(VLOOKUP($A104,Ledger!$A:$E,5,FALSE),0)&gt;=VLOOKUP($C104,RoleTitles!$A:$B,2,FALSE),"YES","NO"))</f>
        <v/>
      </c>
      <c r="K104" s="27">
        <f>IF($A104="","",IF(AND($H104="PROMOTE",$J104="YES"),"YES — PROMOTE","NO"))</f>
        <v/>
      </c>
    </row>
    <row r="105">
      <c r="A105" s="7" t="n"/>
      <c r="B105" s="7">
        <f>IF($A105="","",VLOOKUP($A105,CoachRoster!$A:$E,4,FALSE))</f>
        <v/>
      </c>
      <c r="C105" s="7" t="n"/>
      <c r="D105" s="7" t="n"/>
      <c r="E105" s="7" t="n"/>
      <c r="F105" s="7" t="n"/>
      <c r="G105" s="7" t="n"/>
      <c r="H105" s="7">
        <f>IF($A105="","",IF(AND($E105="Pass",$F105="Pass",$G105="Pass"),"PROMOTE","NOT YET"))</f>
        <v/>
      </c>
      <c r="I105" s="7" t="n"/>
      <c r="J105" s="27">
        <f>IF(OR($A105="",$C105=""),"",IF(IFERROR(VLOOKUP($A105,Ledger!$A:$E,5,FALSE),0)&gt;=VLOOKUP($C105,RoleTitles!$A:$B,2,FALSE),"YES","NO"))</f>
        <v/>
      </c>
      <c r="K105" s="27">
        <f>IF($A105="","",IF(AND($H105="PROMOTE",$J105="YES"),"YES — PROMOTE","NO"))</f>
        <v/>
      </c>
    </row>
    <row r="106">
      <c r="A106" s="7" t="n"/>
      <c r="B106" s="7">
        <f>IF($A106="","",VLOOKUP($A106,CoachRoster!$A:$E,4,FALSE))</f>
        <v/>
      </c>
      <c r="C106" s="7" t="n"/>
      <c r="D106" s="7" t="n"/>
      <c r="E106" s="7" t="n"/>
      <c r="F106" s="7" t="n"/>
      <c r="G106" s="7" t="n"/>
      <c r="H106" s="7">
        <f>IF($A106="","",IF(AND($E106="Pass",$F106="Pass",$G106="Pass"),"PROMOTE","NOT YET"))</f>
        <v/>
      </c>
      <c r="I106" s="7" t="n"/>
      <c r="J106" s="27">
        <f>IF(OR($A106="",$C106=""),"",IF(IFERROR(VLOOKUP($A106,Ledger!$A:$E,5,FALSE),0)&gt;=VLOOKUP($C106,RoleTitles!$A:$B,2,FALSE),"YES","NO"))</f>
        <v/>
      </c>
      <c r="K106" s="27">
        <f>IF($A106="","",IF(AND($H106="PROMOTE",$J106="YES"),"YES — PROMOTE","NO"))</f>
        <v/>
      </c>
    </row>
    <row r="107">
      <c r="A107" s="7" t="n"/>
      <c r="B107" s="7">
        <f>IF($A107="","",VLOOKUP($A107,CoachRoster!$A:$E,4,FALSE))</f>
        <v/>
      </c>
      <c r="C107" s="7" t="n"/>
      <c r="D107" s="7" t="n"/>
      <c r="E107" s="7" t="n"/>
      <c r="F107" s="7" t="n"/>
      <c r="G107" s="7" t="n"/>
      <c r="H107" s="7">
        <f>IF($A107="","",IF(AND($E107="Pass",$F107="Pass",$G107="Pass"),"PROMOTE","NOT YET"))</f>
        <v/>
      </c>
      <c r="I107" s="7" t="n"/>
      <c r="J107" s="27">
        <f>IF(OR($A107="",$C107=""),"",IF(IFERROR(VLOOKUP($A107,Ledger!$A:$E,5,FALSE),0)&gt;=VLOOKUP($C107,RoleTitles!$A:$B,2,FALSE),"YES","NO"))</f>
        <v/>
      </c>
      <c r="K107" s="27">
        <f>IF($A107="","",IF(AND($H107="PROMOTE",$J107="YES"),"YES — PROMOTE","NO"))</f>
        <v/>
      </c>
    </row>
    <row r="108">
      <c r="A108" s="7" t="n"/>
      <c r="B108" s="7">
        <f>IF($A108="","",VLOOKUP($A108,CoachRoster!$A:$E,4,FALSE))</f>
        <v/>
      </c>
      <c r="C108" s="7" t="n"/>
      <c r="D108" s="7" t="n"/>
      <c r="E108" s="7" t="n"/>
      <c r="F108" s="7" t="n"/>
      <c r="G108" s="7" t="n"/>
      <c r="H108" s="7">
        <f>IF($A108="","",IF(AND($E108="Pass",$F108="Pass",$G108="Pass"),"PROMOTE","NOT YET"))</f>
        <v/>
      </c>
      <c r="I108" s="7" t="n"/>
      <c r="J108" s="27">
        <f>IF(OR($A108="",$C108=""),"",IF(IFERROR(VLOOKUP($A108,Ledger!$A:$E,5,FALSE),0)&gt;=VLOOKUP($C108,RoleTitles!$A:$B,2,FALSE),"YES","NO"))</f>
        <v/>
      </c>
      <c r="K108" s="27">
        <f>IF($A108="","",IF(AND($H108="PROMOTE",$J108="YES"),"YES — PROMOTE","NO"))</f>
        <v/>
      </c>
    </row>
    <row r="109">
      <c r="A109" s="7" t="n"/>
      <c r="B109" s="7">
        <f>IF($A109="","",VLOOKUP($A109,CoachRoster!$A:$E,4,FALSE))</f>
        <v/>
      </c>
      <c r="C109" s="7" t="n"/>
      <c r="D109" s="7" t="n"/>
      <c r="E109" s="7" t="n"/>
      <c r="F109" s="7" t="n"/>
      <c r="G109" s="7" t="n"/>
      <c r="H109" s="7">
        <f>IF($A109="","",IF(AND($E109="Pass",$F109="Pass",$G109="Pass"),"PROMOTE","NOT YET"))</f>
        <v/>
      </c>
      <c r="I109" s="7" t="n"/>
      <c r="J109" s="27">
        <f>IF(OR($A109="",$C109=""),"",IF(IFERROR(VLOOKUP($A109,Ledger!$A:$E,5,FALSE),0)&gt;=VLOOKUP($C109,RoleTitles!$A:$B,2,FALSE),"YES","NO"))</f>
        <v/>
      </c>
      <c r="K109" s="27">
        <f>IF($A109="","",IF(AND($H109="PROMOTE",$J109="YES"),"YES — PROMOTE","NO"))</f>
        <v/>
      </c>
    </row>
    <row r="110">
      <c r="A110" s="7" t="n"/>
      <c r="B110" s="7">
        <f>IF($A110="","",VLOOKUP($A110,CoachRoster!$A:$E,4,FALSE))</f>
        <v/>
      </c>
      <c r="C110" s="7" t="n"/>
      <c r="D110" s="7" t="n"/>
      <c r="E110" s="7" t="n"/>
      <c r="F110" s="7" t="n"/>
      <c r="G110" s="7" t="n"/>
      <c r="H110" s="7">
        <f>IF($A110="","",IF(AND($E110="Pass",$F110="Pass",$G110="Pass"),"PROMOTE","NOT YET"))</f>
        <v/>
      </c>
      <c r="I110" s="7" t="n"/>
      <c r="J110" s="27">
        <f>IF(OR($A110="",$C110=""),"",IF(IFERROR(VLOOKUP($A110,Ledger!$A:$E,5,FALSE),0)&gt;=VLOOKUP($C110,RoleTitles!$A:$B,2,FALSE),"YES","NO"))</f>
        <v/>
      </c>
      <c r="K110" s="27">
        <f>IF($A110="","",IF(AND($H110="PROMOTE",$J110="YES"),"YES — PROMOTE","NO"))</f>
        <v/>
      </c>
    </row>
    <row r="111">
      <c r="A111" s="7" t="n"/>
      <c r="B111" s="7">
        <f>IF($A111="","",VLOOKUP($A111,CoachRoster!$A:$E,4,FALSE))</f>
        <v/>
      </c>
      <c r="C111" s="7" t="n"/>
      <c r="D111" s="7" t="n"/>
      <c r="E111" s="7" t="n"/>
      <c r="F111" s="7" t="n"/>
      <c r="G111" s="7" t="n"/>
      <c r="H111" s="7">
        <f>IF($A111="","",IF(AND($E111="Pass",$F111="Pass",$G111="Pass"),"PROMOTE","NOT YET"))</f>
        <v/>
      </c>
      <c r="I111" s="7" t="n"/>
      <c r="J111" s="27">
        <f>IF(OR($A111="",$C111=""),"",IF(IFERROR(VLOOKUP($A111,Ledger!$A:$E,5,FALSE),0)&gt;=VLOOKUP($C111,RoleTitles!$A:$B,2,FALSE),"YES","NO"))</f>
        <v/>
      </c>
      <c r="K111" s="27">
        <f>IF($A111="","",IF(AND($H111="PROMOTE",$J111="YES"),"YES — PROMOTE","NO"))</f>
        <v/>
      </c>
    </row>
    <row r="112">
      <c r="A112" s="7" t="n"/>
      <c r="B112" s="7">
        <f>IF($A112="","",VLOOKUP($A112,CoachRoster!$A:$E,4,FALSE))</f>
        <v/>
      </c>
      <c r="C112" s="7" t="n"/>
      <c r="D112" s="7" t="n"/>
      <c r="E112" s="7" t="n"/>
      <c r="F112" s="7" t="n"/>
      <c r="G112" s="7" t="n"/>
      <c r="H112" s="7">
        <f>IF($A112="","",IF(AND($E112="Pass",$F112="Pass",$G112="Pass"),"PROMOTE","NOT YET"))</f>
        <v/>
      </c>
      <c r="I112" s="7" t="n"/>
      <c r="J112" s="27">
        <f>IF(OR($A112="",$C112=""),"",IF(IFERROR(VLOOKUP($A112,Ledger!$A:$E,5,FALSE),0)&gt;=VLOOKUP($C112,RoleTitles!$A:$B,2,FALSE),"YES","NO"))</f>
        <v/>
      </c>
      <c r="K112" s="27">
        <f>IF($A112="","",IF(AND($H112="PROMOTE",$J112="YES"),"YES — PROMOTE","NO"))</f>
        <v/>
      </c>
    </row>
    <row r="113">
      <c r="A113" s="7" t="n"/>
      <c r="B113" s="7">
        <f>IF($A113="","",VLOOKUP($A113,CoachRoster!$A:$E,4,FALSE))</f>
        <v/>
      </c>
      <c r="C113" s="7" t="n"/>
      <c r="D113" s="7" t="n"/>
      <c r="E113" s="7" t="n"/>
      <c r="F113" s="7" t="n"/>
      <c r="G113" s="7" t="n"/>
      <c r="H113" s="7">
        <f>IF($A113="","",IF(AND($E113="Pass",$F113="Pass",$G113="Pass"),"PROMOTE","NOT YET"))</f>
        <v/>
      </c>
      <c r="I113" s="7" t="n"/>
      <c r="J113" s="27">
        <f>IF(OR($A113="",$C113=""),"",IF(IFERROR(VLOOKUP($A113,Ledger!$A:$E,5,FALSE),0)&gt;=VLOOKUP($C113,RoleTitles!$A:$B,2,FALSE),"YES","NO"))</f>
        <v/>
      </c>
      <c r="K113" s="27">
        <f>IF($A113="","",IF(AND($H113="PROMOTE",$J113="YES"),"YES — PROMOTE","NO"))</f>
        <v/>
      </c>
    </row>
    <row r="114">
      <c r="A114" s="7" t="n"/>
      <c r="B114" s="7">
        <f>IF($A114="","",VLOOKUP($A114,CoachRoster!$A:$E,4,FALSE))</f>
        <v/>
      </c>
      <c r="C114" s="7" t="n"/>
      <c r="D114" s="7" t="n"/>
      <c r="E114" s="7" t="n"/>
      <c r="F114" s="7" t="n"/>
      <c r="G114" s="7" t="n"/>
      <c r="H114" s="7">
        <f>IF($A114="","",IF(AND($E114="Pass",$F114="Pass",$G114="Pass"),"PROMOTE","NOT YET"))</f>
        <v/>
      </c>
      <c r="I114" s="7" t="n"/>
      <c r="J114" s="27">
        <f>IF(OR($A114="",$C114=""),"",IF(IFERROR(VLOOKUP($A114,Ledger!$A:$E,5,FALSE),0)&gt;=VLOOKUP($C114,RoleTitles!$A:$B,2,FALSE),"YES","NO"))</f>
        <v/>
      </c>
      <c r="K114" s="27">
        <f>IF($A114="","",IF(AND($H114="PROMOTE",$J114="YES"),"YES — PROMOTE","NO"))</f>
        <v/>
      </c>
    </row>
    <row r="115">
      <c r="A115" s="7" t="n"/>
      <c r="B115" s="7">
        <f>IF($A115="","",VLOOKUP($A115,CoachRoster!$A:$E,4,FALSE))</f>
        <v/>
      </c>
      <c r="C115" s="7" t="n"/>
      <c r="D115" s="7" t="n"/>
      <c r="E115" s="7" t="n"/>
      <c r="F115" s="7" t="n"/>
      <c r="G115" s="7" t="n"/>
      <c r="H115" s="7">
        <f>IF($A115="","",IF(AND($E115="Pass",$F115="Pass",$G115="Pass"),"PROMOTE","NOT YET"))</f>
        <v/>
      </c>
      <c r="I115" s="7" t="n"/>
      <c r="J115" s="27">
        <f>IF(OR($A115="",$C115=""),"",IF(IFERROR(VLOOKUP($A115,Ledger!$A:$E,5,FALSE),0)&gt;=VLOOKUP($C115,RoleTitles!$A:$B,2,FALSE),"YES","NO"))</f>
        <v/>
      </c>
      <c r="K115" s="27">
        <f>IF($A115="","",IF(AND($H115="PROMOTE",$J115="YES"),"YES — PROMOTE","NO"))</f>
        <v/>
      </c>
    </row>
    <row r="116">
      <c r="A116" s="7" t="n"/>
      <c r="B116" s="7">
        <f>IF($A116="","",VLOOKUP($A116,CoachRoster!$A:$E,4,FALSE))</f>
        <v/>
      </c>
      <c r="C116" s="7" t="n"/>
      <c r="D116" s="7" t="n"/>
      <c r="E116" s="7" t="n"/>
      <c r="F116" s="7" t="n"/>
      <c r="G116" s="7" t="n"/>
      <c r="H116" s="7">
        <f>IF($A116="","",IF(AND($E116="Pass",$F116="Pass",$G116="Pass"),"PROMOTE","NOT YET"))</f>
        <v/>
      </c>
      <c r="I116" s="7" t="n"/>
      <c r="J116" s="27">
        <f>IF(OR($A116="",$C116=""),"",IF(IFERROR(VLOOKUP($A116,Ledger!$A:$E,5,FALSE),0)&gt;=VLOOKUP($C116,RoleTitles!$A:$B,2,FALSE),"YES","NO"))</f>
        <v/>
      </c>
      <c r="K116" s="27">
        <f>IF($A116="","",IF(AND($H116="PROMOTE",$J116="YES"),"YES — PROMOTE","NO"))</f>
        <v/>
      </c>
    </row>
    <row r="117">
      <c r="A117" s="7" t="n"/>
      <c r="B117" s="7">
        <f>IF($A117="","",VLOOKUP($A117,CoachRoster!$A:$E,4,FALSE))</f>
        <v/>
      </c>
      <c r="C117" s="7" t="n"/>
      <c r="D117" s="7" t="n"/>
      <c r="E117" s="7" t="n"/>
      <c r="F117" s="7" t="n"/>
      <c r="G117" s="7" t="n"/>
      <c r="H117" s="7">
        <f>IF($A117="","",IF(AND($E117="Pass",$F117="Pass",$G117="Pass"),"PROMOTE","NOT YET"))</f>
        <v/>
      </c>
      <c r="I117" s="7" t="n"/>
      <c r="J117" s="27">
        <f>IF(OR($A117="",$C117=""),"",IF(IFERROR(VLOOKUP($A117,Ledger!$A:$E,5,FALSE),0)&gt;=VLOOKUP($C117,RoleTitles!$A:$B,2,FALSE),"YES","NO"))</f>
        <v/>
      </c>
      <c r="K117" s="27">
        <f>IF($A117="","",IF(AND($H117="PROMOTE",$J117="YES"),"YES — PROMOTE","NO"))</f>
        <v/>
      </c>
    </row>
    <row r="118">
      <c r="A118" s="7" t="n"/>
      <c r="B118" s="7">
        <f>IF($A118="","",VLOOKUP($A118,CoachRoster!$A:$E,4,FALSE))</f>
        <v/>
      </c>
      <c r="C118" s="7" t="n"/>
      <c r="D118" s="7" t="n"/>
      <c r="E118" s="7" t="n"/>
      <c r="F118" s="7" t="n"/>
      <c r="G118" s="7" t="n"/>
      <c r="H118" s="7">
        <f>IF($A118="","",IF(AND($E118="Pass",$F118="Pass",$G118="Pass"),"PROMOTE","NOT YET"))</f>
        <v/>
      </c>
      <c r="I118" s="7" t="n"/>
      <c r="J118" s="27">
        <f>IF(OR($A118="",$C118=""),"",IF(IFERROR(VLOOKUP($A118,Ledger!$A:$E,5,FALSE),0)&gt;=VLOOKUP($C118,RoleTitles!$A:$B,2,FALSE),"YES","NO"))</f>
        <v/>
      </c>
      <c r="K118" s="27">
        <f>IF($A118="","",IF(AND($H118="PROMOTE",$J118="YES"),"YES — PROMOTE","NO"))</f>
        <v/>
      </c>
    </row>
    <row r="119">
      <c r="A119" s="7" t="n"/>
      <c r="B119" s="7">
        <f>IF($A119="","",VLOOKUP($A119,CoachRoster!$A:$E,4,FALSE))</f>
        <v/>
      </c>
      <c r="C119" s="7" t="n"/>
      <c r="D119" s="7" t="n"/>
      <c r="E119" s="7" t="n"/>
      <c r="F119" s="7" t="n"/>
      <c r="G119" s="7" t="n"/>
      <c r="H119" s="7">
        <f>IF($A119="","",IF(AND($E119="Pass",$F119="Pass",$G119="Pass"),"PROMOTE","NOT YET"))</f>
        <v/>
      </c>
      <c r="I119" s="7" t="n"/>
      <c r="J119" s="27">
        <f>IF(OR($A119="",$C119=""),"",IF(IFERROR(VLOOKUP($A119,Ledger!$A:$E,5,FALSE),0)&gt;=VLOOKUP($C119,RoleTitles!$A:$B,2,FALSE),"YES","NO"))</f>
        <v/>
      </c>
      <c r="K119" s="27">
        <f>IF($A119="","",IF(AND($H119="PROMOTE",$J119="YES"),"YES — PROMOTE","NO"))</f>
        <v/>
      </c>
    </row>
    <row r="120">
      <c r="A120" s="7" t="n"/>
      <c r="B120" s="7">
        <f>IF($A120="","",VLOOKUP($A120,CoachRoster!$A:$E,4,FALSE))</f>
        <v/>
      </c>
      <c r="C120" s="7" t="n"/>
      <c r="D120" s="7" t="n"/>
      <c r="E120" s="7" t="n"/>
      <c r="F120" s="7" t="n"/>
      <c r="G120" s="7" t="n"/>
      <c r="H120" s="7">
        <f>IF($A120="","",IF(AND($E120="Pass",$F120="Pass",$G120="Pass"),"PROMOTE","NOT YET"))</f>
        <v/>
      </c>
      <c r="I120" s="7" t="n"/>
      <c r="J120" s="27">
        <f>IF(OR($A120="",$C120=""),"",IF(IFERROR(VLOOKUP($A120,Ledger!$A:$E,5,FALSE),0)&gt;=VLOOKUP($C120,RoleTitles!$A:$B,2,FALSE),"YES","NO"))</f>
        <v/>
      </c>
      <c r="K120" s="27">
        <f>IF($A120="","",IF(AND($H120="PROMOTE",$J120="YES"),"YES — PROMOTE","NO"))</f>
        <v/>
      </c>
    </row>
    <row r="121">
      <c r="A121" s="7" t="n"/>
      <c r="B121" s="7">
        <f>IF($A121="","",VLOOKUP($A121,CoachRoster!$A:$E,4,FALSE))</f>
        <v/>
      </c>
      <c r="C121" s="7" t="n"/>
      <c r="D121" s="7" t="n"/>
      <c r="E121" s="7" t="n"/>
      <c r="F121" s="7" t="n"/>
      <c r="G121" s="7" t="n"/>
      <c r="H121" s="7">
        <f>IF($A121="","",IF(AND($E121="Pass",$F121="Pass",$G121="Pass"),"PROMOTE","NOT YET"))</f>
        <v/>
      </c>
      <c r="I121" s="7" t="n"/>
      <c r="J121" s="27">
        <f>IF(OR($A121="",$C121=""),"",IF(IFERROR(VLOOKUP($A121,Ledger!$A:$E,5,FALSE),0)&gt;=VLOOKUP($C121,RoleTitles!$A:$B,2,FALSE),"YES","NO"))</f>
        <v/>
      </c>
      <c r="K121" s="27">
        <f>IF($A121="","",IF(AND($H121="PROMOTE",$J121="YES"),"YES — PROMOTE","NO"))</f>
        <v/>
      </c>
    </row>
    <row r="122">
      <c r="A122" s="7" t="n"/>
      <c r="B122" s="7">
        <f>IF($A122="","",VLOOKUP($A122,CoachRoster!$A:$E,4,FALSE))</f>
        <v/>
      </c>
      <c r="C122" s="7" t="n"/>
      <c r="D122" s="7" t="n"/>
      <c r="E122" s="7" t="n"/>
      <c r="F122" s="7" t="n"/>
      <c r="G122" s="7" t="n"/>
      <c r="H122" s="7">
        <f>IF($A122="","",IF(AND($E122="Pass",$F122="Pass",$G122="Pass"),"PROMOTE","NOT YET"))</f>
        <v/>
      </c>
      <c r="I122" s="7" t="n"/>
      <c r="J122" s="27">
        <f>IF(OR($A122="",$C122=""),"",IF(IFERROR(VLOOKUP($A122,Ledger!$A:$E,5,FALSE),0)&gt;=VLOOKUP($C122,RoleTitles!$A:$B,2,FALSE),"YES","NO"))</f>
        <v/>
      </c>
      <c r="K122" s="27">
        <f>IF($A122="","",IF(AND($H122="PROMOTE",$J122="YES"),"YES — PROMOTE","NO"))</f>
        <v/>
      </c>
    </row>
    <row r="123">
      <c r="A123" s="7" t="n"/>
      <c r="B123" s="7">
        <f>IF($A123="","",VLOOKUP($A123,CoachRoster!$A:$E,4,FALSE))</f>
        <v/>
      </c>
      <c r="C123" s="7" t="n"/>
      <c r="D123" s="7" t="n"/>
      <c r="E123" s="7" t="n"/>
      <c r="F123" s="7" t="n"/>
      <c r="G123" s="7" t="n"/>
      <c r="H123" s="7">
        <f>IF($A123="","",IF(AND($E123="Pass",$F123="Pass",$G123="Pass"),"PROMOTE","NOT YET"))</f>
        <v/>
      </c>
      <c r="I123" s="7" t="n"/>
      <c r="J123" s="27">
        <f>IF(OR($A123="",$C123=""),"",IF(IFERROR(VLOOKUP($A123,Ledger!$A:$E,5,FALSE),0)&gt;=VLOOKUP($C123,RoleTitles!$A:$B,2,FALSE),"YES","NO"))</f>
        <v/>
      </c>
      <c r="K123" s="27">
        <f>IF($A123="","",IF(AND($H123="PROMOTE",$J123="YES"),"YES — PROMOTE","NO"))</f>
        <v/>
      </c>
    </row>
    <row r="124">
      <c r="A124" s="7" t="n"/>
      <c r="B124" s="7">
        <f>IF($A124="","",VLOOKUP($A124,CoachRoster!$A:$E,4,FALSE))</f>
        <v/>
      </c>
      <c r="C124" s="7" t="n"/>
      <c r="D124" s="7" t="n"/>
      <c r="E124" s="7" t="n"/>
      <c r="F124" s="7" t="n"/>
      <c r="G124" s="7" t="n"/>
      <c r="H124" s="7">
        <f>IF($A124="","",IF(AND($E124="Pass",$F124="Pass",$G124="Pass"),"PROMOTE","NOT YET"))</f>
        <v/>
      </c>
      <c r="I124" s="7" t="n"/>
      <c r="J124" s="27">
        <f>IF(OR($A124="",$C124=""),"",IF(IFERROR(VLOOKUP($A124,Ledger!$A:$E,5,FALSE),0)&gt;=VLOOKUP($C124,RoleTitles!$A:$B,2,FALSE),"YES","NO"))</f>
        <v/>
      </c>
      <c r="K124" s="27">
        <f>IF($A124="","",IF(AND($H124="PROMOTE",$J124="YES"),"YES — PROMOTE","NO"))</f>
        <v/>
      </c>
    </row>
    <row r="125">
      <c r="A125" s="7" t="n"/>
      <c r="B125" s="7">
        <f>IF($A125="","",VLOOKUP($A125,CoachRoster!$A:$E,4,FALSE))</f>
        <v/>
      </c>
      <c r="C125" s="7" t="n"/>
      <c r="D125" s="7" t="n"/>
      <c r="E125" s="7" t="n"/>
      <c r="F125" s="7" t="n"/>
      <c r="G125" s="7" t="n"/>
      <c r="H125" s="7">
        <f>IF($A125="","",IF(AND($E125="Pass",$F125="Pass",$G125="Pass"),"PROMOTE","NOT YET"))</f>
        <v/>
      </c>
      <c r="I125" s="7" t="n"/>
      <c r="J125" s="27">
        <f>IF(OR($A125="",$C125=""),"",IF(IFERROR(VLOOKUP($A125,Ledger!$A:$E,5,FALSE),0)&gt;=VLOOKUP($C125,RoleTitles!$A:$B,2,FALSE),"YES","NO"))</f>
        <v/>
      </c>
      <c r="K125" s="27">
        <f>IF($A125="","",IF(AND($H125="PROMOTE",$J125="YES"),"YES — PROMOTE","NO"))</f>
        <v/>
      </c>
    </row>
    <row r="126">
      <c r="A126" s="7" t="n"/>
      <c r="B126" s="7">
        <f>IF($A126="","",VLOOKUP($A126,CoachRoster!$A:$E,4,FALSE))</f>
        <v/>
      </c>
      <c r="C126" s="7" t="n"/>
      <c r="D126" s="7" t="n"/>
      <c r="E126" s="7" t="n"/>
      <c r="F126" s="7" t="n"/>
      <c r="G126" s="7" t="n"/>
      <c r="H126" s="7">
        <f>IF($A126="","",IF(AND($E126="Pass",$F126="Pass",$G126="Pass"),"PROMOTE","NOT YET"))</f>
        <v/>
      </c>
      <c r="I126" s="7" t="n"/>
      <c r="J126" s="27">
        <f>IF(OR($A126="",$C126=""),"",IF(IFERROR(VLOOKUP($A126,Ledger!$A:$E,5,FALSE),0)&gt;=VLOOKUP($C126,RoleTitles!$A:$B,2,FALSE),"YES","NO"))</f>
        <v/>
      </c>
      <c r="K126" s="27">
        <f>IF($A126="","",IF(AND($H126="PROMOTE",$J126="YES"),"YES — PROMOTE","NO"))</f>
        <v/>
      </c>
    </row>
    <row r="127">
      <c r="A127" s="7" t="n"/>
      <c r="B127" s="7">
        <f>IF($A127="","",VLOOKUP($A127,CoachRoster!$A:$E,4,FALSE))</f>
        <v/>
      </c>
      <c r="C127" s="7" t="n"/>
      <c r="D127" s="7" t="n"/>
      <c r="E127" s="7" t="n"/>
      <c r="F127" s="7" t="n"/>
      <c r="G127" s="7" t="n"/>
      <c r="H127" s="7">
        <f>IF($A127="","",IF(AND($E127="Pass",$F127="Pass",$G127="Pass"),"PROMOTE","NOT YET"))</f>
        <v/>
      </c>
      <c r="I127" s="7" t="n"/>
      <c r="J127" s="27">
        <f>IF(OR($A127="",$C127=""),"",IF(IFERROR(VLOOKUP($A127,Ledger!$A:$E,5,FALSE),0)&gt;=VLOOKUP($C127,RoleTitles!$A:$B,2,FALSE),"YES","NO"))</f>
        <v/>
      </c>
      <c r="K127" s="27">
        <f>IF($A127="","",IF(AND($H127="PROMOTE",$J127="YES"),"YES — PROMOTE","NO"))</f>
        <v/>
      </c>
    </row>
    <row r="128">
      <c r="A128" s="7" t="n"/>
      <c r="B128" s="7">
        <f>IF($A128="","",VLOOKUP($A128,CoachRoster!$A:$E,4,FALSE))</f>
        <v/>
      </c>
      <c r="C128" s="7" t="n"/>
      <c r="D128" s="7" t="n"/>
      <c r="E128" s="7" t="n"/>
      <c r="F128" s="7" t="n"/>
      <c r="G128" s="7" t="n"/>
      <c r="H128" s="7">
        <f>IF($A128="","",IF(AND($E128="Pass",$F128="Pass",$G128="Pass"),"PROMOTE","NOT YET"))</f>
        <v/>
      </c>
      <c r="I128" s="7" t="n"/>
      <c r="J128" s="27">
        <f>IF(OR($A128="",$C128=""),"",IF(IFERROR(VLOOKUP($A128,Ledger!$A:$E,5,FALSE),0)&gt;=VLOOKUP($C128,RoleTitles!$A:$B,2,FALSE),"YES","NO"))</f>
        <v/>
      </c>
      <c r="K128" s="27">
        <f>IF($A128="","",IF(AND($H128="PROMOTE",$J128="YES"),"YES — PROMOTE","NO"))</f>
        <v/>
      </c>
    </row>
    <row r="129">
      <c r="A129" s="7" t="n"/>
      <c r="B129" s="7">
        <f>IF($A129="","",VLOOKUP($A129,CoachRoster!$A:$E,4,FALSE))</f>
        <v/>
      </c>
      <c r="C129" s="7" t="n"/>
      <c r="D129" s="7" t="n"/>
      <c r="E129" s="7" t="n"/>
      <c r="F129" s="7" t="n"/>
      <c r="G129" s="7" t="n"/>
      <c r="H129" s="7">
        <f>IF($A129="","",IF(AND($E129="Pass",$F129="Pass",$G129="Pass"),"PROMOTE","NOT YET"))</f>
        <v/>
      </c>
      <c r="I129" s="7" t="n"/>
      <c r="J129" s="27">
        <f>IF(OR($A129="",$C129=""),"",IF(IFERROR(VLOOKUP($A129,Ledger!$A:$E,5,FALSE),0)&gt;=VLOOKUP($C129,RoleTitles!$A:$B,2,FALSE),"YES","NO"))</f>
        <v/>
      </c>
      <c r="K129" s="27">
        <f>IF($A129="","",IF(AND($H129="PROMOTE",$J129="YES"),"YES — PROMOTE","NO"))</f>
        <v/>
      </c>
    </row>
    <row r="130">
      <c r="A130" s="7" t="n"/>
      <c r="B130" s="7">
        <f>IF($A130="","",VLOOKUP($A130,CoachRoster!$A:$E,4,FALSE))</f>
        <v/>
      </c>
      <c r="C130" s="7" t="n"/>
      <c r="D130" s="7" t="n"/>
      <c r="E130" s="7" t="n"/>
      <c r="F130" s="7" t="n"/>
      <c r="G130" s="7" t="n"/>
      <c r="H130" s="7">
        <f>IF($A130="","",IF(AND($E130="Pass",$F130="Pass",$G130="Pass"),"PROMOTE","NOT YET"))</f>
        <v/>
      </c>
      <c r="I130" s="7" t="n"/>
      <c r="J130" s="27">
        <f>IF(OR($A130="",$C130=""),"",IF(IFERROR(VLOOKUP($A130,Ledger!$A:$E,5,FALSE),0)&gt;=VLOOKUP($C130,RoleTitles!$A:$B,2,FALSE),"YES","NO"))</f>
        <v/>
      </c>
      <c r="K130" s="27">
        <f>IF($A130="","",IF(AND($H130="PROMOTE",$J130="YES"),"YES — PROMOTE","NO"))</f>
        <v/>
      </c>
    </row>
    <row r="131">
      <c r="A131" s="7" t="n"/>
      <c r="B131" s="7">
        <f>IF($A131="","",VLOOKUP($A131,CoachRoster!$A:$E,4,FALSE))</f>
        <v/>
      </c>
      <c r="C131" s="7" t="n"/>
      <c r="D131" s="7" t="n"/>
      <c r="E131" s="7" t="n"/>
      <c r="F131" s="7" t="n"/>
      <c r="G131" s="7" t="n"/>
      <c r="H131" s="7">
        <f>IF($A131="","",IF(AND($E131="Pass",$F131="Pass",$G131="Pass"),"PROMOTE","NOT YET"))</f>
        <v/>
      </c>
      <c r="I131" s="7" t="n"/>
      <c r="J131" s="27">
        <f>IF(OR($A131="",$C131=""),"",IF(IFERROR(VLOOKUP($A131,Ledger!$A:$E,5,FALSE),0)&gt;=VLOOKUP($C131,RoleTitles!$A:$B,2,FALSE),"YES","NO"))</f>
        <v/>
      </c>
      <c r="K131" s="27">
        <f>IF($A131="","",IF(AND($H131="PROMOTE",$J131="YES"),"YES — PROMOTE","NO"))</f>
        <v/>
      </c>
    </row>
    <row r="132">
      <c r="A132" s="7" t="n"/>
      <c r="B132" s="7">
        <f>IF($A132="","",VLOOKUP($A132,CoachRoster!$A:$E,4,FALSE))</f>
        <v/>
      </c>
      <c r="C132" s="7" t="n"/>
      <c r="D132" s="7" t="n"/>
      <c r="E132" s="7" t="n"/>
      <c r="F132" s="7" t="n"/>
      <c r="G132" s="7" t="n"/>
      <c r="H132" s="7">
        <f>IF($A132="","",IF(AND($E132="Pass",$F132="Pass",$G132="Pass"),"PROMOTE","NOT YET"))</f>
        <v/>
      </c>
      <c r="I132" s="7" t="n"/>
      <c r="J132" s="27">
        <f>IF(OR($A132="",$C132=""),"",IF(IFERROR(VLOOKUP($A132,Ledger!$A:$E,5,FALSE),0)&gt;=VLOOKUP($C132,RoleTitles!$A:$B,2,FALSE),"YES","NO"))</f>
        <v/>
      </c>
      <c r="K132" s="27">
        <f>IF($A132="","",IF(AND($H132="PROMOTE",$J132="YES"),"YES — PROMOTE","NO"))</f>
        <v/>
      </c>
    </row>
    <row r="133">
      <c r="A133" s="7" t="n"/>
      <c r="B133" s="7">
        <f>IF($A133="","",VLOOKUP($A133,CoachRoster!$A:$E,4,FALSE))</f>
        <v/>
      </c>
      <c r="C133" s="7" t="n"/>
      <c r="D133" s="7" t="n"/>
      <c r="E133" s="7" t="n"/>
      <c r="F133" s="7" t="n"/>
      <c r="G133" s="7" t="n"/>
      <c r="H133" s="7">
        <f>IF($A133="","",IF(AND($E133="Pass",$F133="Pass",$G133="Pass"),"PROMOTE","NOT YET"))</f>
        <v/>
      </c>
      <c r="I133" s="7" t="n"/>
      <c r="J133" s="27">
        <f>IF(OR($A133="",$C133=""),"",IF(IFERROR(VLOOKUP($A133,Ledger!$A:$E,5,FALSE),0)&gt;=VLOOKUP($C133,RoleTitles!$A:$B,2,FALSE),"YES","NO"))</f>
        <v/>
      </c>
      <c r="K133" s="27">
        <f>IF($A133="","",IF(AND($H133="PROMOTE",$J133="YES"),"YES — PROMOTE","NO"))</f>
        <v/>
      </c>
    </row>
    <row r="134">
      <c r="A134" s="7" t="n"/>
      <c r="B134" s="7">
        <f>IF($A134="","",VLOOKUP($A134,CoachRoster!$A:$E,4,FALSE))</f>
        <v/>
      </c>
      <c r="C134" s="7" t="n"/>
      <c r="D134" s="7" t="n"/>
      <c r="E134" s="7" t="n"/>
      <c r="F134" s="7" t="n"/>
      <c r="G134" s="7" t="n"/>
      <c r="H134" s="7">
        <f>IF($A134="","",IF(AND($E134="Pass",$F134="Pass",$G134="Pass"),"PROMOTE","NOT YET"))</f>
        <v/>
      </c>
      <c r="I134" s="7" t="n"/>
      <c r="J134" s="27">
        <f>IF(OR($A134="",$C134=""),"",IF(IFERROR(VLOOKUP($A134,Ledger!$A:$E,5,FALSE),0)&gt;=VLOOKUP($C134,RoleTitles!$A:$B,2,FALSE),"YES","NO"))</f>
        <v/>
      </c>
      <c r="K134" s="27">
        <f>IF($A134="","",IF(AND($H134="PROMOTE",$J134="YES"),"YES — PROMOTE","NO"))</f>
        <v/>
      </c>
    </row>
    <row r="135">
      <c r="A135" s="7" t="n"/>
      <c r="B135" s="7">
        <f>IF($A135="","",VLOOKUP($A135,CoachRoster!$A:$E,4,FALSE))</f>
        <v/>
      </c>
      <c r="C135" s="7" t="n"/>
      <c r="D135" s="7" t="n"/>
      <c r="E135" s="7" t="n"/>
      <c r="F135" s="7" t="n"/>
      <c r="G135" s="7" t="n"/>
      <c r="H135" s="7">
        <f>IF($A135="","",IF(AND($E135="Pass",$F135="Pass",$G135="Pass"),"PROMOTE","NOT YET"))</f>
        <v/>
      </c>
      <c r="I135" s="7" t="n"/>
      <c r="J135" s="27">
        <f>IF(OR($A135="",$C135=""),"",IF(IFERROR(VLOOKUP($A135,Ledger!$A:$E,5,FALSE),0)&gt;=VLOOKUP($C135,RoleTitles!$A:$B,2,FALSE),"YES","NO"))</f>
        <v/>
      </c>
      <c r="K135" s="27">
        <f>IF($A135="","",IF(AND($H135="PROMOTE",$J135="YES"),"YES — PROMOTE","NO"))</f>
        <v/>
      </c>
    </row>
    <row r="136">
      <c r="A136" s="7" t="n"/>
      <c r="B136" s="7">
        <f>IF($A136="","",VLOOKUP($A136,CoachRoster!$A:$E,4,FALSE))</f>
        <v/>
      </c>
      <c r="C136" s="7" t="n"/>
      <c r="D136" s="7" t="n"/>
      <c r="E136" s="7" t="n"/>
      <c r="F136" s="7" t="n"/>
      <c r="G136" s="7" t="n"/>
      <c r="H136" s="7">
        <f>IF($A136="","",IF(AND($E136="Pass",$F136="Pass",$G136="Pass"),"PROMOTE","NOT YET"))</f>
        <v/>
      </c>
      <c r="I136" s="7" t="n"/>
      <c r="J136" s="27">
        <f>IF(OR($A136="",$C136=""),"",IF(IFERROR(VLOOKUP($A136,Ledger!$A:$E,5,FALSE),0)&gt;=VLOOKUP($C136,RoleTitles!$A:$B,2,FALSE),"YES","NO"))</f>
        <v/>
      </c>
      <c r="K136" s="27">
        <f>IF($A136="","",IF(AND($H136="PROMOTE",$J136="YES"),"YES — PROMOTE","NO"))</f>
        <v/>
      </c>
    </row>
    <row r="137">
      <c r="A137" s="7" t="n"/>
      <c r="B137" s="7">
        <f>IF($A137="","",VLOOKUP($A137,CoachRoster!$A:$E,4,FALSE))</f>
        <v/>
      </c>
      <c r="C137" s="7" t="n"/>
      <c r="D137" s="7" t="n"/>
      <c r="E137" s="7" t="n"/>
      <c r="F137" s="7" t="n"/>
      <c r="G137" s="7" t="n"/>
      <c r="H137" s="7">
        <f>IF($A137="","",IF(AND($E137="Pass",$F137="Pass",$G137="Pass"),"PROMOTE","NOT YET"))</f>
        <v/>
      </c>
      <c r="I137" s="7" t="n"/>
      <c r="J137" s="27">
        <f>IF(OR($A137="",$C137=""),"",IF(IFERROR(VLOOKUP($A137,Ledger!$A:$E,5,FALSE),0)&gt;=VLOOKUP($C137,RoleTitles!$A:$B,2,FALSE),"YES","NO"))</f>
        <v/>
      </c>
      <c r="K137" s="27">
        <f>IF($A137="","",IF(AND($H137="PROMOTE",$J137="YES"),"YES — PROMOTE","NO"))</f>
        <v/>
      </c>
    </row>
    <row r="138">
      <c r="A138" s="7" t="n"/>
      <c r="B138" s="7">
        <f>IF($A138="","",VLOOKUP($A138,CoachRoster!$A:$E,4,FALSE))</f>
        <v/>
      </c>
      <c r="C138" s="7" t="n"/>
      <c r="D138" s="7" t="n"/>
      <c r="E138" s="7" t="n"/>
      <c r="F138" s="7" t="n"/>
      <c r="G138" s="7" t="n"/>
      <c r="H138" s="7">
        <f>IF($A138="","",IF(AND($E138="Pass",$F138="Pass",$G138="Pass"),"PROMOTE","NOT YET"))</f>
        <v/>
      </c>
      <c r="I138" s="7" t="n"/>
      <c r="J138" s="27">
        <f>IF(OR($A138="",$C138=""),"",IF(IFERROR(VLOOKUP($A138,Ledger!$A:$E,5,FALSE),0)&gt;=VLOOKUP($C138,RoleTitles!$A:$B,2,FALSE),"YES","NO"))</f>
        <v/>
      </c>
      <c r="K138" s="27">
        <f>IF($A138="","",IF(AND($H138="PROMOTE",$J138="YES"),"YES — PROMOTE","NO"))</f>
        <v/>
      </c>
    </row>
    <row r="139">
      <c r="A139" s="7" t="n"/>
      <c r="B139" s="7">
        <f>IF($A139="","",VLOOKUP($A139,CoachRoster!$A:$E,4,FALSE))</f>
        <v/>
      </c>
      <c r="C139" s="7" t="n"/>
      <c r="D139" s="7" t="n"/>
      <c r="E139" s="7" t="n"/>
      <c r="F139" s="7" t="n"/>
      <c r="G139" s="7" t="n"/>
      <c r="H139" s="7">
        <f>IF($A139="","",IF(AND($E139="Pass",$F139="Pass",$G139="Pass"),"PROMOTE","NOT YET"))</f>
        <v/>
      </c>
      <c r="I139" s="7" t="n"/>
      <c r="J139" s="27">
        <f>IF(OR($A139="",$C139=""),"",IF(IFERROR(VLOOKUP($A139,Ledger!$A:$E,5,FALSE),0)&gt;=VLOOKUP($C139,RoleTitles!$A:$B,2,FALSE),"YES","NO"))</f>
        <v/>
      </c>
      <c r="K139" s="27">
        <f>IF($A139="","",IF(AND($H139="PROMOTE",$J139="YES"),"YES — PROMOTE","NO"))</f>
        <v/>
      </c>
    </row>
    <row r="140">
      <c r="A140" s="7" t="n"/>
      <c r="B140" s="7">
        <f>IF($A140="","",VLOOKUP($A140,CoachRoster!$A:$E,4,FALSE))</f>
        <v/>
      </c>
      <c r="C140" s="7" t="n"/>
      <c r="D140" s="7" t="n"/>
      <c r="E140" s="7" t="n"/>
      <c r="F140" s="7" t="n"/>
      <c r="G140" s="7" t="n"/>
      <c r="H140" s="7">
        <f>IF($A140="","",IF(AND($E140="Pass",$F140="Pass",$G140="Pass"),"PROMOTE","NOT YET"))</f>
        <v/>
      </c>
      <c r="I140" s="7" t="n"/>
      <c r="J140" s="27">
        <f>IF(OR($A140="",$C140=""),"",IF(IFERROR(VLOOKUP($A140,Ledger!$A:$E,5,FALSE),0)&gt;=VLOOKUP($C140,RoleTitles!$A:$B,2,FALSE),"YES","NO"))</f>
        <v/>
      </c>
      <c r="K140" s="27">
        <f>IF($A140="","",IF(AND($H140="PROMOTE",$J140="YES"),"YES — PROMOTE","NO"))</f>
        <v/>
      </c>
    </row>
    <row r="141">
      <c r="A141" s="7" t="n"/>
      <c r="B141" s="7">
        <f>IF($A141="","",VLOOKUP($A141,CoachRoster!$A:$E,4,FALSE))</f>
        <v/>
      </c>
      <c r="C141" s="7" t="n"/>
      <c r="D141" s="7" t="n"/>
      <c r="E141" s="7" t="n"/>
      <c r="F141" s="7" t="n"/>
      <c r="G141" s="7" t="n"/>
      <c r="H141" s="7">
        <f>IF($A141="","",IF(AND($E141="Pass",$F141="Pass",$G141="Pass"),"PROMOTE","NOT YET"))</f>
        <v/>
      </c>
      <c r="I141" s="7" t="n"/>
      <c r="J141" s="27">
        <f>IF(OR($A141="",$C141=""),"",IF(IFERROR(VLOOKUP($A141,Ledger!$A:$E,5,FALSE),0)&gt;=VLOOKUP($C141,RoleTitles!$A:$B,2,FALSE),"YES","NO"))</f>
        <v/>
      </c>
      <c r="K141" s="27">
        <f>IF($A141="","",IF(AND($H141="PROMOTE",$J141="YES"),"YES — PROMOTE","NO"))</f>
        <v/>
      </c>
    </row>
    <row r="142">
      <c r="A142" s="7" t="n"/>
      <c r="B142" s="7">
        <f>IF($A142="","",VLOOKUP($A142,CoachRoster!$A:$E,4,FALSE))</f>
        <v/>
      </c>
      <c r="C142" s="7" t="n"/>
      <c r="D142" s="7" t="n"/>
      <c r="E142" s="7" t="n"/>
      <c r="F142" s="7" t="n"/>
      <c r="G142" s="7" t="n"/>
      <c r="H142" s="7">
        <f>IF($A142="","",IF(AND($E142="Pass",$F142="Pass",$G142="Pass"),"PROMOTE","NOT YET"))</f>
        <v/>
      </c>
      <c r="I142" s="7" t="n"/>
      <c r="J142" s="27">
        <f>IF(OR($A142="",$C142=""),"",IF(IFERROR(VLOOKUP($A142,Ledger!$A:$E,5,FALSE),0)&gt;=VLOOKUP($C142,RoleTitles!$A:$B,2,FALSE),"YES","NO"))</f>
        <v/>
      </c>
      <c r="K142" s="27">
        <f>IF($A142="","",IF(AND($H142="PROMOTE",$J142="YES"),"YES — PROMOTE","NO"))</f>
        <v/>
      </c>
    </row>
    <row r="143">
      <c r="A143" s="7" t="n"/>
      <c r="B143" s="7">
        <f>IF($A143="","",VLOOKUP($A143,CoachRoster!$A:$E,4,FALSE))</f>
        <v/>
      </c>
      <c r="C143" s="7" t="n"/>
      <c r="D143" s="7" t="n"/>
      <c r="E143" s="7" t="n"/>
      <c r="F143" s="7" t="n"/>
      <c r="G143" s="7" t="n"/>
      <c r="H143" s="7">
        <f>IF($A143="","",IF(AND($E143="Pass",$F143="Pass",$G143="Pass"),"PROMOTE","NOT YET"))</f>
        <v/>
      </c>
      <c r="I143" s="7" t="n"/>
      <c r="J143" s="27">
        <f>IF(OR($A143="",$C143=""),"",IF(IFERROR(VLOOKUP($A143,Ledger!$A:$E,5,FALSE),0)&gt;=VLOOKUP($C143,RoleTitles!$A:$B,2,FALSE),"YES","NO"))</f>
        <v/>
      </c>
      <c r="K143" s="27">
        <f>IF($A143="","",IF(AND($H143="PROMOTE",$J143="YES"),"YES — PROMOTE","NO"))</f>
        <v/>
      </c>
    </row>
    <row r="144">
      <c r="A144" s="7" t="n"/>
      <c r="B144" s="7">
        <f>IF($A144="","",VLOOKUP($A144,CoachRoster!$A:$E,4,FALSE))</f>
        <v/>
      </c>
      <c r="C144" s="7" t="n"/>
      <c r="D144" s="7" t="n"/>
      <c r="E144" s="7" t="n"/>
      <c r="F144" s="7" t="n"/>
      <c r="G144" s="7" t="n"/>
      <c r="H144" s="7">
        <f>IF($A144="","",IF(AND($E144="Pass",$F144="Pass",$G144="Pass"),"PROMOTE","NOT YET"))</f>
        <v/>
      </c>
      <c r="I144" s="7" t="n"/>
      <c r="J144" s="27">
        <f>IF(OR($A144="",$C144=""),"",IF(IFERROR(VLOOKUP($A144,Ledger!$A:$E,5,FALSE),0)&gt;=VLOOKUP($C144,RoleTitles!$A:$B,2,FALSE),"YES","NO"))</f>
        <v/>
      </c>
      <c r="K144" s="27">
        <f>IF($A144="","",IF(AND($H144="PROMOTE",$J144="YES"),"YES — PROMOTE","NO"))</f>
        <v/>
      </c>
    </row>
    <row r="145">
      <c r="A145" s="7" t="n"/>
      <c r="B145" s="7">
        <f>IF($A145="","",VLOOKUP($A145,CoachRoster!$A:$E,4,FALSE))</f>
        <v/>
      </c>
      <c r="C145" s="7" t="n"/>
      <c r="D145" s="7" t="n"/>
      <c r="E145" s="7" t="n"/>
      <c r="F145" s="7" t="n"/>
      <c r="G145" s="7" t="n"/>
      <c r="H145" s="7">
        <f>IF($A145="","",IF(AND($E145="Pass",$F145="Pass",$G145="Pass"),"PROMOTE","NOT YET"))</f>
        <v/>
      </c>
      <c r="I145" s="7" t="n"/>
      <c r="J145" s="27">
        <f>IF(OR($A145="",$C145=""),"",IF(IFERROR(VLOOKUP($A145,Ledger!$A:$E,5,FALSE),0)&gt;=VLOOKUP($C145,RoleTitles!$A:$B,2,FALSE),"YES","NO"))</f>
        <v/>
      </c>
      <c r="K145" s="27">
        <f>IF($A145="","",IF(AND($H145="PROMOTE",$J145="YES"),"YES — PROMOTE","NO"))</f>
        <v/>
      </c>
    </row>
    <row r="146">
      <c r="A146" s="7" t="n"/>
      <c r="B146" s="7">
        <f>IF($A146="","",VLOOKUP($A146,CoachRoster!$A:$E,4,FALSE))</f>
        <v/>
      </c>
      <c r="C146" s="7" t="n"/>
      <c r="D146" s="7" t="n"/>
      <c r="E146" s="7" t="n"/>
      <c r="F146" s="7" t="n"/>
      <c r="G146" s="7" t="n"/>
      <c r="H146" s="7">
        <f>IF($A146="","",IF(AND($E146="Pass",$F146="Pass",$G146="Pass"),"PROMOTE","NOT YET"))</f>
        <v/>
      </c>
      <c r="I146" s="7" t="n"/>
      <c r="J146" s="27">
        <f>IF(OR($A146="",$C146=""),"",IF(IFERROR(VLOOKUP($A146,Ledger!$A:$E,5,FALSE),0)&gt;=VLOOKUP($C146,RoleTitles!$A:$B,2,FALSE),"YES","NO"))</f>
        <v/>
      </c>
      <c r="K146" s="27">
        <f>IF($A146="","",IF(AND($H146="PROMOTE",$J146="YES"),"YES — PROMOTE","NO"))</f>
        <v/>
      </c>
    </row>
    <row r="147">
      <c r="A147" s="7" t="n"/>
      <c r="B147" s="7">
        <f>IF($A147="","",VLOOKUP($A147,CoachRoster!$A:$E,4,FALSE))</f>
        <v/>
      </c>
      <c r="C147" s="7" t="n"/>
      <c r="D147" s="7" t="n"/>
      <c r="E147" s="7" t="n"/>
      <c r="F147" s="7" t="n"/>
      <c r="G147" s="7" t="n"/>
      <c r="H147" s="7">
        <f>IF($A147="","",IF(AND($E147="Pass",$F147="Pass",$G147="Pass"),"PROMOTE","NOT YET"))</f>
        <v/>
      </c>
      <c r="I147" s="7" t="n"/>
      <c r="J147" s="27">
        <f>IF(OR($A147="",$C147=""),"",IF(IFERROR(VLOOKUP($A147,Ledger!$A:$E,5,FALSE),0)&gt;=VLOOKUP($C147,RoleTitles!$A:$B,2,FALSE),"YES","NO"))</f>
        <v/>
      </c>
      <c r="K147" s="27">
        <f>IF($A147="","",IF(AND($H147="PROMOTE",$J147="YES"),"YES — PROMOTE","NO"))</f>
        <v/>
      </c>
    </row>
    <row r="148">
      <c r="A148" s="7" t="n"/>
      <c r="B148" s="7">
        <f>IF($A148="","",VLOOKUP($A148,CoachRoster!$A:$E,4,FALSE))</f>
        <v/>
      </c>
      <c r="C148" s="7" t="n"/>
      <c r="D148" s="7" t="n"/>
      <c r="E148" s="7" t="n"/>
      <c r="F148" s="7" t="n"/>
      <c r="G148" s="7" t="n"/>
      <c r="H148" s="7">
        <f>IF($A148="","",IF(AND($E148="Pass",$F148="Pass",$G148="Pass"),"PROMOTE","NOT YET"))</f>
        <v/>
      </c>
      <c r="I148" s="7" t="n"/>
      <c r="J148" s="27">
        <f>IF(OR($A148="",$C148=""),"",IF(IFERROR(VLOOKUP($A148,Ledger!$A:$E,5,FALSE),0)&gt;=VLOOKUP($C148,RoleTitles!$A:$B,2,FALSE),"YES","NO"))</f>
        <v/>
      </c>
      <c r="K148" s="27">
        <f>IF($A148="","",IF(AND($H148="PROMOTE",$J148="YES"),"YES — PROMOTE","NO"))</f>
        <v/>
      </c>
    </row>
    <row r="149">
      <c r="A149" s="7" t="n"/>
      <c r="B149" s="7">
        <f>IF($A149="","",VLOOKUP($A149,CoachRoster!$A:$E,4,FALSE))</f>
        <v/>
      </c>
      <c r="C149" s="7" t="n"/>
      <c r="D149" s="7" t="n"/>
      <c r="E149" s="7" t="n"/>
      <c r="F149" s="7" t="n"/>
      <c r="G149" s="7" t="n"/>
      <c r="H149" s="7">
        <f>IF($A149="","",IF(AND($E149="Pass",$F149="Pass",$G149="Pass"),"PROMOTE","NOT YET"))</f>
        <v/>
      </c>
      <c r="I149" s="7" t="n"/>
      <c r="J149" s="27">
        <f>IF(OR($A149="",$C149=""),"",IF(IFERROR(VLOOKUP($A149,Ledger!$A:$E,5,FALSE),0)&gt;=VLOOKUP($C149,RoleTitles!$A:$B,2,FALSE),"YES","NO"))</f>
        <v/>
      </c>
      <c r="K149" s="27">
        <f>IF($A149="","",IF(AND($H149="PROMOTE",$J149="YES"),"YES — PROMOTE","NO"))</f>
        <v/>
      </c>
    </row>
    <row r="150">
      <c r="A150" s="7" t="n"/>
      <c r="B150" s="7">
        <f>IF($A150="","",VLOOKUP($A150,CoachRoster!$A:$E,4,FALSE))</f>
        <v/>
      </c>
      <c r="C150" s="7" t="n"/>
      <c r="D150" s="7" t="n"/>
      <c r="E150" s="7" t="n"/>
      <c r="F150" s="7" t="n"/>
      <c r="G150" s="7" t="n"/>
      <c r="H150" s="7">
        <f>IF($A150="","",IF(AND($E150="Pass",$F150="Pass",$G150="Pass"),"PROMOTE","NOT YET"))</f>
        <v/>
      </c>
      <c r="I150" s="7" t="n"/>
      <c r="J150" s="27">
        <f>IF(OR($A150="",$C150=""),"",IF(IFERROR(VLOOKUP($A150,Ledger!$A:$E,5,FALSE),0)&gt;=VLOOKUP($C150,RoleTitles!$A:$B,2,FALSE),"YES","NO"))</f>
        <v/>
      </c>
      <c r="K150" s="27">
        <f>IF($A150="","",IF(AND($H150="PROMOTE",$J150="YES"),"YES — PROMOTE","NO"))</f>
        <v/>
      </c>
    </row>
    <row r="151">
      <c r="A151" s="7" t="n"/>
      <c r="B151" s="7">
        <f>IF($A151="","",VLOOKUP($A151,CoachRoster!$A:$E,4,FALSE))</f>
        <v/>
      </c>
      <c r="C151" s="7" t="n"/>
      <c r="D151" s="7" t="n"/>
      <c r="E151" s="7" t="n"/>
      <c r="F151" s="7" t="n"/>
      <c r="G151" s="7" t="n"/>
      <c r="H151" s="7">
        <f>IF($A151="","",IF(AND($E151="Pass",$F151="Pass",$G151="Pass"),"PROMOTE","NOT YET"))</f>
        <v/>
      </c>
      <c r="I151" s="7" t="n"/>
      <c r="J151" s="27">
        <f>IF(OR($A151="",$C151=""),"",IF(IFERROR(VLOOKUP($A151,Ledger!$A:$E,5,FALSE),0)&gt;=VLOOKUP($C151,RoleTitles!$A:$B,2,FALSE),"YES","NO"))</f>
        <v/>
      </c>
      <c r="K151" s="27">
        <f>IF($A151="","",IF(AND($H151="PROMOTE",$J151="YES"),"YES — PROMOTE","NO"))</f>
        <v/>
      </c>
    </row>
    <row r="152">
      <c r="A152" s="7" t="n"/>
      <c r="B152" s="7">
        <f>IF($A152="","",VLOOKUP($A152,CoachRoster!$A:$E,4,FALSE))</f>
        <v/>
      </c>
      <c r="C152" s="7" t="n"/>
      <c r="D152" s="7" t="n"/>
      <c r="E152" s="7" t="n"/>
      <c r="F152" s="7" t="n"/>
      <c r="G152" s="7" t="n"/>
      <c r="H152" s="7">
        <f>IF($A152="","",IF(AND($E152="Pass",$F152="Pass",$G152="Pass"),"PROMOTE","NOT YET"))</f>
        <v/>
      </c>
      <c r="I152" s="7" t="n"/>
      <c r="J152" s="27">
        <f>IF(OR($A152="",$C152=""),"",IF(IFERROR(VLOOKUP($A152,Ledger!$A:$E,5,FALSE),0)&gt;=VLOOKUP($C152,RoleTitles!$A:$B,2,FALSE),"YES","NO"))</f>
        <v/>
      </c>
      <c r="K152" s="27">
        <f>IF($A152="","",IF(AND($H152="PROMOTE",$J152="YES"),"YES — PROMOTE","NO"))</f>
        <v/>
      </c>
    </row>
    <row r="153">
      <c r="A153" s="7" t="n"/>
      <c r="B153" s="7">
        <f>IF($A153="","",VLOOKUP($A153,CoachRoster!$A:$E,4,FALSE))</f>
        <v/>
      </c>
      <c r="C153" s="7" t="n"/>
      <c r="D153" s="7" t="n"/>
      <c r="E153" s="7" t="n"/>
      <c r="F153" s="7" t="n"/>
      <c r="G153" s="7" t="n"/>
      <c r="H153" s="7">
        <f>IF($A153="","",IF(AND($E153="Pass",$F153="Pass",$G153="Pass"),"PROMOTE","NOT YET"))</f>
        <v/>
      </c>
      <c r="I153" s="7" t="n"/>
      <c r="J153" s="27">
        <f>IF(OR($A153="",$C153=""),"",IF(IFERROR(VLOOKUP($A153,Ledger!$A:$E,5,FALSE),0)&gt;=VLOOKUP($C153,RoleTitles!$A:$B,2,FALSE),"YES","NO"))</f>
        <v/>
      </c>
      <c r="K153" s="27">
        <f>IF($A153="","",IF(AND($H153="PROMOTE",$J153="YES"),"YES — PROMOTE","NO"))</f>
        <v/>
      </c>
    </row>
    <row r="154">
      <c r="A154" s="7" t="n"/>
      <c r="B154" s="7">
        <f>IF($A154="","",VLOOKUP($A154,CoachRoster!$A:$E,4,FALSE))</f>
        <v/>
      </c>
      <c r="C154" s="7" t="n"/>
      <c r="D154" s="7" t="n"/>
      <c r="E154" s="7" t="n"/>
      <c r="F154" s="7" t="n"/>
      <c r="G154" s="7" t="n"/>
      <c r="H154" s="7">
        <f>IF($A154="","",IF(AND($E154="Pass",$F154="Pass",$G154="Pass"),"PROMOTE","NOT YET"))</f>
        <v/>
      </c>
      <c r="I154" s="7" t="n"/>
      <c r="J154" s="27">
        <f>IF(OR($A154="",$C154=""),"",IF(IFERROR(VLOOKUP($A154,Ledger!$A:$E,5,FALSE),0)&gt;=VLOOKUP($C154,RoleTitles!$A:$B,2,FALSE),"YES","NO"))</f>
        <v/>
      </c>
      <c r="K154" s="27">
        <f>IF($A154="","",IF(AND($H154="PROMOTE",$J154="YES"),"YES — PROMOTE","NO"))</f>
        <v/>
      </c>
    </row>
    <row r="155">
      <c r="A155" s="7" t="n"/>
      <c r="B155" s="7">
        <f>IF($A155="","",VLOOKUP($A155,CoachRoster!$A:$E,4,FALSE))</f>
        <v/>
      </c>
      <c r="C155" s="7" t="n"/>
      <c r="D155" s="7" t="n"/>
      <c r="E155" s="7" t="n"/>
      <c r="F155" s="7" t="n"/>
      <c r="G155" s="7" t="n"/>
      <c r="H155" s="7">
        <f>IF($A155="","",IF(AND($E155="Pass",$F155="Pass",$G155="Pass"),"PROMOTE","NOT YET"))</f>
        <v/>
      </c>
      <c r="I155" s="7" t="n"/>
      <c r="J155" s="27">
        <f>IF(OR($A155="",$C155=""),"",IF(IFERROR(VLOOKUP($A155,Ledger!$A:$E,5,FALSE),0)&gt;=VLOOKUP($C155,RoleTitles!$A:$B,2,FALSE),"YES","NO"))</f>
        <v/>
      </c>
      <c r="K155" s="27">
        <f>IF($A155="","",IF(AND($H155="PROMOTE",$J155="YES"),"YES — PROMOTE","NO"))</f>
        <v/>
      </c>
    </row>
    <row r="156">
      <c r="A156" s="7" t="n"/>
      <c r="B156" s="7">
        <f>IF($A156="","",VLOOKUP($A156,CoachRoster!$A:$E,4,FALSE))</f>
        <v/>
      </c>
      <c r="C156" s="7" t="n"/>
      <c r="D156" s="7" t="n"/>
      <c r="E156" s="7" t="n"/>
      <c r="F156" s="7" t="n"/>
      <c r="G156" s="7" t="n"/>
      <c r="H156" s="7">
        <f>IF($A156="","",IF(AND($E156="Pass",$F156="Pass",$G156="Pass"),"PROMOTE","NOT YET"))</f>
        <v/>
      </c>
      <c r="I156" s="7" t="n"/>
      <c r="J156" s="27">
        <f>IF(OR($A156="",$C156=""),"",IF(IFERROR(VLOOKUP($A156,Ledger!$A:$E,5,FALSE),0)&gt;=VLOOKUP($C156,RoleTitles!$A:$B,2,FALSE),"YES","NO"))</f>
        <v/>
      </c>
      <c r="K156" s="27">
        <f>IF($A156="","",IF(AND($H156="PROMOTE",$J156="YES"),"YES — PROMOTE","NO"))</f>
        <v/>
      </c>
    </row>
    <row r="157">
      <c r="A157" s="7" t="n"/>
      <c r="B157" s="7">
        <f>IF($A157="","",VLOOKUP($A157,CoachRoster!$A:$E,4,FALSE))</f>
        <v/>
      </c>
      <c r="C157" s="7" t="n"/>
      <c r="D157" s="7" t="n"/>
      <c r="E157" s="7" t="n"/>
      <c r="F157" s="7" t="n"/>
      <c r="G157" s="7" t="n"/>
      <c r="H157" s="7">
        <f>IF($A157="","",IF(AND($E157="Pass",$F157="Pass",$G157="Pass"),"PROMOTE","NOT YET"))</f>
        <v/>
      </c>
      <c r="I157" s="7" t="n"/>
      <c r="J157" s="27">
        <f>IF(OR($A157="",$C157=""),"",IF(IFERROR(VLOOKUP($A157,Ledger!$A:$E,5,FALSE),0)&gt;=VLOOKUP($C157,RoleTitles!$A:$B,2,FALSE),"YES","NO"))</f>
        <v/>
      </c>
      <c r="K157" s="27">
        <f>IF($A157="","",IF(AND($H157="PROMOTE",$J157="YES"),"YES — PROMOTE","NO"))</f>
        <v/>
      </c>
    </row>
    <row r="158">
      <c r="A158" s="7" t="n"/>
      <c r="B158" s="7">
        <f>IF($A158="","",VLOOKUP($A158,CoachRoster!$A:$E,4,FALSE))</f>
        <v/>
      </c>
      <c r="C158" s="7" t="n"/>
      <c r="D158" s="7" t="n"/>
      <c r="E158" s="7" t="n"/>
      <c r="F158" s="7" t="n"/>
      <c r="G158" s="7" t="n"/>
      <c r="H158" s="7">
        <f>IF($A158="","",IF(AND($E158="Pass",$F158="Pass",$G158="Pass"),"PROMOTE","NOT YET"))</f>
        <v/>
      </c>
      <c r="I158" s="7" t="n"/>
      <c r="J158" s="27">
        <f>IF(OR($A158="",$C158=""),"",IF(IFERROR(VLOOKUP($A158,Ledger!$A:$E,5,FALSE),0)&gt;=VLOOKUP($C158,RoleTitles!$A:$B,2,FALSE),"YES","NO"))</f>
        <v/>
      </c>
      <c r="K158" s="27">
        <f>IF($A158="","",IF(AND($H158="PROMOTE",$J158="YES"),"YES — PROMOTE","NO"))</f>
        <v/>
      </c>
    </row>
    <row r="159">
      <c r="A159" s="7" t="n"/>
      <c r="B159" s="7">
        <f>IF($A159="","",VLOOKUP($A159,CoachRoster!$A:$E,4,FALSE))</f>
        <v/>
      </c>
      <c r="C159" s="7" t="n"/>
      <c r="D159" s="7" t="n"/>
      <c r="E159" s="7" t="n"/>
      <c r="F159" s="7" t="n"/>
      <c r="G159" s="7" t="n"/>
      <c r="H159" s="7">
        <f>IF($A159="","",IF(AND($E159="Pass",$F159="Pass",$G159="Pass"),"PROMOTE","NOT YET"))</f>
        <v/>
      </c>
      <c r="I159" s="7" t="n"/>
      <c r="J159" s="27">
        <f>IF(OR($A159="",$C159=""),"",IF(IFERROR(VLOOKUP($A159,Ledger!$A:$E,5,FALSE),0)&gt;=VLOOKUP($C159,RoleTitles!$A:$B,2,FALSE),"YES","NO"))</f>
        <v/>
      </c>
      <c r="K159" s="27">
        <f>IF($A159="","",IF(AND($H159="PROMOTE",$J159="YES"),"YES — PROMOTE","NO"))</f>
        <v/>
      </c>
    </row>
    <row r="160">
      <c r="A160" s="7" t="n"/>
      <c r="B160" s="7">
        <f>IF($A160="","",VLOOKUP($A160,CoachRoster!$A:$E,4,FALSE))</f>
        <v/>
      </c>
      <c r="C160" s="7" t="n"/>
      <c r="D160" s="7" t="n"/>
      <c r="E160" s="7" t="n"/>
      <c r="F160" s="7" t="n"/>
      <c r="G160" s="7" t="n"/>
      <c r="H160" s="7">
        <f>IF($A160="","",IF(AND($E160="Pass",$F160="Pass",$G160="Pass"),"PROMOTE","NOT YET"))</f>
        <v/>
      </c>
      <c r="I160" s="7" t="n"/>
      <c r="J160" s="27">
        <f>IF(OR($A160="",$C160=""),"",IF(IFERROR(VLOOKUP($A160,Ledger!$A:$E,5,FALSE),0)&gt;=VLOOKUP($C160,RoleTitles!$A:$B,2,FALSE),"YES","NO"))</f>
        <v/>
      </c>
      <c r="K160" s="27">
        <f>IF($A160="","",IF(AND($H160="PROMOTE",$J160="YES"),"YES — PROMOTE","NO"))</f>
        <v/>
      </c>
    </row>
    <row r="161">
      <c r="A161" s="7" t="n"/>
      <c r="B161" s="7">
        <f>IF($A161="","",VLOOKUP($A161,CoachRoster!$A:$E,4,FALSE))</f>
        <v/>
      </c>
      <c r="C161" s="7" t="n"/>
      <c r="D161" s="7" t="n"/>
      <c r="E161" s="7" t="n"/>
      <c r="F161" s="7" t="n"/>
      <c r="G161" s="7" t="n"/>
      <c r="H161" s="7">
        <f>IF($A161="","",IF(AND($E161="Pass",$F161="Pass",$G161="Pass"),"PROMOTE","NOT YET"))</f>
        <v/>
      </c>
      <c r="I161" s="7" t="n"/>
      <c r="J161" s="27">
        <f>IF(OR($A161="",$C161=""),"",IF(IFERROR(VLOOKUP($A161,Ledger!$A:$E,5,FALSE),0)&gt;=VLOOKUP($C161,RoleTitles!$A:$B,2,FALSE),"YES","NO"))</f>
        <v/>
      </c>
      <c r="K161" s="27">
        <f>IF($A161="","",IF(AND($H161="PROMOTE",$J161="YES"),"YES — PROMOTE","NO"))</f>
        <v/>
      </c>
    </row>
    <row r="162">
      <c r="A162" s="7" t="n"/>
      <c r="B162" s="7">
        <f>IF($A162="","",VLOOKUP($A162,CoachRoster!$A:$E,4,FALSE))</f>
        <v/>
      </c>
      <c r="C162" s="7" t="n"/>
      <c r="D162" s="7" t="n"/>
      <c r="E162" s="7" t="n"/>
      <c r="F162" s="7" t="n"/>
      <c r="G162" s="7" t="n"/>
      <c r="H162" s="7">
        <f>IF($A162="","",IF(AND($E162="Pass",$F162="Pass",$G162="Pass"),"PROMOTE","NOT YET"))</f>
        <v/>
      </c>
      <c r="I162" s="7" t="n"/>
      <c r="J162" s="27">
        <f>IF(OR($A162="",$C162=""),"",IF(IFERROR(VLOOKUP($A162,Ledger!$A:$E,5,FALSE),0)&gt;=VLOOKUP($C162,RoleTitles!$A:$B,2,FALSE),"YES","NO"))</f>
        <v/>
      </c>
      <c r="K162" s="27">
        <f>IF($A162="","",IF(AND($H162="PROMOTE",$J162="YES"),"YES — PROMOTE","NO"))</f>
        <v/>
      </c>
    </row>
    <row r="163">
      <c r="A163" s="7" t="n"/>
      <c r="B163" s="7">
        <f>IF($A163="","",VLOOKUP($A163,CoachRoster!$A:$E,4,FALSE))</f>
        <v/>
      </c>
      <c r="C163" s="7" t="n"/>
      <c r="D163" s="7" t="n"/>
      <c r="E163" s="7" t="n"/>
      <c r="F163" s="7" t="n"/>
      <c r="G163" s="7" t="n"/>
      <c r="H163" s="7">
        <f>IF($A163="","",IF(AND($E163="Pass",$F163="Pass",$G163="Pass"),"PROMOTE","NOT YET"))</f>
        <v/>
      </c>
      <c r="I163" s="7" t="n"/>
      <c r="J163" s="27">
        <f>IF(OR($A163="",$C163=""),"",IF(IFERROR(VLOOKUP($A163,Ledger!$A:$E,5,FALSE),0)&gt;=VLOOKUP($C163,RoleTitles!$A:$B,2,FALSE),"YES","NO"))</f>
        <v/>
      </c>
      <c r="K163" s="27">
        <f>IF($A163="","",IF(AND($H163="PROMOTE",$J163="YES"),"YES — PROMOTE","NO"))</f>
        <v/>
      </c>
    </row>
    <row r="164">
      <c r="A164" s="7" t="n"/>
      <c r="B164" s="7">
        <f>IF($A164="","",VLOOKUP($A164,CoachRoster!$A:$E,4,FALSE))</f>
        <v/>
      </c>
      <c r="C164" s="7" t="n"/>
      <c r="D164" s="7" t="n"/>
      <c r="E164" s="7" t="n"/>
      <c r="F164" s="7" t="n"/>
      <c r="G164" s="7" t="n"/>
      <c r="H164" s="7">
        <f>IF($A164="","",IF(AND($E164="Pass",$F164="Pass",$G164="Pass"),"PROMOTE","NOT YET"))</f>
        <v/>
      </c>
      <c r="I164" s="7" t="n"/>
      <c r="J164" s="27">
        <f>IF(OR($A164="",$C164=""),"",IF(IFERROR(VLOOKUP($A164,Ledger!$A:$E,5,FALSE),0)&gt;=VLOOKUP($C164,RoleTitles!$A:$B,2,FALSE),"YES","NO"))</f>
        <v/>
      </c>
      <c r="K164" s="27">
        <f>IF($A164="","",IF(AND($H164="PROMOTE",$J164="YES"),"YES — PROMOTE","NO"))</f>
        <v/>
      </c>
    </row>
    <row r="165">
      <c r="A165" s="7" t="n"/>
      <c r="B165" s="7">
        <f>IF($A165="","",VLOOKUP($A165,CoachRoster!$A:$E,4,FALSE))</f>
        <v/>
      </c>
      <c r="C165" s="7" t="n"/>
      <c r="D165" s="7" t="n"/>
      <c r="E165" s="7" t="n"/>
      <c r="F165" s="7" t="n"/>
      <c r="G165" s="7" t="n"/>
      <c r="H165" s="7">
        <f>IF($A165="","",IF(AND($E165="Pass",$F165="Pass",$G165="Pass"),"PROMOTE","NOT YET"))</f>
        <v/>
      </c>
      <c r="I165" s="7" t="n"/>
      <c r="J165" s="27">
        <f>IF(OR($A165="",$C165=""),"",IF(IFERROR(VLOOKUP($A165,Ledger!$A:$E,5,FALSE),0)&gt;=VLOOKUP($C165,RoleTitles!$A:$B,2,FALSE),"YES","NO"))</f>
        <v/>
      </c>
      <c r="K165" s="27">
        <f>IF($A165="","",IF(AND($H165="PROMOTE",$J165="YES"),"YES — PROMOTE","NO"))</f>
        <v/>
      </c>
    </row>
    <row r="166">
      <c r="A166" s="7" t="n"/>
      <c r="B166" s="7">
        <f>IF($A166="","",VLOOKUP($A166,CoachRoster!$A:$E,4,FALSE))</f>
        <v/>
      </c>
      <c r="C166" s="7" t="n"/>
      <c r="D166" s="7" t="n"/>
      <c r="E166" s="7" t="n"/>
      <c r="F166" s="7" t="n"/>
      <c r="G166" s="7" t="n"/>
      <c r="H166" s="7">
        <f>IF($A166="","",IF(AND($E166="Pass",$F166="Pass",$G166="Pass"),"PROMOTE","NOT YET"))</f>
        <v/>
      </c>
      <c r="I166" s="7" t="n"/>
      <c r="J166" s="27">
        <f>IF(OR($A166="",$C166=""),"",IF(IFERROR(VLOOKUP($A166,Ledger!$A:$E,5,FALSE),0)&gt;=VLOOKUP($C166,RoleTitles!$A:$B,2,FALSE),"YES","NO"))</f>
        <v/>
      </c>
      <c r="K166" s="27">
        <f>IF($A166="","",IF(AND($H166="PROMOTE",$J166="YES"),"YES — PROMOTE","NO"))</f>
        <v/>
      </c>
    </row>
    <row r="167">
      <c r="A167" s="7" t="n"/>
      <c r="B167" s="7">
        <f>IF($A167="","",VLOOKUP($A167,CoachRoster!$A:$E,4,FALSE))</f>
        <v/>
      </c>
      <c r="C167" s="7" t="n"/>
      <c r="D167" s="7" t="n"/>
      <c r="E167" s="7" t="n"/>
      <c r="F167" s="7" t="n"/>
      <c r="G167" s="7" t="n"/>
      <c r="H167" s="7">
        <f>IF($A167="","",IF(AND($E167="Pass",$F167="Pass",$G167="Pass"),"PROMOTE","NOT YET"))</f>
        <v/>
      </c>
      <c r="I167" s="7" t="n"/>
      <c r="J167" s="27">
        <f>IF(OR($A167="",$C167=""),"",IF(IFERROR(VLOOKUP($A167,Ledger!$A:$E,5,FALSE),0)&gt;=VLOOKUP($C167,RoleTitles!$A:$B,2,FALSE),"YES","NO"))</f>
        <v/>
      </c>
      <c r="K167" s="27">
        <f>IF($A167="","",IF(AND($H167="PROMOTE",$J167="YES"),"YES — PROMOTE","NO"))</f>
        <v/>
      </c>
    </row>
    <row r="168">
      <c r="A168" s="7" t="n"/>
      <c r="B168" s="7">
        <f>IF($A168="","",VLOOKUP($A168,CoachRoster!$A:$E,4,FALSE))</f>
        <v/>
      </c>
      <c r="C168" s="7" t="n"/>
      <c r="D168" s="7" t="n"/>
      <c r="E168" s="7" t="n"/>
      <c r="F168" s="7" t="n"/>
      <c r="G168" s="7" t="n"/>
      <c r="H168" s="7">
        <f>IF($A168="","",IF(AND($E168="Pass",$F168="Pass",$G168="Pass"),"PROMOTE","NOT YET"))</f>
        <v/>
      </c>
      <c r="I168" s="7" t="n"/>
      <c r="J168" s="27">
        <f>IF(OR($A168="",$C168=""),"",IF(IFERROR(VLOOKUP($A168,Ledger!$A:$E,5,FALSE),0)&gt;=VLOOKUP($C168,RoleTitles!$A:$B,2,FALSE),"YES","NO"))</f>
        <v/>
      </c>
      <c r="K168" s="27">
        <f>IF($A168="","",IF(AND($H168="PROMOTE",$J168="YES"),"YES — PROMOTE","NO"))</f>
        <v/>
      </c>
    </row>
    <row r="169">
      <c r="A169" s="7" t="n"/>
      <c r="B169" s="7">
        <f>IF($A169="","",VLOOKUP($A169,CoachRoster!$A:$E,4,FALSE))</f>
        <v/>
      </c>
      <c r="C169" s="7" t="n"/>
      <c r="D169" s="7" t="n"/>
      <c r="E169" s="7" t="n"/>
      <c r="F169" s="7" t="n"/>
      <c r="G169" s="7" t="n"/>
      <c r="H169" s="7">
        <f>IF($A169="","",IF(AND($E169="Pass",$F169="Pass",$G169="Pass"),"PROMOTE","NOT YET"))</f>
        <v/>
      </c>
      <c r="I169" s="7" t="n"/>
      <c r="J169" s="27">
        <f>IF(OR($A169="",$C169=""),"",IF(IFERROR(VLOOKUP($A169,Ledger!$A:$E,5,FALSE),0)&gt;=VLOOKUP($C169,RoleTitles!$A:$B,2,FALSE),"YES","NO"))</f>
        <v/>
      </c>
      <c r="K169" s="27">
        <f>IF($A169="","",IF(AND($H169="PROMOTE",$J169="YES"),"YES — PROMOTE","NO"))</f>
        <v/>
      </c>
    </row>
    <row r="170">
      <c r="A170" s="7" t="n"/>
      <c r="B170" s="7">
        <f>IF($A170="","",VLOOKUP($A170,CoachRoster!$A:$E,4,FALSE))</f>
        <v/>
      </c>
      <c r="C170" s="7" t="n"/>
      <c r="D170" s="7" t="n"/>
      <c r="E170" s="7" t="n"/>
      <c r="F170" s="7" t="n"/>
      <c r="G170" s="7" t="n"/>
      <c r="H170" s="7">
        <f>IF($A170="","",IF(AND($E170="Pass",$F170="Pass",$G170="Pass"),"PROMOTE","NOT YET"))</f>
        <v/>
      </c>
      <c r="I170" s="7" t="n"/>
      <c r="J170" s="27">
        <f>IF(OR($A170="",$C170=""),"",IF(IFERROR(VLOOKUP($A170,Ledger!$A:$E,5,FALSE),0)&gt;=VLOOKUP($C170,RoleTitles!$A:$B,2,FALSE),"YES","NO"))</f>
        <v/>
      </c>
      <c r="K170" s="27">
        <f>IF($A170="","",IF(AND($H170="PROMOTE",$J170="YES"),"YES — PROMOTE","NO"))</f>
        <v/>
      </c>
    </row>
    <row r="171">
      <c r="A171" s="7" t="n"/>
      <c r="B171" s="7">
        <f>IF($A171="","",VLOOKUP($A171,CoachRoster!$A:$E,4,FALSE))</f>
        <v/>
      </c>
      <c r="C171" s="7" t="n"/>
      <c r="D171" s="7" t="n"/>
      <c r="E171" s="7" t="n"/>
      <c r="F171" s="7" t="n"/>
      <c r="G171" s="7" t="n"/>
      <c r="H171" s="7">
        <f>IF($A171="","",IF(AND($E171="Pass",$F171="Pass",$G171="Pass"),"PROMOTE","NOT YET"))</f>
        <v/>
      </c>
      <c r="I171" s="7" t="n"/>
      <c r="J171" s="27">
        <f>IF(OR($A171="",$C171=""),"",IF(IFERROR(VLOOKUP($A171,Ledger!$A:$E,5,FALSE),0)&gt;=VLOOKUP($C171,RoleTitles!$A:$B,2,FALSE),"YES","NO"))</f>
        <v/>
      </c>
      <c r="K171" s="27">
        <f>IF($A171="","",IF(AND($H171="PROMOTE",$J171="YES"),"YES — PROMOTE","NO"))</f>
        <v/>
      </c>
    </row>
    <row r="172">
      <c r="A172" s="7" t="n"/>
      <c r="B172" s="7">
        <f>IF($A172="","",VLOOKUP($A172,CoachRoster!$A:$E,4,FALSE))</f>
        <v/>
      </c>
      <c r="C172" s="7" t="n"/>
      <c r="D172" s="7" t="n"/>
      <c r="E172" s="7" t="n"/>
      <c r="F172" s="7" t="n"/>
      <c r="G172" s="7" t="n"/>
      <c r="H172" s="7">
        <f>IF($A172="","",IF(AND($E172="Pass",$F172="Pass",$G172="Pass"),"PROMOTE","NOT YET"))</f>
        <v/>
      </c>
      <c r="I172" s="7" t="n"/>
      <c r="J172" s="27">
        <f>IF(OR($A172="",$C172=""),"",IF(IFERROR(VLOOKUP($A172,Ledger!$A:$E,5,FALSE),0)&gt;=VLOOKUP($C172,RoleTitles!$A:$B,2,FALSE),"YES","NO"))</f>
        <v/>
      </c>
      <c r="K172" s="27">
        <f>IF($A172="","",IF(AND($H172="PROMOTE",$J172="YES"),"YES — PROMOTE","NO"))</f>
        <v/>
      </c>
    </row>
    <row r="173">
      <c r="A173" s="7" t="n"/>
      <c r="B173" s="7">
        <f>IF($A173="","",VLOOKUP($A173,CoachRoster!$A:$E,4,FALSE))</f>
        <v/>
      </c>
      <c r="C173" s="7" t="n"/>
      <c r="D173" s="7" t="n"/>
      <c r="E173" s="7" t="n"/>
      <c r="F173" s="7" t="n"/>
      <c r="G173" s="7" t="n"/>
      <c r="H173" s="7">
        <f>IF($A173="","",IF(AND($E173="Pass",$F173="Pass",$G173="Pass"),"PROMOTE","NOT YET"))</f>
        <v/>
      </c>
      <c r="I173" s="7" t="n"/>
      <c r="J173" s="27">
        <f>IF(OR($A173="",$C173=""),"",IF(IFERROR(VLOOKUP($A173,Ledger!$A:$E,5,FALSE),0)&gt;=VLOOKUP($C173,RoleTitles!$A:$B,2,FALSE),"YES","NO"))</f>
        <v/>
      </c>
      <c r="K173" s="27">
        <f>IF($A173="","",IF(AND($H173="PROMOTE",$J173="YES"),"YES — PROMOTE","NO"))</f>
        <v/>
      </c>
    </row>
    <row r="174">
      <c r="A174" s="7" t="n"/>
      <c r="B174" s="7">
        <f>IF($A174="","",VLOOKUP($A174,CoachRoster!$A:$E,4,FALSE))</f>
        <v/>
      </c>
      <c r="C174" s="7" t="n"/>
      <c r="D174" s="7" t="n"/>
      <c r="E174" s="7" t="n"/>
      <c r="F174" s="7" t="n"/>
      <c r="G174" s="7" t="n"/>
      <c r="H174" s="7">
        <f>IF($A174="","",IF(AND($E174="Pass",$F174="Pass",$G174="Pass"),"PROMOTE","NOT YET"))</f>
        <v/>
      </c>
      <c r="I174" s="7" t="n"/>
      <c r="J174" s="27">
        <f>IF(OR($A174="",$C174=""),"",IF(IFERROR(VLOOKUP($A174,Ledger!$A:$E,5,FALSE),0)&gt;=VLOOKUP($C174,RoleTitles!$A:$B,2,FALSE),"YES","NO"))</f>
        <v/>
      </c>
      <c r="K174" s="27">
        <f>IF($A174="","",IF(AND($H174="PROMOTE",$J174="YES"),"YES — PROMOTE","NO"))</f>
        <v/>
      </c>
    </row>
    <row r="175">
      <c r="A175" s="7" t="n"/>
      <c r="B175" s="7">
        <f>IF($A175="","",VLOOKUP($A175,CoachRoster!$A:$E,4,FALSE))</f>
        <v/>
      </c>
      <c r="C175" s="7" t="n"/>
      <c r="D175" s="7" t="n"/>
      <c r="E175" s="7" t="n"/>
      <c r="F175" s="7" t="n"/>
      <c r="G175" s="7" t="n"/>
      <c r="H175" s="7">
        <f>IF($A175="","",IF(AND($E175="Pass",$F175="Pass",$G175="Pass"),"PROMOTE","NOT YET"))</f>
        <v/>
      </c>
      <c r="I175" s="7" t="n"/>
      <c r="J175" s="27">
        <f>IF(OR($A175="",$C175=""),"",IF(IFERROR(VLOOKUP($A175,Ledger!$A:$E,5,FALSE),0)&gt;=VLOOKUP($C175,RoleTitles!$A:$B,2,FALSE),"YES","NO"))</f>
        <v/>
      </c>
      <c r="K175" s="27">
        <f>IF($A175="","",IF(AND($H175="PROMOTE",$J175="YES"),"YES — PROMOTE","NO"))</f>
        <v/>
      </c>
    </row>
    <row r="176">
      <c r="A176" s="7" t="n"/>
      <c r="B176" s="7">
        <f>IF($A176="","",VLOOKUP($A176,CoachRoster!$A:$E,4,FALSE))</f>
        <v/>
      </c>
      <c r="C176" s="7" t="n"/>
      <c r="D176" s="7" t="n"/>
      <c r="E176" s="7" t="n"/>
      <c r="F176" s="7" t="n"/>
      <c r="G176" s="7" t="n"/>
      <c r="H176" s="7">
        <f>IF($A176="","",IF(AND($E176="Pass",$F176="Pass",$G176="Pass"),"PROMOTE","NOT YET"))</f>
        <v/>
      </c>
      <c r="I176" s="7" t="n"/>
      <c r="J176" s="27">
        <f>IF(OR($A176="",$C176=""),"",IF(IFERROR(VLOOKUP($A176,Ledger!$A:$E,5,FALSE),0)&gt;=VLOOKUP($C176,RoleTitles!$A:$B,2,FALSE),"YES","NO"))</f>
        <v/>
      </c>
      <c r="K176" s="27">
        <f>IF($A176="","",IF(AND($H176="PROMOTE",$J176="YES"),"YES — PROMOTE","NO"))</f>
        <v/>
      </c>
    </row>
    <row r="177">
      <c r="A177" s="7" t="n"/>
      <c r="B177" s="7">
        <f>IF($A177="","",VLOOKUP($A177,CoachRoster!$A:$E,4,FALSE))</f>
        <v/>
      </c>
      <c r="C177" s="7" t="n"/>
      <c r="D177" s="7" t="n"/>
      <c r="E177" s="7" t="n"/>
      <c r="F177" s="7" t="n"/>
      <c r="G177" s="7" t="n"/>
      <c r="H177" s="7">
        <f>IF($A177="","",IF(AND($E177="Pass",$F177="Pass",$G177="Pass"),"PROMOTE","NOT YET"))</f>
        <v/>
      </c>
      <c r="I177" s="7" t="n"/>
      <c r="J177" s="27">
        <f>IF(OR($A177="",$C177=""),"",IF(IFERROR(VLOOKUP($A177,Ledger!$A:$E,5,FALSE),0)&gt;=VLOOKUP($C177,RoleTitles!$A:$B,2,FALSE),"YES","NO"))</f>
        <v/>
      </c>
      <c r="K177" s="27">
        <f>IF($A177="","",IF(AND($H177="PROMOTE",$J177="YES"),"YES — PROMOTE","NO"))</f>
        <v/>
      </c>
    </row>
    <row r="178">
      <c r="A178" s="7" t="n"/>
      <c r="B178" s="7">
        <f>IF($A178="","",VLOOKUP($A178,CoachRoster!$A:$E,4,FALSE))</f>
        <v/>
      </c>
      <c r="C178" s="7" t="n"/>
      <c r="D178" s="7" t="n"/>
      <c r="E178" s="7" t="n"/>
      <c r="F178" s="7" t="n"/>
      <c r="G178" s="7" t="n"/>
      <c r="H178" s="7">
        <f>IF($A178="","",IF(AND($E178="Pass",$F178="Pass",$G178="Pass"),"PROMOTE","NOT YET"))</f>
        <v/>
      </c>
      <c r="I178" s="7" t="n"/>
      <c r="J178" s="27">
        <f>IF(OR($A178="",$C178=""),"",IF(IFERROR(VLOOKUP($A178,Ledger!$A:$E,5,FALSE),0)&gt;=VLOOKUP($C178,RoleTitles!$A:$B,2,FALSE),"YES","NO"))</f>
        <v/>
      </c>
      <c r="K178" s="27">
        <f>IF($A178="","",IF(AND($H178="PROMOTE",$J178="YES"),"YES — PROMOTE","NO"))</f>
        <v/>
      </c>
    </row>
    <row r="179">
      <c r="A179" s="7" t="n"/>
      <c r="B179" s="7">
        <f>IF($A179="","",VLOOKUP($A179,CoachRoster!$A:$E,4,FALSE))</f>
        <v/>
      </c>
      <c r="C179" s="7" t="n"/>
      <c r="D179" s="7" t="n"/>
      <c r="E179" s="7" t="n"/>
      <c r="F179" s="7" t="n"/>
      <c r="G179" s="7" t="n"/>
      <c r="H179" s="7">
        <f>IF($A179="","",IF(AND($E179="Pass",$F179="Pass",$G179="Pass"),"PROMOTE","NOT YET"))</f>
        <v/>
      </c>
      <c r="I179" s="7" t="n"/>
      <c r="J179" s="27">
        <f>IF(OR($A179="",$C179=""),"",IF(IFERROR(VLOOKUP($A179,Ledger!$A:$E,5,FALSE),0)&gt;=VLOOKUP($C179,RoleTitles!$A:$B,2,FALSE),"YES","NO"))</f>
        <v/>
      </c>
      <c r="K179" s="27">
        <f>IF($A179="","",IF(AND($H179="PROMOTE",$J179="YES"),"YES — PROMOTE","NO"))</f>
        <v/>
      </c>
    </row>
    <row r="180">
      <c r="A180" s="7" t="n"/>
      <c r="B180" s="7">
        <f>IF($A180="","",VLOOKUP($A180,CoachRoster!$A:$E,4,FALSE))</f>
        <v/>
      </c>
      <c r="C180" s="7" t="n"/>
      <c r="D180" s="7" t="n"/>
      <c r="E180" s="7" t="n"/>
      <c r="F180" s="7" t="n"/>
      <c r="G180" s="7" t="n"/>
      <c r="H180" s="7">
        <f>IF($A180="","",IF(AND($E180="Pass",$F180="Pass",$G180="Pass"),"PROMOTE","NOT YET"))</f>
        <v/>
      </c>
      <c r="I180" s="7" t="n"/>
      <c r="J180" s="27">
        <f>IF(OR($A180="",$C180=""),"",IF(IFERROR(VLOOKUP($A180,Ledger!$A:$E,5,FALSE),0)&gt;=VLOOKUP($C180,RoleTitles!$A:$B,2,FALSE),"YES","NO"))</f>
        <v/>
      </c>
      <c r="K180" s="27">
        <f>IF($A180="","",IF(AND($H180="PROMOTE",$J180="YES"),"YES — PROMOTE","NO"))</f>
        <v/>
      </c>
    </row>
    <row r="181">
      <c r="A181" s="7" t="n"/>
      <c r="B181" s="7">
        <f>IF($A181="","",VLOOKUP($A181,CoachRoster!$A:$E,4,FALSE))</f>
        <v/>
      </c>
      <c r="C181" s="7" t="n"/>
      <c r="D181" s="7" t="n"/>
      <c r="E181" s="7" t="n"/>
      <c r="F181" s="7" t="n"/>
      <c r="G181" s="7" t="n"/>
      <c r="H181" s="7">
        <f>IF($A181="","",IF(AND($E181="Pass",$F181="Pass",$G181="Pass"),"PROMOTE","NOT YET"))</f>
        <v/>
      </c>
      <c r="I181" s="7" t="n"/>
      <c r="J181" s="27">
        <f>IF(OR($A181="",$C181=""),"",IF(IFERROR(VLOOKUP($A181,Ledger!$A:$E,5,FALSE),0)&gt;=VLOOKUP($C181,RoleTitles!$A:$B,2,FALSE),"YES","NO"))</f>
        <v/>
      </c>
      <c r="K181" s="27">
        <f>IF($A181="","",IF(AND($H181="PROMOTE",$J181="YES"),"YES — PROMOTE","NO"))</f>
        <v/>
      </c>
    </row>
    <row r="182">
      <c r="A182" s="7" t="n"/>
      <c r="B182" s="7">
        <f>IF($A182="","",VLOOKUP($A182,CoachRoster!$A:$E,4,FALSE))</f>
        <v/>
      </c>
      <c r="C182" s="7" t="n"/>
      <c r="D182" s="7" t="n"/>
      <c r="E182" s="7" t="n"/>
      <c r="F182" s="7" t="n"/>
      <c r="G182" s="7" t="n"/>
      <c r="H182" s="7">
        <f>IF($A182="","",IF(AND($E182="Pass",$F182="Pass",$G182="Pass"),"PROMOTE","NOT YET"))</f>
        <v/>
      </c>
      <c r="I182" s="7" t="n"/>
      <c r="J182" s="27">
        <f>IF(OR($A182="",$C182=""),"",IF(IFERROR(VLOOKUP($A182,Ledger!$A:$E,5,FALSE),0)&gt;=VLOOKUP($C182,RoleTitles!$A:$B,2,FALSE),"YES","NO"))</f>
        <v/>
      </c>
      <c r="K182" s="27">
        <f>IF($A182="","",IF(AND($H182="PROMOTE",$J182="YES"),"YES — PROMOTE","NO"))</f>
        <v/>
      </c>
    </row>
    <row r="183">
      <c r="A183" s="7" t="n"/>
      <c r="B183" s="7">
        <f>IF($A183="","",VLOOKUP($A183,CoachRoster!$A:$E,4,FALSE))</f>
        <v/>
      </c>
      <c r="C183" s="7" t="n"/>
      <c r="D183" s="7" t="n"/>
      <c r="E183" s="7" t="n"/>
      <c r="F183" s="7" t="n"/>
      <c r="G183" s="7" t="n"/>
      <c r="H183" s="7">
        <f>IF($A183="","",IF(AND($E183="Pass",$F183="Pass",$G183="Pass"),"PROMOTE","NOT YET"))</f>
        <v/>
      </c>
      <c r="I183" s="7" t="n"/>
      <c r="J183" s="27">
        <f>IF(OR($A183="",$C183=""),"",IF(IFERROR(VLOOKUP($A183,Ledger!$A:$E,5,FALSE),0)&gt;=VLOOKUP($C183,RoleTitles!$A:$B,2,FALSE),"YES","NO"))</f>
        <v/>
      </c>
      <c r="K183" s="27">
        <f>IF($A183="","",IF(AND($H183="PROMOTE",$J183="YES"),"YES — PROMOTE","NO"))</f>
        <v/>
      </c>
    </row>
    <row r="184">
      <c r="A184" s="7" t="n"/>
      <c r="B184" s="7">
        <f>IF($A184="","",VLOOKUP($A184,CoachRoster!$A:$E,4,FALSE))</f>
        <v/>
      </c>
      <c r="C184" s="7" t="n"/>
      <c r="D184" s="7" t="n"/>
      <c r="E184" s="7" t="n"/>
      <c r="F184" s="7" t="n"/>
      <c r="G184" s="7" t="n"/>
      <c r="H184" s="7">
        <f>IF($A184="","",IF(AND($E184="Pass",$F184="Pass",$G184="Pass"),"PROMOTE","NOT YET"))</f>
        <v/>
      </c>
      <c r="I184" s="7" t="n"/>
      <c r="J184" s="27">
        <f>IF(OR($A184="",$C184=""),"",IF(IFERROR(VLOOKUP($A184,Ledger!$A:$E,5,FALSE),0)&gt;=VLOOKUP($C184,RoleTitles!$A:$B,2,FALSE),"YES","NO"))</f>
        <v/>
      </c>
      <c r="K184" s="27">
        <f>IF($A184="","",IF(AND($H184="PROMOTE",$J184="YES"),"YES — PROMOTE","NO"))</f>
        <v/>
      </c>
    </row>
    <row r="185">
      <c r="A185" s="7" t="n"/>
      <c r="B185" s="7">
        <f>IF($A185="","",VLOOKUP($A185,CoachRoster!$A:$E,4,FALSE))</f>
        <v/>
      </c>
      <c r="C185" s="7" t="n"/>
      <c r="D185" s="7" t="n"/>
      <c r="E185" s="7" t="n"/>
      <c r="F185" s="7" t="n"/>
      <c r="G185" s="7" t="n"/>
      <c r="H185" s="7">
        <f>IF($A185="","",IF(AND($E185="Pass",$F185="Pass",$G185="Pass"),"PROMOTE","NOT YET"))</f>
        <v/>
      </c>
      <c r="I185" s="7" t="n"/>
      <c r="J185" s="27">
        <f>IF(OR($A185="",$C185=""),"",IF(IFERROR(VLOOKUP($A185,Ledger!$A:$E,5,FALSE),0)&gt;=VLOOKUP($C185,RoleTitles!$A:$B,2,FALSE),"YES","NO"))</f>
        <v/>
      </c>
      <c r="K185" s="27">
        <f>IF($A185="","",IF(AND($H185="PROMOTE",$J185="YES"),"YES — PROMOTE","NO"))</f>
        <v/>
      </c>
    </row>
    <row r="186">
      <c r="A186" s="7" t="n"/>
      <c r="B186" s="7">
        <f>IF($A186="","",VLOOKUP($A186,CoachRoster!$A:$E,4,FALSE))</f>
        <v/>
      </c>
      <c r="C186" s="7" t="n"/>
      <c r="D186" s="7" t="n"/>
      <c r="E186" s="7" t="n"/>
      <c r="F186" s="7" t="n"/>
      <c r="G186" s="7" t="n"/>
      <c r="H186" s="7">
        <f>IF($A186="","",IF(AND($E186="Pass",$F186="Pass",$G186="Pass"),"PROMOTE","NOT YET"))</f>
        <v/>
      </c>
      <c r="I186" s="7" t="n"/>
      <c r="J186" s="27">
        <f>IF(OR($A186="",$C186=""),"",IF(IFERROR(VLOOKUP($A186,Ledger!$A:$E,5,FALSE),0)&gt;=VLOOKUP($C186,RoleTitles!$A:$B,2,FALSE),"YES","NO"))</f>
        <v/>
      </c>
      <c r="K186" s="27">
        <f>IF($A186="","",IF(AND($H186="PROMOTE",$J186="YES"),"YES — PROMOTE","NO"))</f>
        <v/>
      </c>
    </row>
    <row r="187">
      <c r="A187" s="7" t="n"/>
      <c r="B187" s="7">
        <f>IF($A187="","",VLOOKUP($A187,CoachRoster!$A:$E,4,FALSE))</f>
        <v/>
      </c>
      <c r="C187" s="7" t="n"/>
      <c r="D187" s="7" t="n"/>
      <c r="E187" s="7" t="n"/>
      <c r="F187" s="7" t="n"/>
      <c r="G187" s="7" t="n"/>
      <c r="H187" s="7">
        <f>IF($A187="","",IF(AND($E187="Pass",$F187="Pass",$G187="Pass"),"PROMOTE","NOT YET"))</f>
        <v/>
      </c>
      <c r="I187" s="7" t="n"/>
      <c r="J187" s="27">
        <f>IF(OR($A187="",$C187=""),"",IF(IFERROR(VLOOKUP($A187,Ledger!$A:$E,5,FALSE),0)&gt;=VLOOKUP($C187,RoleTitles!$A:$B,2,FALSE),"YES","NO"))</f>
        <v/>
      </c>
      <c r="K187" s="27">
        <f>IF($A187="","",IF(AND($H187="PROMOTE",$J187="YES"),"YES — PROMOTE","NO"))</f>
        <v/>
      </c>
    </row>
    <row r="188">
      <c r="A188" s="7" t="n"/>
      <c r="B188" s="7">
        <f>IF($A188="","",VLOOKUP($A188,CoachRoster!$A:$E,4,FALSE))</f>
        <v/>
      </c>
      <c r="C188" s="7" t="n"/>
      <c r="D188" s="7" t="n"/>
      <c r="E188" s="7" t="n"/>
      <c r="F188" s="7" t="n"/>
      <c r="G188" s="7" t="n"/>
      <c r="H188" s="7">
        <f>IF($A188="","",IF(AND($E188="Pass",$F188="Pass",$G188="Pass"),"PROMOTE","NOT YET"))</f>
        <v/>
      </c>
      <c r="I188" s="7" t="n"/>
      <c r="J188" s="27">
        <f>IF(OR($A188="",$C188=""),"",IF(IFERROR(VLOOKUP($A188,Ledger!$A:$E,5,FALSE),0)&gt;=VLOOKUP($C188,RoleTitles!$A:$B,2,FALSE),"YES","NO"))</f>
        <v/>
      </c>
      <c r="K188" s="27">
        <f>IF($A188="","",IF(AND($H188="PROMOTE",$J188="YES"),"YES — PROMOTE","NO"))</f>
        <v/>
      </c>
    </row>
    <row r="189">
      <c r="A189" s="7" t="n"/>
      <c r="B189" s="7">
        <f>IF($A189="","",VLOOKUP($A189,CoachRoster!$A:$E,4,FALSE))</f>
        <v/>
      </c>
      <c r="C189" s="7" t="n"/>
      <c r="D189" s="7" t="n"/>
      <c r="E189" s="7" t="n"/>
      <c r="F189" s="7" t="n"/>
      <c r="G189" s="7" t="n"/>
      <c r="H189" s="7">
        <f>IF($A189="","",IF(AND($E189="Pass",$F189="Pass",$G189="Pass"),"PROMOTE","NOT YET"))</f>
        <v/>
      </c>
      <c r="I189" s="7" t="n"/>
      <c r="J189" s="27">
        <f>IF(OR($A189="",$C189=""),"",IF(IFERROR(VLOOKUP($A189,Ledger!$A:$E,5,FALSE),0)&gt;=VLOOKUP($C189,RoleTitles!$A:$B,2,FALSE),"YES","NO"))</f>
        <v/>
      </c>
      <c r="K189" s="27">
        <f>IF($A189="","",IF(AND($H189="PROMOTE",$J189="YES"),"YES — PROMOTE","NO"))</f>
        <v/>
      </c>
    </row>
    <row r="190">
      <c r="A190" s="7" t="n"/>
      <c r="B190" s="7">
        <f>IF($A190="","",VLOOKUP($A190,CoachRoster!$A:$E,4,FALSE))</f>
        <v/>
      </c>
      <c r="C190" s="7" t="n"/>
      <c r="D190" s="7" t="n"/>
      <c r="E190" s="7" t="n"/>
      <c r="F190" s="7" t="n"/>
      <c r="G190" s="7" t="n"/>
      <c r="H190" s="7">
        <f>IF($A190="","",IF(AND($E190="Pass",$F190="Pass",$G190="Pass"),"PROMOTE","NOT YET"))</f>
        <v/>
      </c>
      <c r="I190" s="7" t="n"/>
      <c r="J190" s="27">
        <f>IF(OR($A190="",$C190=""),"",IF(IFERROR(VLOOKUP($A190,Ledger!$A:$E,5,FALSE),0)&gt;=VLOOKUP($C190,RoleTitles!$A:$B,2,FALSE),"YES","NO"))</f>
        <v/>
      </c>
      <c r="K190" s="27">
        <f>IF($A190="","",IF(AND($H190="PROMOTE",$J190="YES"),"YES — PROMOTE","NO"))</f>
        <v/>
      </c>
    </row>
    <row r="191">
      <c r="A191" s="7" t="n"/>
      <c r="B191" s="7">
        <f>IF($A191="","",VLOOKUP($A191,CoachRoster!$A:$E,4,FALSE))</f>
        <v/>
      </c>
      <c r="C191" s="7" t="n"/>
      <c r="D191" s="7" t="n"/>
      <c r="E191" s="7" t="n"/>
      <c r="F191" s="7" t="n"/>
      <c r="G191" s="7" t="n"/>
      <c r="H191" s="7">
        <f>IF($A191="","",IF(AND($E191="Pass",$F191="Pass",$G191="Pass"),"PROMOTE","NOT YET"))</f>
        <v/>
      </c>
      <c r="I191" s="7" t="n"/>
      <c r="J191" s="27">
        <f>IF(OR($A191="",$C191=""),"",IF(IFERROR(VLOOKUP($A191,Ledger!$A:$E,5,FALSE),0)&gt;=VLOOKUP($C191,RoleTitles!$A:$B,2,FALSE),"YES","NO"))</f>
        <v/>
      </c>
      <c r="K191" s="27">
        <f>IF($A191="","",IF(AND($H191="PROMOTE",$J191="YES"),"YES — PROMOTE","NO"))</f>
        <v/>
      </c>
    </row>
    <row r="192">
      <c r="A192" s="7" t="n"/>
      <c r="B192" s="7">
        <f>IF($A192="","",VLOOKUP($A192,CoachRoster!$A:$E,4,FALSE))</f>
        <v/>
      </c>
      <c r="C192" s="7" t="n"/>
      <c r="D192" s="7" t="n"/>
      <c r="E192" s="7" t="n"/>
      <c r="F192" s="7" t="n"/>
      <c r="G192" s="7" t="n"/>
      <c r="H192" s="7">
        <f>IF($A192="","",IF(AND($E192="Pass",$F192="Pass",$G192="Pass"),"PROMOTE","NOT YET"))</f>
        <v/>
      </c>
      <c r="I192" s="7" t="n"/>
      <c r="J192" s="27">
        <f>IF(OR($A192="",$C192=""),"",IF(IFERROR(VLOOKUP($A192,Ledger!$A:$E,5,FALSE),0)&gt;=VLOOKUP($C192,RoleTitles!$A:$B,2,FALSE),"YES","NO"))</f>
        <v/>
      </c>
      <c r="K192" s="27">
        <f>IF($A192="","",IF(AND($H192="PROMOTE",$J192="YES"),"YES — PROMOTE","NO"))</f>
        <v/>
      </c>
    </row>
    <row r="193">
      <c r="A193" s="7" t="n"/>
      <c r="B193" s="7">
        <f>IF($A193="","",VLOOKUP($A193,CoachRoster!$A:$E,4,FALSE))</f>
        <v/>
      </c>
      <c r="C193" s="7" t="n"/>
      <c r="D193" s="7" t="n"/>
      <c r="E193" s="7" t="n"/>
      <c r="F193" s="7" t="n"/>
      <c r="G193" s="7" t="n"/>
      <c r="H193" s="7">
        <f>IF($A193="","",IF(AND($E193="Pass",$F193="Pass",$G193="Pass"),"PROMOTE","NOT YET"))</f>
        <v/>
      </c>
      <c r="I193" s="7" t="n"/>
      <c r="J193" s="27">
        <f>IF(OR($A193="",$C193=""),"",IF(IFERROR(VLOOKUP($A193,Ledger!$A:$E,5,FALSE),0)&gt;=VLOOKUP($C193,RoleTitles!$A:$B,2,FALSE),"YES","NO"))</f>
        <v/>
      </c>
      <c r="K193" s="27">
        <f>IF($A193="","",IF(AND($H193="PROMOTE",$J193="YES"),"YES — PROMOTE","NO"))</f>
        <v/>
      </c>
    </row>
    <row r="194">
      <c r="A194" s="7" t="n"/>
      <c r="B194" s="7">
        <f>IF($A194="","",VLOOKUP($A194,CoachRoster!$A:$E,4,FALSE))</f>
        <v/>
      </c>
      <c r="C194" s="7" t="n"/>
      <c r="D194" s="7" t="n"/>
      <c r="E194" s="7" t="n"/>
      <c r="F194" s="7" t="n"/>
      <c r="G194" s="7" t="n"/>
      <c r="H194" s="7">
        <f>IF($A194="","",IF(AND($E194="Pass",$F194="Pass",$G194="Pass"),"PROMOTE","NOT YET"))</f>
        <v/>
      </c>
      <c r="I194" s="7" t="n"/>
      <c r="J194" s="27">
        <f>IF(OR($A194="",$C194=""),"",IF(IFERROR(VLOOKUP($A194,Ledger!$A:$E,5,FALSE),0)&gt;=VLOOKUP($C194,RoleTitles!$A:$B,2,FALSE),"YES","NO"))</f>
        <v/>
      </c>
      <c r="K194" s="27">
        <f>IF($A194="","",IF(AND($H194="PROMOTE",$J194="YES"),"YES — PROMOTE","NO"))</f>
        <v/>
      </c>
    </row>
    <row r="195">
      <c r="A195" s="7" t="n"/>
      <c r="B195" s="7">
        <f>IF($A195="","",VLOOKUP($A195,CoachRoster!$A:$E,4,FALSE))</f>
        <v/>
      </c>
      <c r="C195" s="7" t="n"/>
      <c r="D195" s="7" t="n"/>
      <c r="E195" s="7" t="n"/>
      <c r="F195" s="7" t="n"/>
      <c r="G195" s="7" t="n"/>
      <c r="H195" s="7">
        <f>IF($A195="","",IF(AND($E195="Pass",$F195="Pass",$G195="Pass"),"PROMOTE","NOT YET"))</f>
        <v/>
      </c>
      <c r="I195" s="7" t="n"/>
      <c r="J195" s="27">
        <f>IF(OR($A195="",$C195=""),"",IF(IFERROR(VLOOKUP($A195,Ledger!$A:$E,5,FALSE),0)&gt;=VLOOKUP($C195,RoleTitles!$A:$B,2,FALSE),"YES","NO"))</f>
        <v/>
      </c>
      <c r="K195" s="27">
        <f>IF($A195="","",IF(AND($H195="PROMOTE",$J195="YES"),"YES — PROMOTE","NO"))</f>
        <v/>
      </c>
    </row>
    <row r="196">
      <c r="A196" s="7" t="n"/>
      <c r="B196" s="7">
        <f>IF($A196="","",VLOOKUP($A196,CoachRoster!$A:$E,4,FALSE))</f>
        <v/>
      </c>
      <c r="C196" s="7" t="n"/>
      <c r="D196" s="7" t="n"/>
      <c r="E196" s="7" t="n"/>
      <c r="F196" s="7" t="n"/>
      <c r="G196" s="7" t="n"/>
      <c r="H196" s="7">
        <f>IF($A196="","",IF(AND($E196="Pass",$F196="Pass",$G196="Pass"),"PROMOTE","NOT YET"))</f>
        <v/>
      </c>
      <c r="I196" s="7" t="n"/>
      <c r="J196" s="27">
        <f>IF(OR($A196="",$C196=""),"",IF(IFERROR(VLOOKUP($A196,Ledger!$A:$E,5,FALSE),0)&gt;=VLOOKUP($C196,RoleTitles!$A:$B,2,FALSE),"YES","NO"))</f>
        <v/>
      </c>
      <c r="K196" s="27">
        <f>IF($A196="","",IF(AND($H196="PROMOTE",$J196="YES"),"YES — PROMOTE","NO"))</f>
        <v/>
      </c>
    </row>
    <row r="197">
      <c r="A197" s="7" t="n"/>
      <c r="B197" s="7">
        <f>IF($A197="","",VLOOKUP($A197,CoachRoster!$A:$E,4,FALSE))</f>
        <v/>
      </c>
      <c r="C197" s="7" t="n"/>
      <c r="D197" s="7" t="n"/>
      <c r="E197" s="7" t="n"/>
      <c r="F197" s="7" t="n"/>
      <c r="G197" s="7" t="n"/>
      <c r="H197" s="7">
        <f>IF($A197="","",IF(AND($E197="Pass",$F197="Pass",$G197="Pass"),"PROMOTE","NOT YET"))</f>
        <v/>
      </c>
      <c r="I197" s="7" t="n"/>
      <c r="J197" s="27">
        <f>IF(OR($A197="",$C197=""),"",IF(IFERROR(VLOOKUP($A197,Ledger!$A:$E,5,FALSE),0)&gt;=VLOOKUP($C197,RoleTitles!$A:$B,2,FALSE),"YES","NO"))</f>
        <v/>
      </c>
      <c r="K197" s="27">
        <f>IF($A197="","",IF(AND($H197="PROMOTE",$J197="YES"),"YES — PROMOTE","NO"))</f>
        <v/>
      </c>
    </row>
    <row r="198">
      <c r="A198" s="7" t="n"/>
      <c r="B198" s="7">
        <f>IF($A198="","",VLOOKUP($A198,CoachRoster!$A:$E,4,FALSE))</f>
        <v/>
      </c>
      <c r="C198" s="7" t="n"/>
      <c r="D198" s="7" t="n"/>
      <c r="E198" s="7" t="n"/>
      <c r="F198" s="7" t="n"/>
      <c r="G198" s="7" t="n"/>
      <c r="H198" s="7">
        <f>IF($A198="","",IF(AND($E198="Pass",$F198="Pass",$G198="Pass"),"PROMOTE","NOT YET"))</f>
        <v/>
      </c>
      <c r="I198" s="7" t="n"/>
      <c r="J198" s="27">
        <f>IF(OR($A198="",$C198=""),"",IF(IFERROR(VLOOKUP($A198,Ledger!$A:$E,5,FALSE),0)&gt;=VLOOKUP($C198,RoleTitles!$A:$B,2,FALSE),"YES","NO"))</f>
        <v/>
      </c>
      <c r="K198" s="27">
        <f>IF($A198="","",IF(AND($H198="PROMOTE",$J198="YES"),"YES — PROMOTE","NO"))</f>
        <v/>
      </c>
    </row>
    <row r="199">
      <c r="A199" s="7" t="n"/>
      <c r="B199" s="7">
        <f>IF($A199="","",VLOOKUP($A199,CoachRoster!$A:$E,4,FALSE))</f>
        <v/>
      </c>
      <c r="C199" s="7" t="n"/>
      <c r="D199" s="7" t="n"/>
      <c r="E199" s="7" t="n"/>
      <c r="F199" s="7" t="n"/>
      <c r="G199" s="7" t="n"/>
      <c r="H199" s="7">
        <f>IF($A199="","",IF(AND($E199="Pass",$F199="Pass",$G199="Pass"),"PROMOTE","NOT YET"))</f>
        <v/>
      </c>
      <c r="I199" s="7" t="n"/>
      <c r="J199" s="27">
        <f>IF(OR($A199="",$C199=""),"",IF(IFERROR(VLOOKUP($A199,Ledger!$A:$E,5,FALSE),0)&gt;=VLOOKUP($C199,RoleTitles!$A:$B,2,FALSE),"YES","NO"))</f>
        <v/>
      </c>
      <c r="K199" s="27">
        <f>IF($A199="","",IF(AND($H199="PROMOTE",$J199="YES"),"YES — PROMOTE","NO"))</f>
        <v/>
      </c>
    </row>
    <row r="200">
      <c r="A200" s="7" t="n"/>
      <c r="B200" s="7">
        <f>IF($A200="","",VLOOKUP($A200,CoachRoster!$A:$E,4,FALSE))</f>
        <v/>
      </c>
      <c r="C200" s="7" t="n"/>
      <c r="D200" s="7" t="n"/>
      <c r="E200" s="7" t="n"/>
      <c r="F200" s="7" t="n"/>
      <c r="G200" s="7" t="n"/>
      <c r="H200" s="7">
        <f>IF($A200="","",IF(AND($E200="Pass",$F200="Pass",$G200="Pass"),"PROMOTE","NOT YET"))</f>
        <v/>
      </c>
      <c r="I200" s="7" t="n"/>
      <c r="J200" s="27">
        <f>IF(OR($A200="",$C200=""),"",IF(IFERROR(VLOOKUP($A200,Ledger!$A:$E,5,FALSE),0)&gt;=VLOOKUP($C200,RoleTitles!$A:$B,2,FALSE),"YES","NO"))</f>
        <v/>
      </c>
      <c r="K200" s="27">
        <f>IF($A200="","",IF(AND($H200="PROMOTE",$J200="YES"),"YES — PROMOTE","NO"))</f>
        <v/>
      </c>
    </row>
    <row r="201">
      <c r="A201" s="7" t="n"/>
      <c r="B201" s="7">
        <f>IF($A201="","",VLOOKUP($A201,CoachRoster!$A:$E,4,FALSE))</f>
        <v/>
      </c>
      <c r="C201" s="7" t="n"/>
      <c r="D201" s="7" t="n"/>
      <c r="E201" s="7" t="n"/>
      <c r="F201" s="7" t="n"/>
      <c r="G201" s="7" t="n"/>
      <c r="H201" s="7">
        <f>IF($A201="","",IF(AND($E201="Pass",$F201="Pass",$G201="Pass"),"PROMOTE","NOT YET"))</f>
        <v/>
      </c>
      <c r="I201" s="7" t="n"/>
      <c r="J201" s="27">
        <f>IF(OR($A201="",$C201=""),"",IF(IFERROR(VLOOKUP($A201,Ledger!$A:$E,5,FALSE),0)&gt;=VLOOKUP($C201,RoleTitles!$A:$B,2,FALSE),"YES","NO"))</f>
        <v/>
      </c>
      <c r="K201" s="27">
        <f>IF($A201="","",IF(AND($H201="PROMOTE",$J201="YES"),"YES — PROMOTE","NO"))</f>
        <v/>
      </c>
    </row>
    <row r="202">
      <c r="A202" s="7" t="n"/>
      <c r="B202" s="7">
        <f>IF($A202="","",VLOOKUP($A202,CoachRoster!$A:$E,4,FALSE))</f>
        <v/>
      </c>
      <c r="C202" s="7" t="n"/>
      <c r="D202" s="7" t="n"/>
      <c r="E202" s="7" t="n"/>
      <c r="F202" s="7" t="n"/>
      <c r="G202" s="7" t="n"/>
      <c r="H202" s="7">
        <f>IF($A202="","",IF(AND($E202="Pass",$F202="Pass",$G202="Pass"),"PROMOTE","NOT YET"))</f>
        <v/>
      </c>
      <c r="I202" s="7" t="n"/>
      <c r="J202" s="27">
        <f>IF(OR($A202="",$C202=""),"",IF(IFERROR(VLOOKUP($A202,Ledger!$A:$E,5,FALSE),0)&gt;=VLOOKUP($C202,RoleTitles!$A:$B,2,FALSE),"YES","NO"))</f>
        <v/>
      </c>
      <c r="K202" s="27">
        <f>IF($A202="","",IF(AND($H202="PROMOTE",$J202="YES"),"YES — PROMOTE","NO"))</f>
        <v/>
      </c>
    </row>
    <row r="203">
      <c r="A203" s="7" t="n"/>
      <c r="B203" s="7">
        <f>IF($A203="","",VLOOKUP($A203,CoachRoster!$A:$E,4,FALSE))</f>
        <v/>
      </c>
      <c r="C203" s="7" t="n"/>
      <c r="D203" s="7" t="n"/>
      <c r="E203" s="7" t="n"/>
      <c r="F203" s="7" t="n"/>
      <c r="G203" s="7" t="n"/>
      <c r="H203" s="7">
        <f>IF($A203="","",IF(AND($E203="Pass",$F203="Pass",$G203="Pass"),"PROMOTE","NOT YET"))</f>
        <v/>
      </c>
      <c r="I203" s="7" t="n"/>
      <c r="J203" s="27">
        <f>IF(OR($A203="",$C203=""),"",IF(IFERROR(VLOOKUP($A203,Ledger!$A:$E,5,FALSE),0)&gt;=VLOOKUP($C203,RoleTitles!$A:$B,2,FALSE),"YES","NO"))</f>
        <v/>
      </c>
      <c r="K203" s="27">
        <f>IF($A203="","",IF(AND($H203="PROMOTE",$J203="YES"),"YES — PROMOTE","NO"))</f>
        <v/>
      </c>
    </row>
    <row r="204">
      <c r="A204" s="7" t="n"/>
      <c r="B204" s="7">
        <f>IF($A204="","",VLOOKUP($A204,CoachRoster!$A:$E,4,FALSE))</f>
        <v/>
      </c>
      <c r="C204" s="7" t="n"/>
      <c r="D204" s="7" t="n"/>
      <c r="E204" s="7" t="n"/>
      <c r="F204" s="7" t="n"/>
      <c r="G204" s="7" t="n"/>
      <c r="H204" s="7">
        <f>IF($A204="","",IF(AND($E204="Pass",$F204="Pass",$G204="Pass"),"PROMOTE","NOT YET"))</f>
        <v/>
      </c>
      <c r="I204" s="7" t="n"/>
      <c r="J204" s="27">
        <f>IF(OR($A204="",$C204=""),"",IF(IFERROR(VLOOKUP($A204,Ledger!$A:$E,5,FALSE),0)&gt;=VLOOKUP($C204,RoleTitles!$A:$B,2,FALSE),"YES","NO"))</f>
        <v/>
      </c>
      <c r="K204" s="27">
        <f>IF($A204="","",IF(AND($H204="PROMOTE",$J204="YES"),"YES — PROMOTE","NO"))</f>
        <v/>
      </c>
    </row>
    <row r="205">
      <c r="A205" s="7" t="n"/>
      <c r="B205" s="7">
        <f>IF($A205="","",VLOOKUP($A205,CoachRoster!$A:$E,4,FALSE))</f>
        <v/>
      </c>
      <c r="C205" s="7" t="n"/>
      <c r="D205" s="7" t="n"/>
      <c r="E205" s="7" t="n"/>
      <c r="F205" s="7" t="n"/>
      <c r="G205" s="7" t="n"/>
      <c r="H205" s="7">
        <f>IF($A205="","",IF(AND($E205="Pass",$F205="Pass",$G205="Pass"),"PROMOTE","NOT YET"))</f>
        <v/>
      </c>
      <c r="I205" s="7" t="n"/>
      <c r="J205" s="27">
        <f>IF(OR($A205="",$C205=""),"",IF(IFERROR(VLOOKUP($A205,Ledger!$A:$E,5,FALSE),0)&gt;=VLOOKUP($C205,RoleTitles!$A:$B,2,FALSE),"YES","NO"))</f>
        <v/>
      </c>
      <c r="K205" s="27">
        <f>IF($A205="","",IF(AND($H205="PROMOTE",$J205="YES"),"YES — PROMOTE","NO"))</f>
        <v/>
      </c>
    </row>
    <row r="206">
      <c r="A206" s="7" t="n"/>
      <c r="B206" s="7">
        <f>IF($A206="","",VLOOKUP($A206,CoachRoster!$A:$E,4,FALSE))</f>
        <v/>
      </c>
      <c r="C206" s="7" t="n"/>
      <c r="D206" s="7" t="n"/>
      <c r="E206" s="7" t="n"/>
      <c r="F206" s="7" t="n"/>
      <c r="G206" s="7" t="n"/>
      <c r="H206" s="7">
        <f>IF($A206="","",IF(AND($E206="Pass",$F206="Pass",$G206="Pass"),"PROMOTE","NOT YET"))</f>
        <v/>
      </c>
      <c r="I206" s="7" t="n"/>
      <c r="J206" s="27">
        <f>IF(OR($A206="",$C206=""),"",IF(IFERROR(VLOOKUP($A206,Ledger!$A:$E,5,FALSE),0)&gt;=VLOOKUP($C206,RoleTitles!$A:$B,2,FALSE),"YES","NO"))</f>
        <v/>
      </c>
      <c r="K206" s="27">
        <f>IF($A206="","",IF(AND($H206="PROMOTE",$J206="YES"),"YES — PROMOTE","NO"))</f>
        <v/>
      </c>
    </row>
    <row r="207">
      <c r="A207" s="7" t="n"/>
      <c r="B207" s="7">
        <f>IF($A207="","",VLOOKUP($A207,CoachRoster!$A:$E,4,FALSE))</f>
        <v/>
      </c>
      <c r="C207" s="7" t="n"/>
      <c r="D207" s="7" t="n"/>
      <c r="E207" s="7" t="n"/>
      <c r="F207" s="7" t="n"/>
      <c r="G207" s="7" t="n"/>
      <c r="H207" s="7">
        <f>IF($A207="","",IF(AND($E207="Pass",$F207="Pass",$G207="Pass"),"PROMOTE","NOT YET"))</f>
        <v/>
      </c>
      <c r="I207" s="7" t="n"/>
      <c r="J207" s="27">
        <f>IF(OR($A207="",$C207=""),"",IF(IFERROR(VLOOKUP($A207,Ledger!$A:$E,5,FALSE),0)&gt;=VLOOKUP($C207,RoleTitles!$A:$B,2,FALSE),"YES","NO"))</f>
        <v/>
      </c>
      <c r="K207" s="27">
        <f>IF($A207="","",IF(AND($H207="PROMOTE",$J207="YES"),"YES — PROMOTE","NO"))</f>
        <v/>
      </c>
    </row>
    <row r="208">
      <c r="A208" s="7" t="n"/>
      <c r="B208" s="7">
        <f>IF($A208="","",VLOOKUP($A208,CoachRoster!$A:$E,4,FALSE))</f>
        <v/>
      </c>
      <c r="C208" s="7" t="n"/>
      <c r="D208" s="7" t="n"/>
      <c r="E208" s="7" t="n"/>
      <c r="F208" s="7" t="n"/>
      <c r="G208" s="7" t="n"/>
      <c r="H208" s="7">
        <f>IF($A208="","",IF(AND($E208="Pass",$F208="Pass",$G208="Pass"),"PROMOTE","NOT YET"))</f>
        <v/>
      </c>
      <c r="I208" s="7" t="n"/>
      <c r="J208" s="27">
        <f>IF(OR($A208="",$C208=""),"",IF(IFERROR(VLOOKUP($A208,Ledger!$A:$E,5,FALSE),0)&gt;=VLOOKUP($C208,RoleTitles!$A:$B,2,FALSE),"YES","NO"))</f>
        <v/>
      </c>
      <c r="K208" s="27">
        <f>IF($A208="","",IF(AND($H208="PROMOTE",$J208="YES"),"YES — PROMOTE","NO"))</f>
        <v/>
      </c>
    </row>
    <row r="209">
      <c r="A209" s="7" t="n"/>
      <c r="B209" s="7">
        <f>IF($A209="","",VLOOKUP($A209,CoachRoster!$A:$E,4,FALSE))</f>
        <v/>
      </c>
      <c r="C209" s="7" t="n"/>
      <c r="D209" s="7" t="n"/>
      <c r="E209" s="7" t="n"/>
      <c r="F209" s="7" t="n"/>
      <c r="G209" s="7" t="n"/>
      <c r="H209" s="7">
        <f>IF($A209="","",IF(AND($E209="Pass",$F209="Pass",$G209="Pass"),"PROMOTE","NOT YET"))</f>
        <v/>
      </c>
      <c r="I209" s="7" t="n"/>
      <c r="J209" s="27">
        <f>IF(OR($A209="",$C209=""),"",IF(IFERROR(VLOOKUP($A209,Ledger!$A:$E,5,FALSE),0)&gt;=VLOOKUP($C209,RoleTitles!$A:$B,2,FALSE),"YES","NO"))</f>
        <v/>
      </c>
      <c r="K209" s="27">
        <f>IF($A209="","",IF(AND($H209="PROMOTE",$J209="YES"),"YES — PROMOTE","NO"))</f>
        <v/>
      </c>
    </row>
    <row r="210">
      <c r="A210" s="7" t="n"/>
      <c r="B210" s="7">
        <f>IF($A210="","",VLOOKUP($A210,CoachRoster!$A:$E,4,FALSE))</f>
        <v/>
      </c>
      <c r="C210" s="7" t="n"/>
      <c r="D210" s="7" t="n"/>
      <c r="E210" s="7" t="n"/>
      <c r="F210" s="7" t="n"/>
      <c r="G210" s="7" t="n"/>
      <c r="H210" s="7">
        <f>IF($A210="","",IF(AND($E210="Pass",$F210="Pass",$G210="Pass"),"PROMOTE","NOT YET"))</f>
        <v/>
      </c>
      <c r="I210" s="7" t="n"/>
      <c r="J210" s="27">
        <f>IF(OR($A210="",$C210=""),"",IF(IFERROR(VLOOKUP($A210,Ledger!$A:$E,5,FALSE),0)&gt;=VLOOKUP($C210,RoleTitles!$A:$B,2,FALSE),"YES","NO"))</f>
        <v/>
      </c>
      <c r="K210" s="27">
        <f>IF($A210="","",IF(AND($H210="PROMOTE",$J210="YES"),"YES — PROMOTE","NO"))</f>
        <v/>
      </c>
    </row>
    <row r="211">
      <c r="A211" s="7" t="n"/>
      <c r="B211" s="7">
        <f>IF($A211="","",VLOOKUP($A211,CoachRoster!$A:$E,4,FALSE))</f>
        <v/>
      </c>
      <c r="C211" s="7" t="n"/>
      <c r="D211" s="7" t="n"/>
      <c r="E211" s="7" t="n"/>
      <c r="F211" s="7" t="n"/>
      <c r="G211" s="7" t="n"/>
      <c r="H211" s="7">
        <f>IF($A211="","",IF(AND($E211="Pass",$F211="Pass",$G211="Pass"),"PROMOTE","NOT YET"))</f>
        <v/>
      </c>
      <c r="I211" s="7" t="n"/>
      <c r="J211" s="27">
        <f>IF(OR($A211="",$C211=""),"",IF(IFERROR(VLOOKUP($A211,Ledger!$A:$E,5,FALSE),0)&gt;=VLOOKUP($C211,RoleTitles!$A:$B,2,FALSE),"YES","NO"))</f>
        <v/>
      </c>
      <c r="K211" s="27">
        <f>IF($A211="","",IF(AND($H211="PROMOTE",$J211="YES"),"YES — PROMOTE","NO"))</f>
        <v/>
      </c>
    </row>
    <row r="212">
      <c r="A212" s="7" t="n"/>
      <c r="B212" s="7">
        <f>IF($A212="","",VLOOKUP($A212,CoachRoster!$A:$E,4,FALSE))</f>
        <v/>
      </c>
      <c r="C212" s="7" t="n"/>
      <c r="D212" s="7" t="n"/>
      <c r="E212" s="7" t="n"/>
      <c r="F212" s="7" t="n"/>
      <c r="G212" s="7" t="n"/>
      <c r="H212" s="7">
        <f>IF($A212="","",IF(AND($E212="Pass",$F212="Pass",$G212="Pass"),"PROMOTE","NOT YET"))</f>
        <v/>
      </c>
      <c r="I212" s="7" t="n"/>
      <c r="J212" s="27">
        <f>IF(OR($A212="",$C212=""),"",IF(IFERROR(VLOOKUP($A212,Ledger!$A:$E,5,FALSE),0)&gt;=VLOOKUP($C212,RoleTitles!$A:$B,2,FALSE),"YES","NO"))</f>
        <v/>
      </c>
      <c r="K212" s="27">
        <f>IF($A212="","",IF(AND($H212="PROMOTE",$J212="YES"),"YES — PROMOTE","NO"))</f>
        <v/>
      </c>
    </row>
    <row r="213">
      <c r="A213" s="7" t="n"/>
      <c r="B213" s="7">
        <f>IF($A213="","",VLOOKUP($A213,CoachRoster!$A:$E,4,FALSE))</f>
        <v/>
      </c>
      <c r="C213" s="7" t="n"/>
      <c r="D213" s="7" t="n"/>
      <c r="E213" s="7" t="n"/>
      <c r="F213" s="7" t="n"/>
      <c r="G213" s="7" t="n"/>
      <c r="H213" s="7">
        <f>IF($A213="","",IF(AND($E213="Pass",$F213="Pass",$G213="Pass"),"PROMOTE","NOT YET"))</f>
        <v/>
      </c>
      <c r="I213" s="7" t="n"/>
      <c r="J213" s="27">
        <f>IF(OR($A213="",$C213=""),"",IF(IFERROR(VLOOKUP($A213,Ledger!$A:$E,5,FALSE),0)&gt;=VLOOKUP($C213,RoleTitles!$A:$B,2,FALSE),"YES","NO"))</f>
        <v/>
      </c>
      <c r="K213" s="27">
        <f>IF($A213="","",IF(AND($H213="PROMOTE",$J213="YES"),"YES — PROMOTE","NO"))</f>
        <v/>
      </c>
    </row>
    <row r="214">
      <c r="A214" s="7" t="n"/>
      <c r="B214" s="7">
        <f>IF($A214="","",VLOOKUP($A214,CoachRoster!$A:$E,4,FALSE))</f>
        <v/>
      </c>
      <c r="C214" s="7" t="n"/>
      <c r="D214" s="7" t="n"/>
      <c r="E214" s="7" t="n"/>
      <c r="F214" s="7" t="n"/>
      <c r="G214" s="7" t="n"/>
      <c r="H214" s="7">
        <f>IF($A214="","",IF(AND($E214="Pass",$F214="Pass",$G214="Pass"),"PROMOTE","NOT YET"))</f>
        <v/>
      </c>
      <c r="I214" s="7" t="n"/>
      <c r="J214" s="27">
        <f>IF(OR($A214="",$C214=""),"",IF(IFERROR(VLOOKUP($A214,Ledger!$A:$E,5,FALSE),0)&gt;=VLOOKUP($C214,RoleTitles!$A:$B,2,FALSE),"YES","NO"))</f>
        <v/>
      </c>
      <c r="K214" s="27">
        <f>IF($A214="","",IF(AND($H214="PROMOTE",$J214="YES"),"YES — PROMOTE","NO"))</f>
        <v/>
      </c>
    </row>
    <row r="215">
      <c r="A215" s="7" t="n"/>
      <c r="B215" s="7">
        <f>IF($A215="","",VLOOKUP($A215,CoachRoster!$A:$E,4,FALSE))</f>
        <v/>
      </c>
      <c r="C215" s="7" t="n"/>
      <c r="D215" s="7" t="n"/>
      <c r="E215" s="7" t="n"/>
      <c r="F215" s="7" t="n"/>
      <c r="G215" s="7" t="n"/>
      <c r="H215" s="7">
        <f>IF($A215="","",IF(AND($E215="Pass",$F215="Pass",$G215="Pass"),"PROMOTE","NOT YET"))</f>
        <v/>
      </c>
      <c r="I215" s="7" t="n"/>
      <c r="J215" s="27">
        <f>IF(OR($A215="",$C215=""),"",IF(IFERROR(VLOOKUP($A215,Ledger!$A:$E,5,FALSE),0)&gt;=VLOOKUP($C215,RoleTitles!$A:$B,2,FALSE),"YES","NO"))</f>
        <v/>
      </c>
      <c r="K215" s="27">
        <f>IF($A215="","",IF(AND($H215="PROMOTE",$J215="YES"),"YES — PROMOTE","NO"))</f>
        <v/>
      </c>
    </row>
    <row r="216">
      <c r="A216" s="7" t="n"/>
      <c r="B216" s="7">
        <f>IF($A216="","",VLOOKUP($A216,CoachRoster!$A:$E,4,FALSE))</f>
        <v/>
      </c>
      <c r="C216" s="7" t="n"/>
      <c r="D216" s="7" t="n"/>
      <c r="E216" s="7" t="n"/>
      <c r="F216" s="7" t="n"/>
      <c r="G216" s="7" t="n"/>
      <c r="H216" s="7">
        <f>IF($A216="","",IF(AND($E216="Pass",$F216="Pass",$G216="Pass"),"PROMOTE","NOT YET"))</f>
        <v/>
      </c>
      <c r="I216" s="7" t="n"/>
      <c r="J216" s="27">
        <f>IF(OR($A216="",$C216=""),"",IF(IFERROR(VLOOKUP($A216,Ledger!$A:$E,5,FALSE),0)&gt;=VLOOKUP($C216,RoleTitles!$A:$B,2,FALSE),"YES","NO"))</f>
        <v/>
      </c>
      <c r="K216" s="27">
        <f>IF($A216="","",IF(AND($H216="PROMOTE",$J216="YES"),"YES — PROMOTE","NO"))</f>
        <v/>
      </c>
    </row>
    <row r="217">
      <c r="A217" s="7" t="n"/>
      <c r="B217" s="7">
        <f>IF($A217="","",VLOOKUP($A217,CoachRoster!$A:$E,4,FALSE))</f>
        <v/>
      </c>
      <c r="C217" s="7" t="n"/>
      <c r="D217" s="7" t="n"/>
      <c r="E217" s="7" t="n"/>
      <c r="F217" s="7" t="n"/>
      <c r="G217" s="7" t="n"/>
      <c r="H217" s="7">
        <f>IF($A217="","",IF(AND($E217="Pass",$F217="Pass",$G217="Pass"),"PROMOTE","NOT YET"))</f>
        <v/>
      </c>
      <c r="I217" s="7" t="n"/>
      <c r="J217" s="27">
        <f>IF(OR($A217="",$C217=""),"",IF(IFERROR(VLOOKUP($A217,Ledger!$A:$E,5,FALSE),0)&gt;=VLOOKUP($C217,RoleTitles!$A:$B,2,FALSE),"YES","NO"))</f>
        <v/>
      </c>
      <c r="K217" s="27">
        <f>IF($A217="","",IF(AND($H217="PROMOTE",$J217="YES"),"YES — PROMOTE","NO"))</f>
        <v/>
      </c>
    </row>
    <row r="218">
      <c r="A218" s="7" t="n"/>
      <c r="B218" s="7">
        <f>IF($A218="","",VLOOKUP($A218,CoachRoster!$A:$E,4,FALSE))</f>
        <v/>
      </c>
      <c r="C218" s="7" t="n"/>
      <c r="D218" s="7" t="n"/>
      <c r="E218" s="7" t="n"/>
      <c r="F218" s="7" t="n"/>
      <c r="G218" s="7" t="n"/>
      <c r="H218" s="7">
        <f>IF($A218="","",IF(AND($E218="Pass",$F218="Pass",$G218="Pass"),"PROMOTE","NOT YET"))</f>
        <v/>
      </c>
      <c r="I218" s="7" t="n"/>
      <c r="J218" s="27">
        <f>IF(OR($A218="",$C218=""),"",IF(IFERROR(VLOOKUP($A218,Ledger!$A:$E,5,FALSE),0)&gt;=VLOOKUP($C218,RoleTitles!$A:$B,2,FALSE),"YES","NO"))</f>
        <v/>
      </c>
      <c r="K218" s="27">
        <f>IF($A218="","",IF(AND($H218="PROMOTE",$J218="YES"),"YES — PROMOTE","NO"))</f>
        <v/>
      </c>
    </row>
    <row r="219">
      <c r="A219" s="7" t="n"/>
      <c r="B219" s="7">
        <f>IF($A219="","",VLOOKUP($A219,CoachRoster!$A:$E,4,FALSE))</f>
        <v/>
      </c>
      <c r="C219" s="7" t="n"/>
      <c r="D219" s="7" t="n"/>
      <c r="E219" s="7" t="n"/>
      <c r="F219" s="7" t="n"/>
      <c r="G219" s="7" t="n"/>
      <c r="H219" s="7">
        <f>IF($A219="","",IF(AND($E219="Pass",$F219="Pass",$G219="Pass"),"PROMOTE","NOT YET"))</f>
        <v/>
      </c>
      <c r="I219" s="7" t="n"/>
      <c r="J219" s="27">
        <f>IF(OR($A219="",$C219=""),"",IF(IFERROR(VLOOKUP($A219,Ledger!$A:$E,5,FALSE),0)&gt;=VLOOKUP($C219,RoleTitles!$A:$B,2,FALSE),"YES","NO"))</f>
        <v/>
      </c>
      <c r="K219" s="27">
        <f>IF($A219="","",IF(AND($H219="PROMOTE",$J219="YES"),"YES — PROMOTE","NO"))</f>
        <v/>
      </c>
    </row>
    <row r="220">
      <c r="A220" s="7" t="n"/>
      <c r="B220" s="7">
        <f>IF($A220="","",VLOOKUP($A220,CoachRoster!$A:$E,4,FALSE))</f>
        <v/>
      </c>
      <c r="C220" s="7" t="n"/>
      <c r="D220" s="7" t="n"/>
      <c r="E220" s="7" t="n"/>
      <c r="F220" s="7" t="n"/>
      <c r="G220" s="7" t="n"/>
      <c r="H220" s="7">
        <f>IF($A220="","",IF(AND($E220="Pass",$F220="Pass",$G220="Pass"),"PROMOTE","NOT YET"))</f>
        <v/>
      </c>
      <c r="I220" s="7" t="n"/>
      <c r="J220" s="27">
        <f>IF(OR($A220="",$C220=""),"",IF(IFERROR(VLOOKUP($A220,Ledger!$A:$E,5,FALSE),0)&gt;=VLOOKUP($C220,RoleTitles!$A:$B,2,FALSE),"YES","NO"))</f>
        <v/>
      </c>
      <c r="K220" s="27">
        <f>IF($A220="","",IF(AND($H220="PROMOTE",$J220="YES"),"YES — PROMOTE","NO"))</f>
        <v/>
      </c>
    </row>
    <row r="221">
      <c r="A221" s="7" t="n"/>
      <c r="B221" s="7">
        <f>IF($A221="","",VLOOKUP($A221,CoachRoster!$A:$E,4,FALSE))</f>
        <v/>
      </c>
      <c r="C221" s="7" t="n"/>
      <c r="D221" s="7" t="n"/>
      <c r="E221" s="7" t="n"/>
      <c r="F221" s="7" t="n"/>
      <c r="G221" s="7" t="n"/>
      <c r="H221" s="7">
        <f>IF($A221="","",IF(AND($E221="Pass",$F221="Pass",$G221="Pass"),"PROMOTE","NOT YET"))</f>
        <v/>
      </c>
      <c r="I221" s="7" t="n"/>
      <c r="J221" s="27">
        <f>IF(OR($A221="",$C221=""),"",IF(IFERROR(VLOOKUP($A221,Ledger!$A:$E,5,FALSE),0)&gt;=VLOOKUP($C221,RoleTitles!$A:$B,2,FALSE),"YES","NO"))</f>
        <v/>
      </c>
      <c r="K221" s="27">
        <f>IF($A221="","",IF(AND($H221="PROMOTE",$J221="YES"),"YES — PROMOTE","NO"))</f>
        <v/>
      </c>
    </row>
    <row r="222">
      <c r="A222" s="7" t="n"/>
      <c r="B222" s="7">
        <f>IF($A222="","",VLOOKUP($A222,CoachRoster!$A:$E,4,FALSE))</f>
        <v/>
      </c>
      <c r="C222" s="7" t="n"/>
      <c r="D222" s="7" t="n"/>
      <c r="E222" s="7" t="n"/>
      <c r="F222" s="7" t="n"/>
      <c r="G222" s="7" t="n"/>
      <c r="H222" s="7">
        <f>IF($A222="","",IF(AND($E222="Pass",$F222="Pass",$G222="Pass"),"PROMOTE","NOT YET"))</f>
        <v/>
      </c>
      <c r="I222" s="7" t="n"/>
      <c r="J222" s="27">
        <f>IF(OR($A222="",$C222=""),"",IF(IFERROR(VLOOKUP($A222,Ledger!$A:$E,5,FALSE),0)&gt;=VLOOKUP($C222,RoleTitles!$A:$B,2,FALSE),"YES","NO"))</f>
        <v/>
      </c>
      <c r="K222" s="27">
        <f>IF($A222="","",IF(AND($H222="PROMOTE",$J222="YES"),"YES — PROMOTE","NO"))</f>
        <v/>
      </c>
    </row>
    <row r="223">
      <c r="A223" s="7" t="n"/>
      <c r="B223" s="7">
        <f>IF($A223="","",VLOOKUP($A223,CoachRoster!$A:$E,4,FALSE))</f>
        <v/>
      </c>
      <c r="C223" s="7" t="n"/>
      <c r="D223" s="7" t="n"/>
      <c r="E223" s="7" t="n"/>
      <c r="F223" s="7" t="n"/>
      <c r="G223" s="7" t="n"/>
      <c r="H223" s="7">
        <f>IF($A223="","",IF(AND($E223="Pass",$F223="Pass",$G223="Pass"),"PROMOTE","NOT YET"))</f>
        <v/>
      </c>
      <c r="I223" s="7" t="n"/>
      <c r="J223" s="27">
        <f>IF(OR($A223="",$C223=""),"",IF(IFERROR(VLOOKUP($A223,Ledger!$A:$E,5,FALSE),0)&gt;=VLOOKUP($C223,RoleTitles!$A:$B,2,FALSE),"YES","NO"))</f>
        <v/>
      </c>
      <c r="K223" s="27">
        <f>IF($A223="","",IF(AND($H223="PROMOTE",$J223="YES"),"YES — PROMOTE","NO"))</f>
        <v/>
      </c>
    </row>
    <row r="224">
      <c r="A224" s="7" t="n"/>
      <c r="B224" s="7">
        <f>IF($A224="","",VLOOKUP($A224,CoachRoster!$A:$E,4,FALSE))</f>
        <v/>
      </c>
      <c r="C224" s="7" t="n"/>
      <c r="D224" s="7" t="n"/>
      <c r="E224" s="7" t="n"/>
      <c r="F224" s="7" t="n"/>
      <c r="G224" s="7" t="n"/>
      <c r="H224" s="7">
        <f>IF($A224="","",IF(AND($E224="Pass",$F224="Pass",$G224="Pass"),"PROMOTE","NOT YET"))</f>
        <v/>
      </c>
      <c r="I224" s="7" t="n"/>
      <c r="J224" s="27">
        <f>IF(OR($A224="",$C224=""),"",IF(IFERROR(VLOOKUP($A224,Ledger!$A:$E,5,FALSE),0)&gt;=VLOOKUP($C224,RoleTitles!$A:$B,2,FALSE),"YES","NO"))</f>
        <v/>
      </c>
      <c r="K224" s="27">
        <f>IF($A224="","",IF(AND($H224="PROMOTE",$J224="YES"),"YES — PROMOTE","NO"))</f>
        <v/>
      </c>
    </row>
    <row r="225">
      <c r="A225" s="7" t="n"/>
      <c r="B225" s="7">
        <f>IF($A225="","",VLOOKUP($A225,CoachRoster!$A:$E,4,FALSE))</f>
        <v/>
      </c>
      <c r="C225" s="7" t="n"/>
      <c r="D225" s="7" t="n"/>
      <c r="E225" s="7" t="n"/>
      <c r="F225" s="7" t="n"/>
      <c r="G225" s="7" t="n"/>
      <c r="H225" s="7">
        <f>IF($A225="","",IF(AND($E225="Pass",$F225="Pass",$G225="Pass"),"PROMOTE","NOT YET"))</f>
        <v/>
      </c>
      <c r="I225" s="7" t="n"/>
      <c r="J225" s="27">
        <f>IF(OR($A225="",$C225=""),"",IF(IFERROR(VLOOKUP($A225,Ledger!$A:$E,5,FALSE),0)&gt;=VLOOKUP($C225,RoleTitles!$A:$B,2,FALSE),"YES","NO"))</f>
        <v/>
      </c>
      <c r="K225" s="27">
        <f>IF($A225="","",IF(AND($H225="PROMOTE",$J225="YES"),"YES — PROMOTE","NO"))</f>
        <v/>
      </c>
    </row>
    <row r="226">
      <c r="A226" s="7" t="n"/>
      <c r="B226" s="7">
        <f>IF($A226="","",VLOOKUP($A226,CoachRoster!$A:$E,4,FALSE))</f>
        <v/>
      </c>
      <c r="C226" s="7" t="n"/>
      <c r="D226" s="7" t="n"/>
      <c r="E226" s="7" t="n"/>
      <c r="F226" s="7" t="n"/>
      <c r="G226" s="7" t="n"/>
      <c r="H226" s="7">
        <f>IF($A226="","",IF(AND($E226="Pass",$F226="Pass",$G226="Pass"),"PROMOTE","NOT YET"))</f>
        <v/>
      </c>
      <c r="I226" s="7" t="n"/>
      <c r="J226" s="27">
        <f>IF(OR($A226="",$C226=""),"",IF(IFERROR(VLOOKUP($A226,Ledger!$A:$E,5,FALSE),0)&gt;=VLOOKUP($C226,RoleTitles!$A:$B,2,FALSE),"YES","NO"))</f>
        <v/>
      </c>
      <c r="K226" s="27">
        <f>IF($A226="","",IF(AND($H226="PROMOTE",$J226="YES"),"YES — PROMOTE","NO"))</f>
        <v/>
      </c>
    </row>
    <row r="227">
      <c r="A227" s="7" t="n"/>
      <c r="B227" s="7">
        <f>IF($A227="","",VLOOKUP($A227,CoachRoster!$A:$E,4,FALSE))</f>
        <v/>
      </c>
      <c r="C227" s="7" t="n"/>
      <c r="D227" s="7" t="n"/>
      <c r="E227" s="7" t="n"/>
      <c r="F227" s="7" t="n"/>
      <c r="G227" s="7" t="n"/>
      <c r="H227" s="7">
        <f>IF($A227="","",IF(AND($E227="Pass",$F227="Pass",$G227="Pass"),"PROMOTE","NOT YET"))</f>
        <v/>
      </c>
      <c r="I227" s="7" t="n"/>
      <c r="J227" s="27">
        <f>IF(OR($A227="",$C227=""),"",IF(IFERROR(VLOOKUP($A227,Ledger!$A:$E,5,FALSE),0)&gt;=VLOOKUP($C227,RoleTitles!$A:$B,2,FALSE),"YES","NO"))</f>
        <v/>
      </c>
      <c r="K227" s="27">
        <f>IF($A227="","",IF(AND($H227="PROMOTE",$J227="YES"),"YES — PROMOTE","NO"))</f>
        <v/>
      </c>
    </row>
    <row r="228">
      <c r="A228" s="7" t="n"/>
      <c r="B228" s="7">
        <f>IF($A228="","",VLOOKUP($A228,CoachRoster!$A:$E,4,FALSE))</f>
        <v/>
      </c>
      <c r="C228" s="7" t="n"/>
      <c r="D228" s="7" t="n"/>
      <c r="E228" s="7" t="n"/>
      <c r="F228" s="7" t="n"/>
      <c r="G228" s="7" t="n"/>
      <c r="H228" s="7">
        <f>IF($A228="","",IF(AND($E228="Pass",$F228="Pass",$G228="Pass"),"PROMOTE","NOT YET"))</f>
        <v/>
      </c>
      <c r="I228" s="7" t="n"/>
      <c r="J228" s="27">
        <f>IF(OR($A228="",$C228=""),"",IF(IFERROR(VLOOKUP($A228,Ledger!$A:$E,5,FALSE),0)&gt;=VLOOKUP($C228,RoleTitles!$A:$B,2,FALSE),"YES","NO"))</f>
        <v/>
      </c>
      <c r="K228" s="27">
        <f>IF($A228="","",IF(AND($H228="PROMOTE",$J228="YES"),"YES — PROMOTE","NO"))</f>
        <v/>
      </c>
    </row>
    <row r="229">
      <c r="A229" s="7" t="n"/>
      <c r="B229" s="7">
        <f>IF($A229="","",VLOOKUP($A229,CoachRoster!$A:$E,4,FALSE))</f>
        <v/>
      </c>
      <c r="C229" s="7" t="n"/>
      <c r="D229" s="7" t="n"/>
      <c r="E229" s="7" t="n"/>
      <c r="F229" s="7" t="n"/>
      <c r="G229" s="7" t="n"/>
      <c r="H229" s="7">
        <f>IF($A229="","",IF(AND($E229="Pass",$F229="Pass",$G229="Pass"),"PROMOTE","NOT YET"))</f>
        <v/>
      </c>
      <c r="I229" s="7" t="n"/>
      <c r="J229" s="27">
        <f>IF(OR($A229="",$C229=""),"",IF(IFERROR(VLOOKUP($A229,Ledger!$A:$E,5,FALSE),0)&gt;=VLOOKUP($C229,RoleTitles!$A:$B,2,FALSE),"YES","NO"))</f>
        <v/>
      </c>
      <c r="K229" s="27">
        <f>IF($A229="","",IF(AND($H229="PROMOTE",$J229="YES"),"YES — PROMOTE","NO"))</f>
        <v/>
      </c>
    </row>
    <row r="230">
      <c r="A230" s="7" t="n"/>
      <c r="B230" s="7">
        <f>IF($A230="","",VLOOKUP($A230,CoachRoster!$A:$E,4,FALSE))</f>
        <v/>
      </c>
      <c r="C230" s="7" t="n"/>
      <c r="D230" s="7" t="n"/>
      <c r="E230" s="7" t="n"/>
      <c r="F230" s="7" t="n"/>
      <c r="G230" s="7" t="n"/>
      <c r="H230" s="7">
        <f>IF($A230="","",IF(AND($E230="Pass",$F230="Pass",$G230="Pass"),"PROMOTE","NOT YET"))</f>
        <v/>
      </c>
      <c r="I230" s="7" t="n"/>
      <c r="J230" s="27">
        <f>IF(OR($A230="",$C230=""),"",IF(IFERROR(VLOOKUP($A230,Ledger!$A:$E,5,FALSE),0)&gt;=VLOOKUP($C230,RoleTitles!$A:$B,2,FALSE),"YES","NO"))</f>
        <v/>
      </c>
      <c r="K230" s="27">
        <f>IF($A230="","",IF(AND($H230="PROMOTE",$J230="YES"),"YES — PROMOTE","NO"))</f>
        <v/>
      </c>
    </row>
    <row r="231">
      <c r="A231" s="7" t="n"/>
      <c r="B231" s="7">
        <f>IF($A231="","",VLOOKUP($A231,CoachRoster!$A:$E,4,FALSE))</f>
        <v/>
      </c>
      <c r="C231" s="7" t="n"/>
      <c r="D231" s="7" t="n"/>
      <c r="E231" s="7" t="n"/>
      <c r="F231" s="7" t="n"/>
      <c r="G231" s="7" t="n"/>
      <c r="H231" s="7">
        <f>IF($A231="","",IF(AND($E231="Pass",$F231="Pass",$G231="Pass"),"PROMOTE","NOT YET"))</f>
        <v/>
      </c>
      <c r="I231" s="7" t="n"/>
      <c r="J231" s="27">
        <f>IF(OR($A231="",$C231=""),"",IF(IFERROR(VLOOKUP($A231,Ledger!$A:$E,5,FALSE),0)&gt;=VLOOKUP($C231,RoleTitles!$A:$B,2,FALSE),"YES","NO"))</f>
        <v/>
      </c>
      <c r="K231" s="27">
        <f>IF($A231="","",IF(AND($H231="PROMOTE",$J231="YES"),"YES — PROMOTE","NO"))</f>
        <v/>
      </c>
    </row>
    <row r="232">
      <c r="A232" s="7" t="n"/>
      <c r="B232" s="7">
        <f>IF($A232="","",VLOOKUP($A232,CoachRoster!$A:$E,4,FALSE))</f>
        <v/>
      </c>
      <c r="C232" s="7" t="n"/>
      <c r="D232" s="7" t="n"/>
      <c r="E232" s="7" t="n"/>
      <c r="F232" s="7" t="n"/>
      <c r="G232" s="7" t="n"/>
      <c r="H232" s="7">
        <f>IF($A232="","",IF(AND($E232="Pass",$F232="Pass",$G232="Pass"),"PROMOTE","NOT YET"))</f>
        <v/>
      </c>
      <c r="I232" s="7" t="n"/>
      <c r="J232" s="27">
        <f>IF(OR($A232="",$C232=""),"",IF(IFERROR(VLOOKUP($A232,Ledger!$A:$E,5,FALSE),0)&gt;=VLOOKUP($C232,RoleTitles!$A:$B,2,FALSE),"YES","NO"))</f>
        <v/>
      </c>
      <c r="K232" s="27">
        <f>IF($A232="","",IF(AND($H232="PROMOTE",$J232="YES"),"YES — PROMOTE","NO"))</f>
        <v/>
      </c>
    </row>
    <row r="233">
      <c r="A233" s="7" t="n"/>
      <c r="B233" s="7">
        <f>IF($A233="","",VLOOKUP($A233,CoachRoster!$A:$E,4,FALSE))</f>
        <v/>
      </c>
      <c r="C233" s="7" t="n"/>
      <c r="D233" s="7" t="n"/>
      <c r="E233" s="7" t="n"/>
      <c r="F233" s="7" t="n"/>
      <c r="G233" s="7" t="n"/>
      <c r="H233" s="7">
        <f>IF($A233="","",IF(AND($E233="Pass",$F233="Pass",$G233="Pass"),"PROMOTE","NOT YET"))</f>
        <v/>
      </c>
      <c r="I233" s="7" t="n"/>
      <c r="J233" s="27">
        <f>IF(OR($A233="",$C233=""),"",IF(IFERROR(VLOOKUP($A233,Ledger!$A:$E,5,FALSE),0)&gt;=VLOOKUP($C233,RoleTitles!$A:$B,2,FALSE),"YES","NO"))</f>
        <v/>
      </c>
      <c r="K233" s="27">
        <f>IF($A233="","",IF(AND($H233="PROMOTE",$J233="YES"),"YES — PROMOTE","NO"))</f>
        <v/>
      </c>
    </row>
    <row r="234">
      <c r="A234" s="7" t="n"/>
      <c r="B234" s="7">
        <f>IF($A234="","",VLOOKUP($A234,CoachRoster!$A:$E,4,FALSE))</f>
        <v/>
      </c>
      <c r="C234" s="7" t="n"/>
      <c r="D234" s="7" t="n"/>
      <c r="E234" s="7" t="n"/>
      <c r="F234" s="7" t="n"/>
      <c r="G234" s="7" t="n"/>
      <c r="H234" s="7">
        <f>IF($A234="","",IF(AND($E234="Pass",$F234="Pass",$G234="Pass"),"PROMOTE","NOT YET"))</f>
        <v/>
      </c>
      <c r="I234" s="7" t="n"/>
      <c r="J234" s="27">
        <f>IF(OR($A234="",$C234=""),"",IF(IFERROR(VLOOKUP($A234,Ledger!$A:$E,5,FALSE),0)&gt;=VLOOKUP($C234,RoleTitles!$A:$B,2,FALSE),"YES","NO"))</f>
        <v/>
      </c>
      <c r="K234" s="27">
        <f>IF($A234="","",IF(AND($H234="PROMOTE",$J234="YES"),"YES — PROMOTE","NO"))</f>
        <v/>
      </c>
    </row>
    <row r="235">
      <c r="A235" s="7" t="n"/>
      <c r="B235" s="7">
        <f>IF($A235="","",VLOOKUP($A235,CoachRoster!$A:$E,4,FALSE))</f>
        <v/>
      </c>
      <c r="C235" s="7" t="n"/>
      <c r="D235" s="7" t="n"/>
      <c r="E235" s="7" t="n"/>
      <c r="F235" s="7" t="n"/>
      <c r="G235" s="7" t="n"/>
      <c r="H235" s="7">
        <f>IF($A235="","",IF(AND($E235="Pass",$F235="Pass",$G235="Pass"),"PROMOTE","NOT YET"))</f>
        <v/>
      </c>
      <c r="I235" s="7" t="n"/>
      <c r="J235" s="27">
        <f>IF(OR($A235="",$C235=""),"",IF(IFERROR(VLOOKUP($A235,Ledger!$A:$E,5,FALSE),0)&gt;=VLOOKUP($C235,RoleTitles!$A:$B,2,FALSE),"YES","NO"))</f>
        <v/>
      </c>
      <c r="K235" s="27">
        <f>IF($A235="","",IF(AND($H235="PROMOTE",$J235="YES"),"YES — PROMOTE","NO"))</f>
        <v/>
      </c>
    </row>
    <row r="236">
      <c r="A236" s="7" t="n"/>
      <c r="B236" s="7">
        <f>IF($A236="","",VLOOKUP($A236,CoachRoster!$A:$E,4,FALSE))</f>
        <v/>
      </c>
      <c r="C236" s="7" t="n"/>
      <c r="D236" s="7" t="n"/>
      <c r="E236" s="7" t="n"/>
      <c r="F236" s="7" t="n"/>
      <c r="G236" s="7" t="n"/>
      <c r="H236" s="7">
        <f>IF($A236="","",IF(AND($E236="Pass",$F236="Pass",$G236="Pass"),"PROMOTE","NOT YET"))</f>
        <v/>
      </c>
      <c r="I236" s="7" t="n"/>
      <c r="J236" s="27">
        <f>IF(OR($A236="",$C236=""),"",IF(IFERROR(VLOOKUP($A236,Ledger!$A:$E,5,FALSE),0)&gt;=VLOOKUP($C236,RoleTitles!$A:$B,2,FALSE),"YES","NO"))</f>
        <v/>
      </c>
      <c r="K236" s="27">
        <f>IF($A236="","",IF(AND($H236="PROMOTE",$J236="YES"),"YES — PROMOTE","NO"))</f>
        <v/>
      </c>
    </row>
    <row r="237">
      <c r="A237" s="7" t="n"/>
      <c r="B237" s="7">
        <f>IF($A237="","",VLOOKUP($A237,CoachRoster!$A:$E,4,FALSE))</f>
        <v/>
      </c>
      <c r="C237" s="7" t="n"/>
      <c r="D237" s="7" t="n"/>
      <c r="E237" s="7" t="n"/>
      <c r="F237" s="7" t="n"/>
      <c r="G237" s="7" t="n"/>
      <c r="H237" s="7">
        <f>IF($A237="","",IF(AND($E237="Pass",$F237="Pass",$G237="Pass"),"PROMOTE","NOT YET"))</f>
        <v/>
      </c>
      <c r="I237" s="7" t="n"/>
      <c r="J237" s="27">
        <f>IF(OR($A237="",$C237=""),"",IF(IFERROR(VLOOKUP($A237,Ledger!$A:$E,5,FALSE),0)&gt;=VLOOKUP($C237,RoleTitles!$A:$B,2,FALSE),"YES","NO"))</f>
        <v/>
      </c>
      <c r="K237" s="27">
        <f>IF($A237="","",IF(AND($H237="PROMOTE",$J237="YES"),"YES — PROMOTE","NO"))</f>
        <v/>
      </c>
    </row>
    <row r="238">
      <c r="A238" s="7" t="n"/>
      <c r="B238" s="7">
        <f>IF($A238="","",VLOOKUP($A238,CoachRoster!$A:$E,4,FALSE))</f>
        <v/>
      </c>
      <c r="C238" s="7" t="n"/>
      <c r="D238" s="7" t="n"/>
      <c r="E238" s="7" t="n"/>
      <c r="F238" s="7" t="n"/>
      <c r="G238" s="7" t="n"/>
      <c r="H238" s="7">
        <f>IF($A238="","",IF(AND($E238="Pass",$F238="Pass",$G238="Pass"),"PROMOTE","NOT YET"))</f>
        <v/>
      </c>
      <c r="I238" s="7" t="n"/>
      <c r="J238" s="27">
        <f>IF(OR($A238="",$C238=""),"",IF(IFERROR(VLOOKUP($A238,Ledger!$A:$E,5,FALSE),0)&gt;=VLOOKUP($C238,RoleTitles!$A:$B,2,FALSE),"YES","NO"))</f>
        <v/>
      </c>
      <c r="K238" s="27">
        <f>IF($A238="","",IF(AND($H238="PROMOTE",$J238="YES"),"YES — PROMOTE","NO"))</f>
        <v/>
      </c>
    </row>
    <row r="239">
      <c r="A239" s="7" t="n"/>
      <c r="B239" s="7">
        <f>IF($A239="","",VLOOKUP($A239,CoachRoster!$A:$E,4,FALSE))</f>
        <v/>
      </c>
      <c r="C239" s="7" t="n"/>
      <c r="D239" s="7" t="n"/>
      <c r="E239" s="7" t="n"/>
      <c r="F239" s="7" t="n"/>
      <c r="G239" s="7" t="n"/>
      <c r="H239" s="7">
        <f>IF($A239="","",IF(AND($E239="Pass",$F239="Pass",$G239="Pass"),"PROMOTE","NOT YET"))</f>
        <v/>
      </c>
      <c r="I239" s="7" t="n"/>
      <c r="J239" s="27">
        <f>IF(OR($A239="",$C239=""),"",IF(IFERROR(VLOOKUP($A239,Ledger!$A:$E,5,FALSE),0)&gt;=VLOOKUP($C239,RoleTitles!$A:$B,2,FALSE),"YES","NO"))</f>
        <v/>
      </c>
      <c r="K239" s="27">
        <f>IF($A239="","",IF(AND($H239="PROMOTE",$J239="YES"),"YES — PROMOTE","NO"))</f>
        <v/>
      </c>
    </row>
    <row r="240">
      <c r="A240" s="7" t="n"/>
      <c r="B240" s="7">
        <f>IF($A240="","",VLOOKUP($A240,CoachRoster!$A:$E,4,FALSE))</f>
        <v/>
      </c>
      <c r="C240" s="7" t="n"/>
      <c r="D240" s="7" t="n"/>
      <c r="E240" s="7" t="n"/>
      <c r="F240" s="7" t="n"/>
      <c r="G240" s="7" t="n"/>
      <c r="H240" s="7">
        <f>IF($A240="","",IF(AND($E240="Pass",$F240="Pass",$G240="Pass"),"PROMOTE","NOT YET"))</f>
        <v/>
      </c>
      <c r="I240" s="7" t="n"/>
      <c r="J240" s="27">
        <f>IF(OR($A240="",$C240=""),"",IF(IFERROR(VLOOKUP($A240,Ledger!$A:$E,5,FALSE),0)&gt;=VLOOKUP($C240,RoleTitles!$A:$B,2,FALSE),"YES","NO"))</f>
        <v/>
      </c>
      <c r="K240" s="27">
        <f>IF($A240="","",IF(AND($H240="PROMOTE",$J240="YES"),"YES — PROMOTE","NO"))</f>
        <v/>
      </c>
    </row>
    <row r="241">
      <c r="A241" s="7" t="n"/>
      <c r="B241" s="7">
        <f>IF($A241="","",VLOOKUP($A241,CoachRoster!$A:$E,4,FALSE))</f>
        <v/>
      </c>
      <c r="C241" s="7" t="n"/>
      <c r="D241" s="7" t="n"/>
      <c r="E241" s="7" t="n"/>
      <c r="F241" s="7" t="n"/>
      <c r="G241" s="7" t="n"/>
      <c r="H241" s="7">
        <f>IF($A241="","",IF(AND($E241="Pass",$F241="Pass",$G241="Pass"),"PROMOTE","NOT YET"))</f>
        <v/>
      </c>
      <c r="I241" s="7" t="n"/>
      <c r="J241" s="27">
        <f>IF(OR($A241="",$C241=""),"",IF(IFERROR(VLOOKUP($A241,Ledger!$A:$E,5,FALSE),0)&gt;=VLOOKUP($C241,RoleTitles!$A:$B,2,FALSE),"YES","NO"))</f>
        <v/>
      </c>
      <c r="K241" s="27">
        <f>IF($A241="","",IF(AND($H241="PROMOTE",$J241="YES"),"YES — PROMOTE","NO"))</f>
        <v/>
      </c>
    </row>
    <row r="242">
      <c r="A242" s="7" t="n"/>
      <c r="B242" s="7">
        <f>IF($A242="","",VLOOKUP($A242,CoachRoster!$A:$E,4,FALSE))</f>
        <v/>
      </c>
      <c r="C242" s="7" t="n"/>
      <c r="D242" s="7" t="n"/>
      <c r="E242" s="7" t="n"/>
      <c r="F242" s="7" t="n"/>
      <c r="G242" s="7" t="n"/>
      <c r="H242" s="7">
        <f>IF($A242="","",IF(AND($E242="Pass",$F242="Pass",$G242="Pass"),"PROMOTE","NOT YET"))</f>
        <v/>
      </c>
      <c r="I242" s="7" t="n"/>
      <c r="J242" s="27">
        <f>IF(OR($A242="",$C242=""),"",IF(IFERROR(VLOOKUP($A242,Ledger!$A:$E,5,FALSE),0)&gt;=VLOOKUP($C242,RoleTitles!$A:$B,2,FALSE),"YES","NO"))</f>
        <v/>
      </c>
      <c r="K242" s="27">
        <f>IF($A242="","",IF(AND($H242="PROMOTE",$J242="YES"),"YES — PROMOTE","NO"))</f>
        <v/>
      </c>
    </row>
    <row r="243">
      <c r="A243" s="7" t="n"/>
      <c r="B243" s="7">
        <f>IF($A243="","",VLOOKUP($A243,CoachRoster!$A:$E,4,FALSE))</f>
        <v/>
      </c>
      <c r="C243" s="7" t="n"/>
      <c r="D243" s="7" t="n"/>
      <c r="E243" s="7" t="n"/>
      <c r="F243" s="7" t="n"/>
      <c r="G243" s="7" t="n"/>
      <c r="H243" s="7">
        <f>IF($A243="","",IF(AND($E243="Pass",$F243="Pass",$G243="Pass"),"PROMOTE","NOT YET"))</f>
        <v/>
      </c>
      <c r="I243" s="7" t="n"/>
      <c r="J243" s="27">
        <f>IF(OR($A243="",$C243=""),"",IF(IFERROR(VLOOKUP($A243,Ledger!$A:$E,5,FALSE),0)&gt;=VLOOKUP($C243,RoleTitles!$A:$B,2,FALSE),"YES","NO"))</f>
        <v/>
      </c>
      <c r="K243" s="27">
        <f>IF($A243="","",IF(AND($H243="PROMOTE",$J243="YES"),"YES — PROMOTE","NO"))</f>
        <v/>
      </c>
    </row>
    <row r="244">
      <c r="A244" s="7" t="n"/>
      <c r="B244" s="7">
        <f>IF($A244="","",VLOOKUP($A244,CoachRoster!$A:$E,4,FALSE))</f>
        <v/>
      </c>
      <c r="C244" s="7" t="n"/>
      <c r="D244" s="7" t="n"/>
      <c r="E244" s="7" t="n"/>
      <c r="F244" s="7" t="n"/>
      <c r="G244" s="7" t="n"/>
      <c r="H244" s="7">
        <f>IF($A244="","",IF(AND($E244="Pass",$F244="Pass",$G244="Pass"),"PROMOTE","NOT YET"))</f>
        <v/>
      </c>
      <c r="I244" s="7" t="n"/>
      <c r="J244" s="27">
        <f>IF(OR($A244="",$C244=""),"",IF(IFERROR(VLOOKUP($A244,Ledger!$A:$E,5,FALSE),0)&gt;=VLOOKUP($C244,RoleTitles!$A:$B,2,FALSE),"YES","NO"))</f>
        <v/>
      </c>
      <c r="K244" s="27">
        <f>IF($A244="","",IF(AND($H244="PROMOTE",$J244="YES"),"YES — PROMOTE","NO"))</f>
        <v/>
      </c>
    </row>
    <row r="245">
      <c r="A245" s="7" t="n"/>
      <c r="B245" s="7">
        <f>IF($A245="","",VLOOKUP($A245,CoachRoster!$A:$E,4,FALSE))</f>
        <v/>
      </c>
      <c r="C245" s="7" t="n"/>
      <c r="D245" s="7" t="n"/>
      <c r="E245" s="7" t="n"/>
      <c r="F245" s="7" t="n"/>
      <c r="G245" s="7" t="n"/>
      <c r="H245" s="7">
        <f>IF($A245="","",IF(AND($E245="Pass",$F245="Pass",$G245="Pass"),"PROMOTE","NOT YET"))</f>
        <v/>
      </c>
      <c r="I245" s="7" t="n"/>
      <c r="J245" s="27">
        <f>IF(OR($A245="",$C245=""),"",IF(IFERROR(VLOOKUP($A245,Ledger!$A:$E,5,FALSE),0)&gt;=VLOOKUP($C245,RoleTitles!$A:$B,2,FALSE),"YES","NO"))</f>
        <v/>
      </c>
      <c r="K245" s="27">
        <f>IF($A245="","",IF(AND($H245="PROMOTE",$J245="YES"),"YES — PROMOTE","NO"))</f>
        <v/>
      </c>
    </row>
    <row r="246">
      <c r="A246" s="7" t="n"/>
      <c r="B246" s="7">
        <f>IF($A246="","",VLOOKUP($A246,CoachRoster!$A:$E,4,FALSE))</f>
        <v/>
      </c>
      <c r="C246" s="7" t="n"/>
      <c r="D246" s="7" t="n"/>
      <c r="E246" s="7" t="n"/>
      <c r="F246" s="7" t="n"/>
      <c r="G246" s="7" t="n"/>
      <c r="H246" s="7">
        <f>IF($A246="","",IF(AND($E246="Pass",$F246="Pass",$G246="Pass"),"PROMOTE","NOT YET"))</f>
        <v/>
      </c>
      <c r="I246" s="7" t="n"/>
      <c r="J246" s="27">
        <f>IF(OR($A246="",$C246=""),"",IF(IFERROR(VLOOKUP($A246,Ledger!$A:$E,5,FALSE),0)&gt;=VLOOKUP($C246,RoleTitles!$A:$B,2,FALSE),"YES","NO"))</f>
        <v/>
      </c>
      <c r="K246" s="27">
        <f>IF($A246="","",IF(AND($H246="PROMOTE",$J246="YES"),"YES — PROMOTE","NO"))</f>
        <v/>
      </c>
    </row>
    <row r="247">
      <c r="A247" s="7" t="n"/>
      <c r="B247" s="7">
        <f>IF($A247="","",VLOOKUP($A247,CoachRoster!$A:$E,4,FALSE))</f>
        <v/>
      </c>
      <c r="C247" s="7" t="n"/>
      <c r="D247" s="7" t="n"/>
      <c r="E247" s="7" t="n"/>
      <c r="F247" s="7" t="n"/>
      <c r="G247" s="7" t="n"/>
      <c r="H247" s="7">
        <f>IF($A247="","",IF(AND($E247="Pass",$F247="Pass",$G247="Pass"),"PROMOTE","NOT YET"))</f>
        <v/>
      </c>
      <c r="I247" s="7" t="n"/>
      <c r="J247" s="27">
        <f>IF(OR($A247="",$C247=""),"",IF(IFERROR(VLOOKUP($A247,Ledger!$A:$E,5,FALSE),0)&gt;=VLOOKUP($C247,RoleTitles!$A:$B,2,FALSE),"YES","NO"))</f>
        <v/>
      </c>
      <c r="K247" s="27">
        <f>IF($A247="","",IF(AND($H247="PROMOTE",$J247="YES"),"YES — PROMOTE","NO"))</f>
        <v/>
      </c>
    </row>
    <row r="248">
      <c r="A248" s="7" t="n"/>
      <c r="B248" s="7">
        <f>IF($A248="","",VLOOKUP($A248,CoachRoster!$A:$E,4,FALSE))</f>
        <v/>
      </c>
      <c r="C248" s="7" t="n"/>
      <c r="D248" s="7" t="n"/>
      <c r="E248" s="7" t="n"/>
      <c r="F248" s="7" t="n"/>
      <c r="G248" s="7" t="n"/>
      <c r="H248" s="7">
        <f>IF($A248="","",IF(AND($E248="Pass",$F248="Pass",$G248="Pass"),"PROMOTE","NOT YET"))</f>
        <v/>
      </c>
      <c r="I248" s="7" t="n"/>
      <c r="J248" s="27">
        <f>IF(OR($A248="",$C248=""),"",IF(IFERROR(VLOOKUP($A248,Ledger!$A:$E,5,FALSE),0)&gt;=VLOOKUP($C248,RoleTitles!$A:$B,2,FALSE),"YES","NO"))</f>
        <v/>
      </c>
      <c r="K248" s="27">
        <f>IF($A248="","",IF(AND($H248="PROMOTE",$J248="YES"),"YES — PROMOTE","NO"))</f>
        <v/>
      </c>
    </row>
    <row r="249">
      <c r="A249" s="7" t="n"/>
      <c r="B249" s="7">
        <f>IF($A249="","",VLOOKUP($A249,CoachRoster!$A:$E,4,FALSE))</f>
        <v/>
      </c>
      <c r="C249" s="7" t="n"/>
      <c r="D249" s="7" t="n"/>
      <c r="E249" s="7" t="n"/>
      <c r="F249" s="7" t="n"/>
      <c r="G249" s="7" t="n"/>
      <c r="H249" s="7">
        <f>IF($A249="","",IF(AND($E249="Pass",$F249="Pass",$G249="Pass"),"PROMOTE","NOT YET"))</f>
        <v/>
      </c>
      <c r="I249" s="7" t="n"/>
      <c r="J249" s="27">
        <f>IF(OR($A249="",$C249=""),"",IF(IFERROR(VLOOKUP($A249,Ledger!$A:$E,5,FALSE),0)&gt;=VLOOKUP($C249,RoleTitles!$A:$B,2,FALSE),"YES","NO"))</f>
        <v/>
      </c>
      <c r="K249" s="27">
        <f>IF($A249="","",IF(AND($H249="PROMOTE",$J249="YES"),"YES — PROMOTE","NO"))</f>
        <v/>
      </c>
    </row>
    <row r="250">
      <c r="A250" s="7" t="n"/>
      <c r="B250" s="7">
        <f>IF($A250="","",VLOOKUP($A250,CoachRoster!$A:$E,4,FALSE))</f>
        <v/>
      </c>
      <c r="C250" s="7" t="n"/>
      <c r="D250" s="7" t="n"/>
      <c r="E250" s="7" t="n"/>
      <c r="F250" s="7" t="n"/>
      <c r="G250" s="7" t="n"/>
      <c r="H250" s="7">
        <f>IF($A250="","",IF(AND($E250="Pass",$F250="Pass",$G250="Pass"),"PROMOTE","NOT YET"))</f>
        <v/>
      </c>
      <c r="I250" s="7" t="n"/>
      <c r="J250" s="27">
        <f>IF(OR($A250="",$C250=""),"",IF(IFERROR(VLOOKUP($A250,Ledger!$A:$E,5,FALSE),0)&gt;=VLOOKUP($C250,RoleTitles!$A:$B,2,FALSE),"YES","NO"))</f>
        <v/>
      </c>
      <c r="K250" s="27">
        <f>IF($A250="","",IF(AND($H250="PROMOTE",$J250="YES"),"YES — PROMOTE","NO"))</f>
        <v/>
      </c>
    </row>
    <row r="251">
      <c r="A251" s="7" t="n"/>
      <c r="B251" s="7">
        <f>IF($A251="","",VLOOKUP($A251,CoachRoster!$A:$E,4,FALSE))</f>
        <v/>
      </c>
      <c r="C251" s="7" t="n"/>
      <c r="D251" s="7" t="n"/>
      <c r="E251" s="7" t="n"/>
      <c r="F251" s="7" t="n"/>
      <c r="G251" s="7" t="n"/>
      <c r="H251" s="7">
        <f>IF($A251="","",IF(AND($E251="Pass",$F251="Pass",$G251="Pass"),"PROMOTE","NOT YET"))</f>
        <v/>
      </c>
      <c r="I251" s="7" t="n"/>
      <c r="J251" s="27">
        <f>IF(OR($A251="",$C251=""),"",IF(IFERROR(VLOOKUP($A251,Ledger!$A:$E,5,FALSE),0)&gt;=VLOOKUP($C251,RoleTitles!$A:$B,2,FALSE),"YES","NO"))</f>
        <v/>
      </c>
      <c r="K251" s="27">
        <f>IF($A251="","",IF(AND($H251="PROMOTE",$J251="YES"),"YES — PROMOTE","NO"))</f>
        <v/>
      </c>
    </row>
    <row r="252">
      <c r="A252" s="7" t="n"/>
      <c r="B252" s="7">
        <f>IF($A252="","",VLOOKUP($A252,CoachRoster!$A:$E,4,FALSE))</f>
        <v/>
      </c>
      <c r="C252" s="7" t="n"/>
      <c r="D252" s="7" t="n"/>
      <c r="E252" s="7" t="n"/>
      <c r="F252" s="7" t="n"/>
      <c r="G252" s="7" t="n"/>
      <c r="H252" s="7">
        <f>IF($A252="","",IF(AND($E252="Pass",$F252="Pass",$G252="Pass"),"PROMOTE","NOT YET"))</f>
        <v/>
      </c>
      <c r="I252" s="7" t="n"/>
      <c r="J252" s="27">
        <f>IF(OR($A252="",$C252=""),"",IF(IFERROR(VLOOKUP($A252,Ledger!$A:$E,5,FALSE),0)&gt;=VLOOKUP($C252,RoleTitles!$A:$B,2,FALSE),"YES","NO"))</f>
        <v/>
      </c>
      <c r="K252" s="27">
        <f>IF($A252="","",IF(AND($H252="PROMOTE",$J252="YES"),"YES — PROMOTE","NO"))</f>
        <v/>
      </c>
    </row>
    <row r="253">
      <c r="A253" s="7" t="n"/>
      <c r="B253" s="7">
        <f>IF($A253="","",VLOOKUP($A253,CoachRoster!$A:$E,4,FALSE))</f>
        <v/>
      </c>
      <c r="C253" s="7" t="n"/>
      <c r="D253" s="7" t="n"/>
      <c r="E253" s="7" t="n"/>
      <c r="F253" s="7" t="n"/>
      <c r="G253" s="7" t="n"/>
      <c r="H253" s="7">
        <f>IF($A253="","",IF(AND($E253="Pass",$F253="Pass",$G253="Pass"),"PROMOTE","NOT YET"))</f>
        <v/>
      </c>
      <c r="I253" s="7" t="n"/>
      <c r="J253" s="27">
        <f>IF(OR($A253="",$C253=""),"",IF(IFERROR(VLOOKUP($A253,Ledger!$A:$E,5,FALSE),0)&gt;=VLOOKUP($C253,RoleTitles!$A:$B,2,FALSE),"YES","NO"))</f>
        <v/>
      </c>
      <c r="K253" s="27">
        <f>IF($A253="","",IF(AND($H253="PROMOTE",$J253="YES"),"YES — PROMOTE","NO"))</f>
        <v/>
      </c>
    </row>
    <row r="254">
      <c r="A254" s="7" t="n"/>
      <c r="B254" s="7">
        <f>IF($A254="","",VLOOKUP($A254,CoachRoster!$A:$E,4,FALSE))</f>
        <v/>
      </c>
      <c r="C254" s="7" t="n"/>
      <c r="D254" s="7" t="n"/>
      <c r="E254" s="7" t="n"/>
      <c r="F254" s="7" t="n"/>
      <c r="G254" s="7" t="n"/>
      <c r="H254" s="7">
        <f>IF($A254="","",IF(AND($E254="Pass",$F254="Pass",$G254="Pass"),"PROMOTE","NOT YET"))</f>
        <v/>
      </c>
      <c r="I254" s="7" t="n"/>
      <c r="J254" s="27">
        <f>IF(OR($A254="",$C254=""),"",IF(IFERROR(VLOOKUP($A254,Ledger!$A:$E,5,FALSE),0)&gt;=VLOOKUP($C254,RoleTitles!$A:$B,2,FALSE),"YES","NO"))</f>
        <v/>
      </c>
      <c r="K254" s="27">
        <f>IF($A254="","",IF(AND($H254="PROMOTE",$J254="YES"),"YES — PROMOTE","NO"))</f>
        <v/>
      </c>
    </row>
    <row r="255">
      <c r="A255" s="7" t="n"/>
      <c r="B255" s="7">
        <f>IF($A255="","",VLOOKUP($A255,CoachRoster!$A:$E,4,FALSE))</f>
        <v/>
      </c>
      <c r="C255" s="7" t="n"/>
      <c r="D255" s="7" t="n"/>
      <c r="E255" s="7" t="n"/>
      <c r="F255" s="7" t="n"/>
      <c r="G255" s="7" t="n"/>
      <c r="H255" s="7">
        <f>IF($A255="","",IF(AND($E255="Pass",$F255="Pass",$G255="Pass"),"PROMOTE","NOT YET"))</f>
        <v/>
      </c>
      <c r="I255" s="7" t="n"/>
      <c r="J255" s="27">
        <f>IF(OR($A255="",$C255=""),"",IF(IFERROR(VLOOKUP($A255,Ledger!$A:$E,5,FALSE),0)&gt;=VLOOKUP($C255,RoleTitles!$A:$B,2,FALSE),"YES","NO"))</f>
        <v/>
      </c>
      <c r="K255" s="27">
        <f>IF($A255="","",IF(AND($H255="PROMOTE",$J255="YES"),"YES — PROMOTE","NO"))</f>
        <v/>
      </c>
    </row>
    <row r="256">
      <c r="A256" s="7" t="n"/>
      <c r="B256" s="7">
        <f>IF($A256="","",VLOOKUP($A256,CoachRoster!$A:$E,4,FALSE))</f>
        <v/>
      </c>
      <c r="C256" s="7" t="n"/>
      <c r="D256" s="7" t="n"/>
      <c r="E256" s="7" t="n"/>
      <c r="F256" s="7" t="n"/>
      <c r="G256" s="7" t="n"/>
      <c r="H256" s="7">
        <f>IF($A256="","",IF(AND($E256="Pass",$F256="Pass",$G256="Pass"),"PROMOTE","NOT YET"))</f>
        <v/>
      </c>
      <c r="I256" s="7" t="n"/>
      <c r="J256" s="27">
        <f>IF(OR($A256="",$C256=""),"",IF(IFERROR(VLOOKUP($A256,Ledger!$A:$E,5,FALSE),0)&gt;=VLOOKUP($C256,RoleTitles!$A:$B,2,FALSE),"YES","NO"))</f>
        <v/>
      </c>
      <c r="K256" s="27">
        <f>IF($A256="","",IF(AND($H256="PROMOTE",$J256="YES"),"YES — PROMOTE","NO"))</f>
        <v/>
      </c>
    </row>
    <row r="257">
      <c r="A257" s="7" t="n"/>
      <c r="B257" s="7">
        <f>IF($A257="","",VLOOKUP($A257,CoachRoster!$A:$E,4,FALSE))</f>
        <v/>
      </c>
      <c r="C257" s="7" t="n"/>
      <c r="D257" s="7" t="n"/>
      <c r="E257" s="7" t="n"/>
      <c r="F257" s="7" t="n"/>
      <c r="G257" s="7" t="n"/>
      <c r="H257" s="7">
        <f>IF($A257="","",IF(AND($E257="Pass",$F257="Pass",$G257="Pass"),"PROMOTE","NOT YET"))</f>
        <v/>
      </c>
      <c r="I257" s="7" t="n"/>
      <c r="J257" s="27">
        <f>IF(OR($A257="",$C257=""),"",IF(IFERROR(VLOOKUP($A257,Ledger!$A:$E,5,FALSE),0)&gt;=VLOOKUP($C257,RoleTitles!$A:$B,2,FALSE),"YES","NO"))</f>
        <v/>
      </c>
      <c r="K257" s="27">
        <f>IF($A257="","",IF(AND($H257="PROMOTE",$J257="YES"),"YES — PROMOTE","NO"))</f>
        <v/>
      </c>
    </row>
    <row r="258">
      <c r="A258" s="7" t="n"/>
      <c r="B258" s="7">
        <f>IF($A258="","",VLOOKUP($A258,CoachRoster!$A:$E,4,FALSE))</f>
        <v/>
      </c>
      <c r="C258" s="7" t="n"/>
      <c r="D258" s="7" t="n"/>
      <c r="E258" s="7" t="n"/>
      <c r="F258" s="7" t="n"/>
      <c r="G258" s="7" t="n"/>
      <c r="H258" s="7">
        <f>IF($A258="","",IF(AND($E258="Pass",$F258="Pass",$G258="Pass"),"PROMOTE","NOT YET"))</f>
        <v/>
      </c>
      <c r="I258" s="7" t="n"/>
      <c r="J258" s="27">
        <f>IF(OR($A258="",$C258=""),"",IF(IFERROR(VLOOKUP($A258,Ledger!$A:$E,5,FALSE),0)&gt;=VLOOKUP($C258,RoleTitles!$A:$B,2,FALSE),"YES","NO"))</f>
        <v/>
      </c>
      <c r="K258" s="27">
        <f>IF($A258="","",IF(AND($H258="PROMOTE",$J258="YES"),"YES — PROMOTE","NO"))</f>
        <v/>
      </c>
    </row>
    <row r="259">
      <c r="A259" s="7" t="n"/>
      <c r="B259" s="7">
        <f>IF($A259="","",VLOOKUP($A259,CoachRoster!$A:$E,4,FALSE))</f>
        <v/>
      </c>
      <c r="C259" s="7" t="n"/>
      <c r="D259" s="7" t="n"/>
      <c r="E259" s="7" t="n"/>
      <c r="F259" s="7" t="n"/>
      <c r="G259" s="7" t="n"/>
      <c r="H259" s="7">
        <f>IF($A259="","",IF(AND($E259="Pass",$F259="Pass",$G259="Pass"),"PROMOTE","NOT YET"))</f>
        <v/>
      </c>
      <c r="I259" s="7" t="n"/>
      <c r="J259" s="27">
        <f>IF(OR($A259="",$C259=""),"",IF(IFERROR(VLOOKUP($A259,Ledger!$A:$E,5,FALSE),0)&gt;=VLOOKUP($C259,RoleTitles!$A:$B,2,FALSE),"YES","NO"))</f>
        <v/>
      </c>
      <c r="K259" s="27">
        <f>IF($A259="","",IF(AND($H259="PROMOTE",$J259="YES"),"YES — PROMOTE","NO"))</f>
        <v/>
      </c>
    </row>
    <row r="260">
      <c r="A260" s="7" t="n"/>
      <c r="B260" s="7">
        <f>IF($A260="","",VLOOKUP($A260,CoachRoster!$A:$E,4,FALSE))</f>
        <v/>
      </c>
      <c r="C260" s="7" t="n"/>
      <c r="D260" s="7" t="n"/>
      <c r="E260" s="7" t="n"/>
      <c r="F260" s="7" t="n"/>
      <c r="G260" s="7" t="n"/>
      <c r="H260" s="7">
        <f>IF($A260="","",IF(AND($E260="Pass",$F260="Pass",$G260="Pass"),"PROMOTE","NOT YET"))</f>
        <v/>
      </c>
      <c r="I260" s="7" t="n"/>
      <c r="J260" s="27">
        <f>IF(OR($A260="",$C260=""),"",IF(IFERROR(VLOOKUP($A260,Ledger!$A:$E,5,FALSE),0)&gt;=VLOOKUP($C260,RoleTitles!$A:$B,2,FALSE),"YES","NO"))</f>
        <v/>
      </c>
      <c r="K260" s="27">
        <f>IF($A260="","",IF(AND($H260="PROMOTE",$J260="YES"),"YES — PROMOTE","NO"))</f>
        <v/>
      </c>
    </row>
    <row r="261">
      <c r="A261" s="7" t="n"/>
      <c r="B261" s="7">
        <f>IF($A261="","",VLOOKUP($A261,CoachRoster!$A:$E,4,FALSE))</f>
        <v/>
      </c>
      <c r="C261" s="7" t="n"/>
      <c r="D261" s="7" t="n"/>
      <c r="E261" s="7" t="n"/>
      <c r="F261" s="7" t="n"/>
      <c r="G261" s="7" t="n"/>
      <c r="H261" s="7">
        <f>IF($A261="","",IF(AND($E261="Pass",$F261="Pass",$G261="Pass"),"PROMOTE","NOT YET"))</f>
        <v/>
      </c>
      <c r="I261" s="7" t="n"/>
      <c r="J261" s="27">
        <f>IF(OR($A261="",$C261=""),"",IF(IFERROR(VLOOKUP($A261,Ledger!$A:$E,5,FALSE),0)&gt;=VLOOKUP($C261,RoleTitles!$A:$B,2,FALSE),"YES","NO"))</f>
        <v/>
      </c>
      <c r="K261" s="27">
        <f>IF($A261="","",IF(AND($H261="PROMOTE",$J261="YES"),"YES — PROMOTE","NO"))</f>
        <v/>
      </c>
    </row>
    <row r="262">
      <c r="A262" s="7" t="n"/>
      <c r="B262" s="7">
        <f>IF($A262="","",VLOOKUP($A262,CoachRoster!$A:$E,4,FALSE))</f>
        <v/>
      </c>
      <c r="C262" s="7" t="n"/>
      <c r="D262" s="7" t="n"/>
      <c r="E262" s="7" t="n"/>
      <c r="F262" s="7" t="n"/>
      <c r="G262" s="7" t="n"/>
      <c r="H262" s="7">
        <f>IF($A262="","",IF(AND($E262="Pass",$F262="Pass",$G262="Pass"),"PROMOTE","NOT YET"))</f>
        <v/>
      </c>
      <c r="I262" s="7" t="n"/>
      <c r="J262" s="27">
        <f>IF(OR($A262="",$C262=""),"",IF(IFERROR(VLOOKUP($A262,Ledger!$A:$E,5,FALSE),0)&gt;=VLOOKUP($C262,RoleTitles!$A:$B,2,FALSE),"YES","NO"))</f>
        <v/>
      </c>
      <c r="K262" s="27">
        <f>IF($A262="","",IF(AND($H262="PROMOTE",$J262="YES"),"YES — PROMOTE","NO"))</f>
        <v/>
      </c>
    </row>
    <row r="263">
      <c r="A263" s="7" t="n"/>
      <c r="B263" s="7">
        <f>IF($A263="","",VLOOKUP($A263,CoachRoster!$A:$E,4,FALSE))</f>
        <v/>
      </c>
      <c r="C263" s="7" t="n"/>
      <c r="D263" s="7" t="n"/>
      <c r="E263" s="7" t="n"/>
      <c r="F263" s="7" t="n"/>
      <c r="G263" s="7" t="n"/>
      <c r="H263" s="7">
        <f>IF($A263="","",IF(AND($E263="Pass",$F263="Pass",$G263="Pass"),"PROMOTE","NOT YET"))</f>
        <v/>
      </c>
      <c r="I263" s="7" t="n"/>
      <c r="J263" s="27">
        <f>IF(OR($A263="",$C263=""),"",IF(IFERROR(VLOOKUP($A263,Ledger!$A:$E,5,FALSE),0)&gt;=VLOOKUP($C263,RoleTitles!$A:$B,2,FALSE),"YES","NO"))</f>
        <v/>
      </c>
      <c r="K263" s="27">
        <f>IF($A263="","",IF(AND($H263="PROMOTE",$J263="YES"),"YES — PROMOTE","NO"))</f>
        <v/>
      </c>
    </row>
    <row r="264">
      <c r="A264" s="7" t="n"/>
      <c r="B264" s="7">
        <f>IF($A264="","",VLOOKUP($A264,CoachRoster!$A:$E,4,FALSE))</f>
        <v/>
      </c>
      <c r="C264" s="7" t="n"/>
      <c r="D264" s="7" t="n"/>
      <c r="E264" s="7" t="n"/>
      <c r="F264" s="7" t="n"/>
      <c r="G264" s="7" t="n"/>
      <c r="H264" s="7">
        <f>IF($A264="","",IF(AND($E264="Pass",$F264="Pass",$G264="Pass"),"PROMOTE","NOT YET"))</f>
        <v/>
      </c>
      <c r="I264" s="7" t="n"/>
      <c r="J264" s="27">
        <f>IF(OR($A264="",$C264=""),"",IF(IFERROR(VLOOKUP($A264,Ledger!$A:$E,5,FALSE),0)&gt;=VLOOKUP($C264,RoleTitles!$A:$B,2,FALSE),"YES","NO"))</f>
        <v/>
      </c>
      <c r="K264" s="27">
        <f>IF($A264="","",IF(AND($H264="PROMOTE",$J264="YES"),"YES — PROMOTE","NO"))</f>
        <v/>
      </c>
    </row>
    <row r="265">
      <c r="A265" s="7" t="n"/>
      <c r="B265" s="7">
        <f>IF($A265="","",VLOOKUP($A265,CoachRoster!$A:$E,4,FALSE))</f>
        <v/>
      </c>
      <c r="C265" s="7" t="n"/>
      <c r="D265" s="7" t="n"/>
      <c r="E265" s="7" t="n"/>
      <c r="F265" s="7" t="n"/>
      <c r="G265" s="7" t="n"/>
      <c r="H265" s="7">
        <f>IF($A265="","",IF(AND($E265="Pass",$F265="Pass",$G265="Pass"),"PROMOTE","NOT YET"))</f>
        <v/>
      </c>
      <c r="I265" s="7" t="n"/>
      <c r="J265" s="27">
        <f>IF(OR($A265="",$C265=""),"",IF(IFERROR(VLOOKUP($A265,Ledger!$A:$E,5,FALSE),0)&gt;=VLOOKUP($C265,RoleTitles!$A:$B,2,FALSE),"YES","NO"))</f>
        <v/>
      </c>
      <c r="K265" s="27">
        <f>IF($A265="","",IF(AND($H265="PROMOTE",$J265="YES"),"YES — PROMOTE","NO"))</f>
        <v/>
      </c>
    </row>
    <row r="266">
      <c r="A266" s="7" t="n"/>
      <c r="B266" s="7">
        <f>IF($A266="","",VLOOKUP($A266,CoachRoster!$A:$E,4,FALSE))</f>
        <v/>
      </c>
      <c r="C266" s="7" t="n"/>
      <c r="D266" s="7" t="n"/>
      <c r="E266" s="7" t="n"/>
      <c r="F266" s="7" t="n"/>
      <c r="G266" s="7" t="n"/>
      <c r="H266" s="7">
        <f>IF($A266="","",IF(AND($E266="Pass",$F266="Pass",$G266="Pass"),"PROMOTE","NOT YET"))</f>
        <v/>
      </c>
      <c r="I266" s="7" t="n"/>
      <c r="J266" s="27">
        <f>IF(OR($A266="",$C266=""),"",IF(IFERROR(VLOOKUP($A266,Ledger!$A:$E,5,FALSE),0)&gt;=VLOOKUP($C266,RoleTitles!$A:$B,2,FALSE),"YES","NO"))</f>
        <v/>
      </c>
      <c r="K266" s="27">
        <f>IF($A266="","",IF(AND($H266="PROMOTE",$J266="YES"),"YES — PROMOTE","NO"))</f>
        <v/>
      </c>
    </row>
    <row r="267">
      <c r="A267" s="7" t="n"/>
      <c r="B267" s="7">
        <f>IF($A267="","",VLOOKUP($A267,CoachRoster!$A:$E,4,FALSE))</f>
        <v/>
      </c>
      <c r="C267" s="7" t="n"/>
      <c r="D267" s="7" t="n"/>
      <c r="E267" s="7" t="n"/>
      <c r="F267" s="7" t="n"/>
      <c r="G267" s="7" t="n"/>
      <c r="H267" s="7">
        <f>IF($A267="","",IF(AND($E267="Pass",$F267="Pass",$G267="Pass"),"PROMOTE","NOT YET"))</f>
        <v/>
      </c>
      <c r="I267" s="7" t="n"/>
      <c r="J267" s="27">
        <f>IF(OR($A267="",$C267=""),"",IF(IFERROR(VLOOKUP($A267,Ledger!$A:$E,5,FALSE),0)&gt;=VLOOKUP($C267,RoleTitles!$A:$B,2,FALSE),"YES","NO"))</f>
        <v/>
      </c>
      <c r="K267" s="27">
        <f>IF($A267="","",IF(AND($H267="PROMOTE",$J267="YES"),"YES — PROMOTE","NO"))</f>
        <v/>
      </c>
    </row>
    <row r="268">
      <c r="A268" s="7" t="n"/>
      <c r="B268" s="7">
        <f>IF($A268="","",VLOOKUP($A268,CoachRoster!$A:$E,4,FALSE))</f>
        <v/>
      </c>
      <c r="C268" s="7" t="n"/>
      <c r="D268" s="7" t="n"/>
      <c r="E268" s="7" t="n"/>
      <c r="F268" s="7" t="n"/>
      <c r="G268" s="7" t="n"/>
      <c r="H268" s="7">
        <f>IF($A268="","",IF(AND($E268="Pass",$F268="Pass",$G268="Pass"),"PROMOTE","NOT YET"))</f>
        <v/>
      </c>
      <c r="I268" s="7" t="n"/>
      <c r="J268" s="27">
        <f>IF(OR($A268="",$C268=""),"",IF(IFERROR(VLOOKUP($A268,Ledger!$A:$E,5,FALSE),0)&gt;=VLOOKUP($C268,RoleTitles!$A:$B,2,FALSE),"YES","NO"))</f>
        <v/>
      </c>
      <c r="K268" s="27">
        <f>IF($A268="","",IF(AND($H268="PROMOTE",$J268="YES"),"YES — PROMOTE","NO"))</f>
        <v/>
      </c>
    </row>
    <row r="269">
      <c r="A269" s="7" t="n"/>
      <c r="B269" s="7">
        <f>IF($A269="","",VLOOKUP($A269,CoachRoster!$A:$E,4,FALSE))</f>
        <v/>
      </c>
      <c r="C269" s="7" t="n"/>
      <c r="D269" s="7" t="n"/>
      <c r="E269" s="7" t="n"/>
      <c r="F269" s="7" t="n"/>
      <c r="G269" s="7" t="n"/>
      <c r="H269" s="7">
        <f>IF($A269="","",IF(AND($E269="Pass",$F269="Pass",$G269="Pass"),"PROMOTE","NOT YET"))</f>
        <v/>
      </c>
      <c r="I269" s="7" t="n"/>
      <c r="J269" s="27">
        <f>IF(OR($A269="",$C269=""),"",IF(IFERROR(VLOOKUP($A269,Ledger!$A:$E,5,FALSE),0)&gt;=VLOOKUP($C269,RoleTitles!$A:$B,2,FALSE),"YES","NO"))</f>
        <v/>
      </c>
      <c r="K269" s="27">
        <f>IF($A269="","",IF(AND($H269="PROMOTE",$J269="YES"),"YES — PROMOTE","NO"))</f>
        <v/>
      </c>
    </row>
    <row r="270">
      <c r="A270" s="7" t="n"/>
      <c r="B270" s="7">
        <f>IF($A270="","",VLOOKUP($A270,CoachRoster!$A:$E,4,FALSE))</f>
        <v/>
      </c>
      <c r="C270" s="7" t="n"/>
      <c r="D270" s="7" t="n"/>
      <c r="E270" s="7" t="n"/>
      <c r="F270" s="7" t="n"/>
      <c r="G270" s="7" t="n"/>
      <c r="H270" s="7">
        <f>IF($A270="","",IF(AND($E270="Pass",$F270="Pass",$G270="Pass"),"PROMOTE","NOT YET"))</f>
        <v/>
      </c>
      <c r="I270" s="7" t="n"/>
      <c r="J270" s="27">
        <f>IF(OR($A270="",$C270=""),"",IF(IFERROR(VLOOKUP($A270,Ledger!$A:$E,5,FALSE),0)&gt;=VLOOKUP($C270,RoleTitles!$A:$B,2,FALSE),"YES","NO"))</f>
        <v/>
      </c>
      <c r="K270" s="27">
        <f>IF($A270="","",IF(AND($H270="PROMOTE",$J270="YES"),"YES — PROMOTE","NO"))</f>
        <v/>
      </c>
    </row>
    <row r="271">
      <c r="A271" s="7" t="n"/>
      <c r="B271" s="7">
        <f>IF($A271="","",VLOOKUP($A271,CoachRoster!$A:$E,4,FALSE))</f>
        <v/>
      </c>
      <c r="C271" s="7" t="n"/>
      <c r="D271" s="7" t="n"/>
      <c r="E271" s="7" t="n"/>
      <c r="F271" s="7" t="n"/>
      <c r="G271" s="7" t="n"/>
      <c r="H271" s="7">
        <f>IF($A271="","",IF(AND($E271="Pass",$F271="Pass",$G271="Pass"),"PROMOTE","NOT YET"))</f>
        <v/>
      </c>
      <c r="I271" s="7" t="n"/>
      <c r="J271" s="27">
        <f>IF(OR($A271="",$C271=""),"",IF(IFERROR(VLOOKUP($A271,Ledger!$A:$E,5,FALSE),0)&gt;=VLOOKUP($C271,RoleTitles!$A:$B,2,FALSE),"YES","NO"))</f>
        <v/>
      </c>
      <c r="K271" s="27">
        <f>IF($A271="","",IF(AND($H271="PROMOTE",$J271="YES"),"YES — PROMOTE","NO"))</f>
        <v/>
      </c>
    </row>
    <row r="272">
      <c r="A272" s="7" t="n"/>
      <c r="B272" s="7">
        <f>IF($A272="","",VLOOKUP($A272,CoachRoster!$A:$E,4,FALSE))</f>
        <v/>
      </c>
      <c r="C272" s="7" t="n"/>
      <c r="D272" s="7" t="n"/>
      <c r="E272" s="7" t="n"/>
      <c r="F272" s="7" t="n"/>
      <c r="G272" s="7" t="n"/>
      <c r="H272" s="7">
        <f>IF($A272="","",IF(AND($E272="Pass",$F272="Pass",$G272="Pass"),"PROMOTE","NOT YET"))</f>
        <v/>
      </c>
      <c r="I272" s="7" t="n"/>
      <c r="J272" s="27">
        <f>IF(OR($A272="",$C272=""),"",IF(IFERROR(VLOOKUP($A272,Ledger!$A:$E,5,FALSE),0)&gt;=VLOOKUP($C272,RoleTitles!$A:$B,2,FALSE),"YES","NO"))</f>
        <v/>
      </c>
      <c r="K272" s="27">
        <f>IF($A272="","",IF(AND($H272="PROMOTE",$J272="YES"),"YES — PROMOTE","NO"))</f>
        <v/>
      </c>
    </row>
    <row r="273">
      <c r="A273" s="7" t="n"/>
      <c r="B273" s="7">
        <f>IF($A273="","",VLOOKUP($A273,CoachRoster!$A:$E,4,FALSE))</f>
        <v/>
      </c>
      <c r="C273" s="7" t="n"/>
      <c r="D273" s="7" t="n"/>
      <c r="E273" s="7" t="n"/>
      <c r="F273" s="7" t="n"/>
      <c r="G273" s="7" t="n"/>
      <c r="H273" s="7">
        <f>IF($A273="","",IF(AND($E273="Pass",$F273="Pass",$G273="Pass"),"PROMOTE","NOT YET"))</f>
        <v/>
      </c>
      <c r="I273" s="7" t="n"/>
      <c r="J273" s="27">
        <f>IF(OR($A273="",$C273=""),"",IF(IFERROR(VLOOKUP($A273,Ledger!$A:$E,5,FALSE),0)&gt;=VLOOKUP($C273,RoleTitles!$A:$B,2,FALSE),"YES","NO"))</f>
        <v/>
      </c>
      <c r="K273" s="27">
        <f>IF($A273="","",IF(AND($H273="PROMOTE",$J273="YES"),"YES — PROMOTE","NO"))</f>
        <v/>
      </c>
    </row>
    <row r="274">
      <c r="A274" s="7" t="n"/>
      <c r="B274" s="7">
        <f>IF($A274="","",VLOOKUP($A274,CoachRoster!$A:$E,4,FALSE))</f>
        <v/>
      </c>
      <c r="C274" s="7" t="n"/>
      <c r="D274" s="7" t="n"/>
      <c r="E274" s="7" t="n"/>
      <c r="F274" s="7" t="n"/>
      <c r="G274" s="7" t="n"/>
      <c r="H274" s="7">
        <f>IF($A274="","",IF(AND($E274="Pass",$F274="Pass",$G274="Pass"),"PROMOTE","NOT YET"))</f>
        <v/>
      </c>
      <c r="I274" s="7" t="n"/>
      <c r="J274" s="27">
        <f>IF(OR($A274="",$C274=""),"",IF(IFERROR(VLOOKUP($A274,Ledger!$A:$E,5,FALSE),0)&gt;=VLOOKUP($C274,RoleTitles!$A:$B,2,FALSE),"YES","NO"))</f>
        <v/>
      </c>
      <c r="K274" s="27">
        <f>IF($A274="","",IF(AND($H274="PROMOTE",$J274="YES"),"YES — PROMOTE","NO"))</f>
        <v/>
      </c>
    </row>
    <row r="275">
      <c r="A275" s="7" t="n"/>
      <c r="B275" s="7">
        <f>IF($A275="","",VLOOKUP($A275,CoachRoster!$A:$E,4,FALSE))</f>
        <v/>
      </c>
      <c r="C275" s="7" t="n"/>
      <c r="D275" s="7" t="n"/>
      <c r="E275" s="7" t="n"/>
      <c r="F275" s="7" t="n"/>
      <c r="G275" s="7" t="n"/>
      <c r="H275" s="7">
        <f>IF($A275="","",IF(AND($E275="Pass",$F275="Pass",$G275="Pass"),"PROMOTE","NOT YET"))</f>
        <v/>
      </c>
      <c r="I275" s="7" t="n"/>
      <c r="J275" s="27">
        <f>IF(OR($A275="",$C275=""),"",IF(IFERROR(VLOOKUP($A275,Ledger!$A:$E,5,FALSE),0)&gt;=VLOOKUP($C275,RoleTitles!$A:$B,2,FALSE),"YES","NO"))</f>
        <v/>
      </c>
      <c r="K275" s="27">
        <f>IF($A275="","",IF(AND($H275="PROMOTE",$J275="YES"),"YES — PROMOTE","NO"))</f>
        <v/>
      </c>
    </row>
    <row r="276">
      <c r="A276" s="7" t="n"/>
      <c r="B276" s="7">
        <f>IF($A276="","",VLOOKUP($A276,CoachRoster!$A:$E,4,FALSE))</f>
        <v/>
      </c>
      <c r="C276" s="7" t="n"/>
      <c r="D276" s="7" t="n"/>
      <c r="E276" s="7" t="n"/>
      <c r="F276" s="7" t="n"/>
      <c r="G276" s="7" t="n"/>
      <c r="H276" s="7">
        <f>IF($A276="","",IF(AND($E276="Pass",$F276="Pass",$G276="Pass"),"PROMOTE","NOT YET"))</f>
        <v/>
      </c>
      <c r="I276" s="7" t="n"/>
      <c r="J276" s="27">
        <f>IF(OR($A276="",$C276=""),"",IF(IFERROR(VLOOKUP($A276,Ledger!$A:$E,5,FALSE),0)&gt;=VLOOKUP($C276,RoleTitles!$A:$B,2,FALSE),"YES","NO"))</f>
        <v/>
      </c>
      <c r="K276" s="27">
        <f>IF($A276="","",IF(AND($H276="PROMOTE",$J276="YES"),"YES — PROMOTE","NO"))</f>
        <v/>
      </c>
    </row>
    <row r="277">
      <c r="A277" s="7" t="n"/>
      <c r="B277" s="7">
        <f>IF($A277="","",VLOOKUP($A277,CoachRoster!$A:$E,4,FALSE))</f>
        <v/>
      </c>
      <c r="C277" s="7" t="n"/>
      <c r="D277" s="7" t="n"/>
      <c r="E277" s="7" t="n"/>
      <c r="F277" s="7" t="n"/>
      <c r="G277" s="7" t="n"/>
      <c r="H277" s="7">
        <f>IF($A277="","",IF(AND($E277="Pass",$F277="Pass",$G277="Pass"),"PROMOTE","NOT YET"))</f>
        <v/>
      </c>
      <c r="I277" s="7" t="n"/>
      <c r="J277" s="27">
        <f>IF(OR($A277="",$C277=""),"",IF(IFERROR(VLOOKUP($A277,Ledger!$A:$E,5,FALSE),0)&gt;=VLOOKUP($C277,RoleTitles!$A:$B,2,FALSE),"YES","NO"))</f>
        <v/>
      </c>
      <c r="K277" s="27">
        <f>IF($A277="","",IF(AND($H277="PROMOTE",$J277="YES"),"YES — PROMOTE","NO"))</f>
        <v/>
      </c>
    </row>
    <row r="278">
      <c r="A278" s="7" t="n"/>
      <c r="B278" s="7">
        <f>IF($A278="","",VLOOKUP($A278,CoachRoster!$A:$E,4,FALSE))</f>
        <v/>
      </c>
      <c r="C278" s="7" t="n"/>
      <c r="D278" s="7" t="n"/>
      <c r="E278" s="7" t="n"/>
      <c r="F278" s="7" t="n"/>
      <c r="G278" s="7" t="n"/>
      <c r="H278" s="7">
        <f>IF($A278="","",IF(AND($E278="Pass",$F278="Pass",$G278="Pass"),"PROMOTE","NOT YET"))</f>
        <v/>
      </c>
      <c r="I278" s="7" t="n"/>
      <c r="J278" s="27">
        <f>IF(OR($A278="",$C278=""),"",IF(IFERROR(VLOOKUP($A278,Ledger!$A:$E,5,FALSE),0)&gt;=VLOOKUP($C278,RoleTitles!$A:$B,2,FALSE),"YES","NO"))</f>
        <v/>
      </c>
      <c r="K278" s="27">
        <f>IF($A278="","",IF(AND($H278="PROMOTE",$J278="YES"),"YES — PROMOTE","NO"))</f>
        <v/>
      </c>
    </row>
    <row r="279">
      <c r="A279" s="7" t="n"/>
      <c r="B279" s="7">
        <f>IF($A279="","",VLOOKUP($A279,CoachRoster!$A:$E,4,FALSE))</f>
        <v/>
      </c>
      <c r="C279" s="7" t="n"/>
      <c r="D279" s="7" t="n"/>
      <c r="E279" s="7" t="n"/>
      <c r="F279" s="7" t="n"/>
      <c r="G279" s="7" t="n"/>
      <c r="H279" s="7">
        <f>IF($A279="","",IF(AND($E279="Pass",$F279="Pass",$G279="Pass"),"PROMOTE","NOT YET"))</f>
        <v/>
      </c>
      <c r="I279" s="7" t="n"/>
      <c r="J279" s="27">
        <f>IF(OR($A279="",$C279=""),"",IF(IFERROR(VLOOKUP($A279,Ledger!$A:$E,5,FALSE),0)&gt;=VLOOKUP($C279,RoleTitles!$A:$B,2,FALSE),"YES","NO"))</f>
        <v/>
      </c>
      <c r="K279" s="27">
        <f>IF($A279="","",IF(AND($H279="PROMOTE",$J279="YES"),"YES — PROMOTE","NO"))</f>
        <v/>
      </c>
    </row>
    <row r="280">
      <c r="A280" s="7" t="n"/>
      <c r="B280" s="7">
        <f>IF($A280="","",VLOOKUP($A280,CoachRoster!$A:$E,4,FALSE))</f>
        <v/>
      </c>
      <c r="C280" s="7" t="n"/>
      <c r="D280" s="7" t="n"/>
      <c r="E280" s="7" t="n"/>
      <c r="F280" s="7" t="n"/>
      <c r="G280" s="7" t="n"/>
      <c r="H280" s="7">
        <f>IF($A280="","",IF(AND($E280="Pass",$F280="Pass",$G280="Pass"),"PROMOTE","NOT YET"))</f>
        <v/>
      </c>
      <c r="I280" s="7" t="n"/>
      <c r="J280" s="27">
        <f>IF(OR($A280="",$C280=""),"",IF(IFERROR(VLOOKUP($A280,Ledger!$A:$E,5,FALSE),0)&gt;=VLOOKUP($C280,RoleTitles!$A:$B,2,FALSE),"YES","NO"))</f>
        <v/>
      </c>
      <c r="K280" s="27">
        <f>IF($A280="","",IF(AND($H280="PROMOTE",$J280="YES"),"YES — PROMOTE","NO"))</f>
        <v/>
      </c>
    </row>
    <row r="281">
      <c r="A281" s="7" t="n"/>
      <c r="B281" s="7">
        <f>IF($A281="","",VLOOKUP($A281,CoachRoster!$A:$E,4,FALSE))</f>
        <v/>
      </c>
      <c r="C281" s="7" t="n"/>
      <c r="D281" s="7" t="n"/>
      <c r="E281" s="7" t="n"/>
      <c r="F281" s="7" t="n"/>
      <c r="G281" s="7" t="n"/>
      <c r="H281" s="7">
        <f>IF($A281="","",IF(AND($E281="Pass",$F281="Pass",$G281="Pass"),"PROMOTE","NOT YET"))</f>
        <v/>
      </c>
      <c r="I281" s="7" t="n"/>
      <c r="J281" s="27">
        <f>IF(OR($A281="",$C281=""),"",IF(IFERROR(VLOOKUP($A281,Ledger!$A:$E,5,FALSE),0)&gt;=VLOOKUP($C281,RoleTitles!$A:$B,2,FALSE),"YES","NO"))</f>
        <v/>
      </c>
      <c r="K281" s="27">
        <f>IF($A281="","",IF(AND($H281="PROMOTE",$J281="YES"),"YES — PROMOTE","NO"))</f>
        <v/>
      </c>
    </row>
    <row r="282">
      <c r="A282" s="7" t="n"/>
      <c r="B282" s="7">
        <f>IF($A282="","",VLOOKUP($A282,CoachRoster!$A:$E,4,FALSE))</f>
        <v/>
      </c>
      <c r="C282" s="7" t="n"/>
      <c r="D282" s="7" t="n"/>
      <c r="E282" s="7" t="n"/>
      <c r="F282" s="7" t="n"/>
      <c r="G282" s="7" t="n"/>
      <c r="H282" s="7">
        <f>IF($A282="","",IF(AND($E282="Pass",$F282="Pass",$G282="Pass"),"PROMOTE","NOT YET"))</f>
        <v/>
      </c>
      <c r="I282" s="7" t="n"/>
      <c r="J282" s="27">
        <f>IF(OR($A282="",$C282=""),"",IF(IFERROR(VLOOKUP($A282,Ledger!$A:$E,5,FALSE),0)&gt;=VLOOKUP($C282,RoleTitles!$A:$B,2,FALSE),"YES","NO"))</f>
        <v/>
      </c>
      <c r="K282" s="27">
        <f>IF($A282="","",IF(AND($H282="PROMOTE",$J282="YES"),"YES — PROMOTE","NO"))</f>
        <v/>
      </c>
    </row>
    <row r="283">
      <c r="A283" s="7" t="n"/>
      <c r="B283" s="7">
        <f>IF($A283="","",VLOOKUP($A283,CoachRoster!$A:$E,4,FALSE))</f>
        <v/>
      </c>
      <c r="C283" s="7" t="n"/>
      <c r="D283" s="7" t="n"/>
      <c r="E283" s="7" t="n"/>
      <c r="F283" s="7" t="n"/>
      <c r="G283" s="7" t="n"/>
      <c r="H283" s="7">
        <f>IF($A283="","",IF(AND($E283="Pass",$F283="Pass",$G283="Pass"),"PROMOTE","NOT YET"))</f>
        <v/>
      </c>
      <c r="I283" s="7" t="n"/>
      <c r="J283" s="27">
        <f>IF(OR($A283="",$C283=""),"",IF(IFERROR(VLOOKUP($A283,Ledger!$A:$E,5,FALSE),0)&gt;=VLOOKUP($C283,RoleTitles!$A:$B,2,FALSE),"YES","NO"))</f>
        <v/>
      </c>
      <c r="K283" s="27">
        <f>IF($A283="","",IF(AND($H283="PROMOTE",$J283="YES"),"YES — PROMOTE","NO"))</f>
        <v/>
      </c>
    </row>
    <row r="284">
      <c r="A284" s="7" t="n"/>
      <c r="B284" s="7">
        <f>IF($A284="","",VLOOKUP($A284,CoachRoster!$A:$E,4,FALSE))</f>
        <v/>
      </c>
      <c r="C284" s="7" t="n"/>
      <c r="D284" s="7" t="n"/>
      <c r="E284" s="7" t="n"/>
      <c r="F284" s="7" t="n"/>
      <c r="G284" s="7" t="n"/>
      <c r="H284" s="7">
        <f>IF($A284="","",IF(AND($E284="Pass",$F284="Pass",$G284="Pass"),"PROMOTE","NOT YET"))</f>
        <v/>
      </c>
      <c r="I284" s="7" t="n"/>
      <c r="J284" s="27">
        <f>IF(OR($A284="",$C284=""),"",IF(IFERROR(VLOOKUP($A284,Ledger!$A:$E,5,FALSE),0)&gt;=VLOOKUP($C284,RoleTitles!$A:$B,2,FALSE),"YES","NO"))</f>
        <v/>
      </c>
      <c r="K284" s="27">
        <f>IF($A284="","",IF(AND($H284="PROMOTE",$J284="YES"),"YES — PROMOTE","NO"))</f>
        <v/>
      </c>
    </row>
    <row r="285">
      <c r="A285" s="7" t="n"/>
      <c r="B285" s="7">
        <f>IF($A285="","",VLOOKUP($A285,CoachRoster!$A:$E,4,FALSE))</f>
        <v/>
      </c>
      <c r="C285" s="7" t="n"/>
      <c r="D285" s="7" t="n"/>
      <c r="E285" s="7" t="n"/>
      <c r="F285" s="7" t="n"/>
      <c r="G285" s="7" t="n"/>
      <c r="H285" s="7">
        <f>IF($A285="","",IF(AND($E285="Pass",$F285="Pass",$G285="Pass"),"PROMOTE","NOT YET"))</f>
        <v/>
      </c>
      <c r="I285" s="7" t="n"/>
      <c r="J285" s="27">
        <f>IF(OR($A285="",$C285=""),"",IF(IFERROR(VLOOKUP($A285,Ledger!$A:$E,5,FALSE),0)&gt;=VLOOKUP($C285,RoleTitles!$A:$B,2,FALSE),"YES","NO"))</f>
        <v/>
      </c>
      <c r="K285" s="27">
        <f>IF($A285="","",IF(AND($H285="PROMOTE",$J285="YES"),"YES — PROMOTE","NO"))</f>
        <v/>
      </c>
    </row>
    <row r="286">
      <c r="A286" s="7" t="n"/>
      <c r="B286" s="7">
        <f>IF($A286="","",VLOOKUP($A286,CoachRoster!$A:$E,4,FALSE))</f>
        <v/>
      </c>
      <c r="C286" s="7" t="n"/>
      <c r="D286" s="7" t="n"/>
      <c r="E286" s="7" t="n"/>
      <c r="F286" s="7" t="n"/>
      <c r="G286" s="7" t="n"/>
      <c r="H286" s="7">
        <f>IF($A286="","",IF(AND($E286="Pass",$F286="Pass",$G286="Pass"),"PROMOTE","NOT YET"))</f>
        <v/>
      </c>
      <c r="I286" s="7" t="n"/>
      <c r="J286" s="27">
        <f>IF(OR($A286="",$C286=""),"",IF(IFERROR(VLOOKUP($A286,Ledger!$A:$E,5,FALSE),0)&gt;=VLOOKUP($C286,RoleTitles!$A:$B,2,FALSE),"YES","NO"))</f>
        <v/>
      </c>
      <c r="K286" s="27">
        <f>IF($A286="","",IF(AND($H286="PROMOTE",$J286="YES"),"YES — PROMOTE","NO"))</f>
        <v/>
      </c>
    </row>
    <row r="287">
      <c r="A287" s="7" t="n"/>
      <c r="B287" s="7">
        <f>IF($A287="","",VLOOKUP($A287,CoachRoster!$A:$E,4,FALSE))</f>
        <v/>
      </c>
      <c r="C287" s="7" t="n"/>
      <c r="D287" s="7" t="n"/>
      <c r="E287" s="7" t="n"/>
      <c r="F287" s="7" t="n"/>
      <c r="G287" s="7" t="n"/>
      <c r="H287" s="7">
        <f>IF($A287="","",IF(AND($E287="Pass",$F287="Pass",$G287="Pass"),"PROMOTE","NOT YET"))</f>
        <v/>
      </c>
      <c r="I287" s="7" t="n"/>
      <c r="J287" s="27">
        <f>IF(OR($A287="",$C287=""),"",IF(IFERROR(VLOOKUP($A287,Ledger!$A:$E,5,FALSE),0)&gt;=VLOOKUP($C287,RoleTitles!$A:$B,2,FALSE),"YES","NO"))</f>
        <v/>
      </c>
      <c r="K287" s="27">
        <f>IF($A287="","",IF(AND($H287="PROMOTE",$J287="YES"),"YES — PROMOTE","NO"))</f>
        <v/>
      </c>
    </row>
    <row r="288">
      <c r="A288" s="7" t="n"/>
      <c r="B288" s="7">
        <f>IF($A288="","",VLOOKUP($A288,CoachRoster!$A:$E,4,FALSE))</f>
        <v/>
      </c>
      <c r="C288" s="7" t="n"/>
      <c r="D288" s="7" t="n"/>
      <c r="E288" s="7" t="n"/>
      <c r="F288" s="7" t="n"/>
      <c r="G288" s="7" t="n"/>
      <c r="H288" s="7">
        <f>IF($A288="","",IF(AND($E288="Pass",$F288="Pass",$G288="Pass"),"PROMOTE","NOT YET"))</f>
        <v/>
      </c>
      <c r="I288" s="7" t="n"/>
      <c r="J288" s="27">
        <f>IF(OR($A288="",$C288=""),"",IF(IFERROR(VLOOKUP($A288,Ledger!$A:$E,5,FALSE),0)&gt;=VLOOKUP($C288,RoleTitles!$A:$B,2,FALSE),"YES","NO"))</f>
        <v/>
      </c>
      <c r="K288" s="27">
        <f>IF($A288="","",IF(AND($H288="PROMOTE",$J288="YES"),"YES — PROMOTE","NO"))</f>
        <v/>
      </c>
    </row>
    <row r="289">
      <c r="A289" s="7" t="n"/>
      <c r="B289" s="7">
        <f>IF($A289="","",VLOOKUP($A289,CoachRoster!$A:$E,4,FALSE))</f>
        <v/>
      </c>
      <c r="C289" s="7" t="n"/>
      <c r="D289" s="7" t="n"/>
      <c r="E289" s="7" t="n"/>
      <c r="F289" s="7" t="n"/>
      <c r="G289" s="7" t="n"/>
      <c r="H289" s="7">
        <f>IF($A289="","",IF(AND($E289="Pass",$F289="Pass",$G289="Pass"),"PROMOTE","NOT YET"))</f>
        <v/>
      </c>
      <c r="I289" s="7" t="n"/>
      <c r="J289" s="27">
        <f>IF(OR($A289="",$C289=""),"",IF(IFERROR(VLOOKUP($A289,Ledger!$A:$E,5,FALSE),0)&gt;=VLOOKUP($C289,RoleTitles!$A:$B,2,FALSE),"YES","NO"))</f>
        <v/>
      </c>
      <c r="K289" s="27">
        <f>IF($A289="","",IF(AND($H289="PROMOTE",$J289="YES"),"YES — PROMOTE","NO"))</f>
        <v/>
      </c>
    </row>
    <row r="290">
      <c r="A290" s="7" t="n"/>
      <c r="B290" s="7">
        <f>IF($A290="","",VLOOKUP($A290,CoachRoster!$A:$E,4,FALSE))</f>
        <v/>
      </c>
      <c r="C290" s="7" t="n"/>
      <c r="D290" s="7" t="n"/>
      <c r="E290" s="7" t="n"/>
      <c r="F290" s="7" t="n"/>
      <c r="G290" s="7" t="n"/>
      <c r="H290" s="7">
        <f>IF($A290="","",IF(AND($E290="Pass",$F290="Pass",$G290="Pass"),"PROMOTE","NOT YET"))</f>
        <v/>
      </c>
      <c r="I290" s="7" t="n"/>
      <c r="J290" s="27">
        <f>IF(OR($A290="",$C290=""),"",IF(IFERROR(VLOOKUP($A290,Ledger!$A:$E,5,FALSE),0)&gt;=VLOOKUP($C290,RoleTitles!$A:$B,2,FALSE),"YES","NO"))</f>
        <v/>
      </c>
      <c r="K290" s="27">
        <f>IF($A290="","",IF(AND($H290="PROMOTE",$J290="YES"),"YES — PROMOTE","NO"))</f>
        <v/>
      </c>
    </row>
    <row r="291">
      <c r="A291" s="7" t="n"/>
      <c r="B291" s="7">
        <f>IF($A291="","",VLOOKUP($A291,CoachRoster!$A:$E,4,FALSE))</f>
        <v/>
      </c>
      <c r="C291" s="7" t="n"/>
      <c r="D291" s="7" t="n"/>
      <c r="E291" s="7" t="n"/>
      <c r="F291" s="7" t="n"/>
      <c r="G291" s="7" t="n"/>
      <c r="H291" s="7">
        <f>IF($A291="","",IF(AND($E291="Pass",$F291="Pass",$G291="Pass"),"PROMOTE","NOT YET"))</f>
        <v/>
      </c>
      <c r="I291" s="7" t="n"/>
      <c r="J291" s="27">
        <f>IF(OR($A291="",$C291=""),"",IF(IFERROR(VLOOKUP($A291,Ledger!$A:$E,5,FALSE),0)&gt;=VLOOKUP($C291,RoleTitles!$A:$B,2,FALSE),"YES","NO"))</f>
        <v/>
      </c>
      <c r="K291" s="27">
        <f>IF($A291="","",IF(AND($H291="PROMOTE",$J291="YES"),"YES — PROMOTE","NO"))</f>
        <v/>
      </c>
    </row>
    <row r="292">
      <c r="A292" s="7" t="n"/>
      <c r="B292" s="7">
        <f>IF($A292="","",VLOOKUP($A292,CoachRoster!$A:$E,4,FALSE))</f>
        <v/>
      </c>
      <c r="C292" s="7" t="n"/>
      <c r="D292" s="7" t="n"/>
      <c r="E292" s="7" t="n"/>
      <c r="F292" s="7" t="n"/>
      <c r="G292" s="7" t="n"/>
      <c r="H292" s="7">
        <f>IF($A292="","",IF(AND($E292="Pass",$F292="Pass",$G292="Pass"),"PROMOTE","NOT YET"))</f>
        <v/>
      </c>
      <c r="I292" s="7" t="n"/>
      <c r="J292" s="27">
        <f>IF(OR($A292="",$C292=""),"",IF(IFERROR(VLOOKUP($A292,Ledger!$A:$E,5,FALSE),0)&gt;=VLOOKUP($C292,RoleTitles!$A:$B,2,FALSE),"YES","NO"))</f>
        <v/>
      </c>
      <c r="K292" s="27">
        <f>IF($A292="","",IF(AND($H292="PROMOTE",$J292="YES"),"YES — PROMOTE","NO"))</f>
        <v/>
      </c>
    </row>
    <row r="293">
      <c r="A293" s="7" t="n"/>
      <c r="B293" s="7">
        <f>IF($A293="","",VLOOKUP($A293,CoachRoster!$A:$E,4,FALSE))</f>
        <v/>
      </c>
      <c r="C293" s="7" t="n"/>
      <c r="D293" s="7" t="n"/>
      <c r="E293" s="7" t="n"/>
      <c r="F293" s="7" t="n"/>
      <c r="G293" s="7" t="n"/>
      <c r="H293" s="7">
        <f>IF($A293="","",IF(AND($E293="Pass",$F293="Pass",$G293="Pass"),"PROMOTE","NOT YET"))</f>
        <v/>
      </c>
      <c r="I293" s="7" t="n"/>
      <c r="J293" s="27">
        <f>IF(OR($A293="",$C293=""),"",IF(IFERROR(VLOOKUP($A293,Ledger!$A:$E,5,FALSE),0)&gt;=VLOOKUP($C293,RoleTitles!$A:$B,2,FALSE),"YES","NO"))</f>
        <v/>
      </c>
      <c r="K293" s="27">
        <f>IF($A293="","",IF(AND($H293="PROMOTE",$J293="YES"),"YES — PROMOTE","NO"))</f>
        <v/>
      </c>
    </row>
    <row r="294">
      <c r="A294" s="7" t="n"/>
      <c r="B294" s="7">
        <f>IF($A294="","",VLOOKUP($A294,CoachRoster!$A:$E,4,FALSE))</f>
        <v/>
      </c>
      <c r="C294" s="7" t="n"/>
      <c r="D294" s="7" t="n"/>
      <c r="E294" s="7" t="n"/>
      <c r="F294" s="7" t="n"/>
      <c r="G294" s="7" t="n"/>
      <c r="H294" s="7">
        <f>IF($A294="","",IF(AND($E294="Pass",$F294="Pass",$G294="Pass"),"PROMOTE","NOT YET"))</f>
        <v/>
      </c>
      <c r="I294" s="7" t="n"/>
      <c r="J294" s="27">
        <f>IF(OR($A294="",$C294=""),"",IF(IFERROR(VLOOKUP($A294,Ledger!$A:$E,5,FALSE),0)&gt;=VLOOKUP($C294,RoleTitles!$A:$B,2,FALSE),"YES","NO"))</f>
        <v/>
      </c>
      <c r="K294" s="27">
        <f>IF($A294="","",IF(AND($H294="PROMOTE",$J294="YES"),"YES — PROMOTE","NO"))</f>
        <v/>
      </c>
    </row>
    <row r="295">
      <c r="A295" s="7" t="n"/>
      <c r="B295" s="7">
        <f>IF($A295="","",VLOOKUP($A295,CoachRoster!$A:$E,4,FALSE))</f>
        <v/>
      </c>
      <c r="C295" s="7" t="n"/>
      <c r="D295" s="7" t="n"/>
      <c r="E295" s="7" t="n"/>
      <c r="F295" s="7" t="n"/>
      <c r="G295" s="7" t="n"/>
      <c r="H295" s="7">
        <f>IF($A295="","",IF(AND($E295="Pass",$F295="Pass",$G295="Pass"),"PROMOTE","NOT YET"))</f>
        <v/>
      </c>
      <c r="I295" s="7" t="n"/>
      <c r="J295" s="27">
        <f>IF(OR($A295="",$C295=""),"",IF(IFERROR(VLOOKUP($A295,Ledger!$A:$E,5,FALSE),0)&gt;=VLOOKUP($C295,RoleTitles!$A:$B,2,FALSE),"YES","NO"))</f>
        <v/>
      </c>
      <c r="K295" s="27">
        <f>IF($A295="","",IF(AND($H295="PROMOTE",$J295="YES"),"YES — PROMOTE","NO"))</f>
        <v/>
      </c>
    </row>
    <row r="296">
      <c r="A296" s="7" t="n"/>
      <c r="B296" s="7">
        <f>IF($A296="","",VLOOKUP($A296,CoachRoster!$A:$E,4,FALSE))</f>
        <v/>
      </c>
      <c r="C296" s="7" t="n"/>
      <c r="D296" s="7" t="n"/>
      <c r="E296" s="7" t="n"/>
      <c r="F296" s="7" t="n"/>
      <c r="G296" s="7" t="n"/>
      <c r="H296" s="7">
        <f>IF($A296="","",IF(AND($E296="Pass",$F296="Pass",$G296="Pass"),"PROMOTE","NOT YET"))</f>
        <v/>
      </c>
      <c r="I296" s="7" t="n"/>
      <c r="J296" s="27">
        <f>IF(OR($A296="",$C296=""),"",IF(IFERROR(VLOOKUP($A296,Ledger!$A:$E,5,FALSE),0)&gt;=VLOOKUP($C296,RoleTitles!$A:$B,2,FALSE),"YES","NO"))</f>
        <v/>
      </c>
      <c r="K296" s="27">
        <f>IF($A296="","",IF(AND($H296="PROMOTE",$J296="YES"),"YES — PROMOTE","NO"))</f>
        <v/>
      </c>
    </row>
    <row r="297">
      <c r="A297" s="7" t="n"/>
      <c r="B297" s="7">
        <f>IF($A297="","",VLOOKUP($A297,CoachRoster!$A:$E,4,FALSE))</f>
        <v/>
      </c>
      <c r="C297" s="7" t="n"/>
      <c r="D297" s="7" t="n"/>
      <c r="E297" s="7" t="n"/>
      <c r="F297" s="7" t="n"/>
      <c r="G297" s="7" t="n"/>
      <c r="H297" s="7">
        <f>IF($A297="","",IF(AND($E297="Pass",$F297="Pass",$G297="Pass"),"PROMOTE","NOT YET"))</f>
        <v/>
      </c>
      <c r="I297" s="7" t="n"/>
      <c r="J297" s="27">
        <f>IF(OR($A297="",$C297=""),"",IF(IFERROR(VLOOKUP($A297,Ledger!$A:$E,5,FALSE),0)&gt;=VLOOKUP($C297,RoleTitles!$A:$B,2,FALSE),"YES","NO"))</f>
        <v/>
      </c>
      <c r="K297" s="27">
        <f>IF($A297="","",IF(AND($H297="PROMOTE",$J297="YES"),"YES — PROMOTE","NO"))</f>
        <v/>
      </c>
    </row>
    <row r="298">
      <c r="A298" s="7" t="n"/>
      <c r="B298" s="7">
        <f>IF($A298="","",VLOOKUP($A298,CoachRoster!$A:$E,4,FALSE))</f>
        <v/>
      </c>
      <c r="C298" s="7" t="n"/>
      <c r="D298" s="7" t="n"/>
      <c r="E298" s="7" t="n"/>
      <c r="F298" s="7" t="n"/>
      <c r="G298" s="7" t="n"/>
      <c r="H298" s="7">
        <f>IF($A298="","",IF(AND($E298="Pass",$F298="Pass",$G298="Pass"),"PROMOTE","NOT YET"))</f>
        <v/>
      </c>
      <c r="I298" s="7" t="n"/>
      <c r="J298" s="27">
        <f>IF(OR($A298="",$C298=""),"",IF(IFERROR(VLOOKUP($A298,Ledger!$A:$E,5,FALSE),0)&gt;=VLOOKUP($C298,RoleTitles!$A:$B,2,FALSE),"YES","NO"))</f>
        <v/>
      </c>
      <c r="K298" s="27">
        <f>IF($A298="","",IF(AND($H298="PROMOTE",$J298="YES"),"YES — PROMOTE","NO"))</f>
        <v/>
      </c>
    </row>
    <row r="299">
      <c r="A299" s="7" t="n"/>
      <c r="B299" s="7">
        <f>IF($A299="","",VLOOKUP($A299,CoachRoster!$A:$E,4,FALSE))</f>
        <v/>
      </c>
      <c r="C299" s="7" t="n"/>
      <c r="D299" s="7" t="n"/>
      <c r="E299" s="7" t="n"/>
      <c r="F299" s="7" t="n"/>
      <c r="G299" s="7" t="n"/>
      <c r="H299" s="7">
        <f>IF($A299="","",IF(AND($E299="Pass",$F299="Pass",$G299="Pass"),"PROMOTE","NOT YET"))</f>
        <v/>
      </c>
      <c r="I299" s="7" t="n"/>
      <c r="J299" s="27">
        <f>IF(OR($A299="",$C299=""),"",IF(IFERROR(VLOOKUP($A299,Ledger!$A:$E,5,FALSE),0)&gt;=VLOOKUP($C299,RoleTitles!$A:$B,2,FALSE),"YES","NO"))</f>
        <v/>
      </c>
      <c r="K299" s="27">
        <f>IF($A299="","",IF(AND($H299="PROMOTE",$J299="YES"),"YES — PROMOTE","NO"))</f>
        <v/>
      </c>
    </row>
    <row r="300">
      <c r="A300" s="7" t="n"/>
      <c r="B300" s="7">
        <f>IF($A300="","",VLOOKUP($A300,CoachRoster!$A:$E,4,FALSE))</f>
        <v/>
      </c>
      <c r="C300" s="7" t="n"/>
      <c r="D300" s="7" t="n"/>
      <c r="E300" s="7" t="n"/>
      <c r="F300" s="7" t="n"/>
      <c r="G300" s="7" t="n"/>
      <c r="H300" s="7">
        <f>IF($A300="","",IF(AND($E300="Pass",$F300="Pass",$G300="Pass"),"PROMOTE","NOT YET"))</f>
        <v/>
      </c>
      <c r="I300" s="7" t="n"/>
      <c r="J300" s="27">
        <f>IF(OR($A300="",$C300=""),"",IF(IFERROR(VLOOKUP($A300,Ledger!$A:$E,5,FALSE),0)&gt;=VLOOKUP($C300,RoleTitles!$A:$B,2,FALSE),"YES","NO"))</f>
        <v/>
      </c>
      <c r="K300" s="27">
        <f>IF($A300="","",IF(AND($H300="PROMOTE",$J300="YES"),"YES — PROMOTE","NO"))</f>
        <v/>
      </c>
    </row>
    <row r="301">
      <c r="A301" s="7" t="n"/>
      <c r="B301" s="7">
        <f>IF($A301="","",VLOOKUP($A301,CoachRoster!$A:$E,4,FALSE))</f>
        <v/>
      </c>
      <c r="C301" s="7" t="n"/>
      <c r="D301" s="7" t="n"/>
      <c r="E301" s="7" t="n"/>
      <c r="F301" s="7" t="n"/>
      <c r="G301" s="7" t="n"/>
      <c r="H301" s="7">
        <f>IF($A301="","",IF(AND($E301="Pass",$F301="Pass",$G301="Pass"),"PROMOTE","NOT YET"))</f>
        <v/>
      </c>
      <c r="I301" s="7" t="n"/>
      <c r="J301" s="27">
        <f>IF(OR($A301="",$C301=""),"",IF(IFERROR(VLOOKUP($A301,Ledger!$A:$E,5,FALSE),0)&gt;=VLOOKUP($C301,RoleTitles!$A:$B,2,FALSE),"YES","NO"))</f>
        <v/>
      </c>
      <c r="K301" s="27">
        <f>IF($A301="","",IF(AND($H301="PROMOTE",$J301="YES"),"YES — PROMOTE","NO"))</f>
        <v/>
      </c>
    </row>
    <row r="302">
      <c r="A302" s="7" t="n"/>
      <c r="B302" s="7">
        <f>IF($A302="","",VLOOKUP($A302,CoachRoster!$A:$E,4,FALSE))</f>
        <v/>
      </c>
      <c r="C302" s="7" t="n"/>
      <c r="D302" s="7" t="n"/>
      <c r="E302" s="7" t="n"/>
      <c r="F302" s="7" t="n"/>
      <c r="G302" s="7" t="n"/>
      <c r="H302" s="7">
        <f>IF($A302="","",IF(AND($E302="Pass",$F302="Pass",$G302="Pass"),"PROMOTE","NOT YET"))</f>
        <v/>
      </c>
      <c r="I302" s="7" t="n"/>
      <c r="J302" s="27">
        <f>IF(OR($A302="",$C302=""),"",IF(IFERROR(VLOOKUP($A302,Ledger!$A:$E,5,FALSE),0)&gt;=VLOOKUP($C302,RoleTitles!$A:$B,2,FALSE),"YES","NO"))</f>
        <v/>
      </c>
      <c r="K302" s="27">
        <f>IF($A302="","",IF(AND($H302="PROMOTE",$J302="YES"),"YES — PROMOTE","NO"))</f>
        <v/>
      </c>
    </row>
    <row r="303">
      <c r="A303" s="7" t="n"/>
      <c r="B303" s="7">
        <f>IF($A303="","",VLOOKUP($A303,CoachRoster!$A:$E,4,FALSE))</f>
        <v/>
      </c>
      <c r="C303" s="7" t="n"/>
      <c r="D303" s="7" t="n"/>
      <c r="E303" s="7" t="n"/>
      <c r="F303" s="7" t="n"/>
      <c r="G303" s="7" t="n"/>
      <c r="H303" s="7">
        <f>IF($A303="","",IF(AND($E303="Pass",$F303="Pass",$G303="Pass"),"PROMOTE","NOT YET"))</f>
        <v/>
      </c>
      <c r="I303" s="7" t="n"/>
      <c r="J303" s="27">
        <f>IF(OR($A303="",$C303=""),"",IF(IFERROR(VLOOKUP($A303,Ledger!$A:$E,5,FALSE),0)&gt;=VLOOKUP($C303,RoleTitles!$A:$B,2,FALSE),"YES","NO"))</f>
        <v/>
      </c>
      <c r="K303" s="27">
        <f>IF($A303="","",IF(AND($H303="PROMOTE",$J303="YES"),"YES — PROMOTE","NO"))</f>
        <v/>
      </c>
    </row>
    <row r="304">
      <c r="A304" s="7" t="n"/>
      <c r="B304" s="7">
        <f>IF($A304="","",VLOOKUP($A304,CoachRoster!$A:$E,4,FALSE))</f>
        <v/>
      </c>
      <c r="C304" s="7" t="n"/>
      <c r="D304" s="7" t="n"/>
      <c r="E304" s="7" t="n"/>
      <c r="F304" s="7" t="n"/>
      <c r="G304" s="7" t="n"/>
      <c r="H304" s="7">
        <f>IF($A304="","",IF(AND($E304="Pass",$F304="Pass",$G304="Pass"),"PROMOTE","NOT YET"))</f>
        <v/>
      </c>
      <c r="I304" s="7" t="n"/>
      <c r="J304" s="27">
        <f>IF(OR($A304="",$C304=""),"",IF(IFERROR(VLOOKUP($A304,Ledger!$A:$E,5,FALSE),0)&gt;=VLOOKUP($C304,RoleTitles!$A:$B,2,FALSE),"YES","NO"))</f>
        <v/>
      </c>
      <c r="K304" s="27">
        <f>IF($A304="","",IF(AND($H304="PROMOTE",$J304="YES"),"YES — PROMOTE","NO"))</f>
        <v/>
      </c>
    </row>
    <row r="305">
      <c r="A305" s="7" t="n"/>
      <c r="B305" s="7">
        <f>IF($A305="","",VLOOKUP($A305,CoachRoster!$A:$E,4,FALSE))</f>
        <v/>
      </c>
      <c r="C305" s="7" t="n"/>
      <c r="D305" s="7" t="n"/>
      <c r="E305" s="7" t="n"/>
      <c r="F305" s="7" t="n"/>
      <c r="G305" s="7" t="n"/>
      <c r="H305" s="7">
        <f>IF($A305="","",IF(AND($E305="Pass",$F305="Pass",$G305="Pass"),"PROMOTE","NOT YET"))</f>
        <v/>
      </c>
      <c r="I305" s="7" t="n"/>
      <c r="J305" s="27">
        <f>IF(OR($A305="",$C305=""),"",IF(IFERROR(VLOOKUP($A305,Ledger!$A:$E,5,FALSE),0)&gt;=VLOOKUP($C305,RoleTitles!$A:$B,2,FALSE),"YES","NO"))</f>
        <v/>
      </c>
      <c r="K305" s="27">
        <f>IF($A305="","",IF(AND($H305="PROMOTE",$J305="YES"),"YES — PROMOTE","NO"))</f>
        <v/>
      </c>
    </row>
    <row r="306">
      <c r="A306" s="7" t="n"/>
      <c r="B306" s="7">
        <f>IF($A306="","",VLOOKUP($A306,CoachRoster!$A:$E,4,FALSE))</f>
        <v/>
      </c>
      <c r="C306" s="7" t="n"/>
      <c r="D306" s="7" t="n"/>
      <c r="E306" s="7" t="n"/>
      <c r="F306" s="7" t="n"/>
      <c r="G306" s="7" t="n"/>
      <c r="H306" s="7">
        <f>IF($A306="","",IF(AND($E306="Pass",$F306="Pass",$G306="Pass"),"PROMOTE","NOT YET"))</f>
        <v/>
      </c>
      <c r="I306" s="7" t="n"/>
      <c r="J306" s="27">
        <f>IF(OR($A306="",$C306=""),"",IF(IFERROR(VLOOKUP($A306,Ledger!$A:$E,5,FALSE),0)&gt;=VLOOKUP($C306,RoleTitles!$A:$B,2,FALSE),"YES","NO"))</f>
        <v/>
      </c>
      <c r="K306" s="27">
        <f>IF($A306="","",IF(AND($H306="PROMOTE",$J306="YES"),"YES — PROMOTE","NO"))</f>
        <v/>
      </c>
    </row>
    <row r="307">
      <c r="A307" s="7" t="n"/>
      <c r="B307" s="7">
        <f>IF($A307="","",VLOOKUP($A307,CoachRoster!$A:$E,4,FALSE))</f>
        <v/>
      </c>
      <c r="C307" s="7" t="n"/>
      <c r="D307" s="7" t="n"/>
      <c r="E307" s="7" t="n"/>
      <c r="F307" s="7" t="n"/>
      <c r="G307" s="7" t="n"/>
      <c r="H307" s="7">
        <f>IF($A307="","",IF(AND($E307="Pass",$F307="Pass",$G307="Pass"),"PROMOTE","NOT YET"))</f>
        <v/>
      </c>
      <c r="I307" s="7" t="n"/>
      <c r="J307" s="27">
        <f>IF(OR($A307="",$C307=""),"",IF(IFERROR(VLOOKUP($A307,Ledger!$A:$E,5,FALSE),0)&gt;=VLOOKUP($C307,RoleTitles!$A:$B,2,FALSE),"YES","NO"))</f>
        <v/>
      </c>
      <c r="K307" s="27">
        <f>IF($A307="","",IF(AND($H307="PROMOTE",$J307="YES"),"YES — PROMOTE","NO"))</f>
        <v/>
      </c>
    </row>
    <row r="308">
      <c r="A308" s="7" t="n"/>
      <c r="B308" s="7">
        <f>IF($A308="","",VLOOKUP($A308,CoachRoster!$A:$E,4,FALSE))</f>
        <v/>
      </c>
      <c r="C308" s="7" t="n"/>
      <c r="D308" s="7" t="n"/>
      <c r="E308" s="7" t="n"/>
      <c r="F308" s="7" t="n"/>
      <c r="G308" s="7" t="n"/>
      <c r="H308" s="7">
        <f>IF($A308="","",IF(AND($E308="Pass",$F308="Pass",$G308="Pass"),"PROMOTE","NOT YET"))</f>
        <v/>
      </c>
      <c r="I308" s="7" t="n"/>
      <c r="J308" s="27">
        <f>IF(OR($A308="",$C308=""),"",IF(IFERROR(VLOOKUP($A308,Ledger!$A:$E,5,FALSE),0)&gt;=VLOOKUP($C308,RoleTitles!$A:$B,2,FALSE),"YES","NO"))</f>
        <v/>
      </c>
      <c r="K308" s="27">
        <f>IF($A308="","",IF(AND($H308="PROMOTE",$J308="YES"),"YES — PROMOTE","NO"))</f>
        <v/>
      </c>
    </row>
    <row r="309">
      <c r="A309" s="7" t="n"/>
      <c r="B309" s="7">
        <f>IF($A309="","",VLOOKUP($A309,CoachRoster!$A:$E,4,FALSE))</f>
        <v/>
      </c>
      <c r="C309" s="7" t="n"/>
      <c r="D309" s="7" t="n"/>
      <c r="E309" s="7" t="n"/>
      <c r="F309" s="7" t="n"/>
      <c r="G309" s="7" t="n"/>
      <c r="H309" s="7">
        <f>IF($A309="","",IF(AND($E309="Pass",$F309="Pass",$G309="Pass"),"PROMOTE","NOT YET"))</f>
        <v/>
      </c>
      <c r="I309" s="7" t="n"/>
      <c r="J309" s="27">
        <f>IF(OR($A309="",$C309=""),"",IF(IFERROR(VLOOKUP($A309,Ledger!$A:$E,5,FALSE),0)&gt;=VLOOKUP($C309,RoleTitles!$A:$B,2,FALSE),"YES","NO"))</f>
        <v/>
      </c>
      <c r="K309" s="27">
        <f>IF($A309="","",IF(AND($H309="PROMOTE",$J309="YES"),"YES — PROMOTE","NO"))</f>
        <v/>
      </c>
    </row>
    <row r="310">
      <c r="A310" s="7" t="n"/>
      <c r="B310" s="7">
        <f>IF($A310="","",VLOOKUP($A310,CoachRoster!$A:$E,4,FALSE))</f>
        <v/>
      </c>
      <c r="C310" s="7" t="n"/>
      <c r="D310" s="7" t="n"/>
      <c r="E310" s="7" t="n"/>
      <c r="F310" s="7" t="n"/>
      <c r="G310" s="7" t="n"/>
      <c r="H310" s="7">
        <f>IF($A310="","",IF(AND($E310="Pass",$F310="Pass",$G310="Pass"),"PROMOTE","NOT YET"))</f>
        <v/>
      </c>
      <c r="I310" s="7" t="n"/>
      <c r="J310" s="27">
        <f>IF(OR($A310="",$C310=""),"",IF(IFERROR(VLOOKUP($A310,Ledger!$A:$E,5,FALSE),0)&gt;=VLOOKUP($C310,RoleTitles!$A:$B,2,FALSE),"YES","NO"))</f>
        <v/>
      </c>
      <c r="K310" s="27">
        <f>IF($A310="","",IF(AND($H310="PROMOTE",$J310="YES"),"YES — PROMOTE","NO"))</f>
        <v/>
      </c>
    </row>
    <row r="311">
      <c r="A311" s="7" t="n"/>
      <c r="B311" s="7">
        <f>IF($A311="","",VLOOKUP($A311,CoachRoster!$A:$E,4,FALSE))</f>
        <v/>
      </c>
      <c r="C311" s="7" t="n"/>
      <c r="D311" s="7" t="n"/>
      <c r="E311" s="7" t="n"/>
      <c r="F311" s="7" t="n"/>
      <c r="G311" s="7" t="n"/>
      <c r="H311" s="7">
        <f>IF($A311="","",IF(AND($E311="Pass",$F311="Pass",$G311="Pass"),"PROMOTE","NOT YET"))</f>
        <v/>
      </c>
      <c r="I311" s="7" t="n"/>
      <c r="J311" s="27">
        <f>IF(OR($A311="",$C311=""),"",IF(IFERROR(VLOOKUP($A311,Ledger!$A:$E,5,FALSE),0)&gt;=VLOOKUP($C311,RoleTitles!$A:$B,2,FALSE),"YES","NO"))</f>
        <v/>
      </c>
      <c r="K311" s="27">
        <f>IF($A311="","",IF(AND($H311="PROMOTE",$J311="YES"),"YES — PROMOTE","NO"))</f>
        <v/>
      </c>
    </row>
    <row r="312">
      <c r="A312" s="7" t="n"/>
      <c r="B312" s="7">
        <f>IF($A312="","",VLOOKUP($A312,CoachRoster!$A:$E,4,FALSE))</f>
        <v/>
      </c>
      <c r="C312" s="7" t="n"/>
      <c r="D312" s="7" t="n"/>
      <c r="E312" s="7" t="n"/>
      <c r="F312" s="7" t="n"/>
      <c r="G312" s="7" t="n"/>
      <c r="H312" s="7">
        <f>IF($A312="","",IF(AND($E312="Pass",$F312="Pass",$G312="Pass"),"PROMOTE","NOT YET"))</f>
        <v/>
      </c>
      <c r="I312" s="7" t="n"/>
      <c r="J312" s="27">
        <f>IF(OR($A312="",$C312=""),"",IF(IFERROR(VLOOKUP($A312,Ledger!$A:$E,5,FALSE),0)&gt;=VLOOKUP($C312,RoleTitles!$A:$B,2,FALSE),"YES","NO"))</f>
        <v/>
      </c>
      <c r="K312" s="27">
        <f>IF($A312="","",IF(AND($H312="PROMOTE",$J312="YES"),"YES — PROMOTE","NO"))</f>
        <v/>
      </c>
    </row>
    <row r="313">
      <c r="A313" s="7" t="n"/>
      <c r="B313" s="7">
        <f>IF($A313="","",VLOOKUP($A313,CoachRoster!$A:$E,4,FALSE))</f>
        <v/>
      </c>
      <c r="C313" s="7" t="n"/>
      <c r="D313" s="7" t="n"/>
      <c r="E313" s="7" t="n"/>
      <c r="F313" s="7" t="n"/>
      <c r="G313" s="7" t="n"/>
      <c r="H313" s="7">
        <f>IF($A313="","",IF(AND($E313="Pass",$F313="Pass",$G313="Pass"),"PROMOTE","NOT YET"))</f>
        <v/>
      </c>
      <c r="I313" s="7" t="n"/>
      <c r="J313" s="27">
        <f>IF(OR($A313="",$C313=""),"",IF(IFERROR(VLOOKUP($A313,Ledger!$A:$E,5,FALSE),0)&gt;=VLOOKUP($C313,RoleTitles!$A:$B,2,FALSE),"YES","NO"))</f>
        <v/>
      </c>
      <c r="K313" s="27">
        <f>IF($A313="","",IF(AND($H313="PROMOTE",$J313="YES"),"YES — PROMOTE","NO"))</f>
        <v/>
      </c>
    </row>
    <row r="314">
      <c r="A314" s="7" t="n"/>
      <c r="B314" s="7">
        <f>IF($A314="","",VLOOKUP($A314,CoachRoster!$A:$E,4,FALSE))</f>
        <v/>
      </c>
      <c r="C314" s="7" t="n"/>
      <c r="D314" s="7" t="n"/>
      <c r="E314" s="7" t="n"/>
      <c r="F314" s="7" t="n"/>
      <c r="G314" s="7" t="n"/>
      <c r="H314" s="7">
        <f>IF($A314="","",IF(AND($E314="Pass",$F314="Pass",$G314="Pass"),"PROMOTE","NOT YET"))</f>
        <v/>
      </c>
      <c r="I314" s="7" t="n"/>
      <c r="J314" s="27">
        <f>IF(OR($A314="",$C314=""),"",IF(IFERROR(VLOOKUP($A314,Ledger!$A:$E,5,FALSE),0)&gt;=VLOOKUP($C314,RoleTitles!$A:$B,2,FALSE),"YES","NO"))</f>
        <v/>
      </c>
      <c r="K314" s="27">
        <f>IF($A314="","",IF(AND($H314="PROMOTE",$J314="YES"),"YES — PROMOTE","NO"))</f>
        <v/>
      </c>
    </row>
    <row r="315">
      <c r="A315" s="7" t="n"/>
      <c r="B315" s="7">
        <f>IF($A315="","",VLOOKUP($A315,CoachRoster!$A:$E,4,FALSE))</f>
        <v/>
      </c>
      <c r="C315" s="7" t="n"/>
      <c r="D315" s="7" t="n"/>
      <c r="E315" s="7" t="n"/>
      <c r="F315" s="7" t="n"/>
      <c r="G315" s="7" t="n"/>
      <c r="H315" s="7">
        <f>IF($A315="","",IF(AND($E315="Pass",$F315="Pass",$G315="Pass"),"PROMOTE","NOT YET"))</f>
        <v/>
      </c>
      <c r="I315" s="7" t="n"/>
      <c r="J315" s="27">
        <f>IF(OR($A315="",$C315=""),"",IF(IFERROR(VLOOKUP($A315,Ledger!$A:$E,5,FALSE),0)&gt;=VLOOKUP($C315,RoleTitles!$A:$B,2,FALSE),"YES","NO"))</f>
        <v/>
      </c>
      <c r="K315" s="27">
        <f>IF($A315="","",IF(AND($H315="PROMOTE",$J315="YES"),"YES — PROMOTE","NO"))</f>
        <v/>
      </c>
    </row>
    <row r="316">
      <c r="A316" s="7" t="n"/>
      <c r="B316" s="7">
        <f>IF($A316="","",VLOOKUP($A316,CoachRoster!$A:$E,4,FALSE))</f>
        <v/>
      </c>
      <c r="C316" s="7" t="n"/>
      <c r="D316" s="7" t="n"/>
      <c r="E316" s="7" t="n"/>
      <c r="F316" s="7" t="n"/>
      <c r="G316" s="7" t="n"/>
      <c r="H316" s="7">
        <f>IF($A316="","",IF(AND($E316="Pass",$F316="Pass",$G316="Pass"),"PROMOTE","NOT YET"))</f>
        <v/>
      </c>
      <c r="I316" s="7" t="n"/>
      <c r="J316" s="27">
        <f>IF(OR($A316="",$C316=""),"",IF(IFERROR(VLOOKUP($A316,Ledger!$A:$E,5,FALSE),0)&gt;=VLOOKUP($C316,RoleTitles!$A:$B,2,FALSE),"YES","NO"))</f>
        <v/>
      </c>
      <c r="K316" s="27">
        <f>IF($A316="","",IF(AND($H316="PROMOTE",$J316="YES"),"YES — PROMOTE","NO"))</f>
        <v/>
      </c>
    </row>
    <row r="317">
      <c r="A317" s="7" t="n"/>
      <c r="B317" s="7">
        <f>IF($A317="","",VLOOKUP($A317,CoachRoster!$A:$E,4,FALSE))</f>
        <v/>
      </c>
      <c r="C317" s="7" t="n"/>
      <c r="D317" s="7" t="n"/>
      <c r="E317" s="7" t="n"/>
      <c r="F317" s="7" t="n"/>
      <c r="G317" s="7" t="n"/>
      <c r="H317" s="7">
        <f>IF($A317="","",IF(AND($E317="Pass",$F317="Pass",$G317="Pass"),"PROMOTE","NOT YET"))</f>
        <v/>
      </c>
      <c r="I317" s="7" t="n"/>
      <c r="J317" s="27">
        <f>IF(OR($A317="",$C317=""),"",IF(IFERROR(VLOOKUP($A317,Ledger!$A:$E,5,FALSE),0)&gt;=VLOOKUP($C317,RoleTitles!$A:$B,2,FALSE),"YES","NO"))</f>
        <v/>
      </c>
      <c r="K317" s="27">
        <f>IF($A317="","",IF(AND($H317="PROMOTE",$J317="YES"),"YES — PROMOTE","NO"))</f>
        <v/>
      </c>
    </row>
    <row r="318">
      <c r="A318" s="7" t="n"/>
      <c r="B318" s="7">
        <f>IF($A318="","",VLOOKUP($A318,CoachRoster!$A:$E,4,FALSE))</f>
        <v/>
      </c>
      <c r="C318" s="7" t="n"/>
      <c r="D318" s="7" t="n"/>
      <c r="E318" s="7" t="n"/>
      <c r="F318" s="7" t="n"/>
      <c r="G318" s="7" t="n"/>
      <c r="H318" s="7">
        <f>IF($A318="","",IF(AND($E318="Pass",$F318="Pass",$G318="Pass"),"PROMOTE","NOT YET"))</f>
        <v/>
      </c>
      <c r="I318" s="7" t="n"/>
      <c r="J318" s="27">
        <f>IF(OR($A318="",$C318=""),"",IF(IFERROR(VLOOKUP($A318,Ledger!$A:$E,5,FALSE),0)&gt;=VLOOKUP($C318,RoleTitles!$A:$B,2,FALSE),"YES","NO"))</f>
        <v/>
      </c>
      <c r="K318" s="27">
        <f>IF($A318="","",IF(AND($H318="PROMOTE",$J318="YES"),"YES — PROMOTE","NO"))</f>
        <v/>
      </c>
    </row>
    <row r="319">
      <c r="A319" s="7" t="n"/>
      <c r="B319" s="7">
        <f>IF($A319="","",VLOOKUP($A319,CoachRoster!$A:$E,4,FALSE))</f>
        <v/>
      </c>
      <c r="C319" s="7" t="n"/>
      <c r="D319" s="7" t="n"/>
      <c r="E319" s="7" t="n"/>
      <c r="F319" s="7" t="n"/>
      <c r="G319" s="7" t="n"/>
      <c r="H319" s="7">
        <f>IF($A319="","",IF(AND($E319="Pass",$F319="Pass",$G319="Pass"),"PROMOTE","NOT YET"))</f>
        <v/>
      </c>
      <c r="I319" s="7" t="n"/>
      <c r="J319" s="27">
        <f>IF(OR($A319="",$C319=""),"",IF(IFERROR(VLOOKUP($A319,Ledger!$A:$E,5,FALSE),0)&gt;=VLOOKUP($C319,RoleTitles!$A:$B,2,FALSE),"YES","NO"))</f>
        <v/>
      </c>
      <c r="K319" s="27">
        <f>IF($A319="","",IF(AND($H319="PROMOTE",$J319="YES"),"YES — PROMOTE","NO"))</f>
        <v/>
      </c>
    </row>
    <row r="320">
      <c r="A320" s="7" t="n"/>
      <c r="B320" s="7">
        <f>IF($A320="","",VLOOKUP($A320,CoachRoster!$A:$E,4,FALSE))</f>
        <v/>
      </c>
      <c r="C320" s="7" t="n"/>
      <c r="D320" s="7" t="n"/>
      <c r="E320" s="7" t="n"/>
      <c r="F320" s="7" t="n"/>
      <c r="G320" s="7" t="n"/>
      <c r="H320" s="7">
        <f>IF($A320="","",IF(AND($E320="Pass",$F320="Pass",$G320="Pass"),"PROMOTE","NOT YET"))</f>
        <v/>
      </c>
      <c r="I320" s="7" t="n"/>
      <c r="J320" s="27">
        <f>IF(OR($A320="",$C320=""),"",IF(IFERROR(VLOOKUP($A320,Ledger!$A:$E,5,FALSE),0)&gt;=VLOOKUP($C320,RoleTitles!$A:$B,2,FALSE),"YES","NO"))</f>
        <v/>
      </c>
      <c r="K320" s="27">
        <f>IF($A320="","",IF(AND($H320="PROMOTE",$J320="YES"),"YES — PROMOTE","NO"))</f>
        <v/>
      </c>
    </row>
    <row r="321">
      <c r="A321" s="7" t="n"/>
      <c r="B321" s="7">
        <f>IF($A321="","",VLOOKUP($A321,CoachRoster!$A:$E,4,FALSE))</f>
        <v/>
      </c>
      <c r="C321" s="7" t="n"/>
      <c r="D321" s="7" t="n"/>
      <c r="E321" s="7" t="n"/>
      <c r="F321" s="7" t="n"/>
      <c r="G321" s="7" t="n"/>
      <c r="H321" s="7">
        <f>IF($A321="","",IF(AND($E321="Pass",$F321="Pass",$G321="Pass"),"PROMOTE","NOT YET"))</f>
        <v/>
      </c>
      <c r="I321" s="7" t="n"/>
      <c r="J321" s="27">
        <f>IF(OR($A321="",$C321=""),"",IF(IFERROR(VLOOKUP($A321,Ledger!$A:$E,5,FALSE),0)&gt;=VLOOKUP($C321,RoleTitles!$A:$B,2,FALSE),"YES","NO"))</f>
        <v/>
      </c>
      <c r="K321" s="27">
        <f>IF($A321="","",IF(AND($H321="PROMOTE",$J321="YES"),"YES — PROMOTE","NO"))</f>
        <v/>
      </c>
    </row>
    <row r="322">
      <c r="A322" s="7" t="n"/>
      <c r="B322" s="7">
        <f>IF($A322="","",VLOOKUP($A322,CoachRoster!$A:$E,4,FALSE))</f>
        <v/>
      </c>
      <c r="C322" s="7" t="n"/>
      <c r="D322" s="7" t="n"/>
      <c r="E322" s="7" t="n"/>
      <c r="F322" s="7" t="n"/>
      <c r="G322" s="7" t="n"/>
      <c r="H322" s="7">
        <f>IF($A322="","",IF(AND($E322="Pass",$F322="Pass",$G322="Pass"),"PROMOTE","NOT YET"))</f>
        <v/>
      </c>
      <c r="I322" s="7" t="n"/>
      <c r="J322" s="27">
        <f>IF(OR($A322="",$C322=""),"",IF(IFERROR(VLOOKUP($A322,Ledger!$A:$E,5,FALSE),0)&gt;=VLOOKUP($C322,RoleTitles!$A:$B,2,FALSE),"YES","NO"))</f>
        <v/>
      </c>
      <c r="K322" s="27">
        <f>IF($A322="","",IF(AND($H322="PROMOTE",$J322="YES"),"YES — PROMOTE","NO"))</f>
        <v/>
      </c>
    </row>
    <row r="323">
      <c r="A323" s="7" t="n"/>
      <c r="B323" s="7">
        <f>IF($A323="","",VLOOKUP($A323,CoachRoster!$A:$E,4,FALSE))</f>
        <v/>
      </c>
      <c r="C323" s="7" t="n"/>
      <c r="D323" s="7" t="n"/>
      <c r="E323" s="7" t="n"/>
      <c r="F323" s="7" t="n"/>
      <c r="G323" s="7" t="n"/>
      <c r="H323" s="7">
        <f>IF($A323="","",IF(AND($E323="Pass",$F323="Pass",$G323="Pass"),"PROMOTE","NOT YET"))</f>
        <v/>
      </c>
      <c r="I323" s="7" t="n"/>
      <c r="J323" s="27">
        <f>IF(OR($A323="",$C323=""),"",IF(IFERROR(VLOOKUP($A323,Ledger!$A:$E,5,FALSE),0)&gt;=VLOOKUP($C323,RoleTitles!$A:$B,2,FALSE),"YES","NO"))</f>
        <v/>
      </c>
      <c r="K323" s="27">
        <f>IF($A323="","",IF(AND($H323="PROMOTE",$J323="YES"),"YES — PROMOTE","NO"))</f>
        <v/>
      </c>
    </row>
    <row r="324">
      <c r="A324" s="7" t="n"/>
      <c r="B324" s="7">
        <f>IF($A324="","",VLOOKUP($A324,CoachRoster!$A:$E,4,FALSE))</f>
        <v/>
      </c>
      <c r="C324" s="7" t="n"/>
      <c r="D324" s="7" t="n"/>
      <c r="E324" s="7" t="n"/>
      <c r="F324" s="7" t="n"/>
      <c r="G324" s="7" t="n"/>
      <c r="H324" s="7">
        <f>IF($A324="","",IF(AND($E324="Pass",$F324="Pass",$G324="Pass"),"PROMOTE","NOT YET"))</f>
        <v/>
      </c>
      <c r="I324" s="7" t="n"/>
      <c r="J324" s="27">
        <f>IF(OR($A324="",$C324=""),"",IF(IFERROR(VLOOKUP($A324,Ledger!$A:$E,5,FALSE),0)&gt;=VLOOKUP($C324,RoleTitles!$A:$B,2,FALSE),"YES","NO"))</f>
        <v/>
      </c>
      <c r="K324" s="27">
        <f>IF($A324="","",IF(AND($H324="PROMOTE",$J324="YES"),"YES — PROMOTE","NO"))</f>
        <v/>
      </c>
    </row>
    <row r="325">
      <c r="A325" s="7" t="n"/>
      <c r="B325" s="7">
        <f>IF($A325="","",VLOOKUP($A325,CoachRoster!$A:$E,4,FALSE))</f>
        <v/>
      </c>
      <c r="C325" s="7" t="n"/>
      <c r="D325" s="7" t="n"/>
      <c r="E325" s="7" t="n"/>
      <c r="F325" s="7" t="n"/>
      <c r="G325" s="7" t="n"/>
      <c r="H325" s="7">
        <f>IF($A325="","",IF(AND($E325="Pass",$F325="Pass",$G325="Pass"),"PROMOTE","NOT YET"))</f>
        <v/>
      </c>
      <c r="I325" s="7" t="n"/>
      <c r="J325" s="27">
        <f>IF(OR($A325="",$C325=""),"",IF(IFERROR(VLOOKUP($A325,Ledger!$A:$E,5,FALSE),0)&gt;=VLOOKUP($C325,RoleTitles!$A:$B,2,FALSE),"YES","NO"))</f>
        <v/>
      </c>
      <c r="K325" s="27">
        <f>IF($A325="","",IF(AND($H325="PROMOTE",$J325="YES"),"YES — PROMOTE","NO"))</f>
        <v/>
      </c>
    </row>
    <row r="326">
      <c r="A326" s="7" t="n"/>
      <c r="B326" s="7">
        <f>IF($A326="","",VLOOKUP($A326,CoachRoster!$A:$E,4,FALSE))</f>
        <v/>
      </c>
      <c r="C326" s="7" t="n"/>
      <c r="D326" s="7" t="n"/>
      <c r="E326" s="7" t="n"/>
      <c r="F326" s="7" t="n"/>
      <c r="G326" s="7" t="n"/>
      <c r="H326" s="7">
        <f>IF($A326="","",IF(AND($E326="Pass",$F326="Pass",$G326="Pass"),"PROMOTE","NOT YET"))</f>
        <v/>
      </c>
      <c r="I326" s="7" t="n"/>
      <c r="J326" s="27">
        <f>IF(OR($A326="",$C326=""),"",IF(IFERROR(VLOOKUP($A326,Ledger!$A:$E,5,FALSE),0)&gt;=VLOOKUP($C326,RoleTitles!$A:$B,2,FALSE),"YES","NO"))</f>
        <v/>
      </c>
      <c r="K326" s="27">
        <f>IF($A326="","",IF(AND($H326="PROMOTE",$J326="YES"),"YES — PROMOTE","NO"))</f>
        <v/>
      </c>
    </row>
    <row r="327">
      <c r="A327" s="7" t="n"/>
      <c r="B327" s="7">
        <f>IF($A327="","",VLOOKUP($A327,CoachRoster!$A:$E,4,FALSE))</f>
        <v/>
      </c>
      <c r="C327" s="7" t="n"/>
      <c r="D327" s="7" t="n"/>
      <c r="E327" s="7" t="n"/>
      <c r="F327" s="7" t="n"/>
      <c r="G327" s="7" t="n"/>
      <c r="H327" s="7">
        <f>IF($A327="","",IF(AND($E327="Pass",$F327="Pass",$G327="Pass"),"PROMOTE","NOT YET"))</f>
        <v/>
      </c>
      <c r="I327" s="7" t="n"/>
      <c r="J327" s="27">
        <f>IF(OR($A327="",$C327=""),"",IF(IFERROR(VLOOKUP($A327,Ledger!$A:$E,5,FALSE),0)&gt;=VLOOKUP($C327,RoleTitles!$A:$B,2,FALSE),"YES","NO"))</f>
        <v/>
      </c>
      <c r="K327" s="27">
        <f>IF($A327="","",IF(AND($H327="PROMOTE",$J327="YES"),"YES — PROMOTE","NO"))</f>
        <v/>
      </c>
    </row>
    <row r="328">
      <c r="A328" s="7" t="n"/>
      <c r="B328" s="7">
        <f>IF($A328="","",VLOOKUP($A328,CoachRoster!$A:$E,4,FALSE))</f>
        <v/>
      </c>
      <c r="C328" s="7" t="n"/>
      <c r="D328" s="7" t="n"/>
      <c r="E328" s="7" t="n"/>
      <c r="F328" s="7" t="n"/>
      <c r="G328" s="7" t="n"/>
      <c r="H328" s="7">
        <f>IF($A328="","",IF(AND($E328="Pass",$F328="Pass",$G328="Pass"),"PROMOTE","NOT YET"))</f>
        <v/>
      </c>
      <c r="I328" s="7" t="n"/>
      <c r="J328" s="27">
        <f>IF(OR($A328="",$C328=""),"",IF(IFERROR(VLOOKUP($A328,Ledger!$A:$E,5,FALSE),0)&gt;=VLOOKUP($C328,RoleTitles!$A:$B,2,FALSE),"YES","NO"))</f>
        <v/>
      </c>
      <c r="K328" s="27">
        <f>IF($A328="","",IF(AND($H328="PROMOTE",$J328="YES"),"YES — PROMOTE","NO"))</f>
        <v/>
      </c>
    </row>
    <row r="329">
      <c r="A329" s="7" t="n"/>
      <c r="B329" s="7">
        <f>IF($A329="","",VLOOKUP($A329,CoachRoster!$A:$E,4,FALSE))</f>
        <v/>
      </c>
      <c r="C329" s="7" t="n"/>
      <c r="D329" s="7" t="n"/>
      <c r="E329" s="7" t="n"/>
      <c r="F329" s="7" t="n"/>
      <c r="G329" s="7" t="n"/>
      <c r="H329" s="7">
        <f>IF($A329="","",IF(AND($E329="Pass",$F329="Pass",$G329="Pass"),"PROMOTE","NOT YET"))</f>
        <v/>
      </c>
      <c r="I329" s="7" t="n"/>
      <c r="J329" s="27">
        <f>IF(OR($A329="",$C329=""),"",IF(IFERROR(VLOOKUP($A329,Ledger!$A:$E,5,FALSE),0)&gt;=VLOOKUP($C329,RoleTitles!$A:$B,2,FALSE),"YES","NO"))</f>
        <v/>
      </c>
      <c r="K329" s="27">
        <f>IF($A329="","",IF(AND($H329="PROMOTE",$J329="YES"),"YES — PROMOTE","NO"))</f>
        <v/>
      </c>
    </row>
    <row r="330">
      <c r="A330" s="7" t="n"/>
      <c r="B330" s="7">
        <f>IF($A330="","",VLOOKUP($A330,CoachRoster!$A:$E,4,FALSE))</f>
        <v/>
      </c>
      <c r="C330" s="7" t="n"/>
      <c r="D330" s="7" t="n"/>
      <c r="E330" s="7" t="n"/>
      <c r="F330" s="7" t="n"/>
      <c r="G330" s="7" t="n"/>
      <c r="H330" s="7">
        <f>IF($A330="","",IF(AND($E330="Pass",$F330="Pass",$G330="Pass"),"PROMOTE","NOT YET"))</f>
        <v/>
      </c>
      <c r="I330" s="7" t="n"/>
      <c r="J330" s="27">
        <f>IF(OR($A330="",$C330=""),"",IF(IFERROR(VLOOKUP($A330,Ledger!$A:$E,5,FALSE),0)&gt;=VLOOKUP($C330,RoleTitles!$A:$B,2,FALSE),"YES","NO"))</f>
        <v/>
      </c>
      <c r="K330" s="27">
        <f>IF($A330="","",IF(AND($H330="PROMOTE",$J330="YES"),"YES — PROMOTE","NO"))</f>
        <v/>
      </c>
    </row>
    <row r="331">
      <c r="A331" s="7" t="n"/>
      <c r="B331" s="7">
        <f>IF($A331="","",VLOOKUP($A331,CoachRoster!$A:$E,4,FALSE))</f>
        <v/>
      </c>
      <c r="C331" s="7" t="n"/>
      <c r="D331" s="7" t="n"/>
      <c r="E331" s="7" t="n"/>
      <c r="F331" s="7" t="n"/>
      <c r="G331" s="7" t="n"/>
      <c r="H331" s="7">
        <f>IF($A331="","",IF(AND($E331="Pass",$F331="Pass",$G331="Pass"),"PROMOTE","NOT YET"))</f>
        <v/>
      </c>
      <c r="I331" s="7" t="n"/>
      <c r="J331" s="27">
        <f>IF(OR($A331="",$C331=""),"",IF(IFERROR(VLOOKUP($A331,Ledger!$A:$E,5,FALSE),0)&gt;=VLOOKUP($C331,RoleTitles!$A:$B,2,FALSE),"YES","NO"))</f>
        <v/>
      </c>
      <c r="K331" s="27">
        <f>IF($A331="","",IF(AND($H331="PROMOTE",$J331="YES"),"YES — PROMOTE","NO"))</f>
        <v/>
      </c>
    </row>
    <row r="332">
      <c r="A332" s="7" t="n"/>
      <c r="B332" s="7">
        <f>IF($A332="","",VLOOKUP($A332,CoachRoster!$A:$E,4,FALSE))</f>
        <v/>
      </c>
      <c r="C332" s="7" t="n"/>
      <c r="D332" s="7" t="n"/>
      <c r="E332" s="7" t="n"/>
      <c r="F332" s="7" t="n"/>
      <c r="G332" s="7" t="n"/>
      <c r="H332" s="7">
        <f>IF($A332="","",IF(AND($E332="Pass",$F332="Pass",$G332="Pass"),"PROMOTE","NOT YET"))</f>
        <v/>
      </c>
      <c r="I332" s="7" t="n"/>
      <c r="J332" s="27">
        <f>IF(OR($A332="",$C332=""),"",IF(IFERROR(VLOOKUP($A332,Ledger!$A:$E,5,FALSE),0)&gt;=VLOOKUP($C332,RoleTitles!$A:$B,2,FALSE),"YES","NO"))</f>
        <v/>
      </c>
      <c r="K332" s="27">
        <f>IF($A332="","",IF(AND($H332="PROMOTE",$J332="YES"),"YES — PROMOTE","NO"))</f>
        <v/>
      </c>
    </row>
    <row r="333">
      <c r="A333" s="7" t="n"/>
      <c r="B333" s="7">
        <f>IF($A333="","",VLOOKUP($A333,CoachRoster!$A:$E,4,FALSE))</f>
        <v/>
      </c>
      <c r="C333" s="7" t="n"/>
      <c r="D333" s="7" t="n"/>
      <c r="E333" s="7" t="n"/>
      <c r="F333" s="7" t="n"/>
      <c r="G333" s="7" t="n"/>
      <c r="H333" s="7">
        <f>IF($A333="","",IF(AND($E333="Pass",$F333="Pass",$G333="Pass"),"PROMOTE","NOT YET"))</f>
        <v/>
      </c>
      <c r="I333" s="7" t="n"/>
      <c r="J333" s="27">
        <f>IF(OR($A333="",$C333=""),"",IF(IFERROR(VLOOKUP($A333,Ledger!$A:$E,5,FALSE),0)&gt;=VLOOKUP($C333,RoleTitles!$A:$B,2,FALSE),"YES","NO"))</f>
        <v/>
      </c>
      <c r="K333" s="27">
        <f>IF($A333="","",IF(AND($H333="PROMOTE",$J333="YES"),"YES — PROMOTE","NO"))</f>
        <v/>
      </c>
    </row>
    <row r="334">
      <c r="A334" s="7" t="n"/>
      <c r="B334" s="7">
        <f>IF($A334="","",VLOOKUP($A334,CoachRoster!$A:$E,4,FALSE))</f>
        <v/>
      </c>
      <c r="C334" s="7" t="n"/>
      <c r="D334" s="7" t="n"/>
      <c r="E334" s="7" t="n"/>
      <c r="F334" s="7" t="n"/>
      <c r="G334" s="7" t="n"/>
      <c r="H334" s="7">
        <f>IF($A334="","",IF(AND($E334="Pass",$F334="Pass",$G334="Pass"),"PROMOTE","NOT YET"))</f>
        <v/>
      </c>
      <c r="I334" s="7" t="n"/>
      <c r="J334" s="27">
        <f>IF(OR($A334="",$C334=""),"",IF(IFERROR(VLOOKUP($A334,Ledger!$A:$E,5,FALSE),0)&gt;=VLOOKUP($C334,RoleTitles!$A:$B,2,FALSE),"YES","NO"))</f>
        <v/>
      </c>
      <c r="K334" s="27">
        <f>IF($A334="","",IF(AND($H334="PROMOTE",$J334="YES"),"YES — PROMOTE","NO"))</f>
        <v/>
      </c>
    </row>
    <row r="335">
      <c r="A335" s="7" t="n"/>
      <c r="B335" s="7">
        <f>IF($A335="","",VLOOKUP($A335,CoachRoster!$A:$E,4,FALSE))</f>
        <v/>
      </c>
      <c r="C335" s="7" t="n"/>
      <c r="D335" s="7" t="n"/>
      <c r="E335" s="7" t="n"/>
      <c r="F335" s="7" t="n"/>
      <c r="G335" s="7" t="n"/>
      <c r="H335" s="7">
        <f>IF($A335="","",IF(AND($E335="Pass",$F335="Pass",$G335="Pass"),"PROMOTE","NOT YET"))</f>
        <v/>
      </c>
      <c r="I335" s="7" t="n"/>
      <c r="J335" s="27">
        <f>IF(OR($A335="",$C335=""),"",IF(IFERROR(VLOOKUP($A335,Ledger!$A:$E,5,FALSE),0)&gt;=VLOOKUP($C335,RoleTitles!$A:$B,2,FALSE),"YES","NO"))</f>
        <v/>
      </c>
      <c r="K335" s="27">
        <f>IF($A335="","",IF(AND($H335="PROMOTE",$J335="YES"),"YES — PROMOTE","NO"))</f>
        <v/>
      </c>
    </row>
    <row r="336">
      <c r="A336" s="7" t="n"/>
      <c r="B336" s="7">
        <f>IF($A336="","",VLOOKUP($A336,CoachRoster!$A:$E,4,FALSE))</f>
        <v/>
      </c>
      <c r="C336" s="7" t="n"/>
      <c r="D336" s="7" t="n"/>
      <c r="E336" s="7" t="n"/>
      <c r="F336" s="7" t="n"/>
      <c r="G336" s="7" t="n"/>
      <c r="H336" s="7">
        <f>IF($A336="","",IF(AND($E336="Pass",$F336="Pass",$G336="Pass"),"PROMOTE","NOT YET"))</f>
        <v/>
      </c>
      <c r="I336" s="7" t="n"/>
      <c r="J336" s="27">
        <f>IF(OR($A336="",$C336=""),"",IF(IFERROR(VLOOKUP($A336,Ledger!$A:$E,5,FALSE),0)&gt;=VLOOKUP($C336,RoleTitles!$A:$B,2,FALSE),"YES","NO"))</f>
        <v/>
      </c>
      <c r="K336" s="27">
        <f>IF($A336="","",IF(AND($H336="PROMOTE",$J336="YES"),"YES — PROMOTE","NO"))</f>
        <v/>
      </c>
    </row>
    <row r="337">
      <c r="A337" s="7" t="n"/>
      <c r="B337" s="7">
        <f>IF($A337="","",VLOOKUP($A337,CoachRoster!$A:$E,4,FALSE))</f>
        <v/>
      </c>
      <c r="C337" s="7" t="n"/>
      <c r="D337" s="7" t="n"/>
      <c r="E337" s="7" t="n"/>
      <c r="F337" s="7" t="n"/>
      <c r="G337" s="7" t="n"/>
      <c r="H337" s="7">
        <f>IF($A337="","",IF(AND($E337="Pass",$F337="Pass",$G337="Pass"),"PROMOTE","NOT YET"))</f>
        <v/>
      </c>
      <c r="I337" s="7" t="n"/>
      <c r="J337" s="27">
        <f>IF(OR($A337="",$C337=""),"",IF(IFERROR(VLOOKUP($A337,Ledger!$A:$E,5,FALSE),0)&gt;=VLOOKUP($C337,RoleTitles!$A:$B,2,FALSE),"YES","NO"))</f>
        <v/>
      </c>
      <c r="K337" s="27">
        <f>IF($A337="","",IF(AND($H337="PROMOTE",$J337="YES"),"YES — PROMOTE","NO"))</f>
        <v/>
      </c>
    </row>
    <row r="338">
      <c r="A338" s="7" t="n"/>
      <c r="B338" s="7">
        <f>IF($A338="","",VLOOKUP($A338,CoachRoster!$A:$E,4,FALSE))</f>
        <v/>
      </c>
      <c r="C338" s="7" t="n"/>
      <c r="D338" s="7" t="n"/>
      <c r="E338" s="7" t="n"/>
      <c r="F338" s="7" t="n"/>
      <c r="G338" s="7" t="n"/>
      <c r="H338" s="7">
        <f>IF($A338="","",IF(AND($E338="Pass",$F338="Pass",$G338="Pass"),"PROMOTE","NOT YET"))</f>
        <v/>
      </c>
      <c r="I338" s="7" t="n"/>
      <c r="J338" s="27">
        <f>IF(OR($A338="",$C338=""),"",IF(IFERROR(VLOOKUP($A338,Ledger!$A:$E,5,FALSE),0)&gt;=VLOOKUP($C338,RoleTitles!$A:$B,2,FALSE),"YES","NO"))</f>
        <v/>
      </c>
      <c r="K338" s="27">
        <f>IF($A338="","",IF(AND($H338="PROMOTE",$J338="YES"),"YES — PROMOTE","NO"))</f>
        <v/>
      </c>
    </row>
    <row r="339">
      <c r="A339" s="7" t="n"/>
      <c r="B339" s="7">
        <f>IF($A339="","",VLOOKUP($A339,CoachRoster!$A:$E,4,FALSE))</f>
        <v/>
      </c>
      <c r="C339" s="7" t="n"/>
      <c r="D339" s="7" t="n"/>
      <c r="E339" s="7" t="n"/>
      <c r="F339" s="7" t="n"/>
      <c r="G339" s="7" t="n"/>
      <c r="H339" s="7">
        <f>IF($A339="","",IF(AND($E339="Pass",$F339="Pass",$G339="Pass"),"PROMOTE","NOT YET"))</f>
        <v/>
      </c>
      <c r="I339" s="7" t="n"/>
      <c r="J339" s="27">
        <f>IF(OR($A339="",$C339=""),"",IF(IFERROR(VLOOKUP($A339,Ledger!$A:$E,5,FALSE),0)&gt;=VLOOKUP($C339,RoleTitles!$A:$B,2,FALSE),"YES","NO"))</f>
        <v/>
      </c>
      <c r="K339" s="27">
        <f>IF($A339="","",IF(AND($H339="PROMOTE",$J339="YES"),"YES — PROMOTE","NO"))</f>
        <v/>
      </c>
    </row>
    <row r="340">
      <c r="A340" s="7" t="n"/>
      <c r="B340" s="7">
        <f>IF($A340="","",VLOOKUP($A340,CoachRoster!$A:$E,4,FALSE))</f>
        <v/>
      </c>
      <c r="C340" s="7" t="n"/>
      <c r="D340" s="7" t="n"/>
      <c r="E340" s="7" t="n"/>
      <c r="F340" s="7" t="n"/>
      <c r="G340" s="7" t="n"/>
      <c r="H340" s="7">
        <f>IF($A340="","",IF(AND($E340="Pass",$F340="Pass",$G340="Pass"),"PROMOTE","NOT YET"))</f>
        <v/>
      </c>
      <c r="I340" s="7" t="n"/>
      <c r="J340" s="27">
        <f>IF(OR($A340="",$C340=""),"",IF(IFERROR(VLOOKUP($A340,Ledger!$A:$E,5,FALSE),0)&gt;=VLOOKUP($C340,RoleTitles!$A:$B,2,FALSE),"YES","NO"))</f>
        <v/>
      </c>
      <c r="K340" s="27">
        <f>IF($A340="","",IF(AND($H340="PROMOTE",$J340="YES"),"YES — PROMOTE","NO"))</f>
        <v/>
      </c>
    </row>
    <row r="341">
      <c r="A341" s="7" t="n"/>
      <c r="B341" s="7">
        <f>IF($A341="","",VLOOKUP($A341,CoachRoster!$A:$E,4,FALSE))</f>
        <v/>
      </c>
      <c r="C341" s="7" t="n"/>
      <c r="D341" s="7" t="n"/>
      <c r="E341" s="7" t="n"/>
      <c r="F341" s="7" t="n"/>
      <c r="G341" s="7" t="n"/>
      <c r="H341" s="7">
        <f>IF($A341="","",IF(AND($E341="Pass",$F341="Pass",$G341="Pass"),"PROMOTE","NOT YET"))</f>
        <v/>
      </c>
      <c r="I341" s="7" t="n"/>
      <c r="J341" s="27">
        <f>IF(OR($A341="",$C341=""),"",IF(IFERROR(VLOOKUP($A341,Ledger!$A:$E,5,FALSE),0)&gt;=VLOOKUP($C341,RoleTitles!$A:$B,2,FALSE),"YES","NO"))</f>
        <v/>
      </c>
      <c r="K341" s="27">
        <f>IF($A341="","",IF(AND($H341="PROMOTE",$J341="YES"),"YES — PROMOTE","NO"))</f>
        <v/>
      </c>
    </row>
    <row r="342">
      <c r="A342" s="7" t="n"/>
      <c r="B342" s="7">
        <f>IF($A342="","",VLOOKUP($A342,CoachRoster!$A:$E,4,FALSE))</f>
        <v/>
      </c>
      <c r="C342" s="7" t="n"/>
      <c r="D342" s="7" t="n"/>
      <c r="E342" s="7" t="n"/>
      <c r="F342" s="7" t="n"/>
      <c r="G342" s="7" t="n"/>
      <c r="H342" s="7">
        <f>IF($A342="","",IF(AND($E342="Pass",$F342="Pass",$G342="Pass"),"PROMOTE","NOT YET"))</f>
        <v/>
      </c>
      <c r="I342" s="7" t="n"/>
      <c r="J342" s="27">
        <f>IF(OR($A342="",$C342=""),"",IF(IFERROR(VLOOKUP($A342,Ledger!$A:$E,5,FALSE),0)&gt;=VLOOKUP($C342,RoleTitles!$A:$B,2,FALSE),"YES","NO"))</f>
        <v/>
      </c>
      <c r="K342" s="27">
        <f>IF($A342="","",IF(AND($H342="PROMOTE",$J342="YES"),"YES — PROMOTE","NO"))</f>
        <v/>
      </c>
    </row>
    <row r="343">
      <c r="A343" s="7" t="n"/>
      <c r="B343" s="7">
        <f>IF($A343="","",VLOOKUP($A343,CoachRoster!$A:$E,4,FALSE))</f>
        <v/>
      </c>
      <c r="C343" s="7" t="n"/>
      <c r="D343" s="7" t="n"/>
      <c r="E343" s="7" t="n"/>
      <c r="F343" s="7" t="n"/>
      <c r="G343" s="7" t="n"/>
      <c r="H343" s="7">
        <f>IF($A343="","",IF(AND($E343="Pass",$F343="Pass",$G343="Pass"),"PROMOTE","NOT YET"))</f>
        <v/>
      </c>
      <c r="I343" s="7" t="n"/>
      <c r="J343" s="27">
        <f>IF(OR($A343="",$C343=""),"",IF(IFERROR(VLOOKUP($A343,Ledger!$A:$E,5,FALSE),0)&gt;=VLOOKUP($C343,RoleTitles!$A:$B,2,FALSE),"YES","NO"))</f>
        <v/>
      </c>
      <c r="K343" s="27">
        <f>IF($A343="","",IF(AND($H343="PROMOTE",$J343="YES"),"YES — PROMOTE","NO"))</f>
        <v/>
      </c>
    </row>
    <row r="344">
      <c r="A344" s="7" t="n"/>
      <c r="B344" s="7">
        <f>IF($A344="","",VLOOKUP($A344,CoachRoster!$A:$E,4,FALSE))</f>
        <v/>
      </c>
      <c r="C344" s="7" t="n"/>
      <c r="D344" s="7" t="n"/>
      <c r="E344" s="7" t="n"/>
      <c r="F344" s="7" t="n"/>
      <c r="G344" s="7" t="n"/>
      <c r="H344" s="7">
        <f>IF($A344="","",IF(AND($E344="Pass",$F344="Pass",$G344="Pass"),"PROMOTE","NOT YET"))</f>
        <v/>
      </c>
      <c r="I344" s="7" t="n"/>
      <c r="J344" s="27">
        <f>IF(OR($A344="",$C344=""),"",IF(IFERROR(VLOOKUP($A344,Ledger!$A:$E,5,FALSE),0)&gt;=VLOOKUP($C344,RoleTitles!$A:$B,2,FALSE),"YES","NO"))</f>
        <v/>
      </c>
      <c r="K344" s="27">
        <f>IF($A344="","",IF(AND($H344="PROMOTE",$J344="YES"),"YES — PROMOTE","NO"))</f>
        <v/>
      </c>
    </row>
    <row r="345">
      <c r="A345" s="7" t="n"/>
      <c r="B345" s="7">
        <f>IF($A345="","",VLOOKUP($A345,CoachRoster!$A:$E,4,FALSE))</f>
        <v/>
      </c>
      <c r="C345" s="7" t="n"/>
      <c r="D345" s="7" t="n"/>
      <c r="E345" s="7" t="n"/>
      <c r="F345" s="7" t="n"/>
      <c r="G345" s="7" t="n"/>
      <c r="H345" s="7">
        <f>IF($A345="","",IF(AND($E345="Pass",$F345="Pass",$G345="Pass"),"PROMOTE","NOT YET"))</f>
        <v/>
      </c>
      <c r="I345" s="7" t="n"/>
      <c r="J345" s="27">
        <f>IF(OR($A345="",$C345=""),"",IF(IFERROR(VLOOKUP($A345,Ledger!$A:$E,5,FALSE),0)&gt;=VLOOKUP($C345,RoleTitles!$A:$B,2,FALSE),"YES","NO"))</f>
        <v/>
      </c>
      <c r="K345" s="27">
        <f>IF($A345="","",IF(AND($H345="PROMOTE",$J345="YES"),"YES — PROMOTE","NO"))</f>
        <v/>
      </c>
    </row>
    <row r="346">
      <c r="A346" s="7" t="n"/>
      <c r="B346" s="7">
        <f>IF($A346="","",VLOOKUP($A346,CoachRoster!$A:$E,4,FALSE))</f>
        <v/>
      </c>
      <c r="C346" s="7" t="n"/>
      <c r="D346" s="7" t="n"/>
      <c r="E346" s="7" t="n"/>
      <c r="F346" s="7" t="n"/>
      <c r="G346" s="7" t="n"/>
      <c r="H346" s="7">
        <f>IF($A346="","",IF(AND($E346="Pass",$F346="Pass",$G346="Pass"),"PROMOTE","NOT YET"))</f>
        <v/>
      </c>
      <c r="I346" s="7" t="n"/>
      <c r="J346" s="27">
        <f>IF(OR($A346="",$C346=""),"",IF(IFERROR(VLOOKUP($A346,Ledger!$A:$E,5,FALSE),0)&gt;=VLOOKUP($C346,RoleTitles!$A:$B,2,FALSE),"YES","NO"))</f>
        <v/>
      </c>
      <c r="K346" s="27">
        <f>IF($A346="","",IF(AND($H346="PROMOTE",$J346="YES"),"YES — PROMOTE","NO"))</f>
        <v/>
      </c>
    </row>
    <row r="347">
      <c r="A347" s="7" t="n"/>
      <c r="B347" s="7">
        <f>IF($A347="","",VLOOKUP($A347,CoachRoster!$A:$E,4,FALSE))</f>
        <v/>
      </c>
      <c r="C347" s="7" t="n"/>
      <c r="D347" s="7" t="n"/>
      <c r="E347" s="7" t="n"/>
      <c r="F347" s="7" t="n"/>
      <c r="G347" s="7" t="n"/>
      <c r="H347" s="7">
        <f>IF($A347="","",IF(AND($E347="Pass",$F347="Pass",$G347="Pass"),"PROMOTE","NOT YET"))</f>
        <v/>
      </c>
      <c r="I347" s="7" t="n"/>
      <c r="J347" s="27">
        <f>IF(OR($A347="",$C347=""),"",IF(IFERROR(VLOOKUP($A347,Ledger!$A:$E,5,FALSE),0)&gt;=VLOOKUP($C347,RoleTitles!$A:$B,2,FALSE),"YES","NO"))</f>
        <v/>
      </c>
      <c r="K347" s="27">
        <f>IF($A347="","",IF(AND($H347="PROMOTE",$J347="YES"),"YES — PROMOTE","NO"))</f>
        <v/>
      </c>
    </row>
    <row r="348">
      <c r="A348" s="7" t="n"/>
      <c r="B348" s="7">
        <f>IF($A348="","",VLOOKUP($A348,CoachRoster!$A:$E,4,FALSE))</f>
        <v/>
      </c>
      <c r="C348" s="7" t="n"/>
      <c r="D348" s="7" t="n"/>
      <c r="E348" s="7" t="n"/>
      <c r="F348" s="7" t="n"/>
      <c r="G348" s="7" t="n"/>
      <c r="H348" s="7">
        <f>IF($A348="","",IF(AND($E348="Pass",$F348="Pass",$G348="Pass"),"PROMOTE","NOT YET"))</f>
        <v/>
      </c>
      <c r="I348" s="7" t="n"/>
      <c r="J348" s="27">
        <f>IF(OR($A348="",$C348=""),"",IF(IFERROR(VLOOKUP($A348,Ledger!$A:$E,5,FALSE),0)&gt;=VLOOKUP($C348,RoleTitles!$A:$B,2,FALSE),"YES","NO"))</f>
        <v/>
      </c>
      <c r="K348" s="27">
        <f>IF($A348="","",IF(AND($H348="PROMOTE",$J348="YES"),"YES — PROMOTE","NO"))</f>
        <v/>
      </c>
    </row>
    <row r="349">
      <c r="A349" s="7" t="n"/>
      <c r="B349" s="7">
        <f>IF($A349="","",VLOOKUP($A349,CoachRoster!$A:$E,4,FALSE))</f>
        <v/>
      </c>
      <c r="C349" s="7" t="n"/>
      <c r="D349" s="7" t="n"/>
      <c r="E349" s="7" t="n"/>
      <c r="F349" s="7" t="n"/>
      <c r="G349" s="7" t="n"/>
      <c r="H349" s="7">
        <f>IF($A349="","",IF(AND($E349="Pass",$F349="Pass",$G349="Pass"),"PROMOTE","NOT YET"))</f>
        <v/>
      </c>
      <c r="I349" s="7" t="n"/>
      <c r="J349" s="27">
        <f>IF(OR($A349="",$C349=""),"",IF(IFERROR(VLOOKUP($A349,Ledger!$A:$E,5,FALSE),0)&gt;=VLOOKUP($C349,RoleTitles!$A:$B,2,FALSE),"YES","NO"))</f>
        <v/>
      </c>
      <c r="K349" s="27">
        <f>IF($A349="","",IF(AND($H349="PROMOTE",$J349="YES"),"YES — PROMOTE","NO"))</f>
        <v/>
      </c>
    </row>
    <row r="350">
      <c r="A350" s="7" t="n"/>
      <c r="B350" s="7">
        <f>IF($A350="","",VLOOKUP($A350,CoachRoster!$A:$E,4,FALSE))</f>
        <v/>
      </c>
      <c r="C350" s="7" t="n"/>
      <c r="D350" s="7" t="n"/>
      <c r="E350" s="7" t="n"/>
      <c r="F350" s="7" t="n"/>
      <c r="G350" s="7" t="n"/>
      <c r="H350" s="7">
        <f>IF($A350="","",IF(AND($E350="Pass",$F350="Pass",$G350="Pass"),"PROMOTE","NOT YET"))</f>
        <v/>
      </c>
      <c r="I350" s="7" t="n"/>
      <c r="J350" s="27">
        <f>IF(OR($A350="",$C350=""),"",IF(IFERROR(VLOOKUP($A350,Ledger!$A:$E,5,FALSE),0)&gt;=VLOOKUP($C350,RoleTitles!$A:$B,2,FALSE),"YES","NO"))</f>
        <v/>
      </c>
      <c r="K350" s="27">
        <f>IF($A350="","",IF(AND($H350="PROMOTE",$J350="YES"),"YES — PROMOTE","NO"))</f>
        <v/>
      </c>
    </row>
    <row r="351">
      <c r="A351" s="7" t="n"/>
      <c r="B351" s="7">
        <f>IF($A351="","",VLOOKUP($A351,CoachRoster!$A:$E,4,FALSE))</f>
        <v/>
      </c>
      <c r="C351" s="7" t="n"/>
      <c r="D351" s="7" t="n"/>
      <c r="E351" s="7" t="n"/>
      <c r="F351" s="7" t="n"/>
      <c r="G351" s="7" t="n"/>
      <c r="H351" s="7">
        <f>IF($A351="","",IF(AND($E351="Pass",$F351="Pass",$G351="Pass"),"PROMOTE","NOT YET"))</f>
        <v/>
      </c>
      <c r="I351" s="7" t="n"/>
      <c r="J351" s="27">
        <f>IF(OR($A351="",$C351=""),"",IF(IFERROR(VLOOKUP($A351,Ledger!$A:$E,5,FALSE),0)&gt;=VLOOKUP($C351,RoleTitles!$A:$B,2,FALSE),"YES","NO"))</f>
        <v/>
      </c>
      <c r="K351" s="27">
        <f>IF($A351="","",IF(AND($H351="PROMOTE",$J351="YES"),"YES — PROMOTE","NO"))</f>
        <v/>
      </c>
    </row>
    <row r="352">
      <c r="A352" s="7" t="n"/>
      <c r="B352" s="7">
        <f>IF($A352="","",VLOOKUP($A352,CoachRoster!$A:$E,4,FALSE))</f>
        <v/>
      </c>
      <c r="C352" s="7" t="n"/>
      <c r="D352" s="7" t="n"/>
      <c r="E352" s="7" t="n"/>
      <c r="F352" s="7" t="n"/>
      <c r="G352" s="7" t="n"/>
      <c r="H352" s="7">
        <f>IF($A352="","",IF(AND($E352="Pass",$F352="Pass",$G352="Pass"),"PROMOTE","NOT YET"))</f>
        <v/>
      </c>
      <c r="I352" s="7" t="n"/>
      <c r="J352" s="27">
        <f>IF(OR($A352="",$C352=""),"",IF(IFERROR(VLOOKUP($A352,Ledger!$A:$E,5,FALSE),0)&gt;=VLOOKUP($C352,RoleTitles!$A:$B,2,FALSE),"YES","NO"))</f>
        <v/>
      </c>
      <c r="K352" s="27">
        <f>IF($A352="","",IF(AND($H352="PROMOTE",$J352="YES"),"YES — PROMOTE","NO"))</f>
        <v/>
      </c>
    </row>
    <row r="353">
      <c r="A353" s="7" t="n"/>
      <c r="B353" s="7">
        <f>IF($A353="","",VLOOKUP($A353,CoachRoster!$A:$E,4,FALSE))</f>
        <v/>
      </c>
      <c r="C353" s="7" t="n"/>
      <c r="D353" s="7" t="n"/>
      <c r="E353" s="7" t="n"/>
      <c r="F353" s="7" t="n"/>
      <c r="G353" s="7" t="n"/>
      <c r="H353" s="7">
        <f>IF($A353="","",IF(AND($E353="Pass",$F353="Pass",$G353="Pass"),"PROMOTE","NOT YET"))</f>
        <v/>
      </c>
      <c r="I353" s="7" t="n"/>
      <c r="J353" s="27">
        <f>IF(OR($A353="",$C353=""),"",IF(IFERROR(VLOOKUP($A353,Ledger!$A:$E,5,FALSE),0)&gt;=VLOOKUP($C353,RoleTitles!$A:$B,2,FALSE),"YES","NO"))</f>
        <v/>
      </c>
      <c r="K353" s="27">
        <f>IF($A353="","",IF(AND($H353="PROMOTE",$J353="YES"),"YES — PROMOTE","NO"))</f>
        <v/>
      </c>
    </row>
    <row r="354">
      <c r="A354" s="7" t="n"/>
      <c r="B354" s="7">
        <f>IF($A354="","",VLOOKUP($A354,CoachRoster!$A:$E,4,FALSE))</f>
        <v/>
      </c>
      <c r="C354" s="7" t="n"/>
      <c r="D354" s="7" t="n"/>
      <c r="E354" s="7" t="n"/>
      <c r="F354" s="7" t="n"/>
      <c r="G354" s="7" t="n"/>
      <c r="H354" s="7">
        <f>IF($A354="","",IF(AND($E354="Pass",$F354="Pass",$G354="Pass"),"PROMOTE","NOT YET"))</f>
        <v/>
      </c>
      <c r="I354" s="7" t="n"/>
      <c r="J354" s="27">
        <f>IF(OR($A354="",$C354=""),"",IF(IFERROR(VLOOKUP($A354,Ledger!$A:$E,5,FALSE),0)&gt;=VLOOKUP($C354,RoleTitles!$A:$B,2,FALSE),"YES","NO"))</f>
        <v/>
      </c>
      <c r="K354" s="27">
        <f>IF($A354="","",IF(AND($H354="PROMOTE",$J354="YES"),"YES — PROMOTE","NO"))</f>
        <v/>
      </c>
    </row>
    <row r="355">
      <c r="A355" s="7" t="n"/>
      <c r="B355" s="7">
        <f>IF($A355="","",VLOOKUP($A355,CoachRoster!$A:$E,4,FALSE))</f>
        <v/>
      </c>
      <c r="C355" s="7" t="n"/>
      <c r="D355" s="7" t="n"/>
      <c r="E355" s="7" t="n"/>
      <c r="F355" s="7" t="n"/>
      <c r="G355" s="7" t="n"/>
      <c r="H355" s="7">
        <f>IF($A355="","",IF(AND($E355="Pass",$F355="Pass",$G355="Pass"),"PROMOTE","NOT YET"))</f>
        <v/>
      </c>
      <c r="I355" s="7" t="n"/>
      <c r="J355" s="27">
        <f>IF(OR($A355="",$C355=""),"",IF(IFERROR(VLOOKUP($A355,Ledger!$A:$E,5,FALSE),0)&gt;=VLOOKUP($C355,RoleTitles!$A:$B,2,FALSE),"YES","NO"))</f>
        <v/>
      </c>
      <c r="K355" s="27">
        <f>IF($A355="","",IF(AND($H355="PROMOTE",$J355="YES"),"YES — PROMOTE","NO"))</f>
        <v/>
      </c>
    </row>
    <row r="356">
      <c r="A356" s="7" t="n"/>
      <c r="B356" s="7">
        <f>IF($A356="","",VLOOKUP($A356,CoachRoster!$A:$E,4,FALSE))</f>
        <v/>
      </c>
      <c r="C356" s="7" t="n"/>
      <c r="D356" s="7" t="n"/>
      <c r="E356" s="7" t="n"/>
      <c r="F356" s="7" t="n"/>
      <c r="G356" s="7" t="n"/>
      <c r="H356" s="7">
        <f>IF($A356="","",IF(AND($E356="Pass",$F356="Pass",$G356="Pass"),"PROMOTE","NOT YET"))</f>
        <v/>
      </c>
      <c r="I356" s="7" t="n"/>
      <c r="J356" s="27">
        <f>IF(OR($A356="",$C356=""),"",IF(IFERROR(VLOOKUP($A356,Ledger!$A:$E,5,FALSE),0)&gt;=VLOOKUP($C356,RoleTitles!$A:$B,2,FALSE),"YES","NO"))</f>
        <v/>
      </c>
      <c r="K356" s="27">
        <f>IF($A356="","",IF(AND($H356="PROMOTE",$J356="YES"),"YES — PROMOTE","NO"))</f>
        <v/>
      </c>
    </row>
    <row r="357">
      <c r="A357" s="7" t="n"/>
      <c r="B357" s="7">
        <f>IF($A357="","",VLOOKUP($A357,CoachRoster!$A:$E,4,FALSE))</f>
        <v/>
      </c>
      <c r="C357" s="7" t="n"/>
      <c r="D357" s="7" t="n"/>
      <c r="E357" s="7" t="n"/>
      <c r="F357" s="7" t="n"/>
      <c r="G357" s="7" t="n"/>
      <c r="H357" s="7">
        <f>IF($A357="","",IF(AND($E357="Pass",$F357="Pass",$G357="Pass"),"PROMOTE","NOT YET"))</f>
        <v/>
      </c>
      <c r="I357" s="7" t="n"/>
      <c r="J357" s="27">
        <f>IF(OR($A357="",$C357=""),"",IF(IFERROR(VLOOKUP($A357,Ledger!$A:$E,5,FALSE),0)&gt;=VLOOKUP($C357,RoleTitles!$A:$B,2,FALSE),"YES","NO"))</f>
        <v/>
      </c>
      <c r="K357" s="27">
        <f>IF($A357="","",IF(AND($H357="PROMOTE",$J357="YES"),"YES — PROMOTE","NO"))</f>
        <v/>
      </c>
    </row>
    <row r="358">
      <c r="A358" s="7" t="n"/>
      <c r="B358" s="7">
        <f>IF($A358="","",VLOOKUP($A358,CoachRoster!$A:$E,4,FALSE))</f>
        <v/>
      </c>
      <c r="C358" s="7" t="n"/>
      <c r="D358" s="7" t="n"/>
      <c r="E358" s="7" t="n"/>
      <c r="F358" s="7" t="n"/>
      <c r="G358" s="7" t="n"/>
      <c r="H358" s="7">
        <f>IF($A358="","",IF(AND($E358="Pass",$F358="Pass",$G358="Pass"),"PROMOTE","NOT YET"))</f>
        <v/>
      </c>
      <c r="I358" s="7" t="n"/>
      <c r="J358" s="27">
        <f>IF(OR($A358="",$C358=""),"",IF(IFERROR(VLOOKUP($A358,Ledger!$A:$E,5,FALSE),0)&gt;=VLOOKUP($C358,RoleTitles!$A:$B,2,FALSE),"YES","NO"))</f>
        <v/>
      </c>
      <c r="K358" s="27">
        <f>IF($A358="","",IF(AND($H358="PROMOTE",$J358="YES"),"YES — PROMOTE","NO"))</f>
        <v/>
      </c>
    </row>
    <row r="359">
      <c r="A359" s="7" t="n"/>
      <c r="B359" s="7">
        <f>IF($A359="","",VLOOKUP($A359,CoachRoster!$A:$E,4,FALSE))</f>
        <v/>
      </c>
      <c r="C359" s="7" t="n"/>
      <c r="D359" s="7" t="n"/>
      <c r="E359" s="7" t="n"/>
      <c r="F359" s="7" t="n"/>
      <c r="G359" s="7" t="n"/>
      <c r="H359" s="7">
        <f>IF($A359="","",IF(AND($E359="Pass",$F359="Pass",$G359="Pass"),"PROMOTE","NOT YET"))</f>
        <v/>
      </c>
      <c r="I359" s="7" t="n"/>
      <c r="J359" s="27">
        <f>IF(OR($A359="",$C359=""),"",IF(IFERROR(VLOOKUP($A359,Ledger!$A:$E,5,FALSE),0)&gt;=VLOOKUP($C359,RoleTitles!$A:$B,2,FALSE),"YES","NO"))</f>
        <v/>
      </c>
      <c r="K359" s="27">
        <f>IF($A359="","",IF(AND($H359="PROMOTE",$J359="YES"),"YES — PROMOTE","NO"))</f>
        <v/>
      </c>
    </row>
    <row r="360">
      <c r="A360" s="7" t="n"/>
      <c r="B360" s="7">
        <f>IF($A360="","",VLOOKUP($A360,CoachRoster!$A:$E,4,FALSE))</f>
        <v/>
      </c>
      <c r="C360" s="7" t="n"/>
      <c r="D360" s="7" t="n"/>
      <c r="E360" s="7" t="n"/>
      <c r="F360" s="7" t="n"/>
      <c r="G360" s="7" t="n"/>
      <c r="H360" s="7">
        <f>IF($A360="","",IF(AND($E360="Pass",$F360="Pass",$G360="Pass"),"PROMOTE","NOT YET"))</f>
        <v/>
      </c>
      <c r="I360" s="7" t="n"/>
      <c r="J360" s="27">
        <f>IF(OR($A360="",$C360=""),"",IF(IFERROR(VLOOKUP($A360,Ledger!$A:$E,5,FALSE),0)&gt;=VLOOKUP($C360,RoleTitles!$A:$B,2,FALSE),"YES","NO"))</f>
        <v/>
      </c>
      <c r="K360" s="27">
        <f>IF($A360="","",IF(AND($H360="PROMOTE",$J360="YES"),"YES — PROMOTE","NO"))</f>
        <v/>
      </c>
    </row>
    <row r="361">
      <c r="A361" s="7" t="n"/>
      <c r="B361" s="7">
        <f>IF($A361="","",VLOOKUP($A361,CoachRoster!$A:$E,4,FALSE))</f>
        <v/>
      </c>
      <c r="C361" s="7" t="n"/>
      <c r="D361" s="7" t="n"/>
      <c r="E361" s="7" t="n"/>
      <c r="F361" s="7" t="n"/>
      <c r="G361" s="7" t="n"/>
      <c r="H361" s="7">
        <f>IF($A361="","",IF(AND($E361="Pass",$F361="Pass",$G361="Pass"),"PROMOTE","NOT YET"))</f>
        <v/>
      </c>
      <c r="I361" s="7" t="n"/>
      <c r="J361" s="27">
        <f>IF(OR($A361="",$C361=""),"",IF(IFERROR(VLOOKUP($A361,Ledger!$A:$E,5,FALSE),0)&gt;=VLOOKUP($C361,RoleTitles!$A:$B,2,FALSE),"YES","NO"))</f>
        <v/>
      </c>
      <c r="K361" s="27">
        <f>IF($A361="","",IF(AND($H361="PROMOTE",$J361="YES"),"YES — PROMOTE","NO"))</f>
        <v/>
      </c>
    </row>
    <row r="362">
      <c r="A362" s="7" t="n"/>
      <c r="B362" s="7">
        <f>IF($A362="","",VLOOKUP($A362,CoachRoster!$A:$E,4,FALSE))</f>
        <v/>
      </c>
      <c r="C362" s="7" t="n"/>
      <c r="D362" s="7" t="n"/>
      <c r="E362" s="7" t="n"/>
      <c r="F362" s="7" t="n"/>
      <c r="G362" s="7" t="n"/>
      <c r="H362" s="7">
        <f>IF($A362="","",IF(AND($E362="Pass",$F362="Pass",$G362="Pass"),"PROMOTE","NOT YET"))</f>
        <v/>
      </c>
      <c r="I362" s="7" t="n"/>
      <c r="J362" s="27">
        <f>IF(OR($A362="",$C362=""),"",IF(IFERROR(VLOOKUP($A362,Ledger!$A:$E,5,FALSE),0)&gt;=VLOOKUP($C362,RoleTitles!$A:$B,2,FALSE),"YES","NO"))</f>
        <v/>
      </c>
      <c r="K362" s="27">
        <f>IF($A362="","",IF(AND($H362="PROMOTE",$J362="YES"),"YES — PROMOTE","NO"))</f>
        <v/>
      </c>
    </row>
    <row r="363">
      <c r="A363" s="7" t="n"/>
      <c r="B363" s="7">
        <f>IF($A363="","",VLOOKUP($A363,CoachRoster!$A:$E,4,FALSE))</f>
        <v/>
      </c>
      <c r="C363" s="7" t="n"/>
      <c r="D363" s="7" t="n"/>
      <c r="E363" s="7" t="n"/>
      <c r="F363" s="7" t="n"/>
      <c r="G363" s="7" t="n"/>
      <c r="H363" s="7">
        <f>IF($A363="","",IF(AND($E363="Pass",$F363="Pass",$G363="Pass"),"PROMOTE","NOT YET"))</f>
        <v/>
      </c>
      <c r="I363" s="7" t="n"/>
      <c r="J363" s="27">
        <f>IF(OR($A363="",$C363=""),"",IF(IFERROR(VLOOKUP($A363,Ledger!$A:$E,5,FALSE),0)&gt;=VLOOKUP($C363,RoleTitles!$A:$B,2,FALSE),"YES","NO"))</f>
        <v/>
      </c>
      <c r="K363" s="27">
        <f>IF($A363="","",IF(AND($H363="PROMOTE",$J363="YES"),"YES — PROMOTE","NO"))</f>
        <v/>
      </c>
    </row>
    <row r="364">
      <c r="A364" s="7" t="n"/>
      <c r="B364" s="7">
        <f>IF($A364="","",VLOOKUP($A364,CoachRoster!$A:$E,4,FALSE))</f>
        <v/>
      </c>
      <c r="C364" s="7" t="n"/>
      <c r="D364" s="7" t="n"/>
      <c r="E364" s="7" t="n"/>
      <c r="F364" s="7" t="n"/>
      <c r="G364" s="7" t="n"/>
      <c r="H364" s="7">
        <f>IF($A364="","",IF(AND($E364="Pass",$F364="Pass",$G364="Pass"),"PROMOTE","NOT YET"))</f>
        <v/>
      </c>
      <c r="I364" s="7" t="n"/>
      <c r="J364" s="27">
        <f>IF(OR($A364="",$C364=""),"",IF(IFERROR(VLOOKUP($A364,Ledger!$A:$E,5,FALSE),0)&gt;=VLOOKUP($C364,RoleTitles!$A:$B,2,FALSE),"YES","NO"))</f>
        <v/>
      </c>
      <c r="K364" s="27">
        <f>IF($A364="","",IF(AND($H364="PROMOTE",$J364="YES"),"YES — PROMOTE","NO"))</f>
        <v/>
      </c>
    </row>
    <row r="365">
      <c r="A365" s="7" t="n"/>
      <c r="B365" s="7">
        <f>IF($A365="","",VLOOKUP($A365,CoachRoster!$A:$E,4,FALSE))</f>
        <v/>
      </c>
      <c r="C365" s="7" t="n"/>
      <c r="D365" s="7" t="n"/>
      <c r="E365" s="7" t="n"/>
      <c r="F365" s="7" t="n"/>
      <c r="G365" s="7" t="n"/>
      <c r="H365" s="7">
        <f>IF($A365="","",IF(AND($E365="Pass",$F365="Pass",$G365="Pass"),"PROMOTE","NOT YET"))</f>
        <v/>
      </c>
      <c r="I365" s="7" t="n"/>
      <c r="J365" s="27">
        <f>IF(OR($A365="",$C365=""),"",IF(IFERROR(VLOOKUP($A365,Ledger!$A:$E,5,FALSE),0)&gt;=VLOOKUP($C365,RoleTitles!$A:$B,2,FALSE),"YES","NO"))</f>
        <v/>
      </c>
      <c r="K365" s="27">
        <f>IF($A365="","",IF(AND($H365="PROMOTE",$J365="YES"),"YES — PROMOTE","NO"))</f>
        <v/>
      </c>
    </row>
    <row r="366">
      <c r="A366" s="7" t="n"/>
      <c r="B366" s="7">
        <f>IF($A366="","",VLOOKUP($A366,CoachRoster!$A:$E,4,FALSE))</f>
        <v/>
      </c>
      <c r="C366" s="7" t="n"/>
      <c r="D366" s="7" t="n"/>
      <c r="E366" s="7" t="n"/>
      <c r="F366" s="7" t="n"/>
      <c r="G366" s="7" t="n"/>
      <c r="H366" s="7">
        <f>IF($A366="","",IF(AND($E366="Pass",$F366="Pass",$G366="Pass"),"PROMOTE","NOT YET"))</f>
        <v/>
      </c>
      <c r="I366" s="7" t="n"/>
      <c r="J366" s="27">
        <f>IF(OR($A366="",$C366=""),"",IF(IFERROR(VLOOKUP($A366,Ledger!$A:$E,5,FALSE),0)&gt;=VLOOKUP($C366,RoleTitles!$A:$B,2,FALSE),"YES","NO"))</f>
        <v/>
      </c>
      <c r="K366" s="27">
        <f>IF($A366="","",IF(AND($H366="PROMOTE",$J366="YES"),"YES — PROMOTE","NO"))</f>
        <v/>
      </c>
    </row>
    <row r="367">
      <c r="A367" s="7" t="n"/>
      <c r="B367" s="7">
        <f>IF($A367="","",VLOOKUP($A367,CoachRoster!$A:$E,4,FALSE))</f>
        <v/>
      </c>
      <c r="C367" s="7" t="n"/>
      <c r="D367" s="7" t="n"/>
      <c r="E367" s="7" t="n"/>
      <c r="F367" s="7" t="n"/>
      <c r="G367" s="7" t="n"/>
      <c r="H367" s="7">
        <f>IF($A367="","",IF(AND($E367="Pass",$F367="Pass",$G367="Pass"),"PROMOTE","NOT YET"))</f>
        <v/>
      </c>
      <c r="I367" s="7" t="n"/>
      <c r="J367" s="27">
        <f>IF(OR($A367="",$C367=""),"",IF(IFERROR(VLOOKUP($A367,Ledger!$A:$E,5,FALSE),0)&gt;=VLOOKUP($C367,RoleTitles!$A:$B,2,FALSE),"YES","NO"))</f>
        <v/>
      </c>
      <c r="K367" s="27">
        <f>IF($A367="","",IF(AND($H367="PROMOTE",$J367="YES"),"YES — PROMOTE","NO"))</f>
        <v/>
      </c>
    </row>
    <row r="368">
      <c r="A368" s="7" t="n"/>
      <c r="B368" s="7">
        <f>IF($A368="","",VLOOKUP($A368,CoachRoster!$A:$E,4,FALSE))</f>
        <v/>
      </c>
      <c r="C368" s="7" t="n"/>
      <c r="D368" s="7" t="n"/>
      <c r="E368" s="7" t="n"/>
      <c r="F368" s="7" t="n"/>
      <c r="G368" s="7" t="n"/>
      <c r="H368" s="7">
        <f>IF($A368="","",IF(AND($E368="Pass",$F368="Pass",$G368="Pass"),"PROMOTE","NOT YET"))</f>
        <v/>
      </c>
      <c r="I368" s="7" t="n"/>
      <c r="J368" s="27">
        <f>IF(OR($A368="",$C368=""),"",IF(IFERROR(VLOOKUP($A368,Ledger!$A:$E,5,FALSE),0)&gt;=VLOOKUP($C368,RoleTitles!$A:$B,2,FALSE),"YES","NO"))</f>
        <v/>
      </c>
      <c r="K368" s="27">
        <f>IF($A368="","",IF(AND($H368="PROMOTE",$J368="YES"),"YES — PROMOTE","NO"))</f>
        <v/>
      </c>
    </row>
    <row r="369">
      <c r="A369" s="7" t="n"/>
      <c r="B369" s="7">
        <f>IF($A369="","",VLOOKUP($A369,CoachRoster!$A:$E,4,FALSE))</f>
        <v/>
      </c>
      <c r="C369" s="7" t="n"/>
      <c r="D369" s="7" t="n"/>
      <c r="E369" s="7" t="n"/>
      <c r="F369" s="7" t="n"/>
      <c r="G369" s="7" t="n"/>
      <c r="H369" s="7">
        <f>IF($A369="","",IF(AND($E369="Pass",$F369="Pass",$G369="Pass"),"PROMOTE","NOT YET"))</f>
        <v/>
      </c>
      <c r="I369" s="7" t="n"/>
      <c r="J369" s="27">
        <f>IF(OR($A369="",$C369=""),"",IF(IFERROR(VLOOKUP($A369,Ledger!$A:$E,5,FALSE),0)&gt;=VLOOKUP($C369,RoleTitles!$A:$B,2,FALSE),"YES","NO"))</f>
        <v/>
      </c>
      <c r="K369" s="27">
        <f>IF($A369="","",IF(AND($H369="PROMOTE",$J369="YES"),"YES — PROMOTE","NO"))</f>
        <v/>
      </c>
    </row>
    <row r="370">
      <c r="A370" s="7" t="n"/>
      <c r="B370" s="7">
        <f>IF($A370="","",VLOOKUP($A370,CoachRoster!$A:$E,4,FALSE))</f>
        <v/>
      </c>
      <c r="C370" s="7" t="n"/>
      <c r="D370" s="7" t="n"/>
      <c r="E370" s="7" t="n"/>
      <c r="F370" s="7" t="n"/>
      <c r="G370" s="7" t="n"/>
      <c r="H370" s="7">
        <f>IF($A370="","",IF(AND($E370="Pass",$F370="Pass",$G370="Pass"),"PROMOTE","NOT YET"))</f>
        <v/>
      </c>
      <c r="I370" s="7" t="n"/>
      <c r="J370" s="27">
        <f>IF(OR($A370="",$C370=""),"",IF(IFERROR(VLOOKUP($A370,Ledger!$A:$E,5,FALSE),0)&gt;=VLOOKUP($C370,RoleTitles!$A:$B,2,FALSE),"YES","NO"))</f>
        <v/>
      </c>
      <c r="K370" s="27">
        <f>IF($A370="","",IF(AND($H370="PROMOTE",$J370="YES"),"YES — PROMOTE","NO"))</f>
        <v/>
      </c>
    </row>
    <row r="371">
      <c r="A371" s="7" t="n"/>
      <c r="B371" s="7">
        <f>IF($A371="","",VLOOKUP($A371,CoachRoster!$A:$E,4,FALSE))</f>
        <v/>
      </c>
      <c r="C371" s="7" t="n"/>
      <c r="D371" s="7" t="n"/>
      <c r="E371" s="7" t="n"/>
      <c r="F371" s="7" t="n"/>
      <c r="G371" s="7" t="n"/>
      <c r="H371" s="7">
        <f>IF($A371="","",IF(AND($E371="Pass",$F371="Pass",$G371="Pass"),"PROMOTE","NOT YET"))</f>
        <v/>
      </c>
      <c r="I371" s="7" t="n"/>
      <c r="J371" s="27">
        <f>IF(OR($A371="",$C371=""),"",IF(IFERROR(VLOOKUP($A371,Ledger!$A:$E,5,FALSE),0)&gt;=VLOOKUP($C371,RoleTitles!$A:$B,2,FALSE),"YES","NO"))</f>
        <v/>
      </c>
      <c r="K371" s="27">
        <f>IF($A371="","",IF(AND($H371="PROMOTE",$J371="YES"),"YES — PROMOTE","NO"))</f>
        <v/>
      </c>
    </row>
    <row r="372">
      <c r="A372" s="7" t="n"/>
      <c r="B372" s="7">
        <f>IF($A372="","",VLOOKUP($A372,CoachRoster!$A:$E,4,FALSE))</f>
        <v/>
      </c>
      <c r="C372" s="7" t="n"/>
      <c r="D372" s="7" t="n"/>
      <c r="E372" s="7" t="n"/>
      <c r="F372" s="7" t="n"/>
      <c r="G372" s="7" t="n"/>
      <c r="H372" s="7">
        <f>IF($A372="","",IF(AND($E372="Pass",$F372="Pass",$G372="Pass"),"PROMOTE","NOT YET"))</f>
        <v/>
      </c>
      <c r="I372" s="7" t="n"/>
      <c r="J372" s="27">
        <f>IF(OR($A372="",$C372=""),"",IF(IFERROR(VLOOKUP($A372,Ledger!$A:$E,5,FALSE),0)&gt;=VLOOKUP($C372,RoleTitles!$A:$B,2,FALSE),"YES","NO"))</f>
        <v/>
      </c>
      <c r="K372" s="27">
        <f>IF($A372="","",IF(AND($H372="PROMOTE",$J372="YES"),"YES — PROMOTE","NO"))</f>
        <v/>
      </c>
    </row>
    <row r="373">
      <c r="A373" s="7" t="n"/>
      <c r="B373" s="7">
        <f>IF($A373="","",VLOOKUP($A373,CoachRoster!$A:$E,4,FALSE))</f>
        <v/>
      </c>
      <c r="C373" s="7" t="n"/>
      <c r="D373" s="7" t="n"/>
      <c r="E373" s="7" t="n"/>
      <c r="F373" s="7" t="n"/>
      <c r="G373" s="7" t="n"/>
      <c r="H373" s="7">
        <f>IF($A373="","",IF(AND($E373="Pass",$F373="Pass",$G373="Pass"),"PROMOTE","NOT YET"))</f>
        <v/>
      </c>
      <c r="I373" s="7" t="n"/>
      <c r="J373" s="27">
        <f>IF(OR($A373="",$C373=""),"",IF(IFERROR(VLOOKUP($A373,Ledger!$A:$E,5,FALSE),0)&gt;=VLOOKUP($C373,RoleTitles!$A:$B,2,FALSE),"YES","NO"))</f>
        <v/>
      </c>
      <c r="K373" s="27">
        <f>IF($A373="","",IF(AND($H373="PROMOTE",$J373="YES"),"YES — PROMOTE","NO"))</f>
        <v/>
      </c>
    </row>
    <row r="374">
      <c r="A374" s="7" t="n"/>
      <c r="B374" s="7">
        <f>IF($A374="","",VLOOKUP($A374,CoachRoster!$A:$E,4,FALSE))</f>
        <v/>
      </c>
      <c r="C374" s="7" t="n"/>
      <c r="D374" s="7" t="n"/>
      <c r="E374" s="7" t="n"/>
      <c r="F374" s="7" t="n"/>
      <c r="G374" s="7" t="n"/>
      <c r="H374" s="7">
        <f>IF($A374="","",IF(AND($E374="Pass",$F374="Pass",$G374="Pass"),"PROMOTE","NOT YET"))</f>
        <v/>
      </c>
      <c r="I374" s="7" t="n"/>
      <c r="J374" s="27">
        <f>IF(OR($A374="",$C374=""),"",IF(IFERROR(VLOOKUP($A374,Ledger!$A:$E,5,FALSE),0)&gt;=VLOOKUP($C374,RoleTitles!$A:$B,2,FALSE),"YES","NO"))</f>
        <v/>
      </c>
      <c r="K374" s="27">
        <f>IF($A374="","",IF(AND($H374="PROMOTE",$J374="YES"),"YES — PROMOTE","NO"))</f>
        <v/>
      </c>
    </row>
    <row r="375">
      <c r="A375" s="7" t="n"/>
      <c r="B375" s="7">
        <f>IF($A375="","",VLOOKUP($A375,CoachRoster!$A:$E,4,FALSE))</f>
        <v/>
      </c>
      <c r="C375" s="7" t="n"/>
      <c r="D375" s="7" t="n"/>
      <c r="E375" s="7" t="n"/>
      <c r="F375" s="7" t="n"/>
      <c r="G375" s="7" t="n"/>
      <c r="H375" s="7">
        <f>IF($A375="","",IF(AND($E375="Pass",$F375="Pass",$G375="Pass"),"PROMOTE","NOT YET"))</f>
        <v/>
      </c>
      <c r="I375" s="7" t="n"/>
      <c r="J375" s="27">
        <f>IF(OR($A375="",$C375=""),"",IF(IFERROR(VLOOKUP($A375,Ledger!$A:$E,5,FALSE),0)&gt;=VLOOKUP($C375,RoleTitles!$A:$B,2,FALSE),"YES","NO"))</f>
        <v/>
      </c>
      <c r="K375" s="27">
        <f>IF($A375="","",IF(AND($H375="PROMOTE",$J375="YES"),"YES — PROMOTE","NO"))</f>
        <v/>
      </c>
    </row>
    <row r="376">
      <c r="A376" s="7" t="n"/>
      <c r="B376" s="7">
        <f>IF($A376="","",VLOOKUP($A376,CoachRoster!$A:$E,4,FALSE))</f>
        <v/>
      </c>
      <c r="C376" s="7" t="n"/>
      <c r="D376" s="7" t="n"/>
      <c r="E376" s="7" t="n"/>
      <c r="F376" s="7" t="n"/>
      <c r="G376" s="7" t="n"/>
      <c r="H376" s="7">
        <f>IF($A376="","",IF(AND($E376="Pass",$F376="Pass",$G376="Pass"),"PROMOTE","NOT YET"))</f>
        <v/>
      </c>
      <c r="I376" s="7" t="n"/>
      <c r="J376" s="27">
        <f>IF(OR($A376="",$C376=""),"",IF(IFERROR(VLOOKUP($A376,Ledger!$A:$E,5,FALSE),0)&gt;=VLOOKUP($C376,RoleTitles!$A:$B,2,FALSE),"YES","NO"))</f>
        <v/>
      </c>
      <c r="K376" s="27">
        <f>IF($A376="","",IF(AND($H376="PROMOTE",$J376="YES"),"YES — PROMOTE","NO"))</f>
        <v/>
      </c>
    </row>
    <row r="377">
      <c r="A377" s="7" t="n"/>
      <c r="B377" s="7">
        <f>IF($A377="","",VLOOKUP($A377,CoachRoster!$A:$E,4,FALSE))</f>
        <v/>
      </c>
      <c r="C377" s="7" t="n"/>
      <c r="D377" s="7" t="n"/>
      <c r="E377" s="7" t="n"/>
      <c r="F377" s="7" t="n"/>
      <c r="G377" s="7" t="n"/>
      <c r="H377" s="7">
        <f>IF($A377="","",IF(AND($E377="Pass",$F377="Pass",$G377="Pass"),"PROMOTE","NOT YET"))</f>
        <v/>
      </c>
      <c r="I377" s="7" t="n"/>
      <c r="J377" s="27">
        <f>IF(OR($A377="",$C377=""),"",IF(IFERROR(VLOOKUP($A377,Ledger!$A:$E,5,FALSE),0)&gt;=VLOOKUP($C377,RoleTitles!$A:$B,2,FALSE),"YES","NO"))</f>
        <v/>
      </c>
      <c r="K377" s="27">
        <f>IF($A377="","",IF(AND($H377="PROMOTE",$J377="YES"),"YES — PROMOTE","NO"))</f>
        <v/>
      </c>
    </row>
    <row r="378">
      <c r="A378" s="7" t="n"/>
      <c r="B378" s="7">
        <f>IF($A378="","",VLOOKUP($A378,CoachRoster!$A:$E,4,FALSE))</f>
        <v/>
      </c>
      <c r="C378" s="7" t="n"/>
      <c r="D378" s="7" t="n"/>
      <c r="E378" s="7" t="n"/>
      <c r="F378" s="7" t="n"/>
      <c r="G378" s="7" t="n"/>
      <c r="H378" s="7">
        <f>IF($A378="","",IF(AND($E378="Pass",$F378="Pass",$G378="Pass"),"PROMOTE","NOT YET"))</f>
        <v/>
      </c>
      <c r="I378" s="7" t="n"/>
      <c r="J378" s="27">
        <f>IF(OR($A378="",$C378=""),"",IF(IFERROR(VLOOKUP($A378,Ledger!$A:$E,5,FALSE),0)&gt;=VLOOKUP($C378,RoleTitles!$A:$B,2,FALSE),"YES","NO"))</f>
        <v/>
      </c>
      <c r="K378" s="27">
        <f>IF($A378="","",IF(AND($H378="PROMOTE",$J378="YES"),"YES — PROMOTE","NO"))</f>
        <v/>
      </c>
    </row>
    <row r="379">
      <c r="A379" s="7" t="n"/>
      <c r="B379" s="7">
        <f>IF($A379="","",VLOOKUP($A379,CoachRoster!$A:$E,4,FALSE))</f>
        <v/>
      </c>
      <c r="C379" s="7" t="n"/>
      <c r="D379" s="7" t="n"/>
      <c r="E379" s="7" t="n"/>
      <c r="F379" s="7" t="n"/>
      <c r="G379" s="7" t="n"/>
      <c r="H379" s="7">
        <f>IF($A379="","",IF(AND($E379="Pass",$F379="Pass",$G379="Pass"),"PROMOTE","NOT YET"))</f>
        <v/>
      </c>
      <c r="I379" s="7" t="n"/>
      <c r="J379" s="27">
        <f>IF(OR($A379="",$C379=""),"",IF(IFERROR(VLOOKUP($A379,Ledger!$A:$E,5,FALSE),0)&gt;=VLOOKUP($C379,RoleTitles!$A:$B,2,FALSE),"YES","NO"))</f>
        <v/>
      </c>
      <c r="K379" s="27">
        <f>IF($A379="","",IF(AND($H379="PROMOTE",$J379="YES"),"YES — PROMOTE","NO"))</f>
        <v/>
      </c>
    </row>
    <row r="380">
      <c r="A380" s="7" t="n"/>
      <c r="B380" s="7">
        <f>IF($A380="","",VLOOKUP($A380,CoachRoster!$A:$E,4,FALSE))</f>
        <v/>
      </c>
      <c r="C380" s="7" t="n"/>
      <c r="D380" s="7" t="n"/>
      <c r="E380" s="7" t="n"/>
      <c r="F380" s="7" t="n"/>
      <c r="G380" s="7" t="n"/>
      <c r="H380" s="7">
        <f>IF($A380="","",IF(AND($E380="Pass",$F380="Pass",$G380="Pass"),"PROMOTE","NOT YET"))</f>
        <v/>
      </c>
      <c r="I380" s="7" t="n"/>
      <c r="J380" s="27">
        <f>IF(OR($A380="",$C380=""),"",IF(IFERROR(VLOOKUP($A380,Ledger!$A:$E,5,FALSE),0)&gt;=VLOOKUP($C380,RoleTitles!$A:$B,2,FALSE),"YES","NO"))</f>
        <v/>
      </c>
      <c r="K380" s="27">
        <f>IF($A380="","",IF(AND($H380="PROMOTE",$J380="YES"),"YES — PROMOTE","NO"))</f>
        <v/>
      </c>
    </row>
    <row r="381">
      <c r="A381" s="7" t="n"/>
      <c r="B381" s="7">
        <f>IF($A381="","",VLOOKUP($A381,CoachRoster!$A:$E,4,FALSE))</f>
        <v/>
      </c>
      <c r="C381" s="7" t="n"/>
      <c r="D381" s="7" t="n"/>
      <c r="E381" s="7" t="n"/>
      <c r="F381" s="7" t="n"/>
      <c r="G381" s="7" t="n"/>
      <c r="H381" s="7">
        <f>IF($A381="","",IF(AND($E381="Pass",$F381="Pass",$G381="Pass"),"PROMOTE","NOT YET"))</f>
        <v/>
      </c>
      <c r="I381" s="7" t="n"/>
      <c r="J381" s="27">
        <f>IF(OR($A381="",$C381=""),"",IF(IFERROR(VLOOKUP($A381,Ledger!$A:$E,5,FALSE),0)&gt;=VLOOKUP($C381,RoleTitles!$A:$B,2,FALSE),"YES","NO"))</f>
        <v/>
      </c>
      <c r="K381" s="27">
        <f>IF($A381="","",IF(AND($H381="PROMOTE",$J381="YES"),"YES — PROMOTE","NO"))</f>
        <v/>
      </c>
    </row>
    <row r="382">
      <c r="A382" s="7" t="n"/>
      <c r="B382" s="7">
        <f>IF($A382="","",VLOOKUP($A382,CoachRoster!$A:$E,4,FALSE))</f>
        <v/>
      </c>
      <c r="C382" s="7" t="n"/>
      <c r="D382" s="7" t="n"/>
      <c r="E382" s="7" t="n"/>
      <c r="F382" s="7" t="n"/>
      <c r="G382" s="7" t="n"/>
      <c r="H382" s="7">
        <f>IF($A382="","",IF(AND($E382="Pass",$F382="Pass",$G382="Pass"),"PROMOTE","NOT YET"))</f>
        <v/>
      </c>
      <c r="I382" s="7" t="n"/>
      <c r="J382" s="27">
        <f>IF(OR($A382="",$C382=""),"",IF(IFERROR(VLOOKUP($A382,Ledger!$A:$E,5,FALSE),0)&gt;=VLOOKUP($C382,RoleTitles!$A:$B,2,FALSE),"YES","NO"))</f>
        <v/>
      </c>
      <c r="K382" s="27">
        <f>IF($A382="","",IF(AND($H382="PROMOTE",$J382="YES"),"YES — PROMOTE","NO"))</f>
        <v/>
      </c>
    </row>
    <row r="383">
      <c r="A383" s="7" t="n"/>
      <c r="B383" s="7">
        <f>IF($A383="","",VLOOKUP($A383,CoachRoster!$A:$E,4,FALSE))</f>
        <v/>
      </c>
      <c r="C383" s="7" t="n"/>
      <c r="D383" s="7" t="n"/>
      <c r="E383" s="7" t="n"/>
      <c r="F383" s="7" t="n"/>
      <c r="G383" s="7" t="n"/>
      <c r="H383" s="7">
        <f>IF($A383="","",IF(AND($E383="Pass",$F383="Pass",$G383="Pass"),"PROMOTE","NOT YET"))</f>
        <v/>
      </c>
      <c r="I383" s="7" t="n"/>
      <c r="J383" s="27">
        <f>IF(OR($A383="",$C383=""),"",IF(IFERROR(VLOOKUP($A383,Ledger!$A:$E,5,FALSE),0)&gt;=VLOOKUP($C383,RoleTitles!$A:$B,2,FALSE),"YES","NO"))</f>
        <v/>
      </c>
      <c r="K383" s="27">
        <f>IF($A383="","",IF(AND($H383="PROMOTE",$J383="YES"),"YES — PROMOTE","NO"))</f>
        <v/>
      </c>
    </row>
    <row r="384">
      <c r="A384" s="7" t="n"/>
      <c r="B384" s="7">
        <f>IF($A384="","",VLOOKUP($A384,CoachRoster!$A:$E,4,FALSE))</f>
        <v/>
      </c>
      <c r="C384" s="7" t="n"/>
      <c r="D384" s="7" t="n"/>
      <c r="E384" s="7" t="n"/>
      <c r="F384" s="7" t="n"/>
      <c r="G384" s="7" t="n"/>
      <c r="H384" s="7">
        <f>IF($A384="","",IF(AND($E384="Pass",$F384="Pass",$G384="Pass"),"PROMOTE","NOT YET"))</f>
        <v/>
      </c>
      <c r="I384" s="7" t="n"/>
      <c r="J384" s="27">
        <f>IF(OR($A384="",$C384=""),"",IF(IFERROR(VLOOKUP($A384,Ledger!$A:$E,5,FALSE),0)&gt;=VLOOKUP($C384,RoleTitles!$A:$B,2,FALSE),"YES","NO"))</f>
        <v/>
      </c>
      <c r="K384" s="27">
        <f>IF($A384="","",IF(AND($H384="PROMOTE",$J384="YES"),"YES — PROMOTE","NO"))</f>
        <v/>
      </c>
    </row>
    <row r="385">
      <c r="A385" s="7" t="n"/>
      <c r="B385" s="7">
        <f>IF($A385="","",VLOOKUP($A385,CoachRoster!$A:$E,4,FALSE))</f>
        <v/>
      </c>
      <c r="C385" s="7" t="n"/>
      <c r="D385" s="7" t="n"/>
      <c r="E385" s="7" t="n"/>
      <c r="F385" s="7" t="n"/>
      <c r="G385" s="7" t="n"/>
      <c r="H385" s="7">
        <f>IF($A385="","",IF(AND($E385="Pass",$F385="Pass",$G385="Pass"),"PROMOTE","NOT YET"))</f>
        <v/>
      </c>
      <c r="I385" s="7" t="n"/>
      <c r="J385" s="27">
        <f>IF(OR($A385="",$C385=""),"",IF(IFERROR(VLOOKUP($A385,Ledger!$A:$E,5,FALSE),0)&gt;=VLOOKUP($C385,RoleTitles!$A:$B,2,FALSE),"YES","NO"))</f>
        <v/>
      </c>
      <c r="K385" s="27">
        <f>IF($A385="","",IF(AND($H385="PROMOTE",$J385="YES"),"YES — PROMOTE","NO"))</f>
        <v/>
      </c>
    </row>
    <row r="386">
      <c r="A386" s="7" t="n"/>
      <c r="B386" s="7">
        <f>IF($A386="","",VLOOKUP($A386,CoachRoster!$A:$E,4,FALSE))</f>
        <v/>
      </c>
      <c r="C386" s="7" t="n"/>
      <c r="D386" s="7" t="n"/>
      <c r="E386" s="7" t="n"/>
      <c r="F386" s="7" t="n"/>
      <c r="G386" s="7" t="n"/>
      <c r="H386" s="7">
        <f>IF($A386="","",IF(AND($E386="Pass",$F386="Pass",$G386="Pass"),"PROMOTE","NOT YET"))</f>
        <v/>
      </c>
      <c r="I386" s="7" t="n"/>
      <c r="J386" s="27">
        <f>IF(OR($A386="",$C386=""),"",IF(IFERROR(VLOOKUP($A386,Ledger!$A:$E,5,FALSE),0)&gt;=VLOOKUP($C386,RoleTitles!$A:$B,2,FALSE),"YES","NO"))</f>
        <v/>
      </c>
      <c r="K386" s="27">
        <f>IF($A386="","",IF(AND($H386="PROMOTE",$J386="YES"),"YES — PROMOTE","NO"))</f>
        <v/>
      </c>
    </row>
    <row r="387">
      <c r="A387" s="7" t="n"/>
      <c r="B387" s="7">
        <f>IF($A387="","",VLOOKUP($A387,CoachRoster!$A:$E,4,FALSE))</f>
        <v/>
      </c>
      <c r="C387" s="7" t="n"/>
      <c r="D387" s="7" t="n"/>
      <c r="E387" s="7" t="n"/>
      <c r="F387" s="7" t="n"/>
      <c r="G387" s="7" t="n"/>
      <c r="H387" s="7">
        <f>IF($A387="","",IF(AND($E387="Pass",$F387="Pass",$G387="Pass"),"PROMOTE","NOT YET"))</f>
        <v/>
      </c>
      <c r="I387" s="7" t="n"/>
      <c r="J387" s="27">
        <f>IF(OR($A387="",$C387=""),"",IF(IFERROR(VLOOKUP($A387,Ledger!$A:$E,5,FALSE),0)&gt;=VLOOKUP($C387,RoleTitles!$A:$B,2,FALSE),"YES","NO"))</f>
        <v/>
      </c>
      <c r="K387" s="27">
        <f>IF($A387="","",IF(AND($H387="PROMOTE",$J387="YES"),"YES — PROMOTE","NO"))</f>
        <v/>
      </c>
    </row>
    <row r="388">
      <c r="A388" s="7" t="n"/>
      <c r="B388" s="7">
        <f>IF($A388="","",VLOOKUP($A388,CoachRoster!$A:$E,4,FALSE))</f>
        <v/>
      </c>
      <c r="C388" s="7" t="n"/>
      <c r="D388" s="7" t="n"/>
      <c r="E388" s="7" t="n"/>
      <c r="F388" s="7" t="n"/>
      <c r="G388" s="7" t="n"/>
      <c r="H388" s="7">
        <f>IF($A388="","",IF(AND($E388="Pass",$F388="Pass",$G388="Pass"),"PROMOTE","NOT YET"))</f>
        <v/>
      </c>
      <c r="I388" s="7" t="n"/>
      <c r="J388" s="27">
        <f>IF(OR($A388="",$C388=""),"",IF(IFERROR(VLOOKUP($A388,Ledger!$A:$E,5,FALSE),0)&gt;=VLOOKUP($C388,RoleTitles!$A:$B,2,FALSE),"YES","NO"))</f>
        <v/>
      </c>
      <c r="K388" s="27">
        <f>IF($A388="","",IF(AND($H388="PROMOTE",$J388="YES"),"YES — PROMOTE","NO"))</f>
        <v/>
      </c>
    </row>
    <row r="389">
      <c r="A389" s="7" t="n"/>
      <c r="B389" s="7">
        <f>IF($A389="","",VLOOKUP($A389,CoachRoster!$A:$E,4,FALSE))</f>
        <v/>
      </c>
      <c r="C389" s="7" t="n"/>
      <c r="D389" s="7" t="n"/>
      <c r="E389" s="7" t="n"/>
      <c r="F389" s="7" t="n"/>
      <c r="G389" s="7" t="n"/>
      <c r="H389" s="7">
        <f>IF($A389="","",IF(AND($E389="Pass",$F389="Pass",$G389="Pass"),"PROMOTE","NOT YET"))</f>
        <v/>
      </c>
      <c r="I389" s="7" t="n"/>
      <c r="J389" s="27">
        <f>IF(OR($A389="",$C389=""),"",IF(IFERROR(VLOOKUP($A389,Ledger!$A:$E,5,FALSE),0)&gt;=VLOOKUP($C389,RoleTitles!$A:$B,2,FALSE),"YES","NO"))</f>
        <v/>
      </c>
      <c r="K389" s="27">
        <f>IF($A389="","",IF(AND($H389="PROMOTE",$J389="YES"),"YES — PROMOTE","NO"))</f>
        <v/>
      </c>
    </row>
    <row r="390">
      <c r="A390" s="7" t="n"/>
      <c r="B390" s="7">
        <f>IF($A390="","",VLOOKUP($A390,CoachRoster!$A:$E,4,FALSE))</f>
        <v/>
      </c>
      <c r="C390" s="7" t="n"/>
      <c r="D390" s="7" t="n"/>
      <c r="E390" s="7" t="n"/>
      <c r="F390" s="7" t="n"/>
      <c r="G390" s="7" t="n"/>
      <c r="H390" s="7">
        <f>IF($A390="","",IF(AND($E390="Pass",$F390="Pass",$G390="Pass"),"PROMOTE","NOT YET"))</f>
        <v/>
      </c>
      <c r="I390" s="7" t="n"/>
      <c r="J390" s="27">
        <f>IF(OR($A390="",$C390=""),"",IF(IFERROR(VLOOKUP($A390,Ledger!$A:$E,5,FALSE),0)&gt;=VLOOKUP($C390,RoleTitles!$A:$B,2,FALSE),"YES","NO"))</f>
        <v/>
      </c>
      <c r="K390" s="27">
        <f>IF($A390="","",IF(AND($H390="PROMOTE",$J390="YES"),"YES — PROMOTE","NO"))</f>
        <v/>
      </c>
    </row>
    <row r="391">
      <c r="A391" s="7" t="n"/>
      <c r="B391" s="7">
        <f>IF($A391="","",VLOOKUP($A391,CoachRoster!$A:$E,4,FALSE))</f>
        <v/>
      </c>
      <c r="C391" s="7" t="n"/>
      <c r="D391" s="7" t="n"/>
      <c r="E391" s="7" t="n"/>
      <c r="F391" s="7" t="n"/>
      <c r="G391" s="7" t="n"/>
      <c r="H391" s="7">
        <f>IF($A391="","",IF(AND($E391="Pass",$F391="Pass",$G391="Pass"),"PROMOTE","NOT YET"))</f>
        <v/>
      </c>
      <c r="I391" s="7" t="n"/>
      <c r="J391" s="27">
        <f>IF(OR($A391="",$C391=""),"",IF(IFERROR(VLOOKUP($A391,Ledger!$A:$E,5,FALSE),0)&gt;=VLOOKUP($C391,RoleTitles!$A:$B,2,FALSE),"YES","NO"))</f>
        <v/>
      </c>
      <c r="K391" s="27">
        <f>IF($A391="","",IF(AND($H391="PROMOTE",$J391="YES"),"YES — PROMOTE","NO"))</f>
        <v/>
      </c>
    </row>
    <row r="392">
      <c r="A392" s="7" t="n"/>
      <c r="B392" s="7">
        <f>IF($A392="","",VLOOKUP($A392,CoachRoster!$A:$E,4,FALSE))</f>
        <v/>
      </c>
      <c r="C392" s="7" t="n"/>
      <c r="D392" s="7" t="n"/>
      <c r="E392" s="7" t="n"/>
      <c r="F392" s="7" t="n"/>
      <c r="G392" s="7" t="n"/>
      <c r="H392" s="7">
        <f>IF($A392="","",IF(AND($E392="Pass",$F392="Pass",$G392="Pass"),"PROMOTE","NOT YET"))</f>
        <v/>
      </c>
      <c r="I392" s="7" t="n"/>
      <c r="J392" s="27">
        <f>IF(OR($A392="",$C392=""),"",IF(IFERROR(VLOOKUP($A392,Ledger!$A:$E,5,FALSE),0)&gt;=VLOOKUP($C392,RoleTitles!$A:$B,2,FALSE),"YES","NO"))</f>
        <v/>
      </c>
      <c r="K392" s="27">
        <f>IF($A392="","",IF(AND($H392="PROMOTE",$J392="YES"),"YES — PROMOTE","NO"))</f>
        <v/>
      </c>
    </row>
    <row r="393">
      <c r="A393" s="7" t="n"/>
      <c r="B393" s="7">
        <f>IF($A393="","",VLOOKUP($A393,CoachRoster!$A:$E,4,FALSE))</f>
        <v/>
      </c>
      <c r="C393" s="7" t="n"/>
      <c r="D393" s="7" t="n"/>
      <c r="E393" s="7" t="n"/>
      <c r="F393" s="7" t="n"/>
      <c r="G393" s="7" t="n"/>
      <c r="H393" s="7">
        <f>IF($A393="","",IF(AND($E393="Pass",$F393="Pass",$G393="Pass"),"PROMOTE","NOT YET"))</f>
        <v/>
      </c>
      <c r="I393" s="7" t="n"/>
      <c r="J393" s="27">
        <f>IF(OR($A393="",$C393=""),"",IF(IFERROR(VLOOKUP($A393,Ledger!$A:$E,5,FALSE),0)&gt;=VLOOKUP($C393,RoleTitles!$A:$B,2,FALSE),"YES","NO"))</f>
        <v/>
      </c>
      <c r="K393" s="27">
        <f>IF($A393="","",IF(AND($H393="PROMOTE",$J393="YES"),"YES — PROMOTE","NO"))</f>
        <v/>
      </c>
    </row>
    <row r="394">
      <c r="A394" s="7" t="n"/>
      <c r="B394" s="7">
        <f>IF($A394="","",VLOOKUP($A394,CoachRoster!$A:$E,4,FALSE))</f>
        <v/>
      </c>
      <c r="C394" s="7" t="n"/>
      <c r="D394" s="7" t="n"/>
      <c r="E394" s="7" t="n"/>
      <c r="F394" s="7" t="n"/>
      <c r="G394" s="7" t="n"/>
      <c r="H394" s="7">
        <f>IF($A394="","",IF(AND($E394="Pass",$F394="Pass",$G394="Pass"),"PROMOTE","NOT YET"))</f>
        <v/>
      </c>
      <c r="I394" s="7" t="n"/>
      <c r="J394" s="27">
        <f>IF(OR($A394="",$C394=""),"",IF(IFERROR(VLOOKUP($A394,Ledger!$A:$E,5,FALSE),0)&gt;=VLOOKUP($C394,RoleTitles!$A:$B,2,FALSE),"YES","NO"))</f>
        <v/>
      </c>
      <c r="K394" s="27">
        <f>IF($A394="","",IF(AND($H394="PROMOTE",$J394="YES"),"YES — PROMOTE","NO"))</f>
        <v/>
      </c>
    </row>
    <row r="395">
      <c r="A395" s="7" t="n"/>
      <c r="B395" s="7">
        <f>IF($A395="","",VLOOKUP($A395,CoachRoster!$A:$E,4,FALSE))</f>
        <v/>
      </c>
      <c r="C395" s="7" t="n"/>
      <c r="D395" s="7" t="n"/>
      <c r="E395" s="7" t="n"/>
      <c r="F395" s="7" t="n"/>
      <c r="G395" s="7" t="n"/>
      <c r="H395" s="7">
        <f>IF($A395="","",IF(AND($E395="Pass",$F395="Pass",$G395="Pass"),"PROMOTE","NOT YET"))</f>
        <v/>
      </c>
      <c r="I395" s="7" t="n"/>
      <c r="J395" s="27">
        <f>IF(OR($A395="",$C395=""),"",IF(IFERROR(VLOOKUP($A395,Ledger!$A:$E,5,FALSE),0)&gt;=VLOOKUP($C395,RoleTitles!$A:$B,2,FALSE),"YES","NO"))</f>
        <v/>
      </c>
      <c r="K395" s="27">
        <f>IF($A395="","",IF(AND($H395="PROMOTE",$J395="YES"),"YES — PROMOTE","NO"))</f>
        <v/>
      </c>
    </row>
    <row r="396">
      <c r="A396" s="7" t="n"/>
      <c r="B396" s="7">
        <f>IF($A396="","",VLOOKUP($A396,CoachRoster!$A:$E,4,FALSE))</f>
        <v/>
      </c>
      <c r="C396" s="7" t="n"/>
      <c r="D396" s="7" t="n"/>
      <c r="E396" s="7" t="n"/>
      <c r="F396" s="7" t="n"/>
      <c r="G396" s="7" t="n"/>
      <c r="H396" s="7">
        <f>IF($A396="","",IF(AND($E396="Pass",$F396="Pass",$G396="Pass"),"PROMOTE","NOT YET"))</f>
        <v/>
      </c>
      <c r="I396" s="7" t="n"/>
      <c r="J396" s="27">
        <f>IF(OR($A396="",$C396=""),"",IF(IFERROR(VLOOKUP($A396,Ledger!$A:$E,5,FALSE),0)&gt;=VLOOKUP($C396,RoleTitles!$A:$B,2,FALSE),"YES","NO"))</f>
        <v/>
      </c>
      <c r="K396" s="27">
        <f>IF($A396="","",IF(AND($H396="PROMOTE",$J396="YES"),"YES — PROMOTE","NO"))</f>
        <v/>
      </c>
    </row>
    <row r="397">
      <c r="A397" s="7" t="n"/>
      <c r="B397" s="7">
        <f>IF($A397="","",VLOOKUP($A397,CoachRoster!$A:$E,4,FALSE))</f>
        <v/>
      </c>
      <c r="C397" s="7" t="n"/>
      <c r="D397" s="7" t="n"/>
      <c r="E397" s="7" t="n"/>
      <c r="F397" s="7" t="n"/>
      <c r="G397" s="7" t="n"/>
      <c r="H397" s="7">
        <f>IF($A397="","",IF(AND($E397="Pass",$F397="Pass",$G397="Pass"),"PROMOTE","NOT YET"))</f>
        <v/>
      </c>
      <c r="I397" s="7" t="n"/>
      <c r="J397" s="27">
        <f>IF(OR($A397="",$C397=""),"",IF(IFERROR(VLOOKUP($A397,Ledger!$A:$E,5,FALSE),0)&gt;=VLOOKUP($C397,RoleTitles!$A:$B,2,FALSE),"YES","NO"))</f>
        <v/>
      </c>
      <c r="K397" s="27">
        <f>IF($A397="","",IF(AND($H397="PROMOTE",$J397="YES"),"YES — PROMOTE","NO"))</f>
        <v/>
      </c>
    </row>
    <row r="398">
      <c r="A398" s="7" t="n"/>
      <c r="B398" s="7">
        <f>IF($A398="","",VLOOKUP($A398,CoachRoster!$A:$E,4,FALSE))</f>
        <v/>
      </c>
      <c r="C398" s="7" t="n"/>
      <c r="D398" s="7" t="n"/>
      <c r="E398" s="7" t="n"/>
      <c r="F398" s="7" t="n"/>
      <c r="G398" s="7" t="n"/>
      <c r="H398" s="7">
        <f>IF($A398="","",IF(AND($E398="Pass",$F398="Pass",$G398="Pass"),"PROMOTE","NOT YET"))</f>
        <v/>
      </c>
      <c r="I398" s="7" t="n"/>
      <c r="J398" s="27">
        <f>IF(OR($A398="",$C398=""),"",IF(IFERROR(VLOOKUP($A398,Ledger!$A:$E,5,FALSE),0)&gt;=VLOOKUP($C398,RoleTitles!$A:$B,2,FALSE),"YES","NO"))</f>
        <v/>
      </c>
      <c r="K398" s="27">
        <f>IF($A398="","",IF(AND($H398="PROMOTE",$J398="YES"),"YES — PROMOTE","NO"))</f>
        <v/>
      </c>
    </row>
    <row r="399">
      <c r="A399" s="7" t="n"/>
      <c r="B399" s="7">
        <f>IF($A399="","",VLOOKUP($A399,CoachRoster!$A:$E,4,FALSE))</f>
        <v/>
      </c>
      <c r="C399" s="7" t="n"/>
      <c r="D399" s="7" t="n"/>
      <c r="E399" s="7" t="n"/>
      <c r="F399" s="7" t="n"/>
      <c r="G399" s="7" t="n"/>
      <c r="H399" s="7">
        <f>IF($A399="","",IF(AND($E399="Pass",$F399="Pass",$G399="Pass"),"PROMOTE","NOT YET"))</f>
        <v/>
      </c>
      <c r="I399" s="7" t="n"/>
      <c r="J399" s="27">
        <f>IF(OR($A399="",$C399=""),"",IF(IFERROR(VLOOKUP($A399,Ledger!$A:$E,5,FALSE),0)&gt;=VLOOKUP($C399,RoleTitles!$A:$B,2,FALSE),"YES","NO"))</f>
        <v/>
      </c>
      <c r="K399" s="27">
        <f>IF($A399="","",IF(AND($H399="PROMOTE",$J399="YES"),"YES — PROMOTE","NO"))</f>
        <v/>
      </c>
    </row>
    <row r="400">
      <c r="A400" s="7" t="n"/>
      <c r="B400" s="7">
        <f>IF($A400="","",VLOOKUP($A400,CoachRoster!$A:$E,4,FALSE))</f>
        <v/>
      </c>
      <c r="C400" s="7" t="n"/>
      <c r="D400" s="7" t="n"/>
      <c r="E400" s="7" t="n"/>
      <c r="F400" s="7" t="n"/>
      <c r="G400" s="7" t="n"/>
      <c r="H400" s="7">
        <f>IF($A400="","",IF(AND($E400="Pass",$F400="Pass",$G400="Pass"),"PROMOTE","NOT YET"))</f>
        <v/>
      </c>
      <c r="I400" s="7" t="n"/>
      <c r="J400" s="27">
        <f>IF(OR($A400="",$C400=""),"",IF(IFERROR(VLOOKUP($A400,Ledger!$A:$E,5,FALSE),0)&gt;=VLOOKUP($C400,RoleTitles!$A:$B,2,FALSE),"YES","NO"))</f>
        <v/>
      </c>
      <c r="K400" s="27">
        <f>IF($A400="","",IF(AND($H400="PROMOTE",$J400="YES"),"YES — PROMOTE","NO"))</f>
        <v/>
      </c>
    </row>
    <row r="401">
      <c r="A401" s="7" t="n"/>
      <c r="B401" s="7">
        <f>IF($A401="","",VLOOKUP($A401,CoachRoster!$A:$E,4,FALSE))</f>
        <v/>
      </c>
      <c r="C401" s="7" t="n"/>
      <c r="D401" s="7" t="n"/>
      <c r="E401" s="7" t="n"/>
      <c r="F401" s="7" t="n"/>
      <c r="G401" s="7" t="n"/>
      <c r="H401" s="7">
        <f>IF($A401="","",IF(AND($E401="Pass",$F401="Pass",$G401="Pass"),"PROMOTE","NOT YET"))</f>
        <v/>
      </c>
      <c r="I401" s="7" t="n"/>
      <c r="J401" s="27">
        <f>IF(OR($A401="",$C401=""),"",IF(IFERROR(VLOOKUP($A401,Ledger!$A:$E,5,FALSE),0)&gt;=VLOOKUP($C401,RoleTitles!$A:$B,2,FALSE),"YES","NO"))</f>
        <v/>
      </c>
      <c r="K401" s="27">
        <f>IF($A401="","",IF(AND($H401="PROMOTE",$J401="YES"),"YES — PROMOTE","NO"))</f>
        <v/>
      </c>
    </row>
    <row r="402">
      <c r="A402" s="7" t="n"/>
      <c r="B402" s="7">
        <f>IF($A402="","",VLOOKUP($A402,CoachRoster!$A:$E,4,FALSE))</f>
        <v/>
      </c>
      <c r="C402" s="7" t="n"/>
      <c r="D402" s="7" t="n"/>
      <c r="E402" s="7" t="n"/>
      <c r="F402" s="7" t="n"/>
      <c r="G402" s="7" t="n"/>
      <c r="H402" s="7">
        <f>IF($A402="","",IF(AND($E402="Pass",$F402="Pass",$G402="Pass"),"PROMOTE","NOT YET"))</f>
        <v/>
      </c>
      <c r="I402" s="7" t="n"/>
      <c r="J402" s="27">
        <f>IF(OR($A402="",$C402=""),"",IF(IFERROR(VLOOKUP($A402,Ledger!$A:$E,5,FALSE),0)&gt;=VLOOKUP($C402,RoleTitles!$A:$B,2,FALSE),"YES","NO"))</f>
        <v/>
      </c>
      <c r="K402" s="27">
        <f>IF($A402="","",IF(AND($H402="PROMOTE",$J402="YES"),"YES — PROMOTE","NO"))</f>
        <v/>
      </c>
    </row>
    <row r="403">
      <c r="A403" s="7" t="n"/>
      <c r="B403" s="7">
        <f>IF($A403="","",VLOOKUP($A403,CoachRoster!$A:$E,4,FALSE))</f>
        <v/>
      </c>
      <c r="C403" s="7" t="n"/>
      <c r="D403" s="7" t="n"/>
      <c r="E403" s="7" t="n"/>
      <c r="F403" s="7" t="n"/>
      <c r="G403" s="7" t="n"/>
      <c r="H403" s="7">
        <f>IF($A403="","",IF(AND($E403="Pass",$F403="Pass",$G403="Pass"),"PROMOTE","NOT YET"))</f>
        <v/>
      </c>
      <c r="I403" s="7" t="n"/>
      <c r="J403" s="27">
        <f>IF(OR($A403="",$C403=""),"",IF(IFERROR(VLOOKUP($A403,Ledger!$A:$E,5,FALSE),0)&gt;=VLOOKUP($C403,RoleTitles!$A:$B,2,FALSE),"YES","NO"))</f>
        <v/>
      </c>
      <c r="K403" s="27">
        <f>IF($A403="","",IF(AND($H403="PROMOTE",$J403="YES"),"YES — PROMOTE","NO"))</f>
        <v/>
      </c>
    </row>
    <row r="404">
      <c r="A404" s="7" t="n"/>
      <c r="B404" s="7">
        <f>IF($A404="","",VLOOKUP($A404,CoachRoster!$A:$E,4,FALSE))</f>
        <v/>
      </c>
      <c r="C404" s="7" t="n"/>
      <c r="D404" s="7" t="n"/>
      <c r="E404" s="7" t="n"/>
      <c r="F404" s="7" t="n"/>
      <c r="G404" s="7" t="n"/>
      <c r="H404" s="7">
        <f>IF($A404="","",IF(AND($E404="Pass",$F404="Pass",$G404="Pass"),"PROMOTE","NOT YET"))</f>
        <v/>
      </c>
      <c r="I404" s="7" t="n"/>
      <c r="J404" s="27">
        <f>IF(OR($A404="",$C404=""),"",IF(IFERROR(VLOOKUP($A404,Ledger!$A:$E,5,FALSE),0)&gt;=VLOOKUP($C404,RoleTitles!$A:$B,2,FALSE),"YES","NO"))</f>
        <v/>
      </c>
      <c r="K404" s="27">
        <f>IF($A404="","",IF(AND($H404="PROMOTE",$J404="YES"),"YES — PROMOTE","NO"))</f>
        <v/>
      </c>
    </row>
    <row r="405">
      <c r="A405" s="7" t="n"/>
      <c r="B405" s="7">
        <f>IF($A405="","",VLOOKUP($A405,CoachRoster!$A:$E,4,FALSE))</f>
        <v/>
      </c>
      <c r="C405" s="7" t="n"/>
      <c r="D405" s="7" t="n"/>
      <c r="E405" s="7" t="n"/>
      <c r="F405" s="7" t="n"/>
      <c r="G405" s="7" t="n"/>
      <c r="H405" s="7">
        <f>IF($A405="","",IF(AND($E405="Pass",$F405="Pass",$G405="Pass"),"PROMOTE","NOT YET"))</f>
        <v/>
      </c>
      <c r="I405" s="7" t="n"/>
      <c r="J405" s="27">
        <f>IF(OR($A405="",$C405=""),"",IF(IFERROR(VLOOKUP($A405,Ledger!$A:$E,5,FALSE),0)&gt;=VLOOKUP($C405,RoleTitles!$A:$B,2,FALSE),"YES","NO"))</f>
        <v/>
      </c>
      <c r="K405" s="27">
        <f>IF($A405="","",IF(AND($H405="PROMOTE",$J405="YES"),"YES — PROMOTE","NO"))</f>
        <v/>
      </c>
    </row>
    <row r="406">
      <c r="A406" s="7" t="n"/>
      <c r="B406" s="7">
        <f>IF($A406="","",VLOOKUP($A406,CoachRoster!$A:$E,4,FALSE))</f>
        <v/>
      </c>
      <c r="C406" s="7" t="n"/>
      <c r="D406" s="7" t="n"/>
      <c r="E406" s="7" t="n"/>
      <c r="F406" s="7" t="n"/>
      <c r="G406" s="7" t="n"/>
      <c r="H406" s="7">
        <f>IF($A406="","",IF(AND($E406="Pass",$F406="Pass",$G406="Pass"),"PROMOTE","NOT YET"))</f>
        <v/>
      </c>
      <c r="I406" s="7" t="n"/>
      <c r="J406" s="27">
        <f>IF(OR($A406="",$C406=""),"",IF(IFERROR(VLOOKUP($A406,Ledger!$A:$E,5,FALSE),0)&gt;=VLOOKUP($C406,RoleTitles!$A:$B,2,FALSE),"YES","NO"))</f>
        <v/>
      </c>
      <c r="K406" s="27">
        <f>IF($A406="","",IF(AND($H406="PROMOTE",$J406="YES"),"YES — PROMOTE","NO"))</f>
        <v/>
      </c>
    </row>
    <row r="407">
      <c r="A407" s="7" t="n"/>
      <c r="B407" s="7">
        <f>IF($A407="","",VLOOKUP($A407,CoachRoster!$A:$E,4,FALSE))</f>
        <v/>
      </c>
      <c r="C407" s="7" t="n"/>
      <c r="D407" s="7" t="n"/>
      <c r="E407" s="7" t="n"/>
      <c r="F407" s="7" t="n"/>
      <c r="G407" s="7" t="n"/>
      <c r="H407" s="7">
        <f>IF($A407="","",IF(AND($E407="Pass",$F407="Pass",$G407="Pass"),"PROMOTE","NOT YET"))</f>
        <v/>
      </c>
      <c r="I407" s="7" t="n"/>
      <c r="J407" s="27">
        <f>IF(OR($A407="",$C407=""),"",IF(IFERROR(VLOOKUP($A407,Ledger!$A:$E,5,FALSE),0)&gt;=VLOOKUP($C407,RoleTitles!$A:$B,2,FALSE),"YES","NO"))</f>
        <v/>
      </c>
      <c r="K407" s="27">
        <f>IF($A407="","",IF(AND($H407="PROMOTE",$J407="YES"),"YES — PROMOTE","NO"))</f>
        <v/>
      </c>
    </row>
    <row r="408">
      <c r="A408" s="7" t="n"/>
      <c r="B408" s="7">
        <f>IF($A408="","",VLOOKUP($A408,CoachRoster!$A:$E,4,FALSE))</f>
        <v/>
      </c>
      <c r="C408" s="7" t="n"/>
      <c r="D408" s="7" t="n"/>
      <c r="E408" s="7" t="n"/>
      <c r="F408" s="7" t="n"/>
      <c r="G408" s="7" t="n"/>
      <c r="H408" s="7">
        <f>IF($A408="","",IF(AND($E408="Pass",$F408="Pass",$G408="Pass"),"PROMOTE","NOT YET"))</f>
        <v/>
      </c>
      <c r="I408" s="7" t="n"/>
      <c r="J408" s="27">
        <f>IF(OR($A408="",$C408=""),"",IF(IFERROR(VLOOKUP($A408,Ledger!$A:$E,5,FALSE),0)&gt;=VLOOKUP($C408,RoleTitles!$A:$B,2,FALSE),"YES","NO"))</f>
        <v/>
      </c>
      <c r="K408" s="27">
        <f>IF($A408="","",IF(AND($H408="PROMOTE",$J408="YES"),"YES — PROMOTE","NO"))</f>
        <v/>
      </c>
    </row>
    <row r="409">
      <c r="A409" s="7" t="n"/>
      <c r="B409" s="7">
        <f>IF($A409="","",VLOOKUP($A409,CoachRoster!$A:$E,4,FALSE))</f>
        <v/>
      </c>
      <c r="C409" s="7" t="n"/>
      <c r="D409" s="7" t="n"/>
      <c r="E409" s="7" t="n"/>
      <c r="F409" s="7" t="n"/>
      <c r="G409" s="7" t="n"/>
      <c r="H409" s="7">
        <f>IF($A409="","",IF(AND($E409="Pass",$F409="Pass",$G409="Pass"),"PROMOTE","NOT YET"))</f>
        <v/>
      </c>
      <c r="I409" s="7" t="n"/>
      <c r="J409" s="27">
        <f>IF(OR($A409="",$C409=""),"",IF(IFERROR(VLOOKUP($A409,Ledger!$A:$E,5,FALSE),0)&gt;=VLOOKUP($C409,RoleTitles!$A:$B,2,FALSE),"YES","NO"))</f>
        <v/>
      </c>
      <c r="K409" s="27">
        <f>IF($A409="","",IF(AND($H409="PROMOTE",$J409="YES"),"YES — PROMOTE","NO"))</f>
        <v/>
      </c>
    </row>
    <row r="410">
      <c r="A410" s="7" t="n"/>
      <c r="B410" s="7">
        <f>IF($A410="","",VLOOKUP($A410,CoachRoster!$A:$E,4,FALSE))</f>
        <v/>
      </c>
      <c r="C410" s="7" t="n"/>
      <c r="D410" s="7" t="n"/>
      <c r="E410" s="7" t="n"/>
      <c r="F410" s="7" t="n"/>
      <c r="G410" s="7" t="n"/>
      <c r="H410" s="7">
        <f>IF($A410="","",IF(AND($E410="Pass",$F410="Pass",$G410="Pass"),"PROMOTE","NOT YET"))</f>
        <v/>
      </c>
      <c r="I410" s="7" t="n"/>
      <c r="J410" s="27">
        <f>IF(OR($A410="",$C410=""),"",IF(IFERROR(VLOOKUP($A410,Ledger!$A:$E,5,FALSE),0)&gt;=VLOOKUP($C410,RoleTitles!$A:$B,2,FALSE),"YES","NO"))</f>
        <v/>
      </c>
      <c r="K410" s="27">
        <f>IF($A410="","",IF(AND($H410="PROMOTE",$J410="YES"),"YES — PROMOTE","NO"))</f>
        <v/>
      </c>
    </row>
    <row r="411">
      <c r="A411" s="7" t="n"/>
      <c r="B411" s="7">
        <f>IF($A411="","",VLOOKUP($A411,CoachRoster!$A:$E,4,FALSE))</f>
        <v/>
      </c>
      <c r="C411" s="7" t="n"/>
      <c r="D411" s="7" t="n"/>
      <c r="E411" s="7" t="n"/>
      <c r="F411" s="7" t="n"/>
      <c r="G411" s="7" t="n"/>
      <c r="H411" s="7">
        <f>IF($A411="","",IF(AND($E411="Pass",$F411="Pass",$G411="Pass"),"PROMOTE","NOT YET"))</f>
        <v/>
      </c>
      <c r="I411" s="7" t="n"/>
      <c r="J411" s="27">
        <f>IF(OR($A411="",$C411=""),"",IF(IFERROR(VLOOKUP($A411,Ledger!$A:$E,5,FALSE),0)&gt;=VLOOKUP($C411,RoleTitles!$A:$B,2,FALSE),"YES","NO"))</f>
        <v/>
      </c>
      <c r="K411" s="27">
        <f>IF($A411="","",IF(AND($H411="PROMOTE",$J411="YES"),"YES — PROMOTE","NO"))</f>
        <v/>
      </c>
    </row>
    <row r="412">
      <c r="A412" s="7" t="n"/>
      <c r="B412" s="7">
        <f>IF($A412="","",VLOOKUP($A412,CoachRoster!$A:$E,4,FALSE))</f>
        <v/>
      </c>
      <c r="C412" s="7" t="n"/>
      <c r="D412" s="7" t="n"/>
      <c r="E412" s="7" t="n"/>
      <c r="F412" s="7" t="n"/>
      <c r="G412" s="7" t="n"/>
      <c r="H412" s="7">
        <f>IF($A412="","",IF(AND($E412="Pass",$F412="Pass",$G412="Pass"),"PROMOTE","NOT YET"))</f>
        <v/>
      </c>
      <c r="I412" s="7" t="n"/>
      <c r="J412" s="27">
        <f>IF(OR($A412="",$C412=""),"",IF(IFERROR(VLOOKUP($A412,Ledger!$A:$E,5,FALSE),0)&gt;=VLOOKUP($C412,RoleTitles!$A:$B,2,FALSE),"YES","NO"))</f>
        <v/>
      </c>
      <c r="K412" s="27">
        <f>IF($A412="","",IF(AND($H412="PROMOTE",$J412="YES"),"YES — PROMOTE","NO"))</f>
        <v/>
      </c>
    </row>
    <row r="413">
      <c r="A413" s="7" t="n"/>
      <c r="B413" s="7">
        <f>IF($A413="","",VLOOKUP($A413,CoachRoster!$A:$E,4,FALSE))</f>
        <v/>
      </c>
      <c r="C413" s="7" t="n"/>
      <c r="D413" s="7" t="n"/>
      <c r="E413" s="7" t="n"/>
      <c r="F413" s="7" t="n"/>
      <c r="G413" s="7" t="n"/>
      <c r="H413" s="7">
        <f>IF($A413="","",IF(AND($E413="Pass",$F413="Pass",$G413="Pass"),"PROMOTE","NOT YET"))</f>
        <v/>
      </c>
      <c r="I413" s="7" t="n"/>
      <c r="J413" s="27">
        <f>IF(OR($A413="",$C413=""),"",IF(IFERROR(VLOOKUP($A413,Ledger!$A:$E,5,FALSE),0)&gt;=VLOOKUP($C413,RoleTitles!$A:$B,2,FALSE),"YES","NO"))</f>
        <v/>
      </c>
      <c r="K413" s="27">
        <f>IF($A413="","",IF(AND($H413="PROMOTE",$J413="YES"),"YES — PROMOTE","NO"))</f>
        <v/>
      </c>
    </row>
    <row r="414">
      <c r="A414" s="7" t="n"/>
      <c r="B414" s="7">
        <f>IF($A414="","",VLOOKUP($A414,CoachRoster!$A:$E,4,FALSE))</f>
        <v/>
      </c>
      <c r="C414" s="7" t="n"/>
      <c r="D414" s="7" t="n"/>
      <c r="E414" s="7" t="n"/>
      <c r="F414" s="7" t="n"/>
      <c r="G414" s="7" t="n"/>
      <c r="H414" s="7">
        <f>IF($A414="","",IF(AND($E414="Pass",$F414="Pass",$G414="Pass"),"PROMOTE","NOT YET"))</f>
        <v/>
      </c>
      <c r="I414" s="7" t="n"/>
      <c r="J414" s="27">
        <f>IF(OR($A414="",$C414=""),"",IF(IFERROR(VLOOKUP($A414,Ledger!$A:$E,5,FALSE),0)&gt;=VLOOKUP($C414,RoleTitles!$A:$B,2,FALSE),"YES","NO"))</f>
        <v/>
      </c>
      <c r="K414" s="27">
        <f>IF($A414="","",IF(AND($H414="PROMOTE",$J414="YES"),"YES — PROMOTE","NO"))</f>
        <v/>
      </c>
    </row>
    <row r="415">
      <c r="A415" s="7" t="n"/>
      <c r="B415" s="7">
        <f>IF($A415="","",VLOOKUP($A415,CoachRoster!$A:$E,4,FALSE))</f>
        <v/>
      </c>
      <c r="C415" s="7" t="n"/>
      <c r="D415" s="7" t="n"/>
      <c r="E415" s="7" t="n"/>
      <c r="F415" s="7" t="n"/>
      <c r="G415" s="7" t="n"/>
      <c r="H415" s="7">
        <f>IF($A415="","",IF(AND($E415="Pass",$F415="Pass",$G415="Pass"),"PROMOTE","NOT YET"))</f>
        <v/>
      </c>
      <c r="I415" s="7" t="n"/>
      <c r="J415" s="27">
        <f>IF(OR($A415="",$C415=""),"",IF(IFERROR(VLOOKUP($A415,Ledger!$A:$E,5,FALSE),0)&gt;=VLOOKUP($C415,RoleTitles!$A:$B,2,FALSE),"YES","NO"))</f>
        <v/>
      </c>
      <c r="K415" s="27">
        <f>IF($A415="","",IF(AND($H415="PROMOTE",$J415="YES"),"YES — PROMOTE","NO"))</f>
        <v/>
      </c>
    </row>
    <row r="416">
      <c r="A416" s="7" t="n"/>
      <c r="B416" s="7">
        <f>IF($A416="","",VLOOKUP($A416,CoachRoster!$A:$E,4,FALSE))</f>
        <v/>
      </c>
      <c r="C416" s="7" t="n"/>
      <c r="D416" s="7" t="n"/>
      <c r="E416" s="7" t="n"/>
      <c r="F416" s="7" t="n"/>
      <c r="G416" s="7" t="n"/>
      <c r="H416" s="7">
        <f>IF($A416="","",IF(AND($E416="Pass",$F416="Pass",$G416="Pass"),"PROMOTE","NOT YET"))</f>
        <v/>
      </c>
      <c r="I416" s="7" t="n"/>
      <c r="J416" s="27">
        <f>IF(OR($A416="",$C416=""),"",IF(IFERROR(VLOOKUP($A416,Ledger!$A:$E,5,FALSE),0)&gt;=VLOOKUP($C416,RoleTitles!$A:$B,2,FALSE),"YES","NO"))</f>
        <v/>
      </c>
      <c r="K416" s="27">
        <f>IF($A416="","",IF(AND($H416="PROMOTE",$J416="YES"),"YES — PROMOTE","NO"))</f>
        <v/>
      </c>
    </row>
    <row r="417">
      <c r="A417" s="7" t="n"/>
      <c r="B417" s="7">
        <f>IF($A417="","",VLOOKUP($A417,CoachRoster!$A:$E,4,FALSE))</f>
        <v/>
      </c>
      <c r="C417" s="7" t="n"/>
      <c r="D417" s="7" t="n"/>
      <c r="E417" s="7" t="n"/>
      <c r="F417" s="7" t="n"/>
      <c r="G417" s="7" t="n"/>
      <c r="H417" s="7">
        <f>IF($A417="","",IF(AND($E417="Pass",$F417="Pass",$G417="Pass"),"PROMOTE","NOT YET"))</f>
        <v/>
      </c>
      <c r="I417" s="7" t="n"/>
      <c r="J417" s="27">
        <f>IF(OR($A417="",$C417=""),"",IF(IFERROR(VLOOKUP($A417,Ledger!$A:$E,5,FALSE),0)&gt;=VLOOKUP($C417,RoleTitles!$A:$B,2,FALSE),"YES","NO"))</f>
        <v/>
      </c>
      <c r="K417" s="27">
        <f>IF($A417="","",IF(AND($H417="PROMOTE",$J417="YES"),"YES — PROMOTE","NO"))</f>
        <v/>
      </c>
    </row>
    <row r="418">
      <c r="A418" s="7" t="n"/>
      <c r="B418" s="7">
        <f>IF($A418="","",VLOOKUP($A418,CoachRoster!$A:$E,4,FALSE))</f>
        <v/>
      </c>
      <c r="C418" s="7" t="n"/>
      <c r="D418" s="7" t="n"/>
      <c r="E418" s="7" t="n"/>
      <c r="F418" s="7" t="n"/>
      <c r="G418" s="7" t="n"/>
      <c r="H418" s="7">
        <f>IF($A418="","",IF(AND($E418="Pass",$F418="Pass",$G418="Pass"),"PROMOTE","NOT YET"))</f>
        <v/>
      </c>
      <c r="I418" s="7" t="n"/>
      <c r="J418" s="27">
        <f>IF(OR($A418="",$C418=""),"",IF(IFERROR(VLOOKUP($A418,Ledger!$A:$E,5,FALSE),0)&gt;=VLOOKUP($C418,RoleTitles!$A:$B,2,FALSE),"YES","NO"))</f>
        <v/>
      </c>
      <c r="K418" s="27">
        <f>IF($A418="","",IF(AND($H418="PROMOTE",$J418="YES"),"YES — PROMOTE","NO"))</f>
        <v/>
      </c>
    </row>
    <row r="419">
      <c r="A419" s="7" t="n"/>
      <c r="B419" s="7">
        <f>IF($A419="","",VLOOKUP($A419,CoachRoster!$A:$E,4,FALSE))</f>
        <v/>
      </c>
      <c r="C419" s="7" t="n"/>
      <c r="D419" s="7" t="n"/>
      <c r="E419" s="7" t="n"/>
      <c r="F419" s="7" t="n"/>
      <c r="G419" s="7" t="n"/>
      <c r="H419" s="7">
        <f>IF($A419="","",IF(AND($E419="Pass",$F419="Pass",$G419="Pass"),"PROMOTE","NOT YET"))</f>
        <v/>
      </c>
      <c r="I419" s="7" t="n"/>
      <c r="J419" s="27">
        <f>IF(OR($A419="",$C419=""),"",IF(IFERROR(VLOOKUP($A419,Ledger!$A:$E,5,FALSE),0)&gt;=VLOOKUP($C419,RoleTitles!$A:$B,2,FALSE),"YES","NO"))</f>
        <v/>
      </c>
      <c r="K419" s="27">
        <f>IF($A419="","",IF(AND($H419="PROMOTE",$J419="YES"),"YES — PROMOTE","NO"))</f>
        <v/>
      </c>
    </row>
    <row r="420">
      <c r="A420" s="7" t="n"/>
      <c r="B420" s="7">
        <f>IF($A420="","",VLOOKUP($A420,CoachRoster!$A:$E,4,FALSE))</f>
        <v/>
      </c>
      <c r="C420" s="7" t="n"/>
      <c r="D420" s="7" t="n"/>
      <c r="E420" s="7" t="n"/>
      <c r="F420" s="7" t="n"/>
      <c r="G420" s="7" t="n"/>
      <c r="H420" s="7">
        <f>IF($A420="","",IF(AND($E420="Pass",$F420="Pass",$G420="Pass"),"PROMOTE","NOT YET"))</f>
        <v/>
      </c>
      <c r="I420" s="7" t="n"/>
      <c r="J420" s="27">
        <f>IF(OR($A420="",$C420=""),"",IF(IFERROR(VLOOKUP($A420,Ledger!$A:$E,5,FALSE),0)&gt;=VLOOKUP($C420,RoleTitles!$A:$B,2,FALSE),"YES","NO"))</f>
        <v/>
      </c>
      <c r="K420" s="27">
        <f>IF($A420="","",IF(AND($H420="PROMOTE",$J420="YES"),"YES — PROMOTE","NO"))</f>
        <v/>
      </c>
    </row>
    <row r="421">
      <c r="A421" s="7" t="n"/>
      <c r="B421" s="7">
        <f>IF($A421="","",VLOOKUP($A421,CoachRoster!$A:$E,4,FALSE))</f>
        <v/>
      </c>
      <c r="C421" s="7" t="n"/>
      <c r="D421" s="7" t="n"/>
      <c r="E421" s="7" t="n"/>
      <c r="F421" s="7" t="n"/>
      <c r="G421" s="7" t="n"/>
      <c r="H421" s="7">
        <f>IF($A421="","",IF(AND($E421="Pass",$F421="Pass",$G421="Pass"),"PROMOTE","NOT YET"))</f>
        <v/>
      </c>
      <c r="I421" s="7" t="n"/>
      <c r="J421" s="27">
        <f>IF(OR($A421="",$C421=""),"",IF(IFERROR(VLOOKUP($A421,Ledger!$A:$E,5,FALSE),0)&gt;=VLOOKUP($C421,RoleTitles!$A:$B,2,FALSE),"YES","NO"))</f>
        <v/>
      </c>
      <c r="K421" s="27">
        <f>IF($A421="","",IF(AND($H421="PROMOTE",$J421="YES"),"YES — PROMOTE","NO"))</f>
        <v/>
      </c>
    </row>
    <row r="422">
      <c r="A422" s="7" t="n"/>
      <c r="B422" s="7">
        <f>IF($A422="","",VLOOKUP($A422,CoachRoster!$A:$E,4,FALSE))</f>
        <v/>
      </c>
      <c r="C422" s="7" t="n"/>
      <c r="D422" s="7" t="n"/>
      <c r="E422" s="7" t="n"/>
      <c r="F422" s="7" t="n"/>
      <c r="G422" s="7" t="n"/>
      <c r="H422" s="7">
        <f>IF($A422="","",IF(AND($E422="Pass",$F422="Pass",$G422="Pass"),"PROMOTE","NOT YET"))</f>
        <v/>
      </c>
      <c r="I422" s="7" t="n"/>
      <c r="J422" s="27">
        <f>IF(OR($A422="",$C422=""),"",IF(IFERROR(VLOOKUP($A422,Ledger!$A:$E,5,FALSE),0)&gt;=VLOOKUP($C422,RoleTitles!$A:$B,2,FALSE),"YES","NO"))</f>
        <v/>
      </c>
      <c r="K422" s="27">
        <f>IF($A422="","",IF(AND($H422="PROMOTE",$J422="YES"),"YES — PROMOTE","NO"))</f>
        <v/>
      </c>
    </row>
    <row r="423">
      <c r="A423" s="7" t="n"/>
      <c r="B423" s="7">
        <f>IF($A423="","",VLOOKUP($A423,CoachRoster!$A:$E,4,FALSE))</f>
        <v/>
      </c>
      <c r="C423" s="7" t="n"/>
      <c r="D423" s="7" t="n"/>
      <c r="E423" s="7" t="n"/>
      <c r="F423" s="7" t="n"/>
      <c r="G423" s="7" t="n"/>
      <c r="H423" s="7">
        <f>IF($A423="","",IF(AND($E423="Pass",$F423="Pass",$G423="Pass"),"PROMOTE","NOT YET"))</f>
        <v/>
      </c>
      <c r="I423" s="7" t="n"/>
      <c r="J423" s="27">
        <f>IF(OR($A423="",$C423=""),"",IF(IFERROR(VLOOKUP($A423,Ledger!$A:$E,5,FALSE),0)&gt;=VLOOKUP($C423,RoleTitles!$A:$B,2,FALSE),"YES","NO"))</f>
        <v/>
      </c>
      <c r="K423" s="27">
        <f>IF($A423="","",IF(AND($H423="PROMOTE",$J423="YES"),"YES — PROMOTE","NO"))</f>
        <v/>
      </c>
    </row>
    <row r="424">
      <c r="A424" s="7" t="n"/>
      <c r="B424" s="7">
        <f>IF($A424="","",VLOOKUP($A424,CoachRoster!$A:$E,4,FALSE))</f>
        <v/>
      </c>
      <c r="C424" s="7" t="n"/>
      <c r="D424" s="7" t="n"/>
      <c r="E424" s="7" t="n"/>
      <c r="F424" s="7" t="n"/>
      <c r="G424" s="7" t="n"/>
      <c r="H424" s="7">
        <f>IF($A424="","",IF(AND($E424="Pass",$F424="Pass",$G424="Pass"),"PROMOTE","NOT YET"))</f>
        <v/>
      </c>
      <c r="I424" s="7" t="n"/>
      <c r="J424" s="27">
        <f>IF(OR($A424="",$C424=""),"",IF(IFERROR(VLOOKUP($A424,Ledger!$A:$E,5,FALSE),0)&gt;=VLOOKUP($C424,RoleTitles!$A:$B,2,FALSE),"YES","NO"))</f>
        <v/>
      </c>
      <c r="K424" s="27">
        <f>IF($A424="","",IF(AND($H424="PROMOTE",$J424="YES"),"YES — PROMOTE","NO"))</f>
        <v/>
      </c>
    </row>
    <row r="425">
      <c r="A425" s="7" t="n"/>
      <c r="B425" s="7">
        <f>IF($A425="","",VLOOKUP($A425,CoachRoster!$A:$E,4,FALSE))</f>
        <v/>
      </c>
      <c r="C425" s="7" t="n"/>
      <c r="D425" s="7" t="n"/>
      <c r="E425" s="7" t="n"/>
      <c r="F425" s="7" t="n"/>
      <c r="G425" s="7" t="n"/>
      <c r="H425" s="7">
        <f>IF($A425="","",IF(AND($E425="Pass",$F425="Pass",$G425="Pass"),"PROMOTE","NOT YET"))</f>
        <v/>
      </c>
      <c r="I425" s="7" t="n"/>
      <c r="J425" s="27">
        <f>IF(OR($A425="",$C425=""),"",IF(IFERROR(VLOOKUP($A425,Ledger!$A:$E,5,FALSE),0)&gt;=VLOOKUP($C425,RoleTitles!$A:$B,2,FALSE),"YES","NO"))</f>
        <v/>
      </c>
      <c r="K425" s="27">
        <f>IF($A425="","",IF(AND($H425="PROMOTE",$J425="YES"),"YES — PROMOTE","NO"))</f>
        <v/>
      </c>
    </row>
    <row r="426">
      <c r="A426" s="7" t="n"/>
      <c r="B426" s="7">
        <f>IF($A426="","",VLOOKUP($A426,CoachRoster!$A:$E,4,FALSE))</f>
        <v/>
      </c>
      <c r="C426" s="7" t="n"/>
      <c r="D426" s="7" t="n"/>
      <c r="E426" s="7" t="n"/>
      <c r="F426" s="7" t="n"/>
      <c r="G426" s="7" t="n"/>
      <c r="H426" s="7">
        <f>IF($A426="","",IF(AND($E426="Pass",$F426="Pass",$G426="Pass"),"PROMOTE","NOT YET"))</f>
        <v/>
      </c>
      <c r="I426" s="7" t="n"/>
      <c r="J426" s="27">
        <f>IF(OR($A426="",$C426=""),"",IF(IFERROR(VLOOKUP($A426,Ledger!$A:$E,5,FALSE),0)&gt;=VLOOKUP($C426,RoleTitles!$A:$B,2,FALSE),"YES","NO"))</f>
        <v/>
      </c>
      <c r="K426" s="27">
        <f>IF($A426="","",IF(AND($H426="PROMOTE",$J426="YES"),"YES — PROMOTE","NO"))</f>
        <v/>
      </c>
    </row>
    <row r="427">
      <c r="A427" s="7" t="n"/>
      <c r="B427" s="7">
        <f>IF($A427="","",VLOOKUP($A427,CoachRoster!$A:$E,4,FALSE))</f>
        <v/>
      </c>
      <c r="C427" s="7" t="n"/>
      <c r="D427" s="7" t="n"/>
      <c r="E427" s="7" t="n"/>
      <c r="F427" s="7" t="n"/>
      <c r="G427" s="7" t="n"/>
      <c r="H427" s="7">
        <f>IF($A427="","",IF(AND($E427="Pass",$F427="Pass",$G427="Pass"),"PROMOTE","NOT YET"))</f>
        <v/>
      </c>
      <c r="I427" s="7" t="n"/>
      <c r="J427" s="27">
        <f>IF(OR($A427="",$C427=""),"",IF(IFERROR(VLOOKUP($A427,Ledger!$A:$E,5,FALSE),0)&gt;=VLOOKUP($C427,RoleTitles!$A:$B,2,FALSE),"YES","NO"))</f>
        <v/>
      </c>
      <c r="K427" s="27">
        <f>IF($A427="","",IF(AND($H427="PROMOTE",$J427="YES"),"YES — PROMOTE","NO"))</f>
        <v/>
      </c>
    </row>
    <row r="428">
      <c r="A428" s="7" t="n"/>
      <c r="B428" s="7">
        <f>IF($A428="","",VLOOKUP($A428,CoachRoster!$A:$E,4,FALSE))</f>
        <v/>
      </c>
      <c r="C428" s="7" t="n"/>
      <c r="D428" s="7" t="n"/>
      <c r="E428" s="7" t="n"/>
      <c r="F428" s="7" t="n"/>
      <c r="G428" s="7" t="n"/>
      <c r="H428" s="7">
        <f>IF($A428="","",IF(AND($E428="Pass",$F428="Pass",$G428="Pass"),"PROMOTE","NOT YET"))</f>
        <v/>
      </c>
      <c r="I428" s="7" t="n"/>
      <c r="J428" s="27">
        <f>IF(OR($A428="",$C428=""),"",IF(IFERROR(VLOOKUP($A428,Ledger!$A:$E,5,FALSE),0)&gt;=VLOOKUP($C428,RoleTitles!$A:$B,2,FALSE),"YES","NO"))</f>
        <v/>
      </c>
      <c r="K428" s="27">
        <f>IF($A428="","",IF(AND($H428="PROMOTE",$J428="YES"),"YES — PROMOTE","NO"))</f>
        <v/>
      </c>
    </row>
    <row r="429">
      <c r="A429" s="7" t="n"/>
      <c r="B429" s="7">
        <f>IF($A429="","",VLOOKUP($A429,CoachRoster!$A:$E,4,FALSE))</f>
        <v/>
      </c>
      <c r="C429" s="7" t="n"/>
      <c r="D429" s="7" t="n"/>
      <c r="E429" s="7" t="n"/>
      <c r="F429" s="7" t="n"/>
      <c r="G429" s="7" t="n"/>
      <c r="H429" s="7">
        <f>IF($A429="","",IF(AND($E429="Pass",$F429="Pass",$G429="Pass"),"PROMOTE","NOT YET"))</f>
        <v/>
      </c>
      <c r="I429" s="7" t="n"/>
      <c r="J429" s="27">
        <f>IF(OR($A429="",$C429=""),"",IF(IFERROR(VLOOKUP($A429,Ledger!$A:$E,5,FALSE),0)&gt;=VLOOKUP($C429,RoleTitles!$A:$B,2,FALSE),"YES","NO"))</f>
        <v/>
      </c>
      <c r="K429" s="27">
        <f>IF($A429="","",IF(AND($H429="PROMOTE",$J429="YES"),"YES — PROMOTE","NO"))</f>
        <v/>
      </c>
    </row>
    <row r="430">
      <c r="A430" s="7" t="n"/>
      <c r="B430" s="7">
        <f>IF($A430="","",VLOOKUP($A430,CoachRoster!$A:$E,4,FALSE))</f>
        <v/>
      </c>
      <c r="C430" s="7" t="n"/>
      <c r="D430" s="7" t="n"/>
      <c r="E430" s="7" t="n"/>
      <c r="F430" s="7" t="n"/>
      <c r="G430" s="7" t="n"/>
      <c r="H430" s="7">
        <f>IF($A430="","",IF(AND($E430="Pass",$F430="Pass",$G430="Pass"),"PROMOTE","NOT YET"))</f>
        <v/>
      </c>
      <c r="I430" s="7" t="n"/>
      <c r="J430" s="27">
        <f>IF(OR($A430="",$C430=""),"",IF(IFERROR(VLOOKUP($A430,Ledger!$A:$E,5,FALSE),0)&gt;=VLOOKUP($C430,RoleTitles!$A:$B,2,FALSE),"YES","NO"))</f>
        <v/>
      </c>
      <c r="K430" s="27">
        <f>IF($A430="","",IF(AND($H430="PROMOTE",$J430="YES"),"YES — PROMOTE","NO"))</f>
        <v/>
      </c>
    </row>
    <row r="431">
      <c r="A431" s="7" t="n"/>
      <c r="B431" s="7">
        <f>IF($A431="","",VLOOKUP($A431,CoachRoster!$A:$E,4,FALSE))</f>
        <v/>
      </c>
      <c r="C431" s="7" t="n"/>
      <c r="D431" s="7" t="n"/>
      <c r="E431" s="7" t="n"/>
      <c r="F431" s="7" t="n"/>
      <c r="G431" s="7" t="n"/>
      <c r="H431" s="7">
        <f>IF($A431="","",IF(AND($E431="Pass",$F431="Pass",$G431="Pass"),"PROMOTE","NOT YET"))</f>
        <v/>
      </c>
      <c r="I431" s="7" t="n"/>
      <c r="J431" s="27">
        <f>IF(OR($A431="",$C431=""),"",IF(IFERROR(VLOOKUP($A431,Ledger!$A:$E,5,FALSE),0)&gt;=VLOOKUP($C431,RoleTitles!$A:$B,2,FALSE),"YES","NO"))</f>
        <v/>
      </c>
      <c r="K431" s="27">
        <f>IF($A431="","",IF(AND($H431="PROMOTE",$J431="YES"),"YES — PROMOTE","NO"))</f>
        <v/>
      </c>
    </row>
    <row r="432">
      <c r="A432" s="7" t="n"/>
      <c r="B432" s="7">
        <f>IF($A432="","",VLOOKUP($A432,CoachRoster!$A:$E,4,FALSE))</f>
        <v/>
      </c>
      <c r="C432" s="7" t="n"/>
      <c r="D432" s="7" t="n"/>
      <c r="E432" s="7" t="n"/>
      <c r="F432" s="7" t="n"/>
      <c r="G432" s="7" t="n"/>
      <c r="H432" s="7">
        <f>IF($A432="","",IF(AND($E432="Pass",$F432="Pass",$G432="Pass"),"PROMOTE","NOT YET"))</f>
        <v/>
      </c>
      <c r="I432" s="7" t="n"/>
      <c r="J432" s="27">
        <f>IF(OR($A432="",$C432=""),"",IF(IFERROR(VLOOKUP($A432,Ledger!$A:$E,5,FALSE),0)&gt;=VLOOKUP($C432,RoleTitles!$A:$B,2,FALSE),"YES","NO"))</f>
        <v/>
      </c>
      <c r="K432" s="27">
        <f>IF($A432="","",IF(AND($H432="PROMOTE",$J432="YES"),"YES — PROMOTE","NO"))</f>
        <v/>
      </c>
    </row>
    <row r="433">
      <c r="A433" s="7" t="n"/>
      <c r="B433" s="7">
        <f>IF($A433="","",VLOOKUP($A433,CoachRoster!$A:$E,4,FALSE))</f>
        <v/>
      </c>
      <c r="C433" s="7" t="n"/>
      <c r="D433" s="7" t="n"/>
      <c r="E433" s="7" t="n"/>
      <c r="F433" s="7" t="n"/>
      <c r="G433" s="7" t="n"/>
      <c r="H433" s="7">
        <f>IF($A433="","",IF(AND($E433="Pass",$F433="Pass",$G433="Pass"),"PROMOTE","NOT YET"))</f>
        <v/>
      </c>
      <c r="I433" s="7" t="n"/>
      <c r="J433" s="27">
        <f>IF(OR($A433="",$C433=""),"",IF(IFERROR(VLOOKUP($A433,Ledger!$A:$E,5,FALSE),0)&gt;=VLOOKUP($C433,RoleTitles!$A:$B,2,FALSE),"YES","NO"))</f>
        <v/>
      </c>
      <c r="K433" s="27">
        <f>IF($A433="","",IF(AND($H433="PROMOTE",$J433="YES"),"YES — PROMOTE","NO"))</f>
        <v/>
      </c>
    </row>
    <row r="434">
      <c r="A434" s="7" t="n"/>
      <c r="B434" s="7">
        <f>IF($A434="","",VLOOKUP($A434,CoachRoster!$A:$E,4,FALSE))</f>
        <v/>
      </c>
      <c r="C434" s="7" t="n"/>
      <c r="D434" s="7" t="n"/>
      <c r="E434" s="7" t="n"/>
      <c r="F434" s="7" t="n"/>
      <c r="G434" s="7" t="n"/>
      <c r="H434" s="7">
        <f>IF($A434="","",IF(AND($E434="Pass",$F434="Pass",$G434="Pass"),"PROMOTE","NOT YET"))</f>
        <v/>
      </c>
      <c r="I434" s="7" t="n"/>
      <c r="J434" s="27">
        <f>IF(OR($A434="",$C434=""),"",IF(IFERROR(VLOOKUP($A434,Ledger!$A:$E,5,FALSE),0)&gt;=VLOOKUP($C434,RoleTitles!$A:$B,2,FALSE),"YES","NO"))</f>
        <v/>
      </c>
      <c r="K434" s="27">
        <f>IF($A434="","",IF(AND($H434="PROMOTE",$J434="YES"),"YES — PROMOTE","NO"))</f>
        <v/>
      </c>
    </row>
    <row r="435">
      <c r="A435" s="7" t="n"/>
      <c r="B435" s="7">
        <f>IF($A435="","",VLOOKUP($A435,CoachRoster!$A:$E,4,FALSE))</f>
        <v/>
      </c>
      <c r="C435" s="7" t="n"/>
      <c r="D435" s="7" t="n"/>
      <c r="E435" s="7" t="n"/>
      <c r="F435" s="7" t="n"/>
      <c r="G435" s="7" t="n"/>
      <c r="H435" s="7">
        <f>IF($A435="","",IF(AND($E435="Pass",$F435="Pass",$G435="Pass"),"PROMOTE","NOT YET"))</f>
        <v/>
      </c>
      <c r="I435" s="7" t="n"/>
      <c r="J435" s="27">
        <f>IF(OR($A435="",$C435=""),"",IF(IFERROR(VLOOKUP($A435,Ledger!$A:$E,5,FALSE),0)&gt;=VLOOKUP($C435,RoleTitles!$A:$B,2,FALSE),"YES","NO"))</f>
        <v/>
      </c>
      <c r="K435" s="27">
        <f>IF($A435="","",IF(AND($H435="PROMOTE",$J435="YES"),"YES — PROMOTE","NO"))</f>
        <v/>
      </c>
    </row>
    <row r="436">
      <c r="A436" s="7" t="n"/>
      <c r="B436" s="7">
        <f>IF($A436="","",VLOOKUP($A436,CoachRoster!$A:$E,4,FALSE))</f>
        <v/>
      </c>
      <c r="C436" s="7" t="n"/>
      <c r="D436" s="7" t="n"/>
      <c r="E436" s="7" t="n"/>
      <c r="F436" s="7" t="n"/>
      <c r="G436" s="7" t="n"/>
      <c r="H436" s="7">
        <f>IF($A436="","",IF(AND($E436="Pass",$F436="Pass",$G436="Pass"),"PROMOTE","NOT YET"))</f>
        <v/>
      </c>
      <c r="I436" s="7" t="n"/>
      <c r="J436" s="27">
        <f>IF(OR($A436="",$C436=""),"",IF(IFERROR(VLOOKUP($A436,Ledger!$A:$E,5,FALSE),0)&gt;=VLOOKUP($C436,RoleTitles!$A:$B,2,FALSE),"YES","NO"))</f>
        <v/>
      </c>
      <c r="K436" s="27">
        <f>IF($A436="","",IF(AND($H436="PROMOTE",$J436="YES"),"YES — PROMOTE","NO"))</f>
        <v/>
      </c>
    </row>
    <row r="437">
      <c r="A437" s="7" t="n"/>
      <c r="B437" s="7">
        <f>IF($A437="","",VLOOKUP($A437,CoachRoster!$A:$E,4,FALSE))</f>
        <v/>
      </c>
      <c r="C437" s="7" t="n"/>
      <c r="D437" s="7" t="n"/>
      <c r="E437" s="7" t="n"/>
      <c r="F437" s="7" t="n"/>
      <c r="G437" s="7" t="n"/>
      <c r="H437" s="7">
        <f>IF($A437="","",IF(AND($E437="Pass",$F437="Pass",$G437="Pass"),"PROMOTE","NOT YET"))</f>
        <v/>
      </c>
      <c r="I437" s="7" t="n"/>
      <c r="J437" s="27">
        <f>IF(OR($A437="",$C437=""),"",IF(IFERROR(VLOOKUP($A437,Ledger!$A:$E,5,FALSE),0)&gt;=VLOOKUP($C437,RoleTitles!$A:$B,2,FALSE),"YES","NO"))</f>
        <v/>
      </c>
      <c r="K437" s="27">
        <f>IF($A437="","",IF(AND($H437="PROMOTE",$J437="YES"),"YES — PROMOTE","NO"))</f>
        <v/>
      </c>
    </row>
    <row r="438">
      <c r="A438" s="7" t="n"/>
      <c r="B438" s="7">
        <f>IF($A438="","",VLOOKUP($A438,CoachRoster!$A:$E,4,FALSE))</f>
        <v/>
      </c>
      <c r="C438" s="7" t="n"/>
      <c r="D438" s="7" t="n"/>
      <c r="E438" s="7" t="n"/>
      <c r="F438" s="7" t="n"/>
      <c r="G438" s="7" t="n"/>
      <c r="H438" s="7">
        <f>IF($A438="","",IF(AND($E438="Pass",$F438="Pass",$G438="Pass"),"PROMOTE","NOT YET"))</f>
        <v/>
      </c>
      <c r="I438" s="7" t="n"/>
      <c r="J438" s="27">
        <f>IF(OR($A438="",$C438=""),"",IF(IFERROR(VLOOKUP($A438,Ledger!$A:$E,5,FALSE),0)&gt;=VLOOKUP($C438,RoleTitles!$A:$B,2,FALSE),"YES","NO"))</f>
        <v/>
      </c>
      <c r="K438" s="27">
        <f>IF($A438="","",IF(AND($H438="PROMOTE",$J438="YES"),"YES — PROMOTE","NO"))</f>
        <v/>
      </c>
    </row>
    <row r="439">
      <c r="A439" s="7" t="n"/>
      <c r="B439" s="7">
        <f>IF($A439="","",VLOOKUP($A439,CoachRoster!$A:$E,4,FALSE))</f>
        <v/>
      </c>
      <c r="C439" s="7" t="n"/>
      <c r="D439" s="7" t="n"/>
      <c r="E439" s="7" t="n"/>
      <c r="F439" s="7" t="n"/>
      <c r="G439" s="7" t="n"/>
      <c r="H439" s="7">
        <f>IF($A439="","",IF(AND($E439="Pass",$F439="Pass",$G439="Pass"),"PROMOTE","NOT YET"))</f>
        <v/>
      </c>
      <c r="I439" s="7" t="n"/>
      <c r="J439" s="27">
        <f>IF(OR($A439="",$C439=""),"",IF(IFERROR(VLOOKUP($A439,Ledger!$A:$E,5,FALSE),0)&gt;=VLOOKUP($C439,RoleTitles!$A:$B,2,FALSE),"YES","NO"))</f>
        <v/>
      </c>
      <c r="K439" s="27">
        <f>IF($A439="","",IF(AND($H439="PROMOTE",$J439="YES"),"YES — PROMOTE","NO"))</f>
        <v/>
      </c>
    </row>
    <row r="440">
      <c r="A440" s="7" t="n"/>
      <c r="B440" s="7">
        <f>IF($A440="","",VLOOKUP($A440,CoachRoster!$A:$E,4,FALSE))</f>
        <v/>
      </c>
      <c r="C440" s="7" t="n"/>
      <c r="D440" s="7" t="n"/>
      <c r="E440" s="7" t="n"/>
      <c r="F440" s="7" t="n"/>
      <c r="G440" s="7" t="n"/>
      <c r="H440" s="7">
        <f>IF($A440="","",IF(AND($E440="Pass",$F440="Pass",$G440="Pass"),"PROMOTE","NOT YET"))</f>
        <v/>
      </c>
      <c r="I440" s="7" t="n"/>
      <c r="J440" s="27">
        <f>IF(OR($A440="",$C440=""),"",IF(IFERROR(VLOOKUP($A440,Ledger!$A:$E,5,FALSE),0)&gt;=VLOOKUP($C440,RoleTitles!$A:$B,2,FALSE),"YES","NO"))</f>
        <v/>
      </c>
      <c r="K440" s="27">
        <f>IF($A440="","",IF(AND($H440="PROMOTE",$J440="YES"),"YES — PROMOTE","NO"))</f>
        <v/>
      </c>
    </row>
    <row r="441">
      <c r="A441" s="7" t="n"/>
      <c r="B441" s="7">
        <f>IF($A441="","",VLOOKUP($A441,CoachRoster!$A:$E,4,FALSE))</f>
        <v/>
      </c>
      <c r="C441" s="7" t="n"/>
      <c r="D441" s="7" t="n"/>
      <c r="E441" s="7" t="n"/>
      <c r="F441" s="7" t="n"/>
      <c r="G441" s="7" t="n"/>
      <c r="H441" s="7">
        <f>IF($A441="","",IF(AND($E441="Pass",$F441="Pass",$G441="Pass"),"PROMOTE","NOT YET"))</f>
        <v/>
      </c>
      <c r="I441" s="7" t="n"/>
      <c r="J441" s="27">
        <f>IF(OR($A441="",$C441=""),"",IF(IFERROR(VLOOKUP($A441,Ledger!$A:$E,5,FALSE),0)&gt;=VLOOKUP($C441,RoleTitles!$A:$B,2,FALSE),"YES","NO"))</f>
        <v/>
      </c>
      <c r="K441" s="27">
        <f>IF($A441="","",IF(AND($H441="PROMOTE",$J441="YES"),"YES — PROMOTE","NO"))</f>
        <v/>
      </c>
    </row>
    <row r="442">
      <c r="A442" s="7" t="n"/>
      <c r="B442" s="7">
        <f>IF($A442="","",VLOOKUP($A442,CoachRoster!$A:$E,4,FALSE))</f>
        <v/>
      </c>
      <c r="C442" s="7" t="n"/>
      <c r="D442" s="7" t="n"/>
      <c r="E442" s="7" t="n"/>
      <c r="F442" s="7" t="n"/>
      <c r="G442" s="7" t="n"/>
      <c r="H442" s="7">
        <f>IF($A442="","",IF(AND($E442="Pass",$F442="Pass",$G442="Pass"),"PROMOTE","NOT YET"))</f>
        <v/>
      </c>
      <c r="I442" s="7" t="n"/>
      <c r="J442" s="27">
        <f>IF(OR($A442="",$C442=""),"",IF(IFERROR(VLOOKUP($A442,Ledger!$A:$E,5,FALSE),0)&gt;=VLOOKUP($C442,RoleTitles!$A:$B,2,FALSE),"YES","NO"))</f>
        <v/>
      </c>
      <c r="K442" s="27">
        <f>IF($A442="","",IF(AND($H442="PROMOTE",$J442="YES"),"YES — PROMOTE","NO"))</f>
        <v/>
      </c>
    </row>
    <row r="443">
      <c r="A443" s="7" t="n"/>
      <c r="B443" s="7">
        <f>IF($A443="","",VLOOKUP($A443,CoachRoster!$A:$E,4,FALSE))</f>
        <v/>
      </c>
      <c r="C443" s="7" t="n"/>
      <c r="D443" s="7" t="n"/>
      <c r="E443" s="7" t="n"/>
      <c r="F443" s="7" t="n"/>
      <c r="G443" s="7" t="n"/>
      <c r="H443" s="7">
        <f>IF($A443="","",IF(AND($E443="Pass",$F443="Pass",$G443="Pass"),"PROMOTE","NOT YET"))</f>
        <v/>
      </c>
      <c r="I443" s="7" t="n"/>
      <c r="J443" s="27">
        <f>IF(OR($A443="",$C443=""),"",IF(IFERROR(VLOOKUP($A443,Ledger!$A:$E,5,FALSE),0)&gt;=VLOOKUP($C443,RoleTitles!$A:$B,2,FALSE),"YES","NO"))</f>
        <v/>
      </c>
      <c r="K443" s="27">
        <f>IF($A443="","",IF(AND($H443="PROMOTE",$J443="YES"),"YES — PROMOTE","NO"))</f>
        <v/>
      </c>
    </row>
    <row r="444">
      <c r="A444" s="7" t="n"/>
      <c r="B444" s="7">
        <f>IF($A444="","",VLOOKUP($A444,CoachRoster!$A:$E,4,FALSE))</f>
        <v/>
      </c>
      <c r="C444" s="7" t="n"/>
      <c r="D444" s="7" t="n"/>
      <c r="E444" s="7" t="n"/>
      <c r="F444" s="7" t="n"/>
      <c r="G444" s="7" t="n"/>
      <c r="H444" s="7">
        <f>IF($A444="","",IF(AND($E444="Pass",$F444="Pass",$G444="Pass"),"PROMOTE","NOT YET"))</f>
        <v/>
      </c>
      <c r="I444" s="7" t="n"/>
      <c r="J444" s="27">
        <f>IF(OR($A444="",$C444=""),"",IF(IFERROR(VLOOKUP($A444,Ledger!$A:$E,5,FALSE),0)&gt;=VLOOKUP($C444,RoleTitles!$A:$B,2,FALSE),"YES","NO"))</f>
        <v/>
      </c>
      <c r="K444" s="27">
        <f>IF($A444="","",IF(AND($H444="PROMOTE",$J444="YES"),"YES — PROMOTE","NO"))</f>
        <v/>
      </c>
    </row>
    <row r="445">
      <c r="A445" s="7" t="n"/>
      <c r="B445" s="7">
        <f>IF($A445="","",VLOOKUP($A445,CoachRoster!$A:$E,4,FALSE))</f>
        <v/>
      </c>
      <c r="C445" s="7" t="n"/>
      <c r="D445" s="7" t="n"/>
      <c r="E445" s="7" t="n"/>
      <c r="F445" s="7" t="n"/>
      <c r="G445" s="7" t="n"/>
      <c r="H445" s="7">
        <f>IF($A445="","",IF(AND($E445="Pass",$F445="Pass",$G445="Pass"),"PROMOTE","NOT YET"))</f>
        <v/>
      </c>
      <c r="I445" s="7" t="n"/>
      <c r="J445" s="27">
        <f>IF(OR($A445="",$C445=""),"",IF(IFERROR(VLOOKUP($A445,Ledger!$A:$E,5,FALSE),0)&gt;=VLOOKUP($C445,RoleTitles!$A:$B,2,FALSE),"YES","NO"))</f>
        <v/>
      </c>
      <c r="K445" s="27">
        <f>IF($A445="","",IF(AND($H445="PROMOTE",$J445="YES"),"YES — PROMOTE","NO"))</f>
        <v/>
      </c>
    </row>
    <row r="446">
      <c r="A446" s="7" t="n"/>
      <c r="B446" s="7">
        <f>IF($A446="","",VLOOKUP($A446,CoachRoster!$A:$E,4,FALSE))</f>
        <v/>
      </c>
      <c r="C446" s="7" t="n"/>
      <c r="D446" s="7" t="n"/>
      <c r="E446" s="7" t="n"/>
      <c r="F446" s="7" t="n"/>
      <c r="G446" s="7" t="n"/>
      <c r="H446" s="7">
        <f>IF($A446="","",IF(AND($E446="Pass",$F446="Pass",$G446="Pass"),"PROMOTE","NOT YET"))</f>
        <v/>
      </c>
      <c r="I446" s="7" t="n"/>
      <c r="J446" s="27">
        <f>IF(OR($A446="",$C446=""),"",IF(IFERROR(VLOOKUP($A446,Ledger!$A:$E,5,FALSE),0)&gt;=VLOOKUP($C446,RoleTitles!$A:$B,2,FALSE),"YES","NO"))</f>
        <v/>
      </c>
      <c r="K446" s="27">
        <f>IF($A446="","",IF(AND($H446="PROMOTE",$J446="YES"),"YES — PROMOTE","NO"))</f>
        <v/>
      </c>
    </row>
    <row r="447">
      <c r="A447" s="7" t="n"/>
      <c r="B447" s="7">
        <f>IF($A447="","",VLOOKUP($A447,CoachRoster!$A:$E,4,FALSE))</f>
        <v/>
      </c>
      <c r="C447" s="7" t="n"/>
      <c r="D447" s="7" t="n"/>
      <c r="E447" s="7" t="n"/>
      <c r="F447" s="7" t="n"/>
      <c r="G447" s="7" t="n"/>
      <c r="H447" s="7">
        <f>IF($A447="","",IF(AND($E447="Pass",$F447="Pass",$G447="Pass"),"PROMOTE","NOT YET"))</f>
        <v/>
      </c>
      <c r="I447" s="7" t="n"/>
      <c r="J447" s="27">
        <f>IF(OR($A447="",$C447=""),"",IF(IFERROR(VLOOKUP($A447,Ledger!$A:$E,5,FALSE),0)&gt;=VLOOKUP($C447,RoleTitles!$A:$B,2,FALSE),"YES","NO"))</f>
        <v/>
      </c>
      <c r="K447" s="27">
        <f>IF($A447="","",IF(AND($H447="PROMOTE",$J447="YES"),"YES — PROMOTE","NO"))</f>
        <v/>
      </c>
    </row>
    <row r="448">
      <c r="A448" s="7" t="n"/>
      <c r="B448" s="7">
        <f>IF($A448="","",VLOOKUP($A448,CoachRoster!$A:$E,4,FALSE))</f>
        <v/>
      </c>
      <c r="C448" s="7" t="n"/>
      <c r="D448" s="7" t="n"/>
      <c r="E448" s="7" t="n"/>
      <c r="F448" s="7" t="n"/>
      <c r="G448" s="7" t="n"/>
      <c r="H448" s="7">
        <f>IF($A448="","",IF(AND($E448="Pass",$F448="Pass",$G448="Pass"),"PROMOTE","NOT YET"))</f>
        <v/>
      </c>
      <c r="I448" s="7" t="n"/>
      <c r="J448" s="27">
        <f>IF(OR($A448="",$C448=""),"",IF(IFERROR(VLOOKUP($A448,Ledger!$A:$E,5,FALSE),0)&gt;=VLOOKUP($C448,RoleTitles!$A:$B,2,FALSE),"YES","NO"))</f>
        <v/>
      </c>
      <c r="K448" s="27">
        <f>IF($A448="","",IF(AND($H448="PROMOTE",$J448="YES"),"YES — PROMOTE","NO"))</f>
        <v/>
      </c>
    </row>
    <row r="449">
      <c r="A449" s="7" t="n"/>
      <c r="B449" s="7">
        <f>IF($A449="","",VLOOKUP($A449,CoachRoster!$A:$E,4,FALSE))</f>
        <v/>
      </c>
      <c r="C449" s="7" t="n"/>
      <c r="D449" s="7" t="n"/>
      <c r="E449" s="7" t="n"/>
      <c r="F449" s="7" t="n"/>
      <c r="G449" s="7" t="n"/>
      <c r="H449" s="7">
        <f>IF($A449="","",IF(AND($E449="Pass",$F449="Pass",$G449="Pass"),"PROMOTE","NOT YET"))</f>
        <v/>
      </c>
      <c r="I449" s="7" t="n"/>
      <c r="J449" s="27">
        <f>IF(OR($A449="",$C449=""),"",IF(IFERROR(VLOOKUP($A449,Ledger!$A:$E,5,FALSE),0)&gt;=VLOOKUP($C449,RoleTitles!$A:$B,2,FALSE),"YES","NO"))</f>
        <v/>
      </c>
      <c r="K449" s="27">
        <f>IF($A449="","",IF(AND($H449="PROMOTE",$J449="YES"),"YES — PROMOTE","NO"))</f>
        <v/>
      </c>
    </row>
    <row r="450">
      <c r="A450" s="7" t="n"/>
      <c r="B450" s="7">
        <f>IF($A450="","",VLOOKUP($A450,CoachRoster!$A:$E,4,FALSE))</f>
        <v/>
      </c>
      <c r="C450" s="7" t="n"/>
      <c r="D450" s="7" t="n"/>
      <c r="E450" s="7" t="n"/>
      <c r="F450" s="7" t="n"/>
      <c r="G450" s="7" t="n"/>
      <c r="H450" s="7">
        <f>IF($A450="","",IF(AND($E450="Pass",$F450="Pass",$G450="Pass"),"PROMOTE","NOT YET"))</f>
        <v/>
      </c>
      <c r="I450" s="7" t="n"/>
      <c r="J450" s="27">
        <f>IF(OR($A450="",$C450=""),"",IF(IFERROR(VLOOKUP($A450,Ledger!$A:$E,5,FALSE),0)&gt;=VLOOKUP($C450,RoleTitles!$A:$B,2,FALSE),"YES","NO"))</f>
        <v/>
      </c>
      <c r="K450" s="27">
        <f>IF($A450="","",IF(AND($H450="PROMOTE",$J450="YES"),"YES — PROMOTE","NO"))</f>
        <v/>
      </c>
    </row>
    <row r="451">
      <c r="A451" s="7" t="n"/>
      <c r="B451" s="7">
        <f>IF($A451="","",VLOOKUP($A451,CoachRoster!$A:$E,4,FALSE))</f>
        <v/>
      </c>
      <c r="C451" s="7" t="n"/>
      <c r="D451" s="7" t="n"/>
      <c r="E451" s="7" t="n"/>
      <c r="F451" s="7" t="n"/>
      <c r="G451" s="7" t="n"/>
      <c r="H451" s="7">
        <f>IF($A451="","",IF(AND($E451="Pass",$F451="Pass",$G451="Pass"),"PROMOTE","NOT YET"))</f>
        <v/>
      </c>
      <c r="I451" s="7" t="n"/>
      <c r="J451" s="27">
        <f>IF(OR($A451="",$C451=""),"",IF(IFERROR(VLOOKUP($A451,Ledger!$A:$E,5,FALSE),0)&gt;=VLOOKUP($C451,RoleTitles!$A:$B,2,FALSE),"YES","NO"))</f>
        <v/>
      </c>
      <c r="K451" s="27">
        <f>IF($A451="","",IF(AND($H451="PROMOTE",$J451="YES"),"YES — PROMOTE","NO"))</f>
        <v/>
      </c>
    </row>
    <row r="452">
      <c r="A452" s="7" t="n"/>
      <c r="B452" s="7">
        <f>IF($A452="","",VLOOKUP($A452,CoachRoster!$A:$E,4,FALSE))</f>
        <v/>
      </c>
      <c r="C452" s="7" t="n"/>
      <c r="D452" s="7" t="n"/>
      <c r="E452" s="7" t="n"/>
      <c r="F452" s="7" t="n"/>
      <c r="G452" s="7" t="n"/>
      <c r="H452" s="7">
        <f>IF($A452="","",IF(AND($E452="Pass",$F452="Pass",$G452="Pass"),"PROMOTE","NOT YET"))</f>
        <v/>
      </c>
      <c r="I452" s="7" t="n"/>
      <c r="J452" s="27">
        <f>IF(OR($A452="",$C452=""),"",IF(IFERROR(VLOOKUP($A452,Ledger!$A:$E,5,FALSE),0)&gt;=VLOOKUP($C452,RoleTitles!$A:$B,2,FALSE),"YES","NO"))</f>
        <v/>
      </c>
      <c r="K452" s="27">
        <f>IF($A452="","",IF(AND($H452="PROMOTE",$J452="YES"),"YES — PROMOTE","NO"))</f>
        <v/>
      </c>
    </row>
    <row r="453">
      <c r="A453" s="7" t="n"/>
      <c r="B453" s="7">
        <f>IF($A453="","",VLOOKUP($A453,CoachRoster!$A:$E,4,FALSE))</f>
        <v/>
      </c>
      <c r="C453" s="7" t="n"/>
      <c r="D453" s="7" t="n"/>
      <c r="E453" s="7" t="n"/>
      <c r="F453" s="7" t="n"/>
      <c r="G453" s="7" t="n"/>
      <c r="H453" s="7">
        <f>IF($A453="","",IF(AND($E453="Pass",$F453="Pass",$G453="Pass"),"PROMOTE","NOT YET"))</f>
        <v/>
      </c>
      <c r="I453" s="7" t="n"/>
      <c r="J453" s="27">
        <f>IF(OR($A453="",$C453=""),"",IF(IFERROR(VLOOKUP($A453,Ledger!$A:$E,5,FALSE),0)&gt;=VLOOKUP($C453,RoleTitles!$A:$B,2,FALSE),"YES","NO"))</f>
        <v/>
      </c>
      <c r="K453" s="27">
        <f>IF($A453="","",IF(AND($H453="PROMOTE",$J453="YES"),"YES — PROMOTE","NO"))</f>
        <v/>
      </c>
    </row>
    <row r="454">
      <c r="A454" s="7" t="n"/>
      <c r="B454" s="7">
        <f>IF($A454="","",VLOOKUP($A454,CoachRoster!$A:$E,4,FALSE))</f>
        <v/>
      </c>
      <c r="C454" s="7" t="n"/>
      <c r="D454" s="7" t="n"/>
      <c r="E454" s="7" t="n"/>
      <c r="F454" s="7" t="n"/>
      <c r="G454" s="7" t="n"/>
      <c r="H454" s="7">
        <f>IF($A454="","",IF(AND($E454="Pass",$F454="Pass",$G454="Pass"),"PROMOTE","NOT YET"))</f>
        <v/>
      </c>
      <c r="I454" s="7" t="n"/>
      <c r="J454" s="27">
        <f>IF(OR($A454="",$C454=""),"",IF(IFERROR(VLOOKUP($A454,Ledger!$A:$E,5,FALSE),0)&gt;=VLOOKUP($C454,RoleTitles!$A:$B,2,FALSE),"YES","NO"))</f>
        <v/>
      </c>
      <c r="K454" s="27">
        <f>IF($A454="","",IF(AND($H454="PROMOTE",$J454="YES"),"YES — PROMOTE","NO"))</f>
        <v/>
      </c>
    </row>
    <row r="455">
      <c r="A455" s="7" t="n"/>
      <c r="B455" s="7">
        <f>IF($A455="","",VLOOKUP($A455,CoachRoster!$A:$E,4,FALSE))</f>
        <v/>
      </c>
      <c r="C455" s="7" t="n"/>
      <c r="D455" s="7" t="n"/>
      <c r="E455" s="7" t="n"/>
      <c r="F455" s="7" t="n"/>
      <c r="G455" s="7" t="n"/>
      <c r="H455" s="7">
        <f>IF($A455="","",IF(AND($E455="Pass",$F455="Pass",$G455="Pass"),"PROMOTE","NOT YET"))</f>
        <v/>
      </c>
      <c r="I455" s="7" t="n"/>
      <c r="J455" s="27">
        <f>IF(OR($A455="",$C455=""),"",IF(IFERROR(VLOOKUP($A455,Ledger!$A:$E,5,FALSE),0)&gt;=VLOOKUP($C455,RoleTitles!$A:$B,2,FALSE),"YES","NO"))</f>
        <v/>
      </c>
      <c r="K455" s="27">
        <f>IF($A455="","",IF(AND($H455="PROMOTE",$J455="YES"),"YES — PROMOTE","NO"))</f>
        <v/>
      </c>
    </row>
    <row r="456">
      <c r="A456" s="7" t="n"/>
      <c r="B456" s="7">
        <f>IF($A456="","",VLOOKUP($A456,CoachRoster!$A:$E,4,FALSE))</f>
        <v/>
      </c>
      <c r="C456" s="7" t="n"/>
      <c r="D456" s="7" t="n"/>
      <c r="E456" s="7" t="n"/>
      <c r="F456" s="7" t="n"/>
      <c r="G456" s="7" t="n"/>
      <c r="H456" s="7">
        <f>IF($A456="","",IF(AND($E456="Pass",$F456="Pass",$G456="Pass"),"PROMOTE","NOT YET"))</f>
        <v/>
      </c>
      <c r="I456" s="7" t="n"/>
      <c r="J456" s="27">
        <f>IF(OR($A456="",$C456=""),"",IF(IFERROR(VLOOKUP($A456,Ledger!$A:$E,5,FALSE),0)&gt;=VLOOKUP($C456,RoleTitles!$A:$B,2,FALSE),"YES","NO"))</f>
        <v/>
      </c>
      <c r="K456" s="27">
        <f>IF($A456="","",IF(AND($H456="PROMOTE",$J456="YES"),"YES — PROMOTE","NO"))</f>
        <v/>
      </c>
    </row>
    <row r="457">
      <c r="A457" s="7" t="n"/>
      <c r="B457" s="7">
        <f>IF($A457="","",VLOOKUP($A457,CoachRoster!$A:$E,4,FALSE))</f>
        <v/>
      </c>
      <c r="C457" s="7" t="n"/>
      <c r="D457" s="7" t="n"/>
      <c r="E457" s="7" t="n"/>
      <c r="F457" s="7" t="n"/>
      <c r="G457" s="7" t="n"/>
      <c r="H457" s="7">
        <f>IF($A457="","",IF(AND($E457="Pass",$F457="Pass",$G457="Pass"),"PROMOTE","NOT YET"))</f>
        <v/>
      </c>
      <c r="I457" s="7" t="n"/>
      <c r="J457" s="27">
        <f>IF(OR($A457="",$C457=""),"",IF(IFERROR(VLOOKUP($A457,Ledger!$A:$E,5,FALSE),0)&gt;=VLOOKUP($C457,RoleTitles!$A:$B,2,FALSE),"YES","NO"))</f>
        <v/>
      </c>
      <c r="K457" s="27">
        <f>IF($A457="","",IF(AND($H457="PROMOTE",$J457="YES"),"YES — PROMOTE","NO"))</f>
        <v/>
      </c>
    </row>
    <row r="458">
      <c r="A458" s="7" t="n"/>
      <c r="B458" s="7">
        <f>IF($A458="","",VLOOKUP($A458,CoachRoster!$A:$E,4,FALSE))</f>
        <v/>
      </c>
      <c r="C458" s="7" t="n"/>
      <c r="D458" s="7" t="n"/>
      <c r="E458" s="7" t="n"/>
      <c r="F458" s="7" t="n"/>
      <c r="G458" s="7" t="n"/>
      <c r="H458" s="7">
        <f>IF($A458="","",IF(AND($E458="Pass",$F458="Pass",$G458="Pass"),"PROMOTE","NOT YET"))</f>
        <v/>
      </c>
      <c r="I458" s="7" t="n"/>
      <c r="J458" s="27">
        <f>IF(OR($A458="",$C458=""),"",IF(IFERROR(VLOOKUP($A458,Ledger!$A:$E,5,FALSE),0)&gt;=VLOOKUP($C458,RoleTitles!$A:$B,2,FALSE),"YES","NO"))</f>
        <v/>
      </c>
      <c r="K458" s="27">
        <f>IF($A458="","",IF(AND($H458="PROMOTE",$J458="YES"),"YES — PROMOTE","NO"))</f>
        <v/>
      </c>
    </row>
    <row r="459">
      <c r="A459" s="7" t="n"/>
      <c r="B459" s="7">
        <f>IF($A459="","",VLOOKUP($A459,CoachRoster!$A:$E,4,FALSE))</f>
        <v/>
      </c>
      <c r="C459" s="7" t="n"/>
      <c r="D459" s="7" t="n"/>
      <c r="E459" s="7" t="n"/>
      <c r="F459" s="7" t="n"/>
      <c r="G459" s="7" t="n"/>
      <c r="H459" s="7">
        <f>IF($A459="","",IF(AND($E459="Pass",$F459="Pass",$G459="Pass"),"PROMOTE","NOT YET"))</f>
        <v/>
      </c>
      <c r="I459" s="7" t="n"/>
      <c r="J459" s="27">
        <f>IF(OR($A459="",$C459=""),"",IF(IFERROR(VLOOKUP($A459,Ledger!$A:$E,5,FALSE),0)&gt;=VLOOKUP($C459,RoleTitles!$A:$B,2,FALSE),"YES","NO"))</f>
        <v/>
      </c>
      <c r="K459" s="27">
        <f>IF($A459="","",IF(AND($H459="PROMOTE",$J459="YES"),"YES — PROMOTE","NO"))</f>
        <v/>
      </c>
    </row>
    <row r="460">
      <c r="A460" s="7" t="n"/>
      <c r="B460" s="7">
        <f>IF($A460="","",VLOOKUP($A460,CoachRoster!$A:$E,4,FALSE))</f>
        <v/>
      </c>
      <c r="C460" s="7" t="n"/>
      <c r="D460" s="7" t="n"/>
      <c r="E460" s="7" t="n"/>
      <c r="F460" s="7" t="n"/>
      <c r="G460" s="7" t="n"/>
      <c r="H460" s="7">
        <f>IF($A460="","",IF(AND($E460="Pass",$F460="Pass",$G460="Pass"),"PROMOTE","NOT YET"))</f>
        <v/>
      </c>
      <c r="I460" s="7" t="n"/>
      <c r="J460" s="27">
        <f>IF(OR($A460="",$C460=""),"",IF(IFERROR(VLOOKUP($A460,Ledger!$A:$E,5,FALSE),0)&gt;=VLOOKUP($C460,RoleTitles!$A:$B,2,FALSE),"YES","NO"))</f>
        <v/>
      </c>
      <c r="K460" s="27">
        <f>IF($A460="","",IF(AND($H460="PROMOTE",$J460="YES"),"YES — PROMOTE","NO"))</f>
        <v/>
      </c>
    </row>
    <row r="461">
      <c r="A461" s="7" t="n"/>
      <c r="B461" s="7">
        <f>IF($A461="","",VLOOKUP($A461,CoachRoster!$A:$E,4,FALSE))</f>
        <v/>
      </c>
      <c r="C461" s="7" t="n"/>
      <c r="D461" s="7" t="n"/>
      <c r="E461" s="7" t="n"/>
      <c r="F461" s="7" t="n"/>
      <c r="G461" s="7" t="n"/>
      <c r="H461" s="7">
        <f>IF($A461="","",IF(AND($E461="Pass",$F461="Pass",$G461="Pass"),"PROMOTE","NOT YET"))</f>
        <v/>
      </c>
      <c r="I461" s="7" t="n"/>
      <c r="J461" s="27">
        <f>IF(OR($A461="",$C461=""),"",IF(IFERROR(VLOOKUP($A461,Ledger!$A:$E,5,FALSE),0)&gt;=VLOOKUP($C461,RoleTitles!$A:$B,2,FALSE),"YES","NO"))</f>
        <v/>
      </c>
      <c r="K461" s="27">
        <f>IF($A461="","",IF(AND($H461="PROMOTE",$J461="YES"),"YES — PROMOTE","NO"))</f>
        <v/>
      </c>
    </row>
    <row r="462">
      <c r="A462" s="7" t="n"/>
      <c r="B462" s="7">
        <f>IF($A462="","",VLOOKUP($A462,CoachRoster!$A:$E,4,FALSE))</f>
        <v/>
      </c>
      <c r="C462" s="7" t="n"/>
      <c r="D462" s="7" t="n"/>
      <c r="E462" s="7" t="n"/>
      <c r="F462" s="7" t="n"/>
      <c r="G462" s="7" t="n"/>
      <c r="H462" s="7">
        <f>IF($A462="","",IF(AND($E462="Pass",$F462="Pass",$G462="Pass"),"PROMOTE","NOT YET"))</f>
        <v/>
      </c>
      <c r="I462" s="7" t="n"/>
      <c r="J462" s="27">
        <f>IF(OR($A462="",$C462=""),"",IF(IFERROR(VLOOKUP($A462,Ledger!$A:$E,5,FALSE),0)&gt;=VLOOKUP($C462,RoleTitles!$A:$B,2,FALSE),"YES","NO"))</f>
        <v/>
      </c>
      <c r="K462" s="27">
        <f>IF($A462="","",IF(AND($H462="PROMOTE",$J462="YES"),"YES — PROMOTE","NO"))</f>
        <v/>
      </c>
    </row>
    <row r="463">
      <c r="A463" s="7" t="n"/>
      <c r="B463" s="7">
        <f>IF($A463="","",VLOOKUP($A463,CoachRoster!$A:$E,4,FALSE))</f>
        <v/>
      </c>
      <c r="C463" s="7" t="n"/>
      <c r="D463" s="7" t="n"/>
      <c r="E463" s="7" t="n"/>
      <c r="F463" s="7" t="n"/>
      <c r="G463" s="7" t="n"/>
      <c r="H463" s="7">
        <f>IF($A463="","",IF(AND($E463="Pass",$F463="Pass",$G463="Pass"),"PROMOTE","NOT YET"))</f>
        <v/>
      </c>
      <c r="I463" s="7" t="n"/>
      <c r="J463" s="27">
        <f>IF(OR($A463="",$C463=""),"",IF(IFERROR(VLOOKUP($A463,Ledger!$A:$E,5,FALSE),0)&gt;=VLOOKUP($C463,RoleTitles!$A:$B,2,FALSE),"YES","NO"))</f>
        <v/>
      </c>
      <c r="K463" s="27">
        <f>IF($A463="","",IF(AND($H463="PROMOTE",$J463="YES"),"YES — PROMOTE","NO"))</f>
        <v/>
      </c>
    </row>
    <row r="464">
      <c r="A464" s="7" t="n"/>
      <c r="B464" s="7">
        <f>IF($A464="","",VLOOKUP($A464,CoachRoster!$A:$E,4,FALSE))</f>
        <v/>
      </c>
      <c r="C464" s="7" t="n"/>
      <c r="D464" s="7" t="n"/>
      <c r="E464" s="7" t="n"/>
      <c r="F464" s="7" t="n"/>
      <c r="G464" s="7" t="n"/>
      <c r="H464" s="7">
        <f>IF($A464="","",IF(AND($E464="Pass",$F464="Pass",$G464="Pass"),"PROMOTE","NOT YET"))</f>
        <v/>
      </c>
      <c r="I464" s="7" t="n"/>
      <c r="J464" s="27">
        <f>IF(OR($A464="",$C464=""),"",IF(IFERROR(VLOOKUP($A464,Ledger!$A:$E,5,FALSE),0)&gt;=VLOOKUP($C464,RoleTitles!$A:$B,2,FALSE),"YES","NO"))</f>
        <v/>
      </c>
      <c r="K464" s="27">
        <f>IF($A464="","",IF(AND($H464="PROMOTE",$J464="YES"),"YES — PROMOTE","NO"))</f>
        <v/>
      </c>
    </row>
    <row r="465">
      <c r="A465" s="7" t="n"/>
      <c r="B465" s="7">
        <f>IF($A465="","",VLOOKUP($A465,CoachRoster!$A:$E,4,FALSE))</f>
        <v/>
      </c>
      <c r="C465" s="7" t="n"/>
      <c r="D465" s="7" t="n"/>
      <c r="E465" s="7" t="n"/>
      <c r="F465" s="7" t="n"/>
      <c r="G465" s="7" t="n"/>
      <c r="H465" s="7">
        <f>IF($A465="","",IF(AND($E465="Pass",$F465="Pass",$G465="Pass"),"PROMOTE","NOT YET"))</f>
        <v/>
      </c>
      <c r="I465" s="7" t="n"/>
      <c r="J465" s="27">
        <f>IF(OR($A465="",$C465=""),"",IF(IFERROR(VLOOKUP($A465,Ledger!$A:$E,5,FALSE),0)&gt;=VLOOKUP($C465,RoleTitles!$A:$B,2,FALSE),"YES","NO"))</f>
        <v/>
      </c>
      <c r="K465" s="27">
        <f>IF($A465="","",IF(AND($H465="PROMOTE",$J465="YES"),"YES — PROMOTE","NO"))</f>
        <v/>
      </c>
    </row>
    <row r="466">
      <c r="A466" s="7" t="n"/>
      <c r="B466" s="7">
        <f>IF($A466="","",VLOOKUP($A466,CoachRoster!$A:$E,4,FALSE))</f>
        <v/>
      </c>
      <c r="C466" s="7" t="n"/>
      <c r="D466" s="7" t="n"/>
      <c r="E466" s="7" t="n"/>
      <c r="F466" s="7" t="n"/>
      <c r="G466" s="7" t="n"/>
      <c r="H466" s="7">
        <f>IF($A466="","",IF(AND($E466="Pass",$F466="Pass",$G466="Pass"),"PROMOTE","NOT YET"))</f>
        <v/>
      </c>
      <c r="I466" s="7" t="n"/>
      <c r="J466" s="27">
        <f>IF(OR($A466="",$C466=""),"",IF(IFERROR(VLOOKUP($A466,Ledger!$A:$E,5,FALSE),0)&gt;=VLOOKUP($C466,RoleTitles!$A:$B,2,FALSE),"YES","NO"))</f>
        <v/>
      </c>
      <c r="K466" s="27">
        <f>IF($A466="","",IF(AND($H466="PROMOTE",$J466="YES"),"YES — PROMOTE","NO"))</f>
        <v/>
      </c>
    </row>
    <row r="467">
      <c r="A467" s="7" t="n"/>
      <c r="B467" s="7">
        <f>IF($A467="","",VLOOKUP($A467,CoachRoster!$A:$E,4,FALSE))</f>
        <v/>
      </c>
      <c r="C467" s="7" t="n"/>
      <c r="D467" s="7" t="n"/>
      <c r="E467" s="7" t="n"/>
      <c r="F467" s="7" t="n"/>
      <c r="G467" s="7" t="n"/>
      <c r="H467" s="7">
        <f>IF($A467="","",IF(AND($E467="Pass",$F467="Pass",$G467="Pass"),"PROMOTE","NOT YET"))</f>
        <v/>
      </c>
      <c r="I467" s="7" t="n"/>
      <c r="J467" s="27">
        <f>IF(OR($A467="",$C467=""),"",IF(IFERROR(VLOOKUP($A467,Ledger!$A:$E,5,FALSE),0)&gt;=VLOOKUP($C467,RoleTitles!$A:$B,2,FALSE),"YES","NO"))</f>
        <v/>
      </c>
      <c r="K467" s="27">
        <f>IF($A467="","",IF(AND($H467="PROMOTE",$J467="YES"),"YES — PROMOTE","NO"))</f>
        <v/>
      </c>
    </row>
    <row r="468">
      <c r="A468" s="7" t="n"/>
      <c r="B468" s="7">
        <f>IF($A468="","",VLOOKUP($A468,CoachRoster!$A:$E,4,FALSE))</f>
        <v/>
      </c>
      <c r="C468" s="7" t="n"/>
      <c r="D468" s="7" t="n"/>
      <c r="E468" s="7" t="n"/>
      <c r="F468" s="7" t="n"/>
      <c r="G468" s="7" t="n"/>
      <c r="H468" s="7">
        <f>IF($A468="","",IF(AND($E468="Pass",$F468="Pass",$G468="Pass"),"PROMOTE","NOT YET"))</f>
        <v/>
      </c>
      <c r="I468" s="7" t="n"/>
      <c r="J468" s="27">
        <f>IF(OR($A468="",$C468=""),"",IF(IFERROR(VLOOKUP($A468,Ledger!$A:$E,5,FALSE),0)&gt;=VLOOKUP($C468,RoleTitles!$A:$B,2,FALSE),"YES","NO"))</f>
        <v/>
      </c>
      <c r="K468" s="27">
        <f>IF($A468="","",IF(AND($H468="PROMOTE",$J468="YES"),"YES — PROMOTE","NO"))</f>
        <v/>
      </c>
    </row>
    <row r="469">
      <c r="A469" s="7" t="n"/>
      <c r="B469" s="7">
        <f>IF($A469="","",VLOOKUP($A469,CoachRoster!$A:$E,4,FALSE))</f>
        <v/>
      </c>
      <c r="C469" s="7" t="n"/>
      <c r="D469" s="7" t="n"/>
      <c r="E469" s="7" t="n"/>
      <c r="F469" s="7" t="n"/>
      <c r="G469" s="7" t="n"/>
      <c r="H469" s="7">
        <f>IF($A469="","",IF(AND($E469="Pass",$F469="Pass",$G469="Pass"),"PROMOTE","NOT YET"))</f>
        <v/>
      </c>
      <c r="I469" s="7" t="n"/>
      <c r="J469" s="27">
        <f>IF(OR($A469="",$C469=""),"",IF(IFERROR(VLOOKUP($A469,Ledger!$A:$E,5,FALSE),0)&gt;=VLOOKUP($C469,RoleTitles!$A:$B,2,FALSE),"YES","NO"))</f>
        <v/>
      </c>
      <c r="K469" s="27">
        <f>IF($A469="","",IF(AND($H469="PROMOTE",$J469="YES"),"YES — PROMOTE","NO"))</f>
        <v/>
      </c>
    </row>
    <row r="470">
      <c r="A470" s="7" t="n"/>
      <c r="B470" s="7">
        <f>IF($A470="","",VLOOKUP($A470,CoachRoster!$A:$E,4,FALSE))</f>
        <v/>
      </c>
      <c r="C470" s="7" t="n"/>
      <c r="D470" s="7" t="n"/>
      <c r="E470" s="7" t="n"/>
      <c r="F470" s="7" t="n"/>
      <c r="G470" s="7" t="n"/>
      <c r="H470" s="7">
        <f>IF($A470="","",IF(AND($E470="Pass",$F470="Pass",$G470="Pass"),"PROMOTE","NOT YET"))</f>
        <v/>
      </c>
      <c r="I470" s="7" t="n"/>
      <c r="J470" s="27">
        <f>IF(OR($A470="",$C470=""),"",IF(IFERROR(VLOOKUP($A470,Ledger!$A:$E,5,FALSE),0)&gt;=VLOOKUP($C470,RoleTitles!$A:$B,2,FALSE),"YES","NO"))</f>
        <v/>
      </c>
      <c r="K470" s="27">
        <f>IF($A470="","",IF(AND($H470="PROMOTE",$J470="YES"),"YES — PROMOTE","NO"))</f>
        <v/>
      </c>
    </row>
    <row r="471">
      <c r="A471" s="7" t="n"/>
      <c r="B471" s="7">
        <f>IF($A471="","",VLOOKUP($A471,CoachRoster!$A:$E,4,FALSE))</f>
        <v/>
      </c>
      <c r="C471" s="7" t="n"/>
      <c r="D471" s="7" t="n"/>
      <c r="E471" s="7" t="n"/>
      <c r="F471" s="7" t="n"/>
      <c r="G471" s="7" t="n"/>
      <c r="H471" s="7">
        <f>IF($A471="","",IF(AND($E471="Pass",$F471="Pass",$G471="Pass"),"PROMOTE","NOT YET"))</f>
        <v/>
      </c>
      <c r="I471" s="7" t="n"/>
      <c r="J471" s="27">
        <f>IF(OR($A471="",$C471=""),"",IF(IFERROR(VLOOKUP($A471,Ledger!$A:$E,5,FALSE),0)&gt;=VLOOKUP($C471,RoleTitles!$A:$B,2,FALSE),"YES","NO"))</f>
        <v/>
      </c>
      <c r="K471" s="27">
        <f>IF($A471="","",IF(AND($H471="PROMOTE",$J471="YES"),"YES — PROMOTE","NO"))</f>
        <v/>
      </c>
    </row>
    <row r="472">
      <c r="A472" s="7" t="n"/>
      <c r="B472" s="7">
        <f>IF($A472="","",VLOOKUP($A472,CoachRoster!$A:$E,4,FALSE))</f>
        <v/>
      </c>
      <c r="C472" s="7" t="n"/>
      <c r="D472" s="7" t="n"/>
      <c r="E472" s="7" t="n"/>
      <c r="F472" s="7" t="n"/>
      <c r="G472" s="7" t="n"/>
      <c r="H472" s="7">
        <f>IF($A472="","",IF(AND($E472="Pass",$F472="Pass",$G472="Pass"),"PROMOTE","NOT YET"))</f>
        <v/>
      </c>
      <c r="I472" s="7" t="n"/>
      <c r="J472" s="27">
        <f>IF(OR($A472="",$C472=""),"",IF(IFERROR(VLOOKUP($A472,Ledger!$A:$E,5,FALSE),0)&gt;=VLOOKUP($C472,RoleTitles!$A:$B,2,FALSE),"YES","NO"))</f>
        <v/>
      </c>
      <c r="K472" s="27">
        <f>IF($A472="","",IF(AND($H472="PROMOTE",$J472="YES"),"YES — PROMOTE","NO"))</f>
        <v/>
      </c>
    </row>
    <row r="473">
      <c r="A473" s="7" t="n"/>
      <c r="B473" s="7">
        <f>IF($A473="","",VLOOKUP($A473,CoachRoster!$A:$E,4,FALSE))</f>
        <v/>
      </c>
      <c r="C473" s="7" t="n"/>
      <c r="D473" s="7" t="n"/>
      <c r="E473" s="7" t="n"/>
      <c r="F473" s="7" t="n"/>
      <c r="G473" s="7" t="n"/>
      <c r="H473" s="7">
        <f>IF($A473="","",IF(AND($E473="Pass",$F473="Pass",$G473="Pass"),"PROMOTE","NOT YET"))</f>
        <v/>
      </c>
      <c r="I473" s="7" t="n"/>
      <c r="J473" s="27">
        <f>IF(OR($A473="",$C473=""),"",IF(IFERROR(VLOOKUP($A473,Ledger!$A:$E,5,FALSE),0)&gt;=VLOOKUP($C473,RoleTitles!$A:$B,2,FALSE),"YES","NO"))</f>
        <v/>
      </c>
      <c r="K473" s="27">
        <f>IF($A473="","",IF(AND($H473="PROMOTE",$J473="YES"),"YES — PROMOTE","NO"))</f>
        <v/>
      </c>
    </row>
    <row r="474">
      <c r="A474" s="7" t="n"/>
      <c r="B474" s="7">
        <f>IF($A474="","",VLOOKUP($A474,CoachRoster!$A:$E,4,FALSE))</f>
        <v/>
      </c>
      <c r="C474" s="7" t="n"/>
      <c r="D474" s="7" t="n"/>
      <c r="E474" s="7" t="n"/>
      <c r="F474" s="7" t="n"/>
      <c r="G474" s="7" t="n"/>
      <c r="H474" s="7">
        <f>IF($A474="","",IF(AND($E474="Pass",$F474="Pass",$G474="Pass"),"PROMOTE","NOT YET"))</f>
        <v/>
      </c>
      <c r="I474" s="7" t="n"/>
      <c r="J474" s="27">
        <f>IF(OR($A474="",$C474=""),"",IF(IFERROR(VLOOKUP($A474,Ledger!$A:$E,5,FALSE),0)&gt;=VLOOKUP($C474,RoleTitles!$A:$B,2,FALSE),"YES","NO"))</f>
        <v/>
      </c>
      <c r="K474" s="27">
        <f>IF($A474="","",IF(AND($H474="PROMOTE",$J474="YES"),"YES — PROMOTE","NO"))</f>
        <v/>
      </c>
    </row>
    <row r="475">
      <c r="A475" s="7" t="n"/>
      <c r="B475" s="7">
        <f>IF($A475="","",VLOOKUP($A475,CoachRoster!$A:$E,4,FALSE))</f>
        <v/>
      </c>
      <c r="C475" s="7" t="n"/>
      <c r="D475" s="7" t="n"/>
      <c r="E475" s="7" t="n"/>
      <c r="F475" s="7" t="n"/>
      <c r="G475" s="7" t="n"/>
      <c r="H475" s="7">
        <f>IF($A475="","",IF(AND($E475="Pass",$F475="Pass",$G475="Pass"),"PROMOTE","NOT YET"))</f>
        <v/>
      </c>
      <c r="I475" s="7" t="n"/>
      <c r="J475" s="27">
        <f>IF(OR($A475="",$C475=""),"",IF(IFERROR(VLOOKUP($A475,Ledger!$A:$E,5,FALSE),0)&gt;=VLOOKUP($C475,RoleTitles!$A:$B,2,FALSE),"YES","NO"))</f>
        <v/>
      </c>
      <c r="K475" s="27">
        <f>IF($A475="","",IF(AND($H475="PROMOTE",$J475="YES"),"YES — PROMOTE","NO"))</f>
        <v/>
      </c>
    </row>
    <row r="476">
      <c r="A476" s="7" t="n"/>
      <c r="B476" s="7">
        <f>IF($A476="","",VLOOKUP($A476,CoachRoster!$A:$E,4,FALSE))</f>
        <v/>
      </c>
      <c r="C476" s="7" t="n"/>
      <c r="D476" s="7" t="n"/>
      <c r="E476" s="7" t="n"/>
      <c r="F476" s="7" t="n"/>
      <c r="G476" s="7" t="n"/>
      <c r="H476" s="7">
        <f>IF($A476="","",IF(AND($E476="Pass",$F476="Pass",$G476="Pass"),"PROMOTE","NOT YET"))</f>
        <v/>
      </c>
      <c r="I476" s="7" t="n"/>
      <c r="J476" s="27">
        <f>IF(OR($A476="",$C476=""),"",IF(IFERROR(VLOOKUP($A476,Ledger!$A:$E,5,FALSE),0)&gt;=VLOOKUP($C476,RoleTitles!$A:$B,2,FALSE),"YES","NO"))</f>
        <v/>
      </c>
      <c r="K476" s="27">
        <f>IF($A476="","",IF(AND($H476="PROMOTE",$J476="YES"),"YES — PROMOTE","NO"))</f>
        <v/>
      </c>
    </row>
    <row r="477">
      <c r="A477" s="7" t="n"/>
      <c r="B477" s="7">
        <f>IF($A477="","",VLOOKUP($A477,CoachRoster!$A:$E,4,FALSE))</f>
        <v/>
      </c>
      <c r="C477" s="7" t="n"/>
      <c r="D477" s="7" t="n"/>
      <c r="E477" s="7" t="n"/>
      <c r="F477" s="7" t="n"/>
      <c r="G477" s="7" t="n"/>
      <c r="H477" s="7">
        <f>IF($A477="","",IF(AND($E477="Pass",$F477="Pass",$G477="Pass"),"PROMOTE","NOT YET"))</f>
        <v/>
      </c>
      <c r="I477" s="7" t="n"/>
      <c r="J477" s="27">
        <f>IF(OR($A477="",$C477=""),"",IF(IFERROR(VLOOKUP($A477,Ledger!$A:$E,5,FALSE),0)&gt;=VLOOKUP($C477,RoleTitles!$A:$B,2,FALSE),"YES","NO"))</f>
        <v/>
      </c>
      <c r="K477" s="27">
        <f>IF($A477="","",IF(AND($H477="PROMOTE",$J477="YES"),"YES — PROMOTE","NO"))</f>
        <v/>
      </c>
    </row>
    <row r="478">
      <c r="A478" s="7" t="n"/>
      <c r="B478" s="7">
        <f>IF($A478="","",VLOOKUP($A478,CoachRoster!$A:$E,4,FALSE))</f>
        <v/>
      </c>
      <c r="C478" s="7" t="n"/>
      <c r="D478" s="7" t="n"/>
      <c r="E478" s="7" t="n"/>
      <c r="F478" s="7" t="n"/>
      <c r="G478" s="7" t="n"/>
      <c r="H478" s="7">
        <f>IF($A478="","",IF(AND($E478="Pass",$F478="Pass",$G478="Pass"),"PROMOTE","NOT YET"))</f>
        <v/>
      </c>
      <c r="I478" s="7" t="n"/>
      <c r="J478" s="27">
        <f>IF(OR($A478="",$C478=""),"",IF(IFERROR(VLOOKUP($A478,Ledger!$A:$E,5,FALSE),0)&gt;=VLOOKUP($C478,RoleTitles!$A:$B,2,FALSE),"YES","NO"))</f>
        <v/>
      </c>
      <c r="K478" s="27">
        <f>IF($A478="","",IF(AND($H478="PROMOTE",$J478="YES"),"YES — PROMOTE","NO"))</f>
        <v/>
      </c>
    </row>
    <row r="479">
      <c r="A479" s="7" t="n"/>
      <c r="B479" s="7">
        <f>IF($A479="","",VLOOKUP($A479,CoachRoster!$A:$E,4,FALSE))</f>
        <v/>
      </c>
      <c r="C479" s="7" t="n"/>
      <c r="D479" s="7" t="n"/>
      <c r="E479" s="7" t="n"/>
      <c r="F479" s="7" t="n"/>
      <c r="G479" s="7" t="n"/>
      <c r="H479" s="7">
        <f>IF($A479="","",IF(AND($E479="Pass",$F479="Pass",$G479="Pass"),"PROMOTE","NOT YET"))</f>
        <v/>
      </c>
      <c r="I479" s="7" t="n"/>
      <c r="J479" s="27">
        <f>IF(OR($A479="",$C479=""),"",IF(IFERROR(VLOOKUP($A479,Ledger!$A:$E,5,FALSE),0)&gt;=VLOOKUP($C479,RoleTitles!$A:$B,2,FALSE),"YES","NO"))</f>
        <v/>
      </c>
      <c r="K479" s="27">
        <f>IF($A479="","",IF(AND($H479="PROMOTE",$J479="YES"),"YES — PROMOTE","NO"))</f>
        <v/>
      </c>
    </row>
    <row r="480">
      <c r="A480" s="7" t="n"/>
      <c r="B480" s="7">
        <f>IF($A480="","",VLOOKUP($A480,CoachRoster!$A:$E,4,FALSE))</f>
        <v/>
      </c>
      <c r="C480" s="7" t="n"/>
      <c r="D480" s="7" t="n"/>
      <c r="E480" s="7" t="n"/>
      <c r="F480" s="7" t="n"/>
      <c r="G480" s="7" t="n"/>
      <c r="H480" s="7">
        <f>IF($A480="","",IF(AND($E480="Pass",$F480="Pass",$G480="Pass"),"PROMOTE","NOT YET"))</f>
        <v/>
      </c>
      <c r="I480" s="7" t="n"/>
      <c r="J480" s="27">
        <f>IF(OR($A480="",$C480=""),"",IF(IFERROR(VLOOKUP($A480,Ledger!$A:$E,5,FALSE),0)&gt;=VLOOKUP($C480,RoleTitles!$A:$B,2,FALSE),"YES","NO"))</f>
        <v/>
      </c>
      <c r="K480" s="27">
        <f>IF($A480="","",IF(AND($H480="PROMOTE",$J480="YES"),"YES — PROMOTE","NO"))</f>
        <v/>
      </c>
    </row>
    <row r="481">
      <c r="A481" s="7" t="n"/>
      <c r="B481" s="7">
        <f>IF($A481="","",VLOOKUP($A481,CoachRoster!$A:$E,4,FALSE))</f>
        <v/>
      </c>
      <c r="C481" s="7" t="n"/>
      <c r="D481" s="7" t="n"/>
      <c r="E481" s="7" t="n"/>
      <c r="F481" s="7" t="n"/>
      <c r="G481" s="7" t="n"/>
      <c r="H481" s="7">
        <f>IF($A481="","",IF(AND($E481="Pass",$F481="Pass",$G481="Pass"),"PROMOTE","NOT YET"))</f>
        <v/>
      </c>
      <c r="I481" s="7" t="n"/>
      <c r="J481" s="27">
        <f>IF(OR($A481="",$C481=""),"",IF(IFERROR(VLOOKUP($A481,Ledger!$A:$E,5,FALSE),0)&gt;=VLOOKUP($C481,RoleTitles!$A:$B,2,FALSE),"YES","NO"))</f>
        <v/>
      </c>
      <c r="K481" s="27">
        <f>IF($A481="","",IF(AND($H481="PROMOTE",$J481="YES"),"YES — PROMOTE","NO"))</f>
        <v/>
      </c>
    </row>
    <row r="482">
      <c r="A482" s="7" t="n"/>
      <c r="B482" s="7">
        <f>IF($A482="","",VLOOKUP($A482,CoachRoster!$A:$E,4,FALSE))</f>
        <v/>
      </c>
      <c r="C482" s="7" t="n"/>
      <c r="D482" s="7" t="n"/>
      <c r="E482" s="7" t="n"/>
      <c r="F482" s="7" t="n"/>
      <c r="G482" s="7" t="n"/>
      <c r="H482" s="7">
        <f>IF($A482="","",IF(AND($E482="Pass",$F482="Pass",$G482="Pass"),"PROMOTE","NOT YET"))</f>
        <v/>
      </c>
      <c r="I482" s="7" t="n"/>
      <c r="J482" s="27">
        <f>IF(OR($A482="",$C482=""),"",IF(IFERROR(VLOOKUP($A482,Ledger!$A:$E,5,FALSE),0)&gt;=VLOOKUP($C482,RoleTitles!$A:$B,2,FALSE),"YES","NO"))</f>
        <v/>
      </c>
      <c r="K482" s="27">
        <f>IF($A482="","",IF(AND($H482="PROMOTE",$J482="YES"),"YES — PROMOTE","NO"))</f>
        <v/>
      </c>
    </row>
    <row r="483">
      <c r="A483" s="7" t="n"/>
      <c r="B483" s="7">
        <f>IF($A483="","",VLOOKUP($A483,CoachRoster!$A:$E,4,FALSE))</f>
        <v/>
      </c>
      <c r="C483" s="7" t="n"/>
      <c r="D483" s="7" t="n"/>
      <c r="E483" s="7" t="n"/>
      <c r="F483" s="7" t="n"/>
      <c r="G483" s="7" t="n"/>
      <c r="H483" s="7">
        <f>IF($A483="","",IF(AND($E483="Pass",$F483="Pass",$G483="Pass"),"PROMOTE","NOT YET"))</f>
        <v/>
      </c>
      <c r="I483" s="7" t="n"/>
      <c r="J483" s="27">
        <f>IF(OR($A483="",$C483=""),"",IF(IFERROR(VLOOKUP($A483,Ledger!$A:$E,5,FALSE),0)&gt;=VLOOKUP($C483,RoleTitles!$A:$B,2,FALSE),"YES","NO"))</f>
        <v/>
      </c>
      <c r="K483" s="27">
        <f>IF($A483="","",IF(AND($H483="PROMOTE",$J483="YES"),"YES — PROMOTE","NO"))</f>
        <v/>
      </c>
    </row>
    <row r="484">
      <c r="A484" s="7" t="n"/>
      <c r="B484" s="7">
        <f>IF($A484="","",VLOOKUP($A484,CoachRoster!$A:$E,4,FALSE))</f>
        <v/>
      </c>
      <c r="C484" s="7" t="n"/>
      <c r="D484" s="7" t="n"/>
      <c r="E484" s="7" t="n"/>
      <c r="F484" s="7" t="n"/>
      <c r="G484" s="7" t="n"/>
      <c r="H484" s="7">
        <f>IF($A484="","",IF(AND($E484="Pass",$F484="Pass",$G484="Pass"),"PROMOTE","NOT YET"))</f>
        <v/>
      </c>
      <c r="I484" s="7" t="n"/>
      <c r="J484" s="27">
        <f>IF(OR($A484="",$C484=""),"",IF(IFERROR(VLOOKUP($A484,Ledger!$A:$E,5,FALSE),0)&gt;=VLOOKUP($C484,RoleTitles!$A:$B,2,FALSE),"YES","NO"))</f>
        <v/>
      </c>
      <c r="K484" s="27">
        <f>IF($A484="","",IF(AND($H484="PROMOTE",$J484="YES"),"YES — PROMOTE","NO"))</f>
        <v/>
      </c>
    </row>
    <row r="485">
      <c r="A485" s="7" t="n"/>
      <c r="B485" s="7">
        <f>IF($A485="","",VLOOKUP($A485,CoachRoster!$A:$E,4,FALSE))</f>
        <v/>
      </c>
      <c r="C485" s="7" t="n"/>
      <c r="D485" s="7" t="n"/>
      <c r="E485" s="7" t="n"/>
      <c r="F485" s="7" t="n"/>
      <c r="G485" s="7" t="n"/>
      <c r="H485" s="7">
        <f>IF($A485="","",IF(AND($E485="Pass",$F485="Pass",$G485="Pass"),"PROMOTE","NOT YET"))</f>
        <v/>
      </c>
      <c r="I485" s="7" t="n"/>
      <c r="J485" s="27">
        <f>IF(OR($A485="",$C485=""),"",IF(IFERROR(VLOOKUP($A485,Ledger!$A:$E,5,FALSE),0)&gt;=VLOOKUP($C485,RoleTitles!$A:$B,2,FALSE),"YES","NO"))</f>
        <v/>
      </c>
      <c r="K485" s="27">
        <f>IF($A485="","",IF(AND($H485="PROMOTE",$J485="YES"),"YES — PROMOTE","NO"))</f>
        <v/>
      </c>
    </row>
    <row r="486">
      <c r="A486" s="7" t="n"/>
      <c r="B486" s="7">
        <f>IF($A486="","",VLOOKUP($A486,CoachRoster!$A:$E,4,FALSE))</f>
        <v/>
      </c>
      <c r="C486" s="7" t="n"/>
      <c r="D486" s="7" t="n"/>
      <c r="E486" s="7" t="n"/>
      <c r="F486" s="7" t="n"/>
      <c r="G486" s="7" t="n"/>
      <c r="H486" s="7">
        <f>IF($A486="","",IF(AND($E486="Pass",$F486="Pass",$G486="Pass"),"PROMOTE","NOT YET"))</f>
        <v/>
      </c>
      <c r="I486" s="7" t="n"/>
      <c r="J486" s="27">
        <f>IF(OR($A486="",$C486=""),"",IF(IFERROR(VLOOKUP($A486,Ledger!$A:$E,5,FALSE),0)&gt;=VLOOKUP($C486,RoleTitles!$A:$B,2,FALSE),"YES","NO"))</f>
        <v/>
      </c>
      <c r="K486" s="27">
        <f>IF($A486="","",IF(AND($H486="PROMOTE",$J486="YES"),"YES — PROMOTE","NO"))</f>
        <v/>
      </c>
    </row>
    <row r="487">
      <c r="A487" s="7" t="n"/>
      <c r="B487" s="7">
        <f>IF($A487="","",VLOOKUP($A487,CoachRoster!$A:$E,4,FALSE))</f>
        <v/>
      </c>
      <c r="C487" s="7" t="n"/>
      <c r="D487" s="7" t="n"/>
      <c r="E487" s="7" t="n"/>
      <c r="F487" s="7" t="n"/>
      <c r="G487" s="7" t="n"/>
      <c r="H487" s="7">
        <f>IF($A487="","",IF(AND($E487="Pass",$F487="Pass",$G487="Pass"),"PROMOTE","NOT YET"))</f>
        <v/>
      </c>
      <c r="I487" s="7" t="n"/>
      <c r="J487" s="27">
        <f>IF(OR($A487="",$C487=""),"",IF(IFERROR(VLOOKUP($A487,Ledger!$A:$E,5,FALSE),0)&gt;=VLOOKUP($C487,RoleTitles!$A:$B,2,FALSE),"YES","NO"))</f>
        <v/>
      </c>
      <c r="K487" s="27">
        <f>IF($A487="","",IF(AND($H487="PROMOTE",$J487="YES"),"YES — PROMOTE","NO"))</f>
        <v/>
      </c>
    </row>
    <row r="488">
      <c r="A488" s="7" t="n"/>
      <c r="B488" s="7">
        <f>IF($A488="","",VLOOKUP($A488,CoachRoster!$A:$E,4,FALSE))</f>
        <v/>
      </c>
      <c r="C488" s="7" t="n"/>
      <c r="D488" s="7" t="n"/>
      <c r="E488" s="7" t="n"/>
      <c r="F488" s="7" t="n"/>
      <c r="G488" s="7" t="n"/>
      <c r="H488" s="7">
        <f>IF($A488="","",IF(AND($E488="Pass",$F488="Pass",$G488="Pass"),"PROMOTE","NOT YET"))</f>
        <v/>
      </c>
      <c r="I488" s="7" t="n"/>
      <c r="J488" s="27">
        <f>IF(OR($A488="",$C488=""),"",IF(IFERROR(VLOOKUP($A488,Ledger!$A:$E,5,FALSE),0)&gt;=VLOOKUP($C488,RoleTitles!$A:$B,2,FALSE),"YES","NO"))</f>
        <v/>
      </c>
      <c r="K488" s="27">
        <f>IF($A488="","",IF(AND($H488="PROMOTE",$J488="YES"),"YES — PROMOTE","NO"))</f>
        <v/>
      </c>
    </row>
    <row r="489">
      <c r="A489" s="7" t="n"/>
      <c r="B489" s="7">
        <f>IF($A489="","",VLOOKUP($A489,CoachRoster!$A:$E,4,FALSE))</f>
        <v/>
      </c>
      <c r="C489" s="7" t="n"/>
      <c r="D489" s="7" t="n"/>
      <c r="E489" s="7" t="n"/>
      <c r="F489" s="7" t="n"/>
      <c r="G489" s="7" t="n"/>
      <c r="H489" s="7">
        <f>IF($A489="","",IF(AND($E489="Pass",$F489="Pass",$G489="Pass"),"PROMOTE","NOT YET"))</f>
        <v/>
      </c>
      <c r="I489" s="7" t="n"/>
      <c r="J489" s="27">
        <f>IF(OR($A489="",$C489=""),"",IF(IFERROR(VLOOKUP($A489,Ledger!$A:$E,5,FALSE),0)&gt;=VLOOKUP($C489,RoleTitles!$A:$B,2,FALSE),"YES","NO"))</f>
        <v/>
      </c>
      <c r="K489" s="27">
        <f>IF($A489="","",IF(AND($H489="PROMOTE",$J489="YES"),"YES — PROMOTE","NO"))</f>
        <v/>
      </c>
    </row>
    <row r="490">
      <c r="A490" s="7" t="n"/>
      <c r="B490" s="7">
        <f>IF($A490="","",VLOOKUP($A490,CoachRoster!$A:$E,4,FALSE))</f>
        <v/>
      </c>
      <c r="C490" s="7" t="n"/>
      <c r="D490" s="7" t="n"/>
      <c r="E490" s="7" t="n"/>
      <c r="F490" s="7" t="n"/>
      <c r="G490" s="7" t="n"/>
      <c r="H490" s="7">
        <f>IF($A490="","",IF(AND($E490="Pass",$F490="Pass",$G490="Pass"),"PROMOTE","NOT YET"))</f>
        <v/>
      </c>
      <c r="I490" s="7" t="n"/>
      <c r="J490" s="27">
        <f>IF(OR($A490="",$C490=""),"",IF(IFERROR(VLOOKUP($A490,Ledger!$A:$E,5,FALSE),0)&gt;=VLOOKUP($C490,RoleTitles!$A:$B,2,FALSE),"YES","NO"))</f>
        <v/>
      </c>
      <c r="K490" s="27">
        <f>IF($A490="","",IF(AND($H490="PROMOTE",$J490="YES"),"YES — PROMOTE","NO"))</f>
        <v/>
      </c>
    </row>
    <row r="491">
      <c r="A491" s="7" t="n"/>
      <c r="B491" s="7">
        <f>IF($A491="","",VLOOKUP($A491,CoachRoster!$A:$E,4,FALSE))</f>
        <v/>
      </c>
      <c r="C491" s="7" t="n"/>
      <c r="D491" s="7" t="n"/>
      <c r="E491" s="7" t="n"/>
      <c r="F491" s="7" t="n"/>
      <c r="G491" s="7" t="n"/>
      <c r="H491" s="7">
        <f>IF($A491="","",IF(AND($E491="Pass",$F491="Pass",$G491="Pass"),"PROMOTE","NOT YET"))</f>
        <v/>
      </c>
      <c r="I491" s="7" t="n"/>
      <c r="J491" s="27">
        <f>IF(OR($A491="",$C491=""),"",IF(IFERROR(VLOOKUP($A491,Ledger!$A:$E,5,FALSE),0)&gt;=VLOOKUP($C491,RoleTitles!$A:$B,2,FALSE),"YES","NO"))</f>
        <v/>
      </c>
      <c r="K491" s="27">
        <f>IF($A491="","",IF(AND($H491="PROMOTE",$J491="YES"),"YES — PROMOTE","NO"))</f>
        <v/>
      </c>
    </row>
    <row r="492">
      <c r="A492" s="7" t="n"/>
      <c r="B492" s="7">
        <f>IF($A492="","",VLOOKUP($A492,CoachRoster!$A:$E,4,FALSE))</f>
        <v/>
      </c>
      <c r="C492" s="7" t="n"/>
      <c r="D492" s="7" t="n"/>
      <c r="E492" s="7" t="n"/>
      <c r="F492" s="7" t="n"/>
      <c r="G492" s="7" t="n"/>
      <c r="H492" s="7">
        <f>IF($A492="","",IF(AND($E492="Pass",$F492="Pass",$G492="Pass"),"PROMOTE","NOT YET"))</f>
        <v/>
      </c>
      <c r="I492" s="7" t="n"/>
      <c r="J492" s="27">
        <f>IF(OR($A492="",$C492=""),"",IF(IFERROR(VLOOKUP($A492,Ledger!$A:$E,5,FALSE),0)&gt;=VLOOKUP($C492,RoleTitles!$A:$B,2,FALSE),"YES","NO"))</f>
        <v/>
      </c>
      <c r="K492" s="27">
        <f>IF($A492="","",IF(AND($H492="PROMOTE",$J492="YES"),"YES — PROMOTE","NO"))</f>
        <v/>
      </c>
    </row>
    <row r="493">
      <c r="A493" s="7" t="n"/>
      <c r="B493" s="7">
        <f>IF($A493="","",VLOOKUP($A493,CoachRoster!$A:$E,4,FALSE))</f>
        <v/>
      </c>
      <c r="C493" s="7" t="n"/>
      <c r="D493" s="7" t="n"/>
      <c r="E493" s="7" t="n"/>
      <c r="F493" s="7" t="n"/>
      <c r="G493" s="7" t="n"/>
      <c r="H493" s="7">
        <f>IF($A493="","",IF(AND($E493="Pass",$F493="Pass",$G493="Pass"),"PROMOTE","NOT YET"))</f>
        <v/>
      </c>
      <c r="I493" s="7" t="n"/>
      <c r="J493" s="27">
        <f>IF(OR($A493="",$C493=""),"",IF(IFERROR(VLOOKUP($A493,Ledger!$A:$E,5,FALSE),0)&gt;=VLOOKUP($C493,RoleTitles!$A:$B,2,FALSE),"YES","NO"))</f>
        <v/>
      </c>
      <c r="K493" s="27">
        <f>IF($A493="","",IF(AND($H493="PROMOTE",$J493="YES"),"YES — PROMOTE","NO"))</f>
        <v/>
      </c>
    </row>
    <row r="494">
      <c r="A494" s="7" t="n"/>
      <c r="B494" s="7">
        <f>IF($A494="","",VLOOKUP($A494,CoachRoster!$A:$E,4,FALSE))</f>
        <v/>
      </c>
      <c r="C494" s="7" t="n"/>
      <c r="D494" s="7" t="n"/>
      <c r="E494" s="7" t="n"/>
      <c r="F494" s="7" t="n"/>
      <c r="G494" s="7" t="n"/>
      <c r="H494" s="7">
        <f>IF($A494="","",IF(AND($E494="Pass",$F494="Pass",$G494="Pass"),"PROMOTE","NOT YET"))</f>
        <v/>
      </c>
      <c r="I494" s="7" t="n"/>
      <c r="J494" s="27">
        <f>IF(OR($A494="",$C494=""),"",IF(IFERROR(VLOOKUP($A494,Ledger!$A:$E,5,FALSE),0)&gt;=VLOOKUP($C494,RoleTitles!$A:$B,2,FALSE),"YES","NO"))</f>
        <v/>
      </c>
      <c r="K494" s="27">
        <f>IF($A494="","",IF(AND($H494="PROMOTE",$J494="YES"),"YES — PROMOTE","NO"))</f>
        <v/>
      </c>
    </row>
    <row r="495">
      <c r="A495" s="7" t="n"/>
      <c r="B495" s="7">
        <f>IF($A495="","",VLOOKUP($A495,CoachRoster!$A:$E,4,FALSE))</f>
        <v/>
      </c>
      <c r="C495" s="7" t="n"/>
      <c r="D495" s="7" t="n"/>
      <c r="E495" s="7" t="n"/>
      <c r="F495" s="7" t="n"/>
      <c r="G495" s="7" t="n"/>
      <c r="H495" s="7">
        <f>IF($A495="","",IF(AND($E495="Pass",$F495="Pass",$G495="Pass"),"PROMOTE","NOT YET"))</f>
        <v/>
      </c>
      <c r="I495" s="7" t="n"/>
      <c r="J495" s="27">
        <f>IF(OR($A495="",$C495=""),"",IF(IFERROR(VLOOKUP($A495,Ledger!$A:$E,5,FALSE),0)&gt;=VLOOKUP($C495,RoleTitles!$A:$B,2,FALSE),"YES","NO"))</f>
        <v/>
      </c>
      <c r="K495" s="27">
        <f>IF($A495="","",IF(AND($H495="PROMOTE",$J495="YES"),"YES — PROMOTE","NO"))</f>
        <v/>
      </c>
    </row>
    <row r="496">
      <c r="A496" s="7" t="n"/>
      <c r="B496" s="7">
        <f>IF($A496="","",VLOOKUP($A496,CoachRoster!$A:$E,4,FALSE))</f>
        <v/>
      </c>
      <c r="C496" s="7" t="n"/>
      <c r="D496" s="7" t="n"/>
      <c r="E496" s="7" t="n"/>
      <c r="F496" s="7" t="n"/>
      <c r="G496" s="7" t="n"/>
      <c r="H496" s="7">
        <f>IF($A496="","",IF(AND($E496="Pass",$F496="Pass",$G496="Pass"),"PROMOTE","NOT YET"))</f>
        <v/>
      </c>
      <c r="I496" s="7" t="n"/>
      <c r="J496" s="27">
        <f>IF(OR($A496="",$C496=""),"",IF(IFERROR(VLOOKUP($A496,Ledger!$A:$E,5,FALSE),0)&gt;=VLOOKUP($C496,RoleTitles!$A:$B,2,FALSE),"YES","NO"))</f>
        <v/>
      </c>
      <c r="K496" s="27">
        <f>IF($A496="","",IF(AND($H496="PROMOTE",$J496="YES"),"YES — PROMOTE","NO"))</f>
        <v/>
      </c>
    </row>
    <row r="497">
      <c r="A497" s="7" t="n"/>
      <c r="B497" s="7">
        <f>IF($A497="","",VLOOKUP($A497,CoachRoster!$A:$E,4,FALSE))</f>
        <v/>
      </c>
      <c r="C497" s="7" t="n"/>
      <c r="D497" s="7" t="n"/>
      <c r="E497" s="7" t="n"/>
      <c r="F497" s="7" t="n"/>
      <c r="G497" s="7" t="n"/>
      <c r="H497" s="7">
        <f>IF($A497="","",IF(AND($E497="Pass",$F497="Pass",$G497="Pass"),"PROMOTE","NOT YET"))</f>
        <v/>
      </c>
      <c r="I497" s="7" t="n"/>
      <c r="J497" s="27">
        <f>IF(OR($A497="",$C497=""),"",IF(IFERROR(VLOOKUP($A497,Ledger!$A:$E,5,FALSE),0)&gt;=VLOOKUP($C497,RoleTitles!$A:$B,2,FALSE),"YES","NO"))</f>
        <v/>
      </c>
      <c r="K497" s="27">
        <f>IF($A497="","",IF(AND($H497="PROMOTE",$J497="YES"),"YES — PROMOTE","NO"))</f>
        <v/>
      </c>
    </row>
    <row r="498">
      <c r="A498" s="7" t="n"/>
      <c r="B498" s="7">
        <f>IF($A498="","",VLOOKUP($A498,CoachRoster!$A:$E,4,FALSE))</f>
        <v/>
      </c>
      <c r="C498" s="7" t="n"/>
      <c r="D498" s="7" t="n"/>
      <c r="E498" s="7" t="n"/>
      <c r="F498" s="7" t="n"/>
      <c r="G498" s="7" t="n"/>
      <c r="H498" s="7">
        <f>IF($A498="","",IF(AND($E498="Pass",$F498="Pass",$G498="Pass"),"PROMOTE","NOT YET"))</f>
        <v/>
      </c>
      <c r="I498" s="7" t="n"/>
      <c r="J498" s="27">
        <f>IF(OR($A498="",$C498=""),"",IF(IFERROR(VLOOKUP($A498,Ledger!$A:$E,5,FALSE),0)&gt;=VLOOKUP($C498,RoleTitles!$A:$B,2,FALSE),"YES","NO"))</f>
        <v/>
      </c>
      <c r="K498" s="27">
        <f>IF($A498="","",IF(AND($H498="PROMOTE",$J498="YES"),"YES — PROMOTE","NO"))</f>
        <v/>
      </c>
    </row>
    <row r="499">
      <c r="A499" s="7" t="n"/>
      <c r="B499" s="7">
        <f>IF($A499="","",VLOOKUP($A499,CoachRoster!$A:$E,4,FALSE))</f>
        <v/>
      </c>
      <c r="C499" s="7" t="n"/>
      <c r="D499" s="7" t="n"/>
      <c r="E499" s="7" t="n"/>
      <c r="F499" s="7" t="n"/>
      <c r="G499" s="7" t="n"/>
      <c r="H499" s="7">
        <f>IF($A499="","",IF(AND($E499="Pass",$F499="Pass",$G499="Pass"),"PROMOTE","NOT YET"))</f>
        <v/>
      </c>
      <c r="I499" s="7" t="n"/>
      <c r="J499" s="27">
        <f>IF(OR($A499="",$C499=""),"",IF(IFERROR(VLOOKUP($A499,Ledger!$A:$E,5,FALSE),0)&gt;=VLOOKUP($C499,RoleTitles!$A:$B,2,FALSE),"YES","NO"))</f>
        <v/>
      </c>
      <c r="K499" s="27">
        <f>IF($A499="","",IF(AND($H499="PROMOTE",$J499="YES"),"YES — PROMOTE","NO"))</f>
        <v/>
      </c>
    </row>
    <row r="500">
      <c r="A500" s="7" t="n"/>
      <c r="B500" s="7">
        <f>IF($A500="","",VLOOKUP($A500,CoachRoster!$A:$E,4,FALSE))</f>
        <v/>
      </c>
      <c r="C500" s="7" t="n"/>
      <c r="D500" s="7" t="n"/>
      <c r="E500" s="7" t="n"/>
      <c r="F500" s="7" t="n"/>
      <c r="G500" s="7" t="n"/>
      <c r="H500" s="7">
        <f>IF($A500="","",IF(AND($E500="Pass",$F500="Pass",$G500="Pass"),"PROMOTE","NOT YET"))</f>
        <v/>
      </c>
      <c r="I500" s="7" t="n"/>
      <c r="J500" s="27">
        <f>IF(OR($A500="",$C500=""),"",IF(IFERROR(VLOOKUP($A500,Ledger!$A:$E,5,FALSE),0)&gt;=VLOOKUP($C500,RoleTitles!$A:$B,2,FALSE),"YES","NO"))</f>
        <v/>
      </c>
      <c r="K500" s="27">
        <f>IF($A500="","",IF(AND($H500="PROMOTE",$J500="YES"),"YES — PROMOTE","NO"))</f>
        <v/>
      </c>
    </row>
    <row r="501">
      <c r="A501" s="7" t="n"/>
      <c r="B501" s="7">
        <f>IF($A501="","",VLOOKUP($A501,CoachRoster!$A:$E,4,FALSE))</f>
        <v/>
      </c>
      <c r="C501" s="7" t="n"/>
      <c r="D501" s="7" t="n"/>
      <c r="E501" s="7" t="n"/>
      <c r="F501" s="7" t="n"/>
      <c r="G501" s="7" t="n"/>
      <c r="H501" s="7">
        <f>IF($A501="","",IF(AND($E501="Pass",$F501="Pass",$G501="Pass"),"PROMOTE","NOT YET"))</f>
        <v/>
      </c>
      <c r="I501" s="7" t="n"/>
      <c r="J501" s="27">
        <f>IF(OR($A501="",$C501=""),"",IF(IFERROR(VLOOKUP($A501,Ledger!$A:$E,5,FALSE),0)&gt;=VLOOKUP($C501,RoleTitles!$A:$B,2,FALSE),"YES","NO"))</f>
        <v/>
      </c>
      <c r="K501" s="27">
        <f>IF($A501="","",IF(AND($H501="PROMOTE",$J501="YES"),"YES — PROMOTE","NO"))</f>
        <v/>
      </c>
    </row>
    <row r="502">
      <c r="A502" s="7" t="n"/>
      <c r="B502" s="7">
        <f>IF($A502="","",VLOOKUP($A502,CoachRoster!$A:$E,4,FALSE))</f>
        <v/>
      </c>
      <c r="C502" s="7" t="n"/>
      <c r="D502" s="7" t="n"/>
      <c r="E502" s="7" t="n"/>
      <c r="F502" s="7" t="n"/>
      <c r="G502" s="7" t="n"/>
      <c r="H502" s="7">
        <f>IF($A502="","",IF(AND($E502="Pass",$F502="Pass",$G502="Pass"),"PROMOTE","NOT YET"))</f>
        <v/>
      </c>
      <c r="I502" s="7" t="n"/>
      <c r="J502" s="27">
        <f>IF(OR($A502="",$C502=""),"",IF(IFERROR(VLOOKUP($A502,Ledger!$A:$E,5,FALSE),0)&gt;=VLOOKUP($C502,RoleTitles!$A:$B,2,FALSE),"YES","NO"))</f>
        <v/>
      </c>
      <c r="K502" s="27">
        <f>IF($A502="","",IF(AND($H502="PROMOTE",$J502="YES"),"YES — PROMOTE","NO"))</f>
        <v/>
      </c>
    </row>
    <row r="503">
      <c r="A503" s="7" t="n"/>
      <c r="B503" s="7">
        <f>IF($A503="","",VLOOKUP($A503,CoachRoster!$A:$E,4,FALSE))</f>
        <v/>
      </c>
      <c r="C503" s="7" t="n"/>
      <c r="D503" s="7" t="n"/>
      <c r="E503" s="7" t="n"/>
      <c r="F503" s="7" t="n"/>
      <c r="G503" s="7" t="n"/>
      <c r="H503" s="7">
        <f>IF($A503="","",IF(AND($E503="Pass",$F503="Pass",$G503="Pass"),"PROMOTE","NOT YET"))</f>
        <v/>
      </c>
      <c r="I503" s="7" t="n"/>
      <c r="J503" s="27">
        <f>IF(OR($A503="",$C503=""),"",IF(IFERROR(VLOOKUP($A503,Ledger!$A:$E,5,FALSE),0)&gt;=VLOOKUP($C503,RoleTitles!$A:$B,2,FALSE),"YES","NO"))</f>
        <v/>
      </c>
      <c r="K503" s="27">
        <f>IF($A503="","",IF(AND($H503="PROMOTE",$J503="YES"),"YES — PROMOTE","NO"))</f>
        <v/>
      </c>
    </row>
    <row r="504">
      <c r="A504" s="7" t="n"/>
      <c r="B504" s="7">
        <f>IF($A504="","",VLOOKUP($A504,CoachRoster!$A:$E,4,FALSE))</f>
        <v/>
      </c>
      <c r="C504" s="7" t="n"/>
      <c r="D504" s="7" t="n"/>
      <c r="E504" s="7" t="n"/>
      <c r="F504" s="7" t="n"/>
      <c r="G504" s="7" t="n"/>
      <c r="H504" s="7">
        <f>IF($A504="","",IF(AND($E504="Pass",$F504="Pass",$G504="Pass"),"PROMOTE","NOT YET"))</f>
        <v/>
      </c>
      <c r="I504" s="7" t="n"/>
      <c r="J504" s="27">
        <f>IF(OR($A504="",$C504=""),"",IF(IFERROR(VLOOKUP($A504,Ledger!$A:$E,5,FALSE),0)&gt;=VLOOKUP($C504,RoleTitles!$A:$B,2,FALSE),"YES","NO"))</f>
        <v/>
      </c>
      <c r="K504" s="27">
        <f>IF($A504="","",IF(AND($H504="PROMOTE",$J504="YES"),"YES — PROMOTE","NO"))</f>
        <v/>
      </c>
    </row>
    <row r="505">
      <c r="A505" s="7" t="n"/>
      <c r="B505" s="7">
        <f>IF($A505="","",VLOOKUP($A505,CoachRoster!$A:$E,4,FALSE))</f>
        <v/>
      </c>
      <c r="C505" s="7" t="n"/>
      <c r="D505" s="7" t="n"/>
      <c r="E505" s="7" t="n"/>
      <c r="F505" s="7" t="n"/>
      <c r="G505" s="7" t="n"/>
      <c r="H505" s="7">
        <f>IF($A505="","",IF(AND($E505="Pass",$F505="Pass",$G505="Pass"),"PROMOTE","NOT YET"))</f>
        <v/>
      </c>
      <c r="I505" s="7" t="n"/>
      <c r="J505" s="27">
        <f>IF(OR($A505="",$C505=""),"",IF(IFERROR(VLOOKUP($A505,Ledger!$A:$E,5,FALSE),0)&gt;=VLOOKUP($C505,RoleTitles!$A:$B,2,FALSE),"YES","NO"))</f>
        <v/>
      </c>
      <c r="K505" s="27">
        <f>IF($A505="","",IF(AND($H505="PROMOTE",$J505="YES"),"YES — PROMOTE","NO"))</f>
        <v/>
      </c>
    </row>
    <row r="506">
      <c r="A506" s="7" t="n"/>
      <c r="B506" s="7">
        <f>IF($A506="","",VLOOKUP($A506,CoachRoster!$A:$E,4,FALSE))</f>
        <v/>
      </c>
      <c r="C506" s="7" t="n"/>
      <c r="D506" s="7" t="n"/>
      <c r="E506" s="7" t="n"/>
      <c r="F506" s="7" t="n"/>
      <c r="G506" s="7" t="n"/>
      <c r="H506" s="7">
        <f>IF($A506="","",IF(AND($E506="Pass",$F506="Pass",$G506="Pass"),"PROMOTE","NOT YET"))</f>
        <v/>
      </c>
      <c r="I506" s="7" t="n"/>
      <c r="J506" s="27">
        <f>IF(OR($A506="",$C506=""),"",IF(IFERROR(VLOOKUP($A506,Ledger!$A:$E,5,FALSE),0)&gt;=VLOOKUP($C506,RoleTitles!$A:$B,2,FALSE),"YES","NO"))</f>
        <v/>
      </c>
      <c r="K506" s="27">
        <f>IF($A506="","",IF(AND($H506="PROMOTE",$J506="YES"),"YES — PROMOTE","NO"))</f>
        <v/>
      </c>
    </row>
    <row r="507">
      <c r="A507" s="7" t="n"/>
      <c r="B507" s="7">
        <f>IF($A507="","",VLOOKUP($A507,CoachRoster!$A:$E,4,FALSE))</f>
        <v/>
      </c>
      <c r="C507" s="7" t="n"/>
      <c r="D507" s="7" t="n"/>
      <c r="E507" s="7" t="n"/>
      <c r="F507" s="7" t="n"/>
      <c r="G507" s="7" t="n"/>
      <c r="H507" s="7">
        <f>IF($A507="","",IF(AND($E507="Pass",$F507="Pass",$G507="Pass"),"PROMOTE","NOT YET"))</f>
        <v/>
      </c>
      <c r="I507" s="7" t="n"/>
      <c r="J507" s="27">
        <f>IF(OR($A507="",$C507=""),"",IF(IFERROR(VLOOKUP($A507,Ledger!$A:$E,5,FALSE),0)&gt;=VLOOKUP($C507,RoleTitles!$A:$B,2,FALSE),"YES","NO"))</f>
        <v/>
      </c>
      <c r="K507" s="27">
        <f>IF($A507="","",IF(AND($H507="PROMOTE",$J507="YES"),"YES — PROMOTE","NO"))</f>
        <v/>
      </c>
    </row>
    <row r="508">
      <c r="A508" s="7" t="n"/>
      <c r="B508" s="7">
        <f>IF($A508="","",VLOOKUP($A508,CoachRoster!$A:$E,4,FALSE))</f>
        <v/>
      </c>
      <c r="C508" s="7" t="n"/>
      <c r="D508" s="7" t="n"/>
      <c r="E508" s="7" t="n"/>
      <c r="F508" s="7" t="n"/>
      <c r="G508" s="7" t="n"/>
      <c r="H508" s="7">
        <f>IF($A508="","",IF(AND($E508="Pass",$F508="Pass",$G508="Pass"),"PROMOTE","NOT YET"))</f>
        <v/>
      </c>
      <c r="I508" s="7" t="n"/>
      <c r="J508" s="27">
        <f>IF(OR($A508="",$C508=""),"",IF(IFERROR(VLOOKUP($A508,Ledger!$A:$E,5,FALSE),0)&gt;=VLOOKUP($C508,RoleTitles!$A:$B,2,FALSE),"YES","NO"))</f>
        <v/>
      </c>
      <c r="K508" s="27">
        <f>IF($A508="","",IF(AND($H508="PROMOTE",$J508="YES"),"YES — PROMOTE","NO"))</f>
        <v/>
      </c>
    </row>
    <row r="509">
      <c r="A509" s="7" t="n"/>
      <c r="B509" s="7">
        <f>IF($A509="","",VLOOKUP($A509,CoachRoster!$A:$E,4,FALSE))</f>
        <v/>
      </c>
      <c r="C509" s="7" t="n"/>
      <c r="D509" s="7" t="n"/>
      <c r="E509" s="7" t="n"/>
      <c r="F509" s="7" t="n"/>
      <c r="G509" s="7" t="n"/>
      <c r="H509" s="7">
        <f>IF($A509="","",IF(AND($E509="Pass",$F509="Pass",$G509="Pass"),"PROMOTE","NOT YET"))</f>
        <v/>
      </c>
      <c r="I509" s="7" t="n"/>
      <c r="J509" s="27">
        <f>IF(OR($A509="",$C509=""),"",IF(IFERROR(VLOOKUP($A509,Ledger!$A:$E,5,FALSE),0)&gt;=VLOOKUP($C509,RoleTitles!$A:$B,2,FALSE),"YES","NO"))</f>
        <v/>
      </c>
      <c r="K509" s="27">
        <f>IF($A509="","",IF(AND($H509="PROMOTE",$J509="YES"),"YES — PROMOTE","NO"))</f>
        <v/>
      </c>
    </row>
    <row r="510">
      <c r="A510" s="7" t="n"/>
      <c r="B510" s="7">
        <f>IF($A510="","",VLOOKUP($A510,CoachRoster!$A:$E,4,FALSE))</f>
        <v/>
      </c>
      <c r="C510" s="7" t="n"/>
      <c r="D510" s="7" t="n"/>
      <c r="E510" s="7" t="n"/>
      <c r="F510" s="7" t="n"/>
      <c r="G510" s="7" t="n"/>
      <c r="H510" s="7">
        <f>IF($A510="","",IF(AND($E510="Pass",$F510="Pass",$G510="Pass"),"PROMOTE","NOT YET"))</f>
        <v/>
      </c>
      <c r="I510" s="7" t="n"/>
      <c r="J510" s="27">
        <f>IF(OR($A510="",$C510=""),"",IF(IFERROR(VLOOKUP($A510,Ledger!$A:$E,5,FALSE),0)&gt;=VLOOKUP($C510,RoleTitles!$A:$B,2,FALSE),"YES","NO"))</f>
        <v/>
      </c>
      <c r="K510" s="27">
        <f>IF($A510="","",IF(AND($H510="PROMOTE",$J510="YES"),"YES — PROMOTE","NO"))</f>
        <v/>
      </c>
    </row>
    <row r="511">
      <c r="A511" s="7" t="n"/>
      <c r="B511" s="7">
        <f>IF($A511="","",VLOOKUP($A511,CoachRoster!$A:$E,4,FALSE))</f>
        <v/>
      </c>
      <c r="C511" s="7" t="n"/>
      <c r="D511" s="7" t="n"/>
      <c r="E511" s="7" t="n"/>
      <c r="F511" s="7" t="n"/>
      <c r="G511" s="7" t="n"/>
      <c r="H511" s="7">
        <f>IF($A511="","",IF(AND($E511="Pass",$F511="Pass",$G511="Pass"),"PROMOTE","NOT YET"))</f>
        <v/>
      </c>
      <c r="I511" s="7" t="n"/>
      <c r="J511" s="27">
        <f>IF(OR($A511="",$C511=""),"",IF(IFERROR(VLOOKUP($A511,Ledger!$A:$E,5,FALSE),0)&gt;=VLOOKUP($C511,RoleTitles!$A:$B,2,FALSE),"YES","NO"))</f>
        <v/>
      </c>
      <c r="K511" s="27">
        <f>IF($A511="","",IF(AND($H511="PROMOTE",$J511="YES"),"YES — PROMOTE","NO"))</f>
        <v/>
      </c>
    </row>
    <row r="512">
      <c r="A512" s="7" t="n"/>
      <c r="B512" s="7">
        <f>IF($A512="","",VLOOKUP($A512,CoachRoster!$A:$E,4,FALSE))</f>
        <v/>
      </c>
      <c r="C512" s="7" t="n"/>
      <c r="D512" s="7" t="n"/>
      <c r="E512" s="7" t="n"/>
      <c r="F512" s="7" t="n"/>
      <c r="G512" s="7" t="n"/>
      <c r="H512" s="7">
        <f>IF($A512="","",IF(AND($E512="Pass",$F512="Pass",$G512="Pass"),"PROMOTE","NOT YET"))</f>
        <v/>
      </c>
      <c r="I512" s="7" t="n"/>
      <c r="J512" s="27">
        <f>IF(OR($A512="",$C512=""),"",IF(IFERROR(VLOOKUP($A512,Ledger!$A:$E,5,FALSE),0)&gt;=VLOOKUP($C512,RoleTitles!$A:$B,2,FALSE),"YES","NO"))</f>
        <v/>
      </c>
      <c r="K512" s="27">
        <f>IF($A512="","",IF(AND($H512="PROMOTE",$J512="YES"),"YES — PROMOTE","NO"))</f>
        <v/>
      </c>
    </row>
    <row r="513">
      <c r="A513" s="7" t="n"/>
      <c r="B513" s="7">
        <f>IF($A513="","",VLOOKUP($A513,CoachRoster!$A:$E,4,FALSE))</f>
        <v/>
      </c>
      <c r="C513" s="7" t="n"/>
      <c r="D513" s="7" t="n"/>
      <c r="E513" s="7" t="n"/>
      <c r="F513" s="7" t="n"/>
      <c r="G513" s="7" t="n"/>
      <c r="H513" s="7">
        <f>IF($A513="","",IF(AND($E513="Pass",$F513="Pass",$G513="Pass"),"PROMOTE","NOT YET"))</f>
        <v/>
      </c>
      <c r="I513" s="7" t="n"/>
      <c r="J513" s="27">
        <f>IF(OR($A513="",$C513=""),"",IF(IFERROR(VLOOKUP($A513,Ledger!$A:$E,5,FALSE),0)&gt;=VLOOKUP($C513,RoleTitles!$A:$B,2,FALSE),"YES","NO"))</f>
        <v/>
      </c>
      <c r="K513" s="27">
        <f>IF($A513="","",IF(AND($H513="PROMOTE",$J513="YES"),"YES — PROMOTE","NO"))</f>
        <v/>
      </c>
    </row>
    <row r="514">
      <c r="A514" s="7" t="n"/>
      <c r="B514" s="7">
        <f>IF($A514="","",VLOOKUP($A514,CoachRoster!$A:$E,4,FALSE))</f>
        <v/>
      </c>
      <c r="C514" s="7" t="n"/>
      <c r="D514" s="7" t="n"/>
      <c r="E514" s="7" t="n"/>
      <c r="F514" s="7" t="n"/>
      <c r="G514" s="7" t="n"/>
      <c r="H514" s="7">
        <f>IF($A514="","",IF(AND($E514="Pass",$F514="Pass",$G514="Pass"),"PROMOTE","NOT YET"))</f>
        <v/>
      </c>
      <c r="I514" s="7" t="n"/>
      <c r="J514" s="27">
        <f>IF(OR($A514="",$C514=""),"",IF(IFERROR(VLOOKUP($A514,Ledger!$A:$E,5,FALSE),0)&gt;=VLOOKUP($C514,RoleTitles!$A:$B,2,FALSE),"YES","NO"))</f>
        <v/>
      </c>
      <c r="K514" s="27">
        <f>IF($A514="","",IF(AND($H514="PROMOTE",$J514="YES"),"YES — PROMOTE","NO"))</f>
        <v/>
      </c>
    </row>
    <row r="515">
      <c r="A515" s="7" t="n"/>
      <c r="B515" s="7">
        <f>IF($A515="","",VLOOKUP($A515,CoachRoster!$A:$E,4,FALSE))</f>
        <v/>
      </c>
      <c r="C515" s="7" t="n"/>
      <c r="D515" s="7" t="n"/>
      <c r="E515" s="7" t="n"/>
      <c r="F515" s="7" t="n"/>
      <c r="G515" s="7" t="n"/>
      <c r="H515" s="7">
        <f>IF($A515="","",IF(AND($E515="Pass",$F515="Pass",$G515="Pass"),"PROMOTE","NOT YET"))</f>
        <v/>
      </c>
      <c r="I515" s="7" t="n"/>
      <c r="J515" s="27">
        <f>IF(OR($A515="",$C515=""),"",IF(IFERROR(VLOOKUP($A515,Ledger!$A:$E,5,FALSE),0)&gt;=VLOOKUP($C515,RoleTitles!$A:$B,2,FALSE),"YES","NO"))</f>
        <v/>
      </c>
      <c r="K515" s="27">
        <f>IF($A515="","",IF(AND($H515="PROMOTE",$J515="YES"),"YES — PROMOTE","NO"))</f>
        <v/>
      </c>
    </row>
    <row r="516">
      <c r="A516" s="7" t="n"/>
      <c r="B516" s="7">
        <f>IF($A516="","",VLOOKUP($A516,CoachRoster!$A:$E,4,FALSE))</f>
        <v/>
      </c>
      <c r="C516" s="7" t="n"/>
      <c r="D516" s="7" t="n"/>
      <c r="E516" s="7" t="n"/>
      <c r="F516" s="7" t="n"/>
      <c r="G516" s="7" t="n"/>
      <c r="H516" s="7">
        <f>IF($A516="","",IF(AND($E516="Pass",$F516="Pass",$G516="Pass"),"PROMOTE","NOT YET"))</f>
        <v/>
      </c>
      <c r="I516" s="7" t="n"/>
      <c r="J516" s="27">
        <f>IF(OR($A516="",$C516=""),"",IF(IFERROR(VLOOKUP($A516,Ledger!$A:$E,5,FALSE),0)&gt;=VLOOKUP($C516,RoleTitles!$A:$B,2,FALSE),"YES","NO"))</f>
        <v/>
      </c>
      <c r="K516" s="27">
        <f>IF($A516="","",IF(AND($H516="PROMOTE",$J516="YES"),"YES — PROMOTE","NO"))</f>
        <v/>
      </c>
    </row>
    <row r="517">
      <c r="A517" s="7" t="n"/>
      <c r="B517" s="7">
        <f>IF($A517="","",VLOOKUP($A517,CoachRoster!$A:$E,4,FALSE))</f>
        <v/>
      </c>
      <c r="C517" s="7" t="n"/>
      <c r="D517" s="7" t="n"/>
      <c r="E517" s="7" t="n"/>
      <c r="F517" s="7" t="n"/>
      <c r="G517" s="7" t="n"/>
      <c r="H517" s="7">
        <f>IF($A517="","",IF(AND($E517="Pass",$F517="Pass",$G517="Pass"),"PROMOTE","NOT YET"))</f>
        <v/>
      </c>
      <c r="I517" s="7" t="n"/>
      <c r="J517" s="27">
        <f>IF(OR($A517="",$C517=""),"",IF(IFERROR(VLOOKUP($A517,Ledger!$A:$E,5,FALSE),0)&gt;=VLOOKUP($C517,RoleTitles!$A:$B,2,FALSE),"YES","NO"))</f>
        <v/>
      </c>
      <c r="K517" s="27">
        <f>IF($A517="","",IF(AND($H517="PROMOTE",$J517="YES"),"YES — PROMOTE","NO"))</f>
        <v/>
      </c>
    </row>
    <row r="518">
      <c r="A518" s="7" t="n"/>
      <c r="B518" s="7">
        <f>IF($A518="","",VLOOKUP($A518,CoachRoster!$A:$E,4,FALSE))</f>
        <v/>
      </c>
      <c r="C518" s="7" t="n"/>
      <c r="D518" s="7" t="n"/>
      <c r="E518" s="7" t="n"/>
      <c r="F518" s="7" t="n"/>
      <c r="G518" s="7" t="n"/>
      <c r="H518" s="7">
        <f>IF($A518="","",IF(AND($E518="Pass",$F518="Pass",$G518="Pass"),"PROMOTE","NOT YET"))</f>
        <v/>
      </c>
      <c r="I518" s="7" t="n"/>
      <c r="J518" s="27">
        <f>IF(OR($A518="",$C518=""),"",IF(IFERROR(VLOOKUP($A518,Ledger!$A:$E,5,FALSE),0)&gt;=VLOOKUP($C518,RoleTitles!$A:$B,2,FALSE),"YES","NO"))</f>
        <v/>
      </c>
      <c r="K518" s="27">
        <f>IF($A518="","",IF(AND($H518="PROMOTE",$J518="YES"),"YES — PROMOTE","NO"))</f>
        <v/>
      </c>
    </row>
    <row r="519">
      <c r="A519" s="7" t="n"/>
      <c r="B519" s="7">
        <f>IF($A519="","",VLOOKUP($A519,CoachRoster!$A:$E,4,FALSE))</f>
        <v/>
      </c>
      <c r="C519" s="7" t="n"/>
      <c r="D519" s="7" t="n"/>
      <c r="E519" s="7" t="n"/>
      <c r="F519" s="7" t="n"/>
      <c r="G519" s="7" t="n"/>
      <c r="H519" s="7">
        <f>IF($A519="","",IF(AND($E519="Pass",$F519="Pass",$G519="Pass"),"PROMOTE","NOT YET"))</f>
        <v/>
      </c>
      <c r="I519" s="7" t="n"/>
      <c r="J519" s="27">
        <f>IF(OR($A519="",$C519=""),"",IF(IFERROR(VLOOKUP($A519,Ledger!$A:$E,5,FALSE),0)&gt;=VLOOKUP($C519,RoleTitles!$A:$B,2,FALSE),"YES","NO"))</f>
        <v/>
      </c>
      <c r="K519" s="27">
        <f>IF($A519="","",IF(AND($H519="PROMOTE",$J519="YES"),"YES — PROMOTE","NO"))</f>
        <v/>
      </c>
    </row>
    <row r="520">
      <c r="A520" s="7" t="n"/>
      <c r="B520" s="7">
        <f>IF($A520="","",VLOOKUP($A520,CoachRoster!$A:$E,4,FALSE))</f>
        <v/>
      </c>
      <c r="C520" s="7" t="n"/>
      <c r="D520" s="7" t="n"/>
      <c r="E520" s="7" t="n"/>
      <c r="F520" s="7" t="n"/>
      <c r="G520" s="7" t="n"/>
      <c r="H520" s="7">
        <f>IF($A520="","",IF(AND($E520="Pass",$F520="Pass",$G520="Pass"),"PROMOTE","NOT YET"))</f>
        <v/>
      </c>
      <c r="I520" s="7" t="n"/>
      <c r="J520" s="27">
        <f>IF(OR($A520="",$C520=""),"",IF(IFERROR(VLOOKUP($A520,Ledger!$A:$E,5,FALSE),0)&gt;=VLOOKUP($C520,RoleTitles!$A:$B,2,FALSE),"YES","NO"))</f>
        <v/>
      </c>
      <c r="K520" s="27">
        <f>IF($A520="","",IF(AND($H520="PROMOTE",$J520="YES"),"YES — PROMOTE","NO"))</f>
        <v/>
      </c>
    </row>
    <row r="521">
      <c r="A521" s="7" t="n"/>
      <c r="B521" s="7">
        <f>IF($A521="","",VLOOKUP($A521,CoachRoster!$A:$E,4,FALSE))</f>
        <v/>
      </c>
      <c r="C521" s="7" t="n"/>
      <c r="D521" s="7" t="n"/>
      <c r="E521" s="7" t="n"/>
      <c r="F521" s="7" t="n"/>
      <c r="G521" s="7" t="n"/>
      <c r="H521" s="7">
        <f>IF($A521="","",IF(AND($E521="Pass",$F521="Pass",$G521="Pass"),"PROMOTE","NOT YET"))</f>
        <v/>
      </c>
      <c r="I521" s="7" t="n"/>
      <c r="J521" s="27">
        <f>IF(OR($A521="",$C521=""),"",IF(IFERROR(VLOOKUP($A521,Ledger!$A:$E,5,FALSE),0)&gt;=VLOOKUP($C521,RoleTitles!$A:$B,2,FALSE),"YES","NO"))</f>
        <v/>
      </c>
      <c r="K521" s="27">
        <f>IF($A521="","",IF(AND($H521="PROMOTE",$J521="YES"),"YES — PROMOTE","NO"))</f>
        <v/>
      </c>
    </row>
    <row r="522">
      <c r="A522" s="7" t="n"/>
      <c r="B522" s="7">
        <f>IF($A522="","",VLOOKUP($A522,CoachRoster!$A:$E,4,FALSE))</f>
        <v/>
      </c>
      <c r="C522" s="7" t="n"/>
      <c r="D522" s="7" t="n"/>
      <c r="E522" s="7" t="n"/>
      <c r="F522" s="7" t="n"/>
      <c r="G522" s="7" t="n"/>
      <c r="H522" s="7">
        <f>IF($A522="","",IF(AND($E522="Pass",$F522="Pass",$G522="Pass"),"PROMOTE","NOT YET"))</f>
        <v/>
      </c>
      <c r="I522" s="7" t="n"/>
      <c r="J522" s="27">
        <f>IF(OR($A522="",$C522=""),"",IF(IFERROR(VLOOKUP($A522,Ledger!$A:$E,5,FALSE),0)&gt;=VLOOKUP($C522,RoleTitles!$A:$B,2,FALSE),"YES","NO"))</f>
        <v/>
      </c>
      <c r="K522" s="27">
        <f>IF($A522="","",IF(AND($H522="PROMOTE",$J522="YES"),"YES — PROMOTE","NO"))</f>
        <v/>
      </c>
    </row>
    <row r="523">
      <c r="A523" s="7" t="n"/>
      <c r="B523" s="7">
        <f>IF($A523="","",VLOOKUP($A523,CoachRoster!$A:$E,4,FALSE))</f>
        <v/>
      </c>
      <c r="C523" s="7" t="n"/>
      <c r="D523" s="7" t="n"/>
      <c r="E523" s="7" t="n"/>
      <c r="F523" s="7" t="n"/>
      <c r="G523" s="7" t="n"/>
      <c r="H523" s="7">
        <f>IF($A523="","",IF(AND($E523="Pass",$F523="Pass",$G523="Pass"),"PROMOTE","NOT YET"))</f>
        <v/>
      </c>
      <c r="I523" s="7" t="n"/>
      <c r="J523" s="27">
        <f>IF(OR($A523="",$C523=""),"",IF(IFERROR(VLOOKUP($A523,Ledger!$A:$E,5,FALSE),0)&gt;=VLOOKUP($C523,RoleTitles!$A:$B,2,FALSE),"YES","NO"))</f>
        <v/>
      </c>
      <c r="K523" s="27">
        <f>IF($A523="","",IF(AND($H523="PROMOTE",$J523="YES"),"YES — PROMOTE","NO"))</f>
        <v/>
      </c>
    </row>
    <row r="524">
      <c r="A524" s="7" t="n"/>
      <c r="B524" s="7">
        <f>IF($A524="","",VLOOKUP($A524,CoachRoster!$A:$E,4,FALSE))</f>
        <v/>
      </c>
      <c r="C524" s="7" t="n"/>
      <c r="D524" s="7" t="n"/>
      <c r="E524" s="7" t="n"/>
      <c r="F524" s="7" t="n"/>
      <c r="G524" s="7" t="n"/>
      <c r="H524" s="7">
        <f>IF($A524="","",IF(AND($E524="Pass",$F524="Pass",$G524="Pass"),"PROMOTE","NOT YET"))</f>
        <v/>
      </c>
      <c r="I524" s="7" t="n"/>
      <c r="J524" s="27">
        <f>IF(OR($A524="",$C524=""),"",IF(IFERROR(VLOOKUP($A524,Ledger!$A:$E,5,FALSE),0)&gt;=VLOOKUP($C524,RoleTitles!$A:$B,2,FALSE),"YES","NO"))</f>
        <v/>
      </c>
      <c r="K524" s="27">
        <f>IF($A524="","",IF(AND($H524="PROMOTE",$J524="YES"),"YES — PROMOTE","NO"))</f>
        <v/>
      </c>
    </row>
    <row r="525">
      <c r="A525" s="7" t="n"/>
      <c r="B525" s="7">
        <f>IF($A525="","",VLOOKUP($A525,CoachRoster!$A:$E,4,FALSE))</f>
        <v/>
      </c>
      <c r="C525" s="7" t="n"/>
      <c r="D525" s="7" t="n"/>
      <c r="E525" s="7" t="n"/>
      <c r="F525" s="7" t="n"/>
      <c r="G525" s="7" t="n"/>
      <c r="H525" s="7">
        <f>IF($A525="","",IF(AND($E525="Pass",$F525="Pass",$G525="Pass"),"PROMOTE","NOT YET"))</f>
        <v/>
      </c>
      <c r="I525" s="7" t="n"/>
      <c r="J525" s="27">
        <f>IF(OR($A525="",$C525=""),"",IF(IFERROR(VLOOKUP($A525,Ledger!$A:$E,5,FALSE),0)&gt;=VLOOKUP($C525,RoleTitles!$A:$B,2,FALSE),"YES","NO"))</f>
        <v/>
      </c>
      <c r="K525" s="27">
        <f>IF($A525="","",IF(AND($H525="PROMOTE",$J525="YES"),"YES — PROMOTE","NO"))</f>
        <v/>
      </c>
    </row>
    <row r="526">
      <c r="A526" s="7" t="n"/>
      <c r="B526" s="7">
        <f>IF($A526="","",VLOOKUP($A526,CoachRoster!$A:$E,4,FALSE))</f>
        <v/>
      </c>
      <c r="C526" s="7" t="n"/>
      <c r="D526" s="7" t="n"/>
      <c r="E526" s="7" t="n"/>
      <c r="F526" s="7" t="n"/>
      <c r="G526" s="7" t="n"/>
      <c r="H526" s="7">
        <f>IF($A526="","",IF(AND($E526="Pass",$F526="Pass",$G526="Pass"),"PROMOTE","NOT YET"))</f>
        <v/>
      </c>
      <c r="I526" s="7" t="n"/>
      <c r="J526" s="27">
        <f>IF(OR($A526="",$C526=""),"",IF(IFERROR(VLOOKUP($A526,Ledger!$A:$E,5,FALSE),0)&gt;=VLOOKUP($C526,RoleTitles!$A:$B,2,FALSE),"YES","NO"))</f>
        <v/>
      </c>
      <c r="K526" s="27">
        <f>IF($A526="","",IF(AND($H526="PROMOTE",$J526="YES"),"YES — PROMOTE","NO"))</f>
        <v/>
      </c>
    </row>
    <row r="527">
      <c r="A527" s="7" t="n"/>
      <c r="B527" s="7">
        <f>IF($A527="","",VLOOKUP($A527,CoachRoster!$A:$E,4,FALSE))</f>
        <v/>
      </c>
      <c r="C527" s="7" t="n"/>
      <c r="D527" s="7" t="n"/>
      <c r="E527" s="7" t="n"/>
      <c r="F527" s="7" t="n"/>
      <c r="G527" s="7" t="n"/>
      <c r="H527" s="7">
        <f>IF($A527="","",IF(AND($E527="Pass",$F527="Pass",$G527="Pass"),"PROMOTE","NOT YET"))</f>
        <v/>
      </c>
      <c r="I527" s="7" t="n"/>
      <c r="J527" s="27">
        <f>IF(OR($A527="",$C527=""),"",IF(IFERROR(VLOOKUP($A527,Ledger!$A:$E,5,FALSE),0)&gt;=VLOOKUP($C527,RoleTitles!$A:$B,2,FALSE),"YES","NO"))</f>
        <v/>
      </c>
      <c r="K527" s="27">
        <f>IF($A527="","",IF(AND($H527="PROMOTE",$J527="YES"),"YES — PROMOTE","NO"))</f>
        <v/>
      </c>
    </row>
    <row r="528">
      <c r="A528" s="7" t="n"/>
      <c r="B528" s="7">
        <f>IF($A528="","",VLOOKUP($A528,CoachRoster!$A:$E,4,FALSE))</f>
        <v/>
      </c>
      <c r="C528" s="7" t="n"/>
      <c r="D528" s="7" t="n"/>
      <c r="E528" s="7" t="n"/>
      <c r="F528" s="7" t="n"/>
      <c r="G528" s="7" t="n"/>
      <c r="H528" s="7">
        <f>IF($A528="","",IF(AND($E528="Pass",$F528="Pass",$G528="Pass"),"PROMOTE","NOT YET"))</f>
        <v/>
      </c>
      <c r="I528" s="7" t="n"/>
      <c r="J528" s="27">
        <f>IF(OR($A528="",$C528=""),"",IF(IFERROR(VLOOKUP($A528,Ledger!$A:$E,5,FALSE),0)&gt;=VLOOKUP($C528,RoleTitles!$A:$B,2,FALSE),"YES","NO"))</f>
        <v/>
      </c>
      <c r="K528" s="27">
        <f>IF($A528="","",IF(AND($H528="PROMOTE",$J528="YES"),"YES — PROMOTE","NO"))</f>
        <v/>
      </c>
    </row>
    <row r="529">
      <c r="A529" s="7" t="n"/>
      <c r="B529" s="7">
        <f>IF($A529="","",VLOOKUP($A529,CoachRoster!$A:$E,4,FALSE))</f>
        <v/>
      </c>
      <c r="C529" s="7" t="n"/>
      <c r="D529" s="7" t="n"/>
      <c r="E529" s="7" t="n"/>
      <c r="F529" s="7" t="n"/>
      <c r="G529" s="7" t="n"/>
      <c r="H529" s="7">
        <f>IF($A529="","",IF(AND($E529="Pass",$F529="Pass",$G529="Pass"),"PROMOTE","NOT YET"))</f>
        <v/>
      </c>
      <c r="I529" s="7" t="n"/>
      <c r="J529" s="27">
        <f>IF(OR($A529="",$C529=""),"",IF(IFERROR(VLOOKUP($A529,Ledger!$A:$E,5,FALSE),0)&gt;=VLOOKUP($C529,RoleTitles!$A:$B,2,FALSE),"YES","NO"))</f>
        <v/>
      </c>
      <c r="K529" s="27">
        <f>IF($A529="","",IF(AND($H529="PROMOTE",$J529="YES"),"YES — PROMOTE","NO"))</f>
        <v/>
      </c>
    </row>
    <row r="530">
      <c r="A530" s="7" t="n"/>
      <c r="B530" s="7">
        <f>IF($A530="","",VLOOKUP($A530,CoachRoster!$A:$E,4,FALSE))</f>
        <v/>
      </c>
      <c r="C530" s="7" t="n"/>
      <c r="D530" s="7" t="n"/>
      <c r="E530" s="7" t="n"/>
      <c r="F530" s="7" t="n"/>
      <c r="G530" s="7" t="n"/>
      <c r="H530" s="7">
        <f>IF($A530="","",IF(AND($E530="Pass",$F530="Pass",$G530="Pass"),"PROMOTE","NOT YET"))</f>
        <v/>
      </c>
      <c r="I530" s="7" t="n"/>
      <c r="J530" s="27">
        <f>IF(OR($A530="",$C530=""),"",IF(IFERROR(VLOOKUP($A530,Ledger!$A:$E,5,FALSE),0)&gt;=VLOOKUP($C530,RoleTitles!$A:$B,2,FALSE),"YES","NO"))</f>
        <v/>
      </c>
      <c r="K530" s="27">
        <f>IF($A530="","",IF(AND($H530="PROMOTE",$J530="YES"),"YES — PROMOTE","NO"))</f>
        <v/>
      </c>
    </row>
    <row r="531">
      <c r="A531" s="7" t="n"/>
      <c r="B531" s="7">
        <f>IF($A531="","",VLOOKUP($A531,CoachRoster!$A:$E,4,FALSE))</f>
        <v/>
      </c>
      <c r="C531" s="7" t="n"/>
      <c r="D531" s="7" t="n"/>
      <c r="E531" s="7" t="n"/>
      <c r="F531" s="7" t="n"/>
      <c r="G531" s="7" t="n"/>
      <c r="H531" s="7">
        <f>IF($A531="","",IF(AND($E531="Pass",$F531="Pass",$G531="Pass"),"PROMOTE","NOT YET"))</f>
        <v/>
      </c>
      <c r="I531" s="7" t="n"/>
      <c r="J531" s="27">
        <f>IF(OR($A531="",$C531=""),"",IF(IFERROR(VLOOKUP($A531,Ledger!$A:$E,5,FALSE),0)&gt;=VLOOKUP($C531,RoleTitles!$A:$B,2,FALSE),"YES","NO"))</f>
        <v/>
      </c>
      <c r="K531" s="27">
        <f>IF($A531="","",IF(AND($H531="PROMOTE",$J531="YES"),"YES — PROMOTE","NO"))</f>
        <v/>
      </c>
    </row>
    <row r="532">
      <c r="A532" s="7" t="n"/>
      <c r="B532" s="7">
        <f>IF($A532="","",VLOOKUP($A532,CoachRoster!$A:$E,4,FALSE))</f>
        <v/>
      </c>
      <c r="C532" s="7" t="n"/>
      <c r="D532" s="7" t="n"/>
      <c r="E532" s="7" t="n"/>
      <c r="F532" s="7" t="n"/>
      <c r="G532" s="7" t="n"/>
      <c r="H532" s="7">
        <f>IF($A532="","",IF(AND($E532="Pass",$F532="Pass",$G532="Pass"),"PROMOTE","NOT YET"))</f>
        <v/>
      </c>
      <c r="I532" s="7" t="n"/>
      <c r="J532" s="27">
        <f>IF(OR($A532="",$C532=""),"",IF(IFERROR(VLOOKUP($A532,Ledger!$A:$E,5,FALSE),0)&gt;=VLOOKUP($C532,RoleTitles!$A:$B,2,FALSE),"YES","NO"))</f>
        <v/>
      </c>
      <c r="K532" s="27">
        <f>IF($A532="","",IF(AND($H532="PROMOTE",$J532="YES"),"YES — PROMOTE","NO"))</f>
        <v/>
      </c>
    </row>
    <row r="533">
      <c r="A533" s="7" t="n"/>
      <c r="B533" s="7">
        <f>IF($A533="","",VLOOKUP($A533,CoachRoster!$A:$E,4,FALSE))</f>
        <v/>
      </c>
      <c r="C533" s="7" t="n"/>
      <c r="D533" s="7" t="n"/>
      <c r="E533" s="7" t="n"/>
      <c r="F533" s="7" t="n"/>
      <c r="G533" s="7" t="n"/>
      <c r="H533" s="7">
        <f>IF($A533="","",IF(AND($E533="Pass",$F533="Pass",$G533="Pass"),"PROMOTE","NOT YET"))</f>
        <v/>
      </c>
      <c r="I533" s="7" t="n"/>
      <c r="J533" s="27">
        <f>IF(OR($A533="",$C533=""),"",IF(IFERROR(VLOOKUP($A533,Ledger!$A:$E,5,FALSE),0)&gt;=VLOOKUP($C533,RoleTitles!$A:$B,2,FALSE),"YES","NO"))</f>
        <v/>
      </c>
      <c r="K533" s="27">
        <f>IF($A533="","",IF(AND($H533="PROMOTE",$J533="YES"),"YES — PROMOTE","NO"))</f>
        <v/>
      </c>
    </row>
    <row r="534">
      <c r="A534" s="7" t="n"/>
      <c r="B534" s="7">
        <f>IF($A534="","",VLOOKUP($A534,CoachRoster!$A:$E,4,FALSE))</f>
        <v/>
      </c>
      <c r="C534" s="7" t="n"/>
      <c r="D534" s="7" t="n"/>
      <c r="E534" s="7" t="n"/>
      <c r="F534" s="7" t="n"/>
      <c r="G534" s="7" t="n"/>
      <c r="H534" s="7">
        <f>IF($A534="","",IF(AND($E534="Pass",$F534="Pass",$G534="Pass"),"PROMOTE","NOT YET"))</f>
        <v/>
      </c>
      <c r="I534" s="7" t="n"/>
      <c r="J534" s="27">
        <f>IF(OR($A534="",$C534=""),"",IF(IFERROR(VLOOKUP($A534,Ledger!$A:$E,5,FALSE),0)&gt;=VLOOKUP($C534,RoleTitles!$A:$B,2,FALSE),"YES","NO"))</f>
        <v/>
      </c>
      <c r="K534" s="27">
        <f>IF($A534="","",IF(AND($H534="PROMOTE",$J534="YES"),"YES — PROMOTE","NO"))</f>
        <v/>
      </c>
    </row>
    <row r="535">
      <c r="A535" s="7" t="n"/>
      <c r="B535" s="7">
        <f>IF($A535="","",VLOOKUP($A535,CoachRoster!$A:$E,4,FALSE))</f>
        <v/>
      </c>
      <c r="C535" s="7" t="n"/>
      <c r="D535" s="7" t="n"/>
      <c r="E535" s="7" t="n"/>
      <c r="F535" s="7" t="n"/>
      <c r="G535" s="7" t="n"/>
      <c r="H535" s="7">
        <f>IF($A535="","",IF(AND($E535="Pass",$F535="Pass",$G535="Pass"),"PROMOTE","NOT YET"))</f>
        <v/>
      </c>
      <c r="I535" s="7" t="n"/>
      <c r="J535" s="27">
        <f>IF(OR($A535="",$C535=""),"",IF(IFERROR(VLOOKUP($A535,Ledger!$A:$E,5,FALSE),0)&gt;=VLOOKUP($C535,RoleTitles!$A:$B,2,FALSE),"YES","NO"))</f>
        <v/>
      </c>
      <c r="K535" s="27">
        <f>IF($A535="","",IF(AND($H535="PROMOTE",$J535="YES"),"YES — PROMOTE","NO"))</f>
        <v/>
      </c>
    </row>
    <row r="536">
      <c r="A536" s="7" t="n"/>
      <c r="B536" s="7">
        <f>IF($A536="","",VLOOKUP($A536,CoachRoster!$A:$E,4,FALSE))</f>
        <v/>
      </c>
      <c r="C536" s="7" t="n"/>
      <c r="D536" s="7" t="n"/>
      <c r="E536" s="7" t="n"/>
      <c r="F536" s="7" t="n"/>
      <c r="G536" s="7" t="n"/>
      <c r="H536" s="7">
        <f>IF($A536="","",IF(AND($E536="Pass",$F536="Pass",$G536="Pass"),"PROMOTE","NOT YET"))</f>
        <v/>
      </c>
      <c r="I536" s="7" t="n"/>
      <c r="J536" s="27">
        <f>IF(OR($A536="",$C536=""),"",IF(IFERROR(VLOOKUP($A536,Ledger!$A:$E,5,FALSE),0)&gt;=VLOOKUP($C536,RoleTitles!$A:$B,2,FALSE),"YES","NO"))</f>
        <v/>
      </c>
      <c r="K536" s="27">
        <f>IF($A536="","",IF(AND($H536="PROMOTE",$J536="YES"),"YES — PROMOTE","NO"))</f>
        <v/>
      </c>
    </row>
    <row r="537">
      <c r="A537" s="7" t="n"/>
      <c r="B537" s="7">
        <f>IF($A537="","",VLOOKUP($A537,CoachRoster!$A:$E,4,FALSE))</f>
        <v/>
      </c>
      <c r="C537" s="7" t="n"/>
      <c r="D537" s="7" t="n"/>
      <c r="E537" s="7" t="n"/>
      <c r="F537" s="7" t="n"/>
      <c r="G537" s="7" t="n"/>
      <c r="H537" s="7">
        <f>IF($A537="","",IF(AND($E537="Pass",$F537="Pass",$G537="Pass"),"PROMOTE","NOT YET"))</f>
        <v/>
      </c>
      <c r="I537" s="7" t="n"/>
      <c r="J537" s="27">
        <f>IF(OR($A537="",$C537=""),"",IF(IFERROR(VLOOKUP($A537,Ledger!$A:$E,5,FALSE),0)&gt;=VLOOKUP($C537,RoleTitles!$A:$B,2,FALSE),"YES","NO"))</f>
        <v/>
      </c>
      <c r="K537" s="27">
        <f>IF($A537="","",IF(AND($H537="PROMOTE",$J537="YES"),"YES — PROMOTE","NO"))</f>
        <v/>
      </c>
    </row>
    <row r="538">
      <c r="A538" s="7" t="n"/>
      <c r="B538" s="7">
        <f>IF($A538="","",VLOOKUP($A538,CoachRoster!$A:$E,4,FALSE))</f>
        <v/>
      </c>
      <c r="C538" s="7" t="n"/>
      <c r="D538" s="7" t="n"/>
      <c r="E538" s="7" t="n"/>
      <c r="F538" s="7" t="n"/>
      <c r="G538" s="7" t="n"/>
      <c r="H538" s="7">
        <f>IF($A538="","",IF(AND($E538="Pass",$F538="Pass",$G538="Pass"),"PROMOTE","NOT YET"))</f>
        <v/>
      </c>
      <c r="I538" s="7" t="n"/>
      <c r="J538" s="27">
        <f>IF(OR($A538="",$C538=""),"",IF(IFERROR(VLOOKUP($A538,Ledger!$A:$E,5,FALSE),0)&gt;=VLOOKUP($C538,RoleTitles!$A:$B,2,FALSE),"YES","NO"))</f>
        <v/>
      </c>
      <c r="K538" s="27">
        <f>IF($A538="","",IF(AND($H538="PROMOTE",$J538="YES"),"YES — PROMOTE","NO"))</f>
        <v/>
      </c>
    </row>
    <row r="539">
      <c r="A539" s="7" t="n"/>
      <c r="B539" s="7">
        <f>IF($A539="","",VLOOKUP($A539,CoachRoster!$A:$E,4,FALSE))</f>
        <v/>
      </c>
      <c r="C539" s="7" t="n"/>
      <c r="D539" s="7" t="n"/>
      <c r="E539" s="7" t="n"/>
      <c r="F539" s="7" t="n"/>
      <c r="G539" s="7" t="n"/>
      <c r="H539" s="7">
        <f>IF($A539="","",IF(AND($E539="Pass",$F539="Pass",$G539="Pass"),"PROMOTE","NOT YET"))</f>
        <v/>
      </c>
      <c r="I539" s="7" t="n"/>
      <c r="J539" s="27">
        <f>IF(OR($A539="",$C539=""),"",IF(IFERROR(VLOOKUP($A539,Ledger!$A:$E,5,FALSE),0)&gt;=VLOOKUP($C539,RoleTitles!$A:$B,2,FALSE),"YES","NO"))</f>
        <v/>
      </c>
      <c r="K539" s="27">
        <f>IF($A539="","",IF(AND($H539="PROMOTE",$J539="YES"),"YES — PROMOTE","NO"))</f>
        <v/>
      </c>
    </row>
    <row r="540">
      <c r="A540" s="7" t="n"/>
      <c r="B540" s="7">
        <f>IF($A540="","",VLOOKUP($A540,CoachRoster!$A:$E,4,FALSE))</f>
        <v/>
      </c>
      <c r="C540" s="7" t="n"/>
      <c r="D540" s="7" t="n"/>
      <c r="E540" s="7" t="n"/>
      <c r="F540" s="7" t="n"/>
      <c r="G540" s="7" t="n"/>
      <c r="H540" s="7">
        <f>IF($A540="","",IF(AND($E540="Pass",$F540="Pass",$G540="Pass"),"PROMOTE","NOT YET"))</f>
        <v/>
      </c>
      <c r="I540" s="7" t="n"/>
      <c r="J540" s="27">
        <f>IF(OR($A540="",$C540=""),"",IF(IFERROR(VLOOKUP($A540,Ledger!$A:$E,5,FALSE),0)&gt;=VLOOKUP($C540,RoleTitles!$A:$B,2,FALSE),"YES","NO"))</f>
        <v/>
      </c>
      <c r="K540" s="27">
        <f>IF($A540="","",IF(AND($H540="PROMOTE",$J540="YES"),"YES — PROMOTE","NO"))</f>
        <v/>
      </c>
    </row>
    <row r="541">
      <c r="A541" s="7" t="n"/>
      <c r="B541" s="7">
        <f>IF($A541="","",VLOOKUP($A541,CoachRoster!$A:$E,4,FALSE))</f>
        <v/>
      </c>
      <c r="C541" s="7" t="n"/>
      <c r="D541" s="7" t="n"/>
      <c r="E541" s="7" t="n"/>
      <c r="F541" s="7" t="n"/>
      <c r="G541" s="7" t="n"/>
      <c r="H541" s="7">
        <f>IF($A541="","",IF(AND($E541="Pass",$F541="Pass",$G541="Pass"),"PROMOTE","NOT YET"))</f>
        <v/>
      </c>
      <c r="I541" s="7" t="n"/>
      <c r="J541" s="27">
        <f>IF(OR($A541="",$C541=""),"",IF(IFERROR(VLOOKUP($A541,Ledger!$A:$E,5,FALSE),0)&gt;=VLOOKUP($C541,RoleTitles!$A:$B,2,FALSE),"YES","NO"))</f>
        <v/>
      </c>
      <c r="K541" s="27">
        <f>IF($A541="","",IF(AND($H541="PROMOTE",$J541="YES"),"YES — PROMOTE","NO"))</f>
        <v/>
      </c>
    </row>
    <row r="542">
      <c r="A542" s="7" t="n"/>
      <c r="B542" s="7">
        <f>IF($A542="","",VLOOKUP($A542,CoachRoster!$A:$E,4,FALSE))</f>
        <v/>
      </c>
      <c r="C542" s="7" t="n"/>
      <c r="D542" s="7" t="n"/>
      <c r="E542" s="7" t="n"/>
      <c r="F542" s="7" t="n"/>
      <c r="G542" s="7" t="n"/>
      <c r="H542" s="7">
        <f>IF($A542="","",IF(AND($E542="Pass",$F542="Pass",$G542="Pass"),"PROMOTE","NOT YET"))</f>
        <v/>
      </c>
      <c r="I542" s="7" t="n"/>
      <c r="J542" s="27">
        <f>IF(OR($A542="",$C542=""),"",IF(IFERROR(VLOOKUP($A542,Ledger!$A:$E,5,FALSE),0)&gt;=VLOOKUP($C542,RoleTitles!$A:$B,2,FALSE),"YES","NO"))</f>
        <v/>
      </c>
      <c r="K542" s="27">
        <f>IF($A542="","",IF(AND($H542="PROMOTE",$J542="YES"),"YES — PROMOTE","NO"))</f>
        <v/>
      </c>
    </row>
    <row r="543">
      <c r="A543" s="7" t="n"/>
      <c r="B543" s="7">
        <f>IF($A543="","",VLOOKUP($A543,CoachRoster!$A:$E,4,FALSE))</f>
        <v/>
      </c>
      <c r="C543" s="7" t="n"/>
      <c r="D543" s="7" t="n"/>
      <c r="E543" s="7" t="n"/>
      <c r="F543" s="7" t="n"/>
      <c r="G543" s="7" t="n"/>
      <c r="H543" s="7">
        <f>IF($A543="","",IF(AND($E543="Pass",$F543="Pass",$G543="Pass"),"PROMOTE","NOT YET"))</f>
        <v/>
      </c>
      <c r="I543" s="7" t="n"/>
      <c r="J543" s="27">
        <f>IF(OR($A543="",$C543=""),"",IF(IFERROR(VLOOKUP($A543,Ledger!$A:$E,5,FALSE),0)&gt;=VLOOKUP($C543,RoleTitles!$A:$B,2,FALSE),"YES","NO"))</f>
        <v/>
      </c>
      <c r="K543" s="27">
        <f>IF($A543="","",IF(AND($H543="PROMOTE",$J543="YES"),"YES — PROMOTE","NO"))</f>
        <v/>
      </c>
    </row>
    <row r="544">
      <c r="A544" s="7" t="n"/>
      <c r="B544" s="7">
        <f>IF($A544="","",VLOOKUP($A544,CoachRoster!$A:$E,4,FALSE))</f>
        <v/>
      </c>
      <c r="C544" s="7" t="n"/>
      <c r="D544" s="7" t="n"/>
      <c r="E544" s="7" t="n"/>
      <c r="F544" s="7" t="n"/>
      <c r="G544" s="7" t="n"/>
      <c r="H544" s="7">
        <f>IF($A544="","",IF(AND($E544="Pass",$F544="Pass",$G544="Pass"),"PROMOTE","NOT YET"))</f>
        <v/>
      </c>
      <c r="I544" s="7" t="n"/>
      <c r="J544" s="27">
        <f>IF(OR($A544="",$C544=""),"",IF(IFERROR(VLOOKUP($A544,Ledger!$A:$E,5,FALSE),0)&gt;=VLOOKUP($C544,RoleTitles!$A:$B,2,FALSE),"YES","NO"))</f>
        <v/>
      </c>
      <c r="K544" s="27">
        <f>IF($A544="","",IF(AND($H544="PROMOTE",$J544="YES"),"YES — PROMOTE","NO"))</f>
        <v/>
      </c>
    </row>
    <row r="545">
      <c r="A545" s="7" t="n"/>
      <c r="B545" s="7">
        <f>IF($A545="","",VLOOKUP($A545,CoachRoster!$A:$E,4,FALSE))</f>
        <v/>
      </c>
      <c r="C545" s="7" t="n"/>
      <c r="D545" s="7" t="n"/>
      <c r="E545" s="7" t="n"/>
      <c r="F545" s="7" t="n"/>
      <c r="G545" s="7" t="n"/>
      <c r="H545" s="7">
        <f>IF($A545="","",IF(AND($E545="Pass",$F545="Pass",$G545="Pass"),"PROMOTE","NOT YET"))</f>
        <v/>
      </c>
      <c r="I545" s="7" t="n"/>
      <c r="J545" s="27">
        <f>IF(OR($A545="",$C545=""),"",IF(IFERROR(VLOOKUP($A545,Ledger!$A:$E,5,FALSE),0)&gt;=VLOOKUP($C545,RoleTitles!$A:$B,2,FALSE),"YES","NO"))</f>
        <v/>
      </c>
      <c r="K545" s="27">
        <f>IF($A545="","",IF(AND($H545="PROMOTE",$J545="YES"),"YES — PROMOTE","NO"))</f>
        <v/>
      </c>
    </row>
    <row r="546">
      <c r="A546" s="7" t="n"/>
      <c r="B546" s="7">
        <f>IF($A546="","",VLOOKUP($A546,CoachRoster!$A:$E,4,FALSE))</f>
        <v/>
      </c>
      <c r="C546" s="7" t="n"/>
      <c r="D546" s="7" t="n"/>
      <c r="E546" s="7" t="n"/>
      <c r="F546" s="7" t="n"/>
      <c r="G546" s="7" t="n"/>
      <c r="H546" s="7">
        <f>IF($A546="","",IF(AND($E546="Pass",$F546="Pass",$G546="Pass"),"PROMOTE","NOT YET"))</f>
        <v/>
      </c>
      <c r="I546" s="7" t="n"/>
      <c r="J546" s="27">
        <f>IF(OR($A546="",$C546=""),"",IF(IFERROR(VLOOKUP($A546,Ledger!$A:$E,5,FALSE),0)&gt;=VLOOKUP($C546,RoleTitles!$A:$B,2,FALSE),"YES","NO"))</f>
        <v/>
      </c>
      <c r="K546" s="27">
        <f>IF($A546="","",IF(AND($H546="PROMOTE",$J546="YES"),"YES — PROMOTE","NO"))</f>
        <v/>
      </c>
    </row>
    <row r="547">
      <c r="A547" s="7" t="n"/>
      <c r="B547" s="7">
        <f>IF($A547="","",VLOOKUP($A547,CoachRoster!$A:$E,4,FALSE))</f>
        <v/>
      </c>
      <c r="C547" s="7" t="n"/>
      <c r="D547" s="7" t="n"/>
      <c r="E547" s="7" t="n"/>
      <c r="F547" s="7" t="n"/>
      <c r="G547" s="7" t="n"/>
      <c r="H547" s="7">
        <f>IF($A547="","",IF(AND($E547="Pass",$F547="Pass",$G547="Pass"),"PROMOTE","NOT YET"))</f>
        <v/>
      </c>
      <c r="I547" s="7" t="n"/>
      <c r="J547" s="27">
        <f>IF(OR($A547="",$C547=""),"",IF(IFERROR(VLOOKUP($A547,Ledger!$A:$E,5,FALSE),0)&gt;=VLOOKUP($C547,RoleTitles!$A:$B,2,FALSE),"YES","NO"))</f>
        <v/>
      </c>
      <c r="K547" s="27">
        <f>IF($A547="","",IF(AND($H547="PROMOTE",$J547="YES"),"YES — PROMOTE","NO"))</f>
        <v/>
      </c>
    </row>
    <row r="548">
      <c r="A548" s="7" t="n"/>
      <c r="B548" s="7">
        <f>IF($A548="","",VLOOKUP($A548,CoachRoster!$A:$E,4,FALSE))</f>
        <v/>
      </c>
      <c r="C548" s="7" t="n"/>
      <c r="D548" s="7" t="n"/>
      <c r="E548" s="7" t="n"/>
      <c r="F548" s="7" t="n"/>
      <c r="G548" s="7" t="n"/>
      <c r="H548" s="7">
        <f>IF($A548="","",IF(AND($E548="Pass",$F548="Pass",$G548="Pass"),"PROMOTE","NOT YET"))</f>
        <v/>
      </c>
      <c r="I548" s="7" t="n"/>
      <c r="J548" s="27">
        <f>IF(OR($A548="",$C548=""),"",IF(IFERROR(VLOOKUP($A548,Ledger!$A:$E,5,FALSE),0)&gt;=VLOOKUP($C548,RoleTitles!$A:$B,2,FALSE),"YES","NO"))</f>
        <v/>
      </c>
      <c r="K548" s="27">
        <f>IF($A548="","",IF(AND($H548="PROMOTE",$J548="YES"),"YES — PROMOTE","NO"))</f>
        <v/>
      </c>
    </row>
    <row r="549">
      <c r="A549" s="7" t="n"/>
      <c r="B549" s="7">
        <f>IF($A549="","",VLOOKUP($A549,CoachRoster!$A:$E,4,FALSE))</f>
        <v/>
      </c>
      <c r="C549" s="7" t="n"/>
      <c r="D549" s="7" t="n"/>
      <c r="E549" s="7" t="n"/>
      <c r="F549" s="7" t="n"/>
      <c r="G549" s="7" t="n"/>
      <c r="H549" s="7">
        <f>IF($A549="","",IF(AND($E549="Pass",$F549="Pass",$G549="Pass"),"PROMOTE","NOT YET"))</f>
        <v/>
      </c>
      <c r="I549" s="7" t="n"/>
      <c r="J549" s="27">
        <f>IF(OR($A549="",$C549=""),"",IF(IFERROR(VLOOKUP($A549,Ledger!$A:$E,5,FALSE),0)&gt;=VLOOKUP($C549,RoleTitles!$A:$B,2,FALSE),"YES","NO"))</f>
        <v/>
      </c>
      <c r="K549" s="27">
        <f>IF($A549="","",IF(AND($H549="PROMOTE",$J549="YES"),"YES — PROMOTE","NO"))</f>
        <v/>
      </c>
    </row>
    <row r="550">
      <c r="A550" s="7" t="n"/>
      <c r="B550" s="7">
        <f>IF($A550="","",VLOOKUP($A550,CoachRoster!$A:$E,4,FALSE))</f>
        <v/>
      </c>
      <c r="C550" s="7" t="n"/>
      <c r="D550" s="7" t="n"/>
      <c r="E550" s="7" t="n"/>
      <c r="F550" s="7" t="n"/>
      <c r="G550" s="7" t="n"/>
      <c r="H550" s="7">
        <f>IF($A550="","",IF(AND($E550="Pass",$F550="Pass",$G550="Pass"),"PROMOTE","NOT YET"))</f>
        <v/>
      </c>
      <c r="I550" s="7" t="n"/>
      <c r="J550" s="27">
        <f>IF(OR($A550="",$C550=""),"",IF(IFERROR(VLOOKUP($A550,Ledger!$A:$E,5,FALSE),0)&gt;=VLOOKUP($C550,RoleTitles!$A:$B,2,FALSE),"YES","NO"))</f>
        <v/>
      </c>
      <c r="K550" s="27">
        <f>IF($A550="","",IF(AND($H550="PROMOTE",$J550="YES"),"YES — PROMOTE","NO"))</f>
        <v/>
      </c>
    </row>
    <row r="551">
      <c r="A551" s="7" t="n"/>
      <c r="B551" s="7">
        <f>IF($A551="","",VLOOKUP($A551,CoachRoster!$A:$E,4,FALSE))</f>
        <v/>
      </c>
      <c r="C551" s="7" t="n"/>
      <c r="D551" s="7" t="n"/>
      <c r="E551" s="7" t="n"/>
      <c r="F551" s="7" t="n"/>
      <c r="G551" s="7" t="n"/>
      <c r="H551" s="7">
        <f>IF($A551="","",IF(AND($E551="Pass",$F551="Pass",$G551="Pass"),"PROMOTE","NOT YET"))</f>
        <v/>
      </c>
      <c r="I551" s="7" t="n"/>
      <c r="J551" s="27">
        <f>IF(OR($A551="",$C551=""),"",IF(IFERROR(VLOOKUP($A551,Ledger!$A:$E,5,FALSE),0)&gt;=VLOOKUP($C551,RoleTitles!$A:$B,2,FALSE),"YES","NO"))</f>
        <v/>
      </c>
      <c r="K551" s="27">
        <f>IF($A551="","",IF(AND($H551="PROMOTE",$J551="YES"),"YES — PROMOTE","NO"))</f>
        <v/>
      </c>
    </row>
    <row r="552">
      <c r="A552" s="7" t="n"/>
      <c r="B552" s="7">
        <f>IF($A552="","",VLOOKUP($A552,CoachRoster!$A:$E,4,FALSE))</f>
        <v/>
      </c>
      <c r="C552" s="7" t="n"/>
      <c r="D552" s="7" t="n"/>
      <c r="E552" s="7" t="n"/>
      <c r="F552" s="7" t="n"/>
      <c r="G552" s="7" t="n"/>
      <c r="H552" s="7">
        <f>IF($A552="","",IF(AND($E552="Pass",$F552="Pass",$G552="Pass"),"PROMOTE","NOT YET"))</f>
        <v/>
      </c>
      <c r="I552" s="7" t="n"/>
      <c r="J552" s="27">
        <f>IF(OR($A552="",$C552=""),"",IF(IFERROR(VLOOKUP($A552,Ledger!$A:$E,5,FALSE),0)&gt;=VLOOKUP($C552,RoleTitles!$A:$B,2,FALSE),"YES","NO"))</f>
        <v/>
      </c>
      <c r="K552" s="27">
        <f>IF($A552="","",IF(AND($H552="PROMOTE",$J552="YES"),"YES — PROMOTE","NO"))</f>
        <v/>
      </c>
    </row>
    <row r="553">
      <c r="A553" s="7" t="n"/>
      <c r="B553" s="7">
        <f>IF($A553="","",VLOOKUP($A553,CoachRoster!$A:$E,4,FALSE))</f>
        <v/>
      </c>
      <c r="C553" s="7" t="n"/>
      <c r="D553" s="7" t="n"/>
      <c r="E553" s="7" t="n"/>
      <c r="F553" s="7" t="n"/>
      <c r="G553" s="7" t="n"/>
      <c r="H553" s="7">
        <f>IF($A553="","",IF(AND($E553="Pass",$F553="Pass",$G553="Pass"),"PROMOTE","NOT YET"))</f>
        <v/>
      </c>
      <c r="I553" s="7" t="n"/>
      <c r="J553" s="27">
        <f>IF(OR($A553="",$C553=""),"",IF(IFERROR(VLOOKUP($A553,Ledger!$A:$E,5,FALSE),0)&gt;=VLOOKUP($C553,RoleTitles!$A:$B,2,FALSE),"YES","NO"))</f>
        <v/>
      </c>
      <c r="K553" s="27">
        <f>IF($A553="","",IF(AND($H553="PROMOTE",$J553="YES"),"YES — PROMOTE","NO"))</f>
        <v/>
      </c>
    </row>
    <row r="554">
      <c r="A554" s="7" t="n"/>
      <c r="B554" s="7">
        <f>IF($A554="","",VLOOKUP($A554,CoachRoster!$A:$E,4,FALSE))</f>
        <v/>
      </c>
      <c r="C554" s="7" t="n"/>
      <c r="D554" s="7" t="n"/>
      <c r="E554" s="7" t="n"/>
      <c r="F554" s="7" t="n"/>
      <c r="G554" s="7" t="n"/>
      <c r="H554" s="7">
        <f>IF($A554="","",IF(AND($E554="Pass",$F554="Pass",$G554="Pass"),"PROMOTE","NOT YET"))</f>
        <v/>
      </c>
      <c r="I554" s="7" t="n"/>
      <c r="J554" s="27">
        <f>IF(OR($A554="",$C554=""),"",IF(IFERROR(VLOOKUP($A554,Ledger!$A:$E,5,FALSE),0)&gt;=VLOOKUP($C554,RoleTitles!$A:$B,2,FALSE),"YES","NO"))</f>
        <v/>
      </c>
      <c r="K554" s="27">
        <f>IF($A554="","",IF(AND($H554="PROMOTE",$J554="YES"),"YES — PROMOTE","NO"))</f>
        <v/>
      </c>
    </row>
    <row r="555">
      <c r="A555" s="7" t="n"/>
      <c r="B555" s="7">
        <f>IF($A555="","",VLOOKUP($A555,CoachRoster!$A:$E,4,FALSE))</f>
        <v/>
      </c>
      <c r="C555" s="7" t="n"/>
      <c r="D555" s="7" t="n"/>
      <c r="E555" s="7" t="n"/>
      <c r="F555" s="7" t="n"/>
      <c r="G555" s="7" t="n"/>
      <c r="H555" s="7">
        <f>IF($A555="","",IF(AND($E555="Pass",$F555="Pass",$G555="Pass"),"PROMOTE","NOT YET"))</f>
        <v/>
      </c>
      <c r="I555" s="7" t="n"/>
      <c r="J555" s="27">
        <f>IF(OR($A555="",$C555=""),"",IF(IFERROR(VLOOKUP($A555,Ledger!$A:$E,5,FALSE),0)&gt;=VLOOKUP($C555,RoleTitles!$A:$B,2,FALSE),"YES","NO"))</f>
        <v/>
      </c>
      <c r="K555" s="27">
        <f>IF($A555="","",IF(AND($H555="PROMOTE",$J555="YES"),"YES — PROMOTE","NO"))</f>
        <v/>
      </c>
    </row>
    <row r="556">
      <c r="A556" s="7" t="n"/>
      <c r="B556" s="7">
        <f>IF($A556="","",VLOOKUP($A556,CoachRoster!$A:$E,4,FALSE))</f>
        <v/>
      </c>
      <c r="C556" s="7" t="n"/>
      <c r="D556" s="7" t="n"/>
      <c r="E556" s="7" t="n"/>
      <c r="F556" s="7" t="n"/>
      <c r="G556" s="7" t="n"/>
      <c r="H556" s="7">
        <f>IF($A556="","",IF(AND($E556="Pass",$F556="Pass",$G556="Pass"),"PROMOTE","NOT YET"))</f>
        <v/>
      </c>
      <c r="I556" s="7" t="n"/>
      <c r="J556" s="27">
        <f>IF(OR($A556="",$C556=""),"",IF(IFERROR(VLOOKUP($A556,Ledger!$A:$E,5,FALSE),0)&gt;=VLOOKUP($C556,RoleTitles!$A:$B,2,FALSE),"YES","NO"))</f>
        <v/>
      </c>
      <c r="K556" s="27">
        <f>IF($A556="","",IF(AND($H556="PROMOTE",$J556="YES"),"YES — PROMOTE","NO"))</f>
        <v/>
      </c>
    </row>
    <row r="557">
      <c r="A557" s="7" t="n"/>
      <c r="B557" s="7">
        <f>IF($A557="","",VLOOKUP($A557,CoachRoster!$A:$E,4,FALSE))</f>
        <v/>
      </c>
      <c r="C557" s="7" t="n"/>
      <c r="D557" s="7" t="n"/>
      <c r="E557" s="7" t="n"/>
      <c r="F557" s="7" t="n"/>
      <c r="G557" s="7" t="n"/>
      <c r="H557" s="7">
        <f>IF($A557="","",IF(AND($E557="Pass",$F557="Pass",$G557="Pass"),"PROMOTE","NOT YET"))</f>
        <v/>
      </c>
      <c r="I557" s="7" t="n"/>
      <c r="J557" s="27">
        <f>IF(OR($A557="",$C557=""),"",IF(IFERROR(VLOOKUP($A557,Ledger!$A:$E,5,FALSE),0)&gt;=VLOOKUP($C557,RoleTitles!$A:$B,2,FALSE),"YES","NO"))</f>
        <v/>
      </c>
      <c r="K557" s="27">
        <f>IF($A557="","",IF(AND($H557="PROMOTE",$J557="YES"),"YES — PROMOTE","NO"))</f>
        <v/>
      </c>
    </row>
    <row r="558">
      <c r="A558" s="7" t="n"/>
      <c r="B558" s="7">
        <f>IF($A558="","",VLOOKUP($A558,CoachRoster!$A:$E,4,FALSE))</f>
        <v/>
      </c>
      <c r="C558" s="7" t="n"/>
      <c r="D558" s="7" t="n"/>
      <c r="E558" s="7" t="n"/>
      <c r="F558" s="7" t="n"/>
      <c r="G558" s="7" t="n"/>
      <c r="H558" s="7">
        <f>IF($A558="","",IF(AND($E558="Pass",$F558="Pass",$G558="Pass"),"PROMOTE","NOT YET"))</f>
        <v/>
      </c>
      <c r="I558" s="7" t="n"/>
      <c r="J558" s="27">
        <f>IF(OR($A558="",$C558=""),"",IF(IFERROR(VLOOKUP($A558,Ledger!$A:$E,5,FALSE),0)&gt;=VLOOKUP($C558,RoleTitles!$A:$B,2,FALSE),"YES","NO"))</f>
        <v/>
      </c>
      <c r="K558" s="27">
        <f>IF($A558="","",IF(AND($H558="PROMOTE",$J558="YES"),"YES — PROMOTE","NO"))</f>
        <v/>
      </c>
    </row>
    <row r="559">
      <c r="A559" s="7" t="n"/>
      <c r="B559" s="7">
        <f>IF($A559="","",VLOOKUP($A559,CoachRoster!$A:$E,4,FALSE))</f>
        <v/>
      </c>
      <c r="C559" s="7" t="n"/>
      <c r="D559" s="7" t="n"/>
      <c r="E559" s="7" t="n"/>
      <c r="F559" s="7" t="n"/>
      <c r="G559" s="7" t="n"/>
      <c r="H559" s="7">
        <f>IF($A559="","",IF(AND($E559="Pass",$F559="Pass",$G559="Pass"),"PROMOTE","NOT YET"))</f>
        <v/>
      </c>
      <c r="I559" s="7" t="n"/>
      <c r="J559" s="27">
        <f>IF(OR($A559="",$C559=""),"",IF(IFERROR(VLOOKUP($A559,Ledger!$A:$E,5,FALSE),0)&gt;=VLOOKUP($C559,RoleTitles!$A:$B,2,FALSE),"YES","NO"))</f>
        <v/>
      </c>
      <c r="K559" s="27">
        <f>IF($A559="","",IF(AND($H559="PROMOTE",$J559="YES"),"YES — PROMOTE","NO"))</f>
        <v/>
      </c>
    </row>
    <row r="560">
      <c r="A560" s="7" t="n"/>
      <c r="B560" s="7">
        <f>IF($A560="","",VLOOKUP($A560,CoachRoster!$A:$E,4,FALSE))</f>
        <v/>
      </c>
      <c r="C560" s="7" t="n"/>
      <c r="D560" s="7" t="n"/>
      <c r="E560" s="7" t="n"/>
      <c r="F560" s="7" t="n"/>
      <c r="G560" s="7" t="n"/>
      <c r="H560" s="7">
        <f>IF($A560="","",IF(AND($E560="Pass",$F560="Pass",$G560="Pass"),"PROMOTE","NOT YET"))</f>
        <v/>
      </c>
      <c r="I560" s="7" t="n"/>
      <c r="J560" s="27">
        <f>IF(OR($A560="",$C560=""),"",IF(IFERROR(VLOOKUP($A560,Ledger!$A:$E,5,FALSE),0)&gt;=VLOOKUP($C560,RoleTitles!$A:$B,2,FALSE),"YES","NO"))</f>
        <v/>
      </c>
      <c r="K560" s="27">
        <f>IF($A560="","",IF(AND($H560="PROMOTE",$J560="YES"),"YES — PROMOTE","NO"))</f>
        <v/>
      </c>
    </row>
    <row r="561">
      <c r="A561" s="7" t="n"/>
      <c r="B561" s="7">
        <f>IF($A561="","",VLOOKUP($A561,CoachRoster!$A:$E,4,FALSE))</f>
        <v/>
      </c>
      <c r="C561" s="7" t="n"/>
      <c r="D561" s="7" t="n"/>
      <c r="E561" s="7" t="n"/>
      <c r="F561" s="7" t="n"/>
      <c r="G561" s="7" t="n"/>
      <c r="H561" s="7">
        <f>IF($A561="","",IF(AND($E561="Pass",$F561="Pass",$G561="Pass"),"PROMOTE","NOT YET"))</f>
        <v/>
      </c>
      <c r="I561" s="7" t="n"/>
      <c r="J561" s="27">
        <f>IF(OR($A561="",$C561=""),"",IF(IFERROR(VLOOKUP($A561,Ledger!$A:$E,5,FALSE),0)&gt;=VLOOKUP($C561,RoleTitles!$A:$B,2,FALSE),"YES","NO"))</f>
        <v/>
      </c>
      <c r="K561" s="27">
        <f>IF($A561="","",IF(AND($H561="PROMOTE",$J561="YES"),"YES — PROMOTE","NO"))</f>
        <v/>
      </c>
    </row>
    <row r="562">
      <c r="A562" s="7" t="n"/>
      <c r="B562" s="7">
        <f>IF($A562="","",VLOOKUP($A562,CoachRoster!$A:$E,4,FALSE))</f>
        <v/>
      </c>
      <c r="C562" s="7" t="n"/>
      <c r="D562" s="7" t="n"/>
      <c r="E562" s="7" t="n"/>
      <c r="F562" s="7" t="n"/>
      <c r="G562" s="7" t="n"/>
      <c r="H562" s="7">
        <f>IF($A562="","",IF(AND($E562="Pass",$F562="Pass",$G562="Pass"),"PROMOTE","NOT YET"))</f>
        <v/>
      </c>
      <c r="I562" s="7" t="n"/>
      <c r="J562" s="27">
        <f>IF(OR($A562="",$C562=""),"",IF(IFERROR(VLOOKUP($A562,Ledger!$A:$E,5,FALSE),0)&gt;=VLOOKUP($C562,RoleTitles!$A:$B,2,FALSE),"YES","NO"))</f>
        <v/>
      </c>
      <c r="K562" s="27">
        <f>IF($A562="","",IF(AND($H562="PROMOTE",$J562="YES"),"YES — PROMOTE","NO"))</f>
        <v/>
      </c>
    </row>
    <row r="563">
      <c r="A563" s="7" t="n"/>
      <c r="B563" s="7">
        <f>IF($A563="","",VLOOKUP($A563,CoachRoster!$A:$E,4,FALSE))</f>
        <v/>
      </c>
      <c r="C563" s="7" t="n"/>
      <c r="D563" s="7" t="n"/>
      <c r="E563" s="7" t="n"/>
      <c r="F563" s="7" t="n"/>
      <c r="G563" s="7" t="n"/>
      <c r="H563" s="7">
        <f>IF($A563="","",IF(AND($E563="Pass",$F563="Pass",$G563="Pass"),"PROMOTE","NOT YET"))</f>
        <v/>
      </c>
      <c r="I563" s="7" t="n"/>
      <c r="J563" s="27">
        <f>IF(OR($A563="",$C563=""),"",IF(IFERROR(VLOOKUP($A563,Ledger!$A:$E,5,FALSE),0)&gt;=VLOOKUP($C563,RoleTitles!$A:$B,2,FALSE),"YES","NO"))</f>
        <v/>
      </c>
      <c r="K563" s="27">
        <f>IF($A563="","",IF(AND($H563="PROMOTE",$J563="YES"),"YES — PROMOTE","NO"))</f>
        <v/>
      </c>
    </row>
    <row r="564">
      <c r="A564" s="7" t="n"/>
      <c r="B564" s="7">
        <f>IF($A564="","",VLOOKUP($A564,CoachRoster!$A:$E,4,FALSE))</f>
        <v/>
      </c>
      <c r="C564" s="7" t="n"/>
      <c r="D564" s="7" t="n"/>
      <c r="E564" s="7" t="n"/>
      <c r="F564" s="7" t="n"/>
      <c r="G564" s="7" t="n"/>
      <c r="H564" s="7">
        <f>IF($A564="","",IF(AND($E564="Pass",$F564="Pass",$G564="Pass"),"PROMOTE","NOT YET"))</f>
        <v/>
      </c>
      <c r="I564" s="7" t="n"/>
      <c r="J564" s="27">
        <f>IF(OR($A564="",$C564=""),"",IF(IFERROR(VLOOKUP($A564,Ledger!$A:$E,5,FALSE),0)&gt;=VLOOKUP($C564,RoleTitles!$A:$B,2,FALSE),"YES","NO"))</f>
        <v/>
      </c>
      <c r="K564" s="27">
        <f>IF($A564="","",IF(AND($H564="PROMOTE",$J564="YES"),"YES — PROMOTE","NO"))</f>
        <v/>
      </c>
    </row>
    <row r="565">
      <c r="A565" s="7" t="n"/>
      <c r="B565" s="7">
        <f>IF($A565="","",VLOOKUP($A565,CoachRoster!$A:$E,4,FALSE))</f>
        <v/>
      </c>
      <c r="C565" s="7" t="n"/>
      <c r="D565" s="7" t="n"/>
      <c r="E565" s="7" t="n"/>
      <c r="F565" s="7" t="n"/>
      <c r="G565" s="7" t="n"/>
      <c r="H565" s="7">
        <f>IF($A565="","",IF(AND($E565="Pass",$F565="Pass",$G565="Pass"),"PROMOTE","NOT YET"))</f>
        <v/>
      </c>
      <c r="I565" s="7" t="n"/>
      <c r="J565" s="27">
        <f>IF(OR($A565="",$C565=""),"",IF(IFERROR(VLOOKUP($A565,Ledger!$A:$E,5,FALSE),0)&gt;=VLOOKUP($C565,RoleTitles!$A:$B,2,FALSE),"YES","NO"))</f>
        <v/>
      </c>
      <c r="K565" s="27">
        <f>IF($A565="","",IF(AND($H565="PROMOTE",$J565="YES"),"YES — PROMOTE","NO"))</f>
        <v/>
      </c>
    </row>
    <row r="566">
      <c r="A566" s="7" t="n"/>
      <c r="B566" s="7">
        <f>IF($A566="","",VLOOKUP($A566,CoachRoster!$A:$E,4,FALSE))</f>
        <v/>
      </c>
      <c r="C566" s="7" t="n"/>
      <c r="D566" s="7" t="n"/>
      <c r="E566" s="7" t="n"/>
      <c r="F566" s="7" t="n"/>
      <c r="G566" s="7" t="n"/>
      <c r="H566" s="7">
        <f>IF($A566="","",IF(AND($E566="Pass",$F566="Pass",$G566="Pass"),"PROMOTE","NOT YET"))</f>
        <v/>
      </c>
      <c r="I566" s="7" t="n"/>
      <c r="J566" s="27">
        <f>IF(OR($A566="",$C566=""),"",IF(IFERROR(VLOOKUP($A566,Ledger!$A:$E,5,FALSE),0)&gt;=VLOOKUP($C566,RoleTitles!$A:$B,2,FALSE),"YES","NO"))</f>
        <v/>
      </c>
      <c r="K566" s="27">
        <f>IF($A566="","",IF(AND($H566="PROMOTE",$J566="YES"),"YES — PROMOTE","NO"))</f>
        <v/>
      </c>
    </row>
    <row r="567">
      <c r="A567" s="7" t="n"/>
      <c r="B567" s="7">
        <f>IF($A567="","",VLOOKUP($A567,CoachRoster!$A:$E,4,FALSE))</f>
        <v/>
      </c>
      <c r="C567" s="7" t="n"/>
      <c r="D567" s="7" t="n"/>
      <c r="E567" s="7" t="n"/>
      <c r="F567" s="7" t="n"/>
      <c r="G567" s="7" t="n"/>
      <c r="H567" s="7">
        <f>IF($A567="","",IF(AND($E567="Pass",$F567="Pass",$G567="Pass"),"PROMOTE","NOT YET"))</f>
        <v/>
      </c>
      <c r="I567" s="7" t="n"/>
      <c r="J567" s="27">
        <f>IF(OR($A567="",$C567=""),"",IF(IFERROR(VLOOKUP($A567,Ledger!$A:$E,5,FALSE),0)&gt;=VLOOKUP($C567,RoleTitles!$A:$B,2,FALSE),"YES","NO"))</f>
        <v/>
      </c>
      <c r="K567" s="27">
        <f>IF($A567="","",IF(AND($H567="PROMOTE",$J567="YES"),"YES — PROMOTE","NO"))</f>
        <v/>
      </c>
    </row>
    <row r="568">
      <c r="A568" s="7" t="n"/>
      <c r="B568" s="7">
        <f>IF($A568="","",VLOOKUP($A568,CoachRoster!$A:$E,4,FALSE))</f>
        <v/>
      </c>
      <c r="C568" s="7" t="n"/>
      <c r="D568" s="7" t="n"/>
      <c r="E568" s="7" t="n"/>
      <c r="F568" s="7" t="n"/>
      <c r="G568" s="7" t="n"/>
      <c r="H568" s="7">
        <f>IF($A568="","",IF(AND($E568="Pass",$F568="Pass",$G568="Pass"),"PROMOTE","NOT YET"))</f>
        <v/>
      </c>
      <c r="I568" s="7" t="n"/>
      <c r="J568" s="27">
        <f>IF(OR($A568="",$C568=""),"",IF(IFERROR(VLOOKUP($A568,Ledger!$A:$E,5,FALSE),0)&gt;=VLOOKUP($C568,RoleTitles!$A:$B,2,FALSE),"YES","NO"))</f>
        <v/>
      </c>
      <c r="K568" s="27">
        <f>IF($A568="","",IF(AND($H568="PROMOTE",$J568="YES"),"YES — PROMOTE","NO"))</f>
        <v/>
      </c>
    </row>
    <row r="569">
      <c r="A569" s="7" t="n"/>
      <c r="B569" s="7">
        <f>IF($A569="","",VLOOKUP($A569,CoachRoster!$A:$E,4,FALSE))</f>
        <v/>
      </c>
      <c r="C569" s="7" t="n"/>
      <c r="D569" s="7" t="n"/>
      <c r="E569" s="7" t="n"/>
      <c r="F569" s="7" t="n"/>
      <c r="G569" s="7" t="n"/>
      <c r="H569" s="7">
        <f>IF($A569="","",IF(AND($E569="Pass",$F569="Pass",$G569="Pass"),"PROMOTE","NOT YET"))</f>
        <v/>
      </c>
      <c r="I569" s="7" t="n"/>
      <c r="J569" s="27">
        <f>IF(OR($A569="",$C569=""),"",IF(IFERROR(VLOOKUP($A569,Ledger!$A:$E,5,FALSE),0)&gt;=VLOOKUP($C569,RoleTitles!$A:$B,2,FALSE),"YES","NO"))</f>
        <v/>
      </c>
      <c r="K569" s="27">
        <f>IF($A569="","",IF(AND($H569="PROMOTE",$J569="YES"),"YES — PROMOTE","NO"))</f>
        <v/>
      </c>
    </row>
    <row r="570">
      <c r="A570" s="7" t="n"/>
      <c r="B570" s="7">
        <f>IF($A570="","",VLOOKUP($A570,CoachRoster!$A:$E,4,FALSE))</f>
        <v/>
      </c>
      <c r="C570" s="7" t="n"/>
      <c r="D570" s="7" t="n"/>
      <c r="E570" s="7" t="n"/>
      <c r="F570" s="7" t="n"/>
      <c r="G570" s="7" t="n"/>
      <c r="H570" s="7">
        <f>IF($A570="","",IF(AND($E570="Pass",$F570="Pass",$G570="Pass"),"PROMOTE","NOT YET"))</f>
        <v/>
      </c>
      <c r="I570" s="7" t="n"/>
      <c r="J570" s="27">
        <f>IF(OR($A570="",$C570=""),"",IF(IFERROR(VLOOKUP($A570,Ledger!$A:$E,5,FALSE),0)&gt;=VLOOKUP($C570,RoleTitles!$A:$B,2,FALSE),"YES","NO"))</f>
        <v/>
      </c>
      <c r="K570" s="27">
        <f>IF($A570="","",IF(AND($H570="PROMOTE",$J570="YES"),"YES — PROMOTE","NO"))</f>
        <v/>
      </c>
    </row>
    <row r="571">
      <c r="A571" s="7" t="n"/>
      <c r="B571" s="7">
        <f>IF($A571="","",VLOOKUP($A571,CoachRoster!$A:$E,4,FALSE))</f>
        <v/>
      </c>
      <c r="C571" s="7" t="n"/>
      <c r="D571" s="7" t="n"/>
      <c r="E571" s="7" t="n"/>
      <c r="F571" s="7" t="n"/>
      <c r="G571" s="7" t="n"/>
      <c r="H571" s="7">
        <f>IF($A571="","",IF(AND($E571="Pass",$F571="Pass",$G571="Pass"),"PROMOTE","NOT YET"))</f>
        <v/>
      </c>
      <c r="I571" s="7" t="n"/>
      <c r="J571" s="27">
        <f>IF(OR($A571="",$C571=""),"",IF(IFERROR(VLOOKUP($A571,Ledger!$A:$E,5,FALSE),0)&gt;=VLOOKUP($C571,RoleTitles!$A:$B,2,FALSE),"YES","NO"))</f>
        <v/>
      </c>
      <c r="K571" s="27">
        <f>IF($A571="","",IF(AND($H571="PROMOTE",$J571="YES"),"YES — PROMOTE","NO"))</f>
        <v/>
      </c>
    </row>
    <row r="572">
      <c r="A572" s="7" t="n"/>
      <c r="B572" s="7">
        <f>IF($A572="","",VLOOKUP($A572,CoachRoster!$A:$E,4,FALSE))</f>
        <v/>
      </c>
      <c r="C572" s="7" t="n"/>
      <c r="D572" s="7" t="n"/>
      <c r="E572" s="7" t="n"/>
      <c r="F572" s="7" t="n"/>
      <c r="G572" s="7" t="n"/>
      <c r="H572" s="7">
        <f>IF($A572="","",IF(AND($E572="Pass",$F572="Pass",$G572="Pass"),"PROMOTE","NOT YET"))</f>
        <v/>
      </c>
      <c r="I572" s="7" t="n"/>
      <c r="J572" s="27">
        <f>IF(OR($A572="",$C572=""),"",IF(IFERROR(VLOOKUP($A572,Ledger!$A:$E,5,FALSE),0)&gt;=VLOOKUP($C572,RoleTitles!$A:$B,2,FALSE),"YES","NO"))</f>
        <v/>
      </c>
      <c r="K572" s="27">
        <f>IF($A572="","",IF(AND($H572="PROMOTE",$J572="YES"),"YES — PROMOTE","NO"))</f>
        <v/>
      </c>
    </row>
    <row r="573">
      <c r="A573" s="7" t="n"/>
      <c r="B573" s="7">
        <f>IF($A573="","",VLOOKUP($A573,CoachRoster!$A:$E,4,FALSE))</f>
        <v/>
      </c>
      <c r="C573" s="7" t="n"/>
      <c r="D573" s="7" t="n"/>
      <c r="E573" s="7" t="n"/>
      <c r="F573" s="7" t="n"/>
      <c r="G573" s="7" t="n"/>
      <c r="H573" s="7">
        <f>IF($A573="","",IF(AND($E573="Pass",$F573="Pass",$G573="Pass"),"PROMOTE","NOT YET"))</f>
        <v/>
      </c>
      <c r="I573" s="7" t="n"/>
      <c r="J573" s="27">
        <f>IF(OR($A573="",$C573=""),"",IF(IFERROR(VLOOKUP($A573,Ledger!$A:$E,5,FALSE),0)&gt;=VLOOKUP($C573,RoleTitles!$A:$B,2,FALSE),"YES","NO"))</f>
        <v/>
      </c>
      <c r="K573" s="27">
        <f>IF($A573="","",IF(AND($H573="PROMOTE",$J573="YES"),"YES — PROMOTE","NO"))</f>
        <v/>
      </c>
    </row>
    <row r="574">
      <c r="A574" s="7" t="n"/>
      <c r="B574" s="7">
        <f>IF($A574="","",VLOOKUP($A574,CoachRoster!$A:$E,4,FALSE))</f>
        <v/>
      </c>
      <c r="C574" s="7" t="n"/>
      <c r="D574" s="7" t="n"/>
      <c r="E574" s="7" t="n"/>
      <c r="F574" s="7" t="n"/>
      <c r="G574" s="7" t="n"/>
      <c r="H574" s="7">
        <f>IF($A574="","",IF(AND($E574="Pass",$F574="Pass",$G574="Pass"),"PROMOTE","NOT YET"))</f>
        <v/>
      </c>
      <c r="I574" s="7" t="n"/>
      <c r="J574" s="27">
        <f>IF(OR($A574="",$C574=""),"",IF(IFERROR(VLOOKUP($A574,Ledger!$A:$E,5,FALSE),0)&gt;=VLOOKUP($C574,RoleTitles!$A:$B,2,FALSE),"YES","NO"))</f>
        <v/>
      </c>
      <c r="K574" s="27">
        <f>IF($A574="","",IF(AND($H574="PROMOTE",$J574="YES"),"YES — PROMOTE","NO"))</f>
        <v/>
      </c>
    </row>
    <row r="575">
      <c r="A575" s="7" t="n"/>
      <c r="B575" s="7">
        <f>IF($A575="","",VLOOKUP($A575,CoachRoster!$A:$E,4,FALSE))</f>
        <v/>
      </c>
      <c r="C575" s="7" t="n"/>
      <c r="D575" s="7" t="n"/>
      <c r="E575" s="7" t="n"/>
      <c r="F575" s="7" t="n"/>
      <c r="G575" s="7" t="n"/>
      <c r="H575" s="7">
        <f>IF($A575="","",IF(AND($E575="Pass",$F575="Pass",$G575="Pass"),"PROMOTE","NOT YET"))</f>
        <v/>
      </c>
      <c r="I575" s="7" t="n"/>
      <c r="J575" s="27">
        <f>IF(OR($A575="",$C575=""),"",IF(IFERROR(VLOOKUP($A575,Ledger!$A:$E,5,FALSE),0)&gt;=VLOOKUP($C575,RoleTitles!$A:$B,2,FALSE),"YES","NO"))</f>
        <v/>
      </c>
      <c r="K575" s="27">
        <f>IF($A575="","",IF(AND($H575="PROMOTE",$J575="YES"),"YES — PROMOTE","NO"))</f>
        <v/>
      </c>
    </row>
    <row r="576">
      <c r="A576" s="7" t="n"/>
      <c r="B576" s="7">
        <f>IF($A576="","",VLOOKUP($A576,CoachRoster!$A:$E,4,FALSE))</f>
        <v/>
      </c>
      <c r="C576" s="7" t="n"/>
      <c r="D576" s="7" t="n"/>
      <c r="E576" s="7" t="n"/>
      <c r="F576" s="7" t="n"/>
      <c r="G576" s="7" t="n"/>
      <c r="H576" s="7">
        <f>IF($A576="","",IF(AND($E576="Pass",$F576="Pass",$G576="Pass"),"PROMOTE","NOT YET"))</f>
        <v/>
      </c>
      <c r="I576" s="7" t="n"/>
      <c r="J576" s="27">
        <f>IF(OR($A576="",$C576=""),"",IF(IFERROR(VLOOKUP($A576,Ledger!$A:$E,5,FALSE),0)&gt;=VLOOKUP($C576,RoleTitles!$A:$B,2,FALSE),"YES","NO"))</f>
        <v/>
      </c>
      <c r="K576" s="27">
        <f>IF($A576="","",IF(AND($H576="PROMOTE",$J576="YES"),"YES — PROMOTE","NO"))</f>
        <v/>
      </c>
    </row>
    <row r="577">
      <c r="A577" s="7" t="n"/>
      <c r="B577" s="7">
        <f>IF($A577="","",VLOOKUP($A577,CoachRoster!$A:$E,4,FALSE))</f>
        <v/>
      </c>
      <c r="C577" s="7" t="n"/>
      <c r="D577" s="7" t="n"/>
      <c r="E577" s="7" t="n"/>
      <c r="F577" s="7" t="n"/>
      <c r="G577" s="7" t="n"/>
      <c r="H577" s="7">
        <f>IF($A577="","",IF(AND($E577="Pass",$F577="Pass",$G577="Pass"),"PROMOTE","NOT YET"))</f>
        <v/>
      </c>
      <c r="I577" s="7" t="n"/>
      <c r="J577" s="27">
        <f>IF(OR($A577="",$C577=""),"",IF(IFERROR(VLOOKUP($A577,Ledger!$A:$E,5,FALSE),0)&gt;=VLOOKUP($C577,RoleTitles!$A:$B,2,FALSE),"YES","NO"))</f>
        <v/>
      </c>
      <c r="K577" s="27">
        <f>IF($A577="","",IF(AND($H577="PROMOTE",$J577="YES"),"YES — PROMOTE","NO"))</f>
        <v/>
      </c>
    </row>
    <row r="578">
      <c r="A578" s="7" t="n"/>
      <c r="B578" s="7">
        <f>IF($A578="","",VLOOKUP($A578,CoachRoster!$A:$E,4,FALSE))</f>
        <v/>
      </c>
      <c r="C578" s="7" t="n"/>
      <c r="D578" s="7" t="n"/>
      <c r="E578" s="7" t="n"/>
      <c r="F578" s="7" t="n"/>
      <c r="G578" s="7" t="n"/>
      <c r="H578" s="7">
        <f>IF($A578="","",IF(AND($E578="Pass",$F578="Pass",$G578="Pass"),"PROMOTE","NOT YET"))</f>
        <v/>
      </c>
      <c r="I578" s="7" t="n"/>
      <c r="J578" s="27">
        <f>IF(OR($A578="",$C578=""),"",IF(IFERROR(VLOOKUP($A578,Ledger!$A:$E,5,FALSE),0)&gt;=VLOOKUP($C578,RoleTitles!$A:$B,2,FALSE),"YES","NO"))</f>
        <v/>
      </c>
      <c r="K578" s="27">
        <f>IF($A578="","",IF(AND($H578="PROMOTE",$J578="YES"),"YES — PROMOTE","NO"))</f>
        <v/>
      </c>
    </row>
    <row r="579">
      <c r="A579" s="7" t="n"/>
      <c r="B579" s="7">
        <f>IF($A579="","",VLOOKUP($A579,CoachRoster!$A:$E,4,FALSE))</f>
        <v/>
      </c>
      <c r="C579" s="7" t="n"/>
      <c r="D579" s="7" t="n"/>
      <c r="E579" s="7" t="n"/>
      <c r="F579" s="7" t="n"/>
      <c r="G579" s="7" t="n"/>
      <c r="H579" s="7">
        <f>IF($A579="","",IF(AND($E579="Pass",$F579="Pass",$G579="Pass"),"PROMOTE","NOT YET"))</f>
        <v/>
      </c>
      <c r="I579" s="7" t="n"/>
      <c r="J579" s="27">
        <f>IF(OR($A579="",$C579=""),"",IF(IFERROR(VLOOKUP($A579,Ledger!$A:$E,5,FALSE),0)&gt;=VLOOKUP($C579,RoleTitles!$A:$B,2,FALSE),"YES","NO"))</f>
        <v/>
      </c>
      <c r="K579" s="27">
        <f>IF($A579="","",IF(AND($H579="PROMOTE",$J579="YES"),"YES — PROMOTE","NO"))</f>
        <v/>
      </c>
    </row>
    <row r="580">
      <c r="A580" s="7" t="n"/>
      <c r="B580" s="7">
        <f>IF($A580="","",VLOOKUP($A580,CoachRoster!$A:$E,4,FALSE))</f>
        <v/>
      </c>
      <c r="C580" s="7" t="n"/>
      <c r="D580" s="7" t="n"/>
      <c r="E580" s="7" t="n"/>
      <c r="F580" s="7" t="n"/>
      <c r="G580" s="7" t="n"/>
      <c r="H580" s="7">
        <f>IF($A580="","",IF(AND($E580="Pass",$F580="Pass",$G580="Pass"),"PROMOTE","NOT YET"))</f>
        <v/>
      </c>
      <c r="I580" s="7" t="n"/>
      <c r="J580" s="27">
        <f>IF(OR($A580="",$C580=""),"",IF(IFERROR(VLOOKUP($A580,Ledger!$A:$E,5,FALSE),0)&gt;=VLOOKUP($C580,RoleTitles!$A:$B,2,FALSE),"YES","NO"))</f>
        <v/>
      </c>
      <c r="K580" s="27">
        <f>IF($A580="","",IF(AND($H580="PROMOTE",$J580="YES"),"YES — PROMOTE","NO"))</f>
        <v/>
      </c>
    </row>
    <row r="581">
      <c r="A581" s="7" t="n"/>
      <c r="B581" s="7">
        <f>IF($A581="","",VLOOKUP($A581,CoachRoster!$A:$E,4,FALSE))</f>
        <v/>
      </c>
      <c r="C581" s="7" t="n"/>
      <c r="D581" s="7" t="n"/>
      <c r="E581" s="7" t="n"/>
      <c r="F581" s="7" t="n"/>
      <c r="G581" s="7" t="n"/>
      <c r="H581" s="7">
        <f>IF($A581="","",IF(AND($E581="Pass",$F581="Pass",$G581="Pass"),"PROMOTE","NOT YET"))</f>
        <v/>
      </c>
      <c r="I581" s="7" t="n"/>
      <c r="J581" s="27">
        <f>IF(OR($A581="",$C581=""),"",IF(IFERROR(VLOOKUP($A581,Ledger!$A:$E,5,FALSE),0)&gt;=VLOOKUP($C581,RoleTitles!$A:$B,2,FALSE),"YES","NO"))</f>
        <v/>
      </c>
      <c r="K581" s="27">
        <f>IF($A581="","",IF(AND($H581="PROMOTE",$J581="YES"),"YES — PROMOTE","NO"))</f>
        <v/>
      </c>
    </row>
    <row r="582">
      <c r="A582" s="7" t="n"/>
      <c r="B582" s="7">
        <f>IF($A582="","",VLOOKUP($A582,CoachRoster!$A:$E,4,FALSE))</f>
        <v/>
      </c>
      <c r="C582" s="7" t="n"/>
      <c r="D582" s="7" t="n"/>
      <c r="E582" s="7" t="n"/>
      <c r="F582" s="7" t="n"/>
      <c r="G582" s="7" t="n"/>
      <c r="H582" s="7">
        <f>IF($A582="","",IF(AND($E582="Pass",$F582="Pass",$G582="Pass"),"PROMOTE","NOT YET"))</f>
        <v/>
      </c>
      <c r="I582" s="7" t="n"/>
      <c r="J582" s="27">
        <f>IF(OR($A582="",$C582=""),"",IF(IFERROR(VLOOKUP($A582,Ledger!$A:$E,5,FALSE),0)&gt;=VLOOKUP($C582,RoleTitles!$A:$B,2,FALSE),"YES","NO"))</f>
        <v/>
      </c>
      <c r="K582" s="27">
        <f>IF($A582="","",IF(AND($H582="PROMOTE",$J582="YES"),"YES — PROMOTE","NO"))</f>
        <v/>
      </c>
    </row>
    <row r="583">
      <c r="A583" s="7" t="n"/>
      <c r="B583" s="7">
        <f>IF($A583="","",VLOOKUP($A583,CoachRoster!$A:$E,4,FALSE))</f>
        <v/>
      </c>
      <c r="C583" s="7" t="n"/>
      <c r="D583" s="7" t="n"/>
      <c r="E583" s="7" t="n"/>
      <c r="F583" s="7" t="n"/>
      <c r="G583" s="7" t="n"/>
      <c r="H583" s="7">
        <f>IF($A583="","",IF(AND($E583="Pass",$F583="Pass",$G583="Pass"),"PROMOTE","NOT YET"))</f>
        <v/>
      </c>
      <c r="I583" s="7" t="n"/>
      <c r="J583" s="27">
        <f>IF(OR($A583="",$C583=""),"",IF(IFERROR(VLOOKUP($A583,Ledger!$A:$E,5,FALSE),0)&gt;=VLOOKUP($C583,RoleTitles!$A:$B,2,FALSE),"YES","NO"))</f>
        <v/>
      </c>
      <c r="K583" s="27">
        <f>IF($A583="","",IF(AND($H583="PROMOTE",$J583="YES"),"YES — PROMOTE","NO"))</f>
        <v/>
      </c>
    </row>
    <row r="584">
      <c r="A584" s="7" t="n"/>
      <c r="B584" s="7">
        <f>IF($A584="","",VLOOKUP($A584,CoachRoster!$A:$E,4,FALSE))</f>
        <v/>
      </c>
      <c r="C584" s="7" t="n"/>
      <c r="D584" s="7" t="n"/>
      <c r="E584" s="7" t="n"/>
      <c r="F584" s="7" t="n"/>
      <c r="G584" s="7" t="n"/>
      <c r="H584" s="7">
        <f>IF($A584="","",IF(AND($E584="Pass",$F584="Pass",$G584="Pass"),"PROMOTE","NOT YET"))</f>
        <v/>
      </c>
      <c r="I584" s="7" t="n"/>
      <c r="J584" s="27">
        <f>IF(OR($A584="",$C584=""),"",IF(IFERROR(VLOOKUP($A584,Ledger!$A:$E,5,FALSE),0)&gt;=VLOOKUP($C584,RoleTitles!$A:$B,2,FALSE),"YES","NO"))</f>
        <v/>
      </c>
      <c r="K584" s="27">
        <f>IF($A584="","",IF(AND($H584="PROMOTE",$J584="YES"),"YES — PROMOTE","NO"))</f>
        <v/>
      </c>
    </row>
    <row r="585">
      <c r="A585" s="7" t="n"/>
      <c r="B585" s="7">
        <f>IF($A585="","",VLOOKUP($A585,CoachRoster!$A:$E,4,FALSE))</f>
        <v/>
      </c>
      <c r="C585" s="7" t="n"/>
      <c r="D585" s="7" t="n"/>
      <c r="E585" s="7" t="n"/>
      <c r="F585" s="7" t="n"/>
      <c r="G585" s="7" t="n"/>
      <c r="H585" s="7">
        <f>IF($A585="","",IF(AND($E585="Pass",$F585="Pass",$G585="Pass"),"PROMOTE","NOT YET"))</f>
        <v/>
      </c>
      <c r="I585" s="7" t="n"/>
      <c r="J585" s="27">
        <f>IF(OR($A585="",$C585=""),"",IF(IFERROR(VLOOKUP($A585,Ledger!$A:$E,5,FALSE),0)&gt;=VLOOKUP($C585,RoleTitles!$A:$B,2,FALSE),"YES","NO"))</f>
        <v/>
      </c>
      <c r="K585" s="27">
        <f>IF($A585="","",IF(AND($H585="PROMOTE",$J585="YES"),"YES — PROMOTE","NO"))</f>
        <v/>
      </c>
    </row>
    <row r="586">
      <c r="A586" s="7" t="n"/>
      <c r="B586" s="7">
        <f>IF($A586="","",VLOOKUP($A586,CoachRoster!$A:$E,4,FALSE))</f>
        <v/>
      </c>
      <c r="C586" s="7" t="n"/>
      <c r="D586" s="7" t="n"/>
      <c r="E586" s="7" t="n"/>
      <c r="F586" s="7" t="n"/>
      <c r="G586" s="7" t="n"/>
      <c r="H586" s="7">
        <f>IF($A586="","",IF(AND($E586="Pass",$F586="Pass",$G586="Pass"),"PROMOTE","NOT YET"))</f>
        <v/>
      </c>
      <c r="I586" s="7" t="n"/>
      <c r="J586" s="27">
        <f>IF(OR($A586="",$C586=""),"",IF(IFERROR(VLOOKUP($A586,Ledger!$A:$E,5,FALSE),0)&gt;=VLOOKUP($C586,RoleTitles!$A:$B,2,FALSE),"YES","NO"))</f>
        <v/>
      </c>
      <c r="K586" s="27">
        <f>IF($A586="","",IF(AND($H586="PROMOTE",$J586="YES"),"YES — PROMOTE","NO"))</f>
        <v/>
      </c>
    </row>
    <row r="587">
      <c r="A587" s="7" t="n"/>
      <c r="B587" s="7">
        <f>IF($A587="","",VLOOKUP($A587,CoachRoster!$A:$E,4,FALSE))</f>
        <v/>
      </c>
      <c r="C587" s="7" t="n"/>
      <c r="D587" s="7" t="n"/>
      <c r="E587" s="7" t="n"/>
      <c r="F587" s="7" t="n"/>
      <c r="G587" s="7" t="n"/>
      <c r="H587" s="7">
        <f>IF($A587="","",IF(AND($E587="Pass",$F587="Pass",$G587="Pass"),"PROMOTE","NOT YET"))</f>
        <v/>
      </c>
      <c r="I587" s="7" t="n"/>
      <c r="J587" s="27">
        <f>IF(OR($A587="",$C587=""),"",IF(IFERROR(VLOOKUP($A587,Ledger!$A:$E,5,FALSE),0)&gt;=VLOOKUP($C587,RoleTitles!$A:$B,2,FALSE),"YES","NO"))</f>
        <v/>
      </c>
      <c r="K587" s="27">
        <f>IF($A587="","",IF(AND($H587="PROMOTE",$J587="YES"),"YES — PROMOTE","NO"))</f>
        <v/>
      </c>
    </row>
    <row r="588">
      <c r="A588" s="7" t="n"/>
      <c r="B588" s="7">
        <f>IF($A588="","",VLOOKUP($A588,CoachRoster!$A:$E,4,FALSE))</f>
        <v/>
      </c>
      <c r="C588" s="7" t="n"/>
      <c r="D588" s="7" t="n"/>
      <c r="E588" s="7" t="n"/>
      <c r="F588" s="7" t="n"/>
      <c r="G588" s="7" t="n"/>
      <c r="H588" s="7">
        <f>IF($A588="","",IF(AND($E588="Pass",$F588="Pass",$G588="Pass"),"PROMOTE","NOT YET"))</f>
        <v/>
      </c>
      <c r="I588" s="7" t="n"/>
      <c r="J588" s="27">
        <f>IF(OR($A588="",$C588=""),"",IF(IFERROR(VLOOKUP($A588,Ledger!$A:$E,5,FALSE),0)&gt;=VLOOKUP($C588,RoleTitles!$A:$B,2,FALSE),"YES","NO"))</f>
        <v/>
      </c>
      <c r="K588" s="27">
        <f>IF($A588="","",IF(AND($H588="PROMOTE",$J588="YES"),"YES — PROMOTE","NO"))</f>
        <v/>
      </c>
    </row>
    <row r="589">
      <c r="A589" s="7" t="n"/>
      <c r="B589" s="7">
        <f>IF($A589="","",VLOOKUP($A589,CoachRoster!$A:$E,4,FALSE))</f>
        <v/>
      </c>
      <c r="C589" s="7" t="n"/>
      <c r="D589" s="7" t="n"/>
      <c r="E589" s="7" t="n"/>
      <c r="F589" s="7" t="n"/>
      <c r="G589" s="7" t="n"/>
      <c r="H589" s="7">
        <f>IF($A589="","",IF(AND($E589="Pass",$F589="Pass",$G589="Pass"),"PROMOTE","NOT YET"))</f>
        <v/>
      </c>
      <c r="I589" s="7" t="n"/>
      <c r="J589" s="27">
        <f>IF(OR($A589="",$C589=""),"",IF(IFERROR(VLOOKUP($A589,Ledger!$A:$E,5,FALSE),0)&gt;=VLOOKUP($C589,RoleTitles!$A:$B,2,FALSE),"YES","NO"))</f>
        <v/>
      </c>
      <c r="K589" s="27">
        <f>IF($A589="","",IF(AND($H589="PROMOTE",$J589="YES"),"YES — PROMOTE","NO"))</f>
        <v/>
      </c>
    </row>
    <row r="590">
      <c r="A590" s="7" t="n"/>
      <c r="B590" s="7">
        <f>IF($A590="","",VLOOKUP($A590,CoachRoster!$A:$E,4,FALSE))</f>
        <v/>
      </c>
      <c r="C590" s="7" t="n"/>
      <c r="D590" s="7" t="n"/>
      <c r="E590" s="7" t="n"/>
      <c r="F590" s="7" t="n"/>
      <c r="G590" s="7" t="n"/>
      <c r="H590" s="7">
        <f>IF($A590="","",IF(AND($E590="Pass",$F590="Pass",$G590="Pass"),"PROMOTE","NOT YET"))</f>
        <v/>
      </c>
      <c r="I590" s="7" t="n"/>
      <c r="J590" s="27">
        <f>IF(OR($A590="",$C590=""),"",IF(IFERROR(VLOOKUP($A590,Ledger!$A:$E,5,FALSE),0)&gt;=VLOOKUP($C590,RoleTitles!$A:$B,2,FALSE),"YES","NO"))</f>
        <v/>
      </c>
      <c r="K590" s="27">
        <f>IF($A590="","",IF(AND($H590="PROMOTE",$J590="YES"),"YES — PROMOTE","NO"))</f>
        <v/>
      </c>
    </row>
    <row r="591">
      <c r="A591" s="7" t="n"/>
      <c r="B591" s="7">
        <f>IF($A591="","",VLOOKUP($A591,CoachRoster!$A:$E,4,FALSE))</f>
        <v/>
      </c>
      <c r="C591" s="7" t="n"/>
      <c r="D591" s="7" t="n"/>
      <c r="E591" s="7" t="n"/>
      <c r="F591" s="7" t="n"/>
      <c r="G591" s="7" t="n"/>
      <c r="H591" s="7">
        <f>IF($A591="","",IF(AND($E591="Pass",$F591="Pass",$G591="Pass"),"PROMOTE","NOT YET"))</f>
        <v/>
      </c>
      <c r="I591" s="7" t="n"/>
      <c r="J591" s="27">
        <f>IF(OR($A591="",$C591=""),"",IF(IFERROR(VLOOKUP($A591,Ledger!$A:$E,5,FALSE),0)&gt;=VLOOKUP($C591,RoleTitles!$A:$B,2,FALSE),"YES","NO"))</f>
        <v/>
      </c>
      <c r="K591" s="27">
        <f>IF($A591="","",IF(AND($H591="PROMOTE",$J591="YES"),"YES — PROMOTE","NO"))</f>
        <v/>
      </c>
    </row>
    <row r="592">
      <c r="A592" s="7" t="n"/>
      <c r="B592" s="7">
        <f>IF($A592="","",VLOOKUP($A592,CoachRoster!$A:$E,4,FALSE))</f>
        <v/>
      </c>
      <c r="C592" s="7" t="n"/>
      <c r="D592" s="7" t="n"/>
      <c r="E592" s="7" t="n"/>
      <c r="F592" s="7" t="n"/>
      <c r="G592" s="7" t="n"/>
      <c r="H592" s="7">
        <f>IF($A592="","",IF(AND($E592="Pass",$F592="Pass",$G592="Pass"),"PROMOTE","NOT YET"))</f>
        <v/>
      </c>
      <c r="I592" s="7" t="n"/>
      <c r="J592" s="27">
        <f>IF(OR($A592="",$C592=""),"",IF(IFERROR(VLOOKUP($A592,Ledger!$A:$E,5,FALSE),0)&gt;=VLOOKUP($C592,RoleTitles!$A:$B,2,FALSE),"YES","NO"))</f>
        <v/>
      </c>
      <c r="K592" s="27">
        <f>IF($A592="","",IF(AND($H592="PROMOTE",$J592="YES"),"YES — PROMOTE","NO"))</f>
        <v/>
      </c>
    </row>
    <row r="593">
      <c r="A593" s="7" t="n"/>
      <c r="B593" s="7">
        <f>IF($A593="","",VLOOKUP($A593,CoachRoster!$A:$E,4,FALSE))</f>
        <v/>
      </c>
      <c r="C593" s="7" t="n"/>
      <c r="D593" s="7" t="n"/>
      <c r="E593" s="7" t="n"/>
      <c r="F593" s="7" t="n"/>
      <c r="G593" s="7" t="n"/>
      <c r="H593" s="7">
        <f>IF($A593="","",IF(AND($E593="Pass",$F593="Pass",$G593="Pass"),"PROMOTE","NOT YET"))</f>
        <v/>
      </c>
      <c r="I593" s="7" t="n"/>
      <c r="J593" s="27">
        <f>IF(OR($A593="",$C593=""),"",IF(IFERROR(VLOOKUP($A593,Ledger!$A:$E,5,FALSE),0)&gt;=VLOOKUP($C593,RoleTitles!$A:$B,2,FALSE),"YES","NO"))</f>
        <v/>
      </c>
      <c r="K593" s="27">
        <f>IF($A593="","",IF(AND($H593="PROMOTE",$J593="YES"),"YES — PROMOTE","NO"))</f>
        <v/>
      </c>
    </row>
    <row r="594">
      <c r="A594" s="7" t="n"/>
      <c r="B594" s="7">
        <f>IF($A594="","",VLOOKUP($A594,CoachRoster!$A:$E,4,FALSE))</f>
        <v/>
      </c>
      <c r="C594" s="7" t="n"/>
      <c r="D594" s="7" t="n"/>
      <c r="E594" s="7" t="n"/>
      <c r="F594" s="7" t="n"/>
      <c r="G594" s="7" t="n"/>
      <c r="H594" s="7">
        <f>IF($A594="","",IF(AND($E594="Pass",$F594="Pass",$G594="Pass"),"PROMOTE","NOT YET"))</f>
        <v/>
      </c>
      <c r="I594" s="7" t="n"/>
      <c r="J594" s="27">
        <f>IF(OR($A594="",$C594=""),"",IF(IFERROR(VLOOKUP($A594,Ledger!$A:$E,5,FALSE),0)&gt;=VLOOKUP($C594,RoleTitles!$A:$B,2,FALSE),"YES","NO"))</f>
        <v/>
      </c>
      <c r="K594" s="27">
        <f>IF($A594="","",IF(AND($H594="PROMOTE",$J594="YES"),"YES — PROMOTE","NO"))</f>
        <v/>
      </c>
    </row>
    <row r="595">
      <c r="A595" s="7" t="n"/>
      <c r="B595" s="7">
        <f>IF($A595="","",VLOOKUP($A595,CoachRoster!$A:$E,4,FALSE))</f>
        <v/>
      </c>
      <c r="C595" s="7" t="n"/>
      <c r="D595" s="7" t="n"/>
      <c r="E595" s="7" t="n"/>
      <c r="F595" s="7" t="n"/>
      <c r="G595" s="7" t="n"/>
      <c r="H595" s="7">
        <f>IF($A595="","",IF(AND($E595="Pass",$F595="Pass",$G595="Pass"),"PROMOTE","NOT YET"))</f>
        <v/>
      </c>
      <c r="I595" s="7" t="n"/>
      <c r="J595" s="27">
        <f>IF(OR($A595="",$C595=""),"",IF(IFERROR(VLOOKUP($A595,Ledger!$A:$E,5,FALSE),0)&gt;=VLOOKUP($C595,RoleTitles!$A:$B,2,FALSE),"YES","NO"))</f>
        <v/>
      </c>
      <c r="K595" s="27">
        <f>IF($A595="","",IF(AND($H595="PROMOTE",$J595="YES"),"YES — PROMOTE","NO"))</f>
        <v/>
      </c>
    </row>
    <row r="596">
      <c r="A596" s="7" t="n"/>
      <c r="B596" s="7">
        <f>IF($A596="","",VLOOKUP($A596,CoachRoster!$A:$E,4,FALSE))</f>
        <v/>
      </c>
      <c r="C596" s="7" t="n"/>
      <c r="D596" s="7" t="n"/>
      <c r="E596" s="7" t="n"/>
      <c r="F596" s="7" t="n"/>
      <c r="G596" s="7" t="n"/>
      <c r="H596" s="7">
        <f>IF($A596="","",IF(AND($E596="Pass",$F596="Pass",$G596="Pass"),"PROMOTE","NOT YET"))</f>
        <v/>
      </c>
      <c r="I596" s="7" t="n"/>
      <c r="J596" s="27">
        <f>IF(OR($A596="",$C596=""),"",IF(IFERROR(VLOOKUP($A596,Ledger!$A:$E,5,FALSE),0)&gt;=VLOOKUP($C596,RoleTitles!$A:$B,2,FALSE),"YES","NO"))</f>
        <v/>
      </c>
      <c r="K596" s="27">
        <f>IF($A596="","",IF(AND($H596="PROMOTE",$J596="YES"),"YES — PROMOTE","NO"))</f>
        <v/>
      </c>
    </row>
    <row r="597">
      <c r="A597" s="7" t="n"/>
      <c r="B597" s="7">
        <f>IF($A597="","",VLOOKUP($A597,CoachRoster!$A:$E,4,FALSE))</f>
        <v/>
      </c>
      <c r="C597" s="7" t="n"/>
      <c r="D597" s="7" t="n"/>
      <c r="E597" s="7" t="n"/>
      <c r="F597" s="7" t="n"/>
      <c r="G597" s="7" t="n"/>
      <c r="H597" s="7">
        <f>IF($A597="","",IF(AND($E597="Pass",$F597="Pass",$G597="Pass"),"PROMOTE","NOT YET"))</f>
        <v/>
      </c>
      <c r="I597" s="7" t="n"/>
      <c r="J597" s="27">
        <f>IF(OR($A597="",$C597=""),"",IF(IFERROR(VLOOKUP($A597,Ledger!$A:$E,5,FALSE),0)&gt;=VLOOKUP($C597,RoleTitles!$A:$B,2,FALSE),"YES","NO"))</f>
        <v/>
      </c>
      <c r="K597" s="27">
        <f>IF($A597="","",IF(AND($H597="PROMOTE",$J597="YES"),"YES — PROMOTE","NO"))</f>
        <v/>
      </c>
    </row>
    <row r="598">
      <c r="A598" s="7" t="n"/>
      <c r="B598" s="7">
        <f>IF($A598="","",VLOOKUP($A598,CoachRoster!$A:$E,4,FALSE))</f>
        <v/>
      </c>
      <c r="C598" s="7" t="n"/>
      <c r="D598" s="7" t="n"/>
      <c r="E598" s="7" t="n"/>
      <c r="F598" s="7" t="n"/>
      <c r="G598" s="7" t="n"/>
      <c r="H598" s="7">
        <f>IF($A598="","",IF(AND($E598="Pass",$F598="Pass",$G598="Pass"),"PROMOTE","NOT YET"))</f>
        <v/>
      </c>
      <c r="I598" s="7" t="n"/>
      <c r="J598" s="27">
        <f>IF(OR($A598="",$C598=""),"",IF(IFERROR(VLOOKUP($A598,Ledger!$A:$E,5,FALSE),0)&gt;=VLOOKUP($C598,RoleTitles!$A:$B,2,FALSE),"YES","NO"))</f>
        <v/>
      </c>
      <c r="K598" s="27">
        <f>IF($A598="","",IF(AND($H598="PROMOTE",$J598="YES"),"YES — PROMOTE","NO"))</f>
        <v/>
      </c>
    </row>
    <row r="599">
      <c r="A599" s="7" t="n"/>
      <c r="B599" s="7">
        <f>IF($A599="","",VLOOKUP($A599,CoachRoster!$A:$E,4,FALSE))</f>
        <v/>
      </c>
      <c r="C599" s="7" t="n"/>
      <c r="D599" s="7" t="n"/>
      <c r="E599" s="7" t="n"/>
      <c r="F599" s="7" t="n"/>
      <c r="G599" s="7" t="n"/>
      <c r="H599" s="7">
        <f>IF($A599="","",IF(AND($E599="Pass",$F599="Pass",$G599="Pass"),"PROMOTE","NOT YET"))</f>
        <v/>
      </c>
      <c r="I599" s="7" t="n"/>
      <c r="J599" s="27">
        <f>IF(OR($A599="",$C599=""),"",IF(IFERROR(VLOOKUP($A599,Ledger!$A:$E,5,FALSE),0)&gt;=VLOOKUP($C599,RoleTitles!$A:$B,2,FALSE),"YES","NO"))</f>
        <v/>
      </c>
      <c r="K599" s="27">
        <f>IF($A599="","",IF(AND($H599="PROMOTE",$J599="YES"),"YES — PROMOTE","NO"))</f>
        <v/>
      </c>
    </row>
    <row r="600">
      <c r="A600" s="7" t="n"/>
      <c r="B600" s="7">
        <f>IF($A600="","",VLOOKUP($A600,CoachRoster!$A:$E,4,FALSE))</f>
        <v/>
      </c>
      <c r="C600" s="7" t="n"/>
      <c r="D600" s="7" t="n"/>
      <c r="E600" s="7" t="n"/>
      <c r="F600" s="7" t="n"/>
      <c r="G600" s="7" t="n"/>
      <c r="H600" s="7">
        <f>IF($A600="","",IF(AND($E600="Pass",$F600="Pass",$G600="Pass"),"PROMOTE","NOT YET"))</f>
        <v/>
      </c>
      <c r="I600" s="7" t="n"/>
      <c r="J600" s="27">
        <f>IF(OR($A600="",$C600=""),"",IF(IFERROR(VLOOKUP($A600,Ledger!$A:$E,5,FALSE),0)&gt;=VLOOKUP($C600,RoleTitles!$A:$B,2,FALSE),"YES","NO"))</f>
        <v/>
      </c>
      <c r="K600" s="27">
        <f>IF($A600="","",IF(AND($H600="PROMOTE",$J600="YES"),"YES — PROMOTE","NO"))</f>
        <v/>
      </c>
    </row>
    <row r="601">
      <c r="A601" s="7" t="n"/>
      <c r="B601" s="7">
        <f>IF($A601="","",VLOOKUP($A601,CoachRoster!$A:$E,4,FALSE))</f>
        <v/>
      </c>
      <c r="C601" s="7" t="n"/>
      <c r="D601" s="7" t="n"/>
      <c r="E601" s="7" t="n"/>
      <c r="F601" s="7" t="n"/>
      <c r="G601" s="7" t="n"/>
      <c r="H601" s="7">
        <f>IF($A601="","",IF(AND($E601="Pass",$F601="Pass",$G601="Pass"),"PROMOTE","NOT YET"))</f>
        <v/>
      </c>
      <c r="I601" s="7" t="n"/>
      <c r="J601" s="27">
        <f>IF(OR($A601="",$C601=""),"",IF(IFERROR(VLOOKUP($A601,Ledger!$A:$E,5,FALSE),0)&gt;=VLOOKUP($C601,RoleTitles!$A:$B,2,FALSE),"YES","NO"))</f>
        <v/>
      </c>
      <c r="K601" s="27">
        <f>IF($A601="","",IF(AND($H601="PROMOTE",$J601="YES"),"YES — PROMOTE","NO"))</f>
        <v/>
      </c>
    </row>
    <row r="602">
      <c r="A602" s="7" t="n"/>
      <c r="B602" s="7">
        <f>IF($A602="","",VLOOKUP($A602,CoachRoster!$A:$E,4,FALSE))</f>
        <v/>
      </c>
      <c r="C602" s="7" t="n"/>
      <c r="D602" s="7" t="n"/>
      <c r="E602" s="7" t="n"/>
      <c r="F602" s="7" t="n"/>
      <c r="G602" s="7" t="n"/>
      <c r="H602" s="7">
        <f>IF($A602="","",IF(AND($E602="Pass",$F602="Pass",$G602="Pass"),"PROMOTE","NOT YET"))</f>
        <v/>
      </c>
      <c r="I602" s="7" t="n"/>
      <c r="J602" s="27">
        <f>IF(OR($A602="",$C602=""),"",IF(IFERROR(VLOOKUP($A602,Ledger!$A:$E,5,FALSE),0)&gt;=VLOOKUP($C602,RoleTitles!$A:$B,2,FALSE),"YES","NO"))</f>
        <v/>
      </c>
      <c r="K602" s="27">
        <f>IF($A602="","",IF(AND($H602="PROMOTE",$J602="YES"),"YES — PROMOTE","NO"))</f>
        <v/>
      </c>
    </row>
    <row r="603">
      <c r="A603" s="7" t="n"/>
      <c r="B603" s="7">
        <f>IF($A603="","",VLOOKUP($A603,CoachRoster!$A:$E,4,FALSE))</f>
        <v/>
      </c>
      <c r="C603" s="7" t="n"/>
      <c r="D603" s="7" t="n"/>
      <c r="E603" s="7" t="n"/>
      <c r="F603" s="7" t="n"/>
      <c r="G603" s="7" t="n"/>
      <c r="H603" s="7">
        <f>IF($A603="","",IF(AND($E603="Pass",$F603="Pass",$G603="Pass"),"PROMOTE","NOT YET"))</f>
        <v/>
      </c>
      <c r="I603" s="7" t="n"/>
      <c r="J603" s="27">
        <f>IF(OR($A603="",$C603=""),"",IF(IFERROR(VLOOKUP($A603,Ledger!$A:$E,5,FALSE),0)&gt;=VLOOKUP($C603,RoleTitles!$A:$B,2,FALSE),"YES","NO"))</f>
        <v/>
      </c>
      <c r="K603" s="27">
        <f>IF($A603="","",IF(AND($H603="PROMOTE",$J603="YES"),"YES — PROMOTE","NO"))</f>
        <v/>
      </c>
    </row>
    <row r="604">
      <c r="A604" s="7" t="n"/>
      <c r="B604" s="7">
        <f>IF($A604="","",VLOOKUP($A604,CoachRoster!$A:$E,4,FALSE))</f>
        <v/>
      </c>
      <c r="C604" s="7" t="n"/>
      <c r="D604" s="7" t="n"/>
      <c r="E604" s="7" t="n"/>
      <c r="F604" s="7" t="n"/>
      <c r="G604" s="7" t="n"/>
      <c r="H604" s="7">
        <f>IF($A604="","",IF(AND($E604="Pass",$F604="Pass",$G604="Pass"),"PROMOTE","NOT YET"))</f>
        <v/>
      </c>
      <c r="I604" s="7" t="n"/>
      <c r="J604" s="27">
        <f>IF(OR($A604="",$C604=""),"",IF(IFERROR(VLOOKUP($A604,Ledger!$A:$E,5,FALSE),0)&gt;=VLOOKUP($C604,RoleTitles!$A:$B,2,FALSE),"YES","NO"))</f>
        <v/>
      </c>
      <c r="K604" s="27">
        <f>IF($A604="","",IF(AND($H604="PROMOTE",$J604="YES"),"YES — PROMOTE","NO"))</f>
        <v/>
      </c>
    </row>
    <row r="605">
      <c r="A605" s="7" t="n"/>
      <c r="B605" s="7">
        <f>IF($A605="","",VLOOKUP($A605,CoachRoster!$A:$E,4,FALSE))</f>
        <v/>
      </c>
      <c r="C605" s="7" t="n"/>
      <c r="D605" s="7" t="n"/>
      <c r="E605" s="7" t="n"/>
      <c r="F605" s="7" t="n"/>
      <c r="G605" s="7" t="n"/>
      <c r="H605" s="7">
        <f>IF($A605="","",IF(AND($E605="Pass",$F605="Pass",$G605="Pass"),"PROMOTE","NOT YET"))</f>
        <v/>
      </c>
      <c r="I605" s="7" t="n"/>
      <c r="J605" s="27">
        <f>IF(OR($A605="",$C605=""),"",IF(IFERROR(VLOOKUP($A605,Ledger!$A:$E,5,FALSE),0)&gt;=VLOOKUP($C605,RoleTitles!$A:$B,2,FALSE),"YES","NO"))</f>
        <v/>
      </c>
      <c r="K605" s="27">
        <f>IF($A605="","",IF(AND($H605="PROMOTE",$J605="YES"),"YES — PROMOTE","NO"))</f>
        <v/>
      </c>
    </row>
    <row r="606">
      <c r="A606" s="7" t="n"/>
      <c r="B606" s="7">
        <f>IF($A606="","",VLOOKUP($A606,CoachRoster!$A:$E,4,FALSE))</f>
        <v/>
      </c>
      <c r="C606" s="7" t="n"/>
      <c r="D606" s="7" t="n"/>
      <c r="E606" s="7" t="n"/>
      <c r="F606" s="7" t="n"/>
      <c r="G606" s="7" t="n"/>
      <c r="H606" s="7">
        <f>IF($A606="","",IF(AND($E606="Pass",$F606="Pass",$G606="Pass"),"PROMOTE","NOT YET"))</f>
        <v/>
      </c>
      <c r="I606" s="7" t="n"/>
      <c r="J606" s="27">
        <f>IF(OR($A606="",$C606=""),"",IF(IFERROR(VLOOKUP($A606,Ledger!$A:$E,5,FALSE),0)&gt;=VLOOKUP($C606,RoleTitles!$A:$B,2,FALSE),"YES","NO"))</f>
        <v/>
      </c>
      <c r="K606" s="27">
        <f>IF($A606="","",IF(AND($H606="PROMOTE",$J606="YES"),"YES — PROMOTE","NO"))</f>
        <v/>
      </c>
    </row>
    <row r="607">
      <c r="A607" s="7" t="n"/>
      <c r="B607" s="7">
        <f>IF($A607="","",VLOOKUP($A607,CoachRoster!$A:$E,4,FALSE))</f>
        <v/>
      </c>
      <c r="C607" s="7" t="n"/>
      <c r="D607" s="7" t="n"/>
      <c r="E607" s="7" t="n"/>
      <c r="F607" s="7" t="n"/>
      <c r="G607" s="7" t="n"/>
      <c r="H607" s="7">
        <f>IF($A607="","",IF(AND($E607="Pass",$F607="Pass",$G607="Pass"),"PROMOTE","NOT YET"))</f>
        <v/>
      </c>
      <c r="I607" s="7" t="n"/>
      <c r="J607" s="27">
        <f>IF(OR($A607="",$C607=""),"",IF(IFERROR(VLOOKUP($A607,Ledger!$A:$E,5,FALSE),0)&gt;=VLOOKUP($C607,RoleTitles!$A:$B,2,FALSE),"YES","NO"))</f>
        <v/>
      </c>
      <c r="K607" s="27">
        <f>IF($A607="","",IF(AND($H607="PROMOTE",$J607="YES"),"YES — PROMOTE","NO"))</f>
        <v/>
      </c>
    </row>
    <row r="608">
      <c r="A608" s="7" t="n"/>
      <c r="B608" s="7">
        <f>IF($A608="","",VLOOKUP($A608,CoachRoster!$A:$E,4,FALSE))</f>
        <v/>
      </c>
      <c r="C608" s="7" t="n"/>
      <c r="D608" s="7" t="n"/>
      <c r="E608" s="7" t="n"/>
      <c r="F608" s="7" t="n"/>
      <c r="G608" s="7" t="n"/>
      <c r="H608" s="7">
        <f>IF($A608="","",IF(AND($E608="Pass",$F608="Pass",$G608="Pass"),"PROMOTE","NOT YET"))</f>
        <v/>
      </c>
      <c r="I608" s="7" t="n"/>
      <c r="J608" s="27">
        <f>IF(OR($A608="",$C608=""),"",IF(IFERROR(VLOOKUP($A608,Ledger!$A:$E,5,FALSE),0)&gt;=VLOOKUP($C608,RoleTitles!$A:$B,2,FALSE),"YES","NO"))</f>
        <v/>
      </c>
      <c r="K608" s="27">
        <f>IF($A608="","",IF(AND($H608="PROMOTE",$J608="YES"),"YES — PROMOTE","NO"))</f>
        <v/>
      </c>
    </row>
    <row r="609">
      <c r="A609" s="7" t="n"/>
      <c r="B609" s="7">
        <f>IF($A609="","",VLOOKUP($A609,CoachRoster!$A:$E,4,FALSE))</f>
        <v/>
      </c>
      <c r="C609" s="7" t="n"/>
      <c r="D609" s="7" t="n"/>
      <c r="E609" s="7" t="n"/>
      <c r="F609" s="7" t="n"/>
      <c r="G609" s="7" t="n"/>
      <c r="H609" s="7">
        <f>IF($A609="","",IF(AND($E609="Pass",$F609="Pass",$G609="Pass"),"PROMOTE","NOT YET"))</f>
        <v/>
      </c>
      <c r="I609" s="7" t="n"/>
      <c r="J609" s="27">
        <f>IF(OR($A609="",$C609=""),"",IF(IFERROR(VLOOKUP($A609,Ledger!$A:$E,5,FALSE),0)&gt;=VLOOKUP($C609,RoleTitles!$A:$B,2,FALSE),"YES","NO"))</f>
        <v/>
      </c>
      <c r="K609" s="27">
        <f>IF($A609="","",IF(AND($H609="PROMOTE",$J609="YES"),"YES — PROMOTE","NO"))</f>
        <v/>
      </c>
    </row>
    <row r="610">
      <c r="A610" s="7" t="n"/>
      <c r="B610" s="7">
        <f>IF($A610="","",VLOOKUP($A610,CoachRoster!$A:$E,4,FALSE))</f>
        <v/>
      </c>
      <c r="C610" s="7" t="n"/>
      <c r="D610" s="7" t="n"/>
      <c r="E610" s="7" t="n"/>
      <c r="F610" s="7" t="n"/>
      <c r="G610" s="7" t="n"/>
      <c r="H610" s="7">
        <f>IF($A610="","",IF(AND($E610="Pass",$F610="Pass",$G610="Pass"),"PROMOTE","NOT YET"))</f>
        <v/>
      </c>
      <c r="I610" s="7" t="n"/>
      <c r="J610" s="27">
        <f>IF(OR($A610="",$C610=""),"",IF(IFERROR(VLOOKUP($A610,Ledger!$A:$E,5,FALSE),0)&gt;=VLOOKUP($C610,RoleTitles!$A:$B,2,FALSE),"YES","NO"))</f>
        <v/>
      </c>
      <c r="K610" s="27">
        <f>IF($A610="","",IF(AND($H610="PROMOTE",$J610="YES"),"YES — PROMOTE","NO"))</f>
        <v/>
      </c>
    </row>
    <row r="611">
      <c r="A611" s="7" t="n"/>
      <c r="B611" s="7">
        <f>IF($A611="","",VLOOKUP($A611,CoachRoster!$A:$E,4,FALSE))</f>
        <v/>
      </c>
      <c r="C611" s="7" t="n"/>
      <c r="D611" s="7" t="n"/>
      <c r="E611" s="7" t="n"/>
      <c r="F611" s="7" t="n"/>
      <c r="G611" s="7" t="n"/>
      <c r="H611" s="7">
        <f>IF($A611="","",IF(AND($E611="Pass",$F611="Pass",$G611="Pass"),"PROMOTE","NOT YET"))</f>
        <v/>
      </c>
      <c r="I611" s="7" t="n"/>
      <c r="J611" s="27">
        <f>IF(OR($A611="",$C611=""),"",IF(IFERROR(VLOOKUP($A611,Ledger!$A:$E,5,FALSE),0)&gt;=VLOOKUP($C611,RoleTitles!$A:$B,2,FALSE),"YES","NO"))</f>
        <v/>
      </c>
      <c r="K611" s="27">
        <f>IF($A611="","",IF(AND($H611="PROMOTE",$J611="YES"),"YES — PROMOTE","NO"))</f>
        <v/>
      </c>
    </row>
    <row r="612">
      <c r="A612" s="7" t="n"/>
      <c r="B612" s="7">
        <f>IF($A612="","",VLOOKUP($A612,CoachRoster!$A:$E,4,FALSE))</f>
        <v/>
      </c>
      <c r="C612" s="7" t="n"/>
      <c r="D612" s="7" t="n"/>
      <c r="E612" s="7" t="n"/>
      <c r="F612" s="7" t="n"/>
      <c r="G612" s="7" t="n"/>
      <c r="H612" s="7">
        <f>IF($A612="","",IF(AND($E612="Pass",$F612="Pass",$G612="Pass"),"PROMOTE","NOT YET"))</f>
        <v/>
      </c>
      <c r="I612" s="7" t="n"/>
      <c r="J612" s="27">
        <f>IF(OR($A612="",$C612=""),"",IF(IFERROR(VLOOKUP($A612,Ledger!$A:$E,5,FALSE),0)&gt;=VLOOKUP($C612,RoleTitles!$A:$B,2,FALSE),"YES","NO"))</f>
        <v/>
      </c>
      <c r="K612" s="27">
        <f>IF($A612="","",IF(AND($H612="PROMOTE",$J612="YES"),"YES — PROMOTE","NO"))</f>
        <v/>
      </c>
    </row>
    <row r="613">
      <c r="A613" s="7" t="n"/>
      <c r="B613" s="7">
        <f>IF($A613="","",VLOOKUP($A613,CoachRoster!$A:$E,4,FALSE))</f>
        <v/>
      </c>
      <c r="C613" s="7" t="n"/>
      <c r="D613" s="7" t="n"/>
      <c r="E613" s="7" t="n"/>
      <c r="F613" s="7" t="n"/>
      <c r="G613" s="7" t="n"/>
      <c r="H613" s="7">
        <f>IF($A613="","",IF(AND($E613="Pass",$F613="Pass",$G613="Pass"),"PROMOTE","NOT YET"))</f>
        <v/>
      </c>
      <c r="I613" s="7" t="n"/>
      <c r="J613" s="27">
        <f>IF(OR($A613="",$C613=""),"",IF(IFERROR(VLOOKUP($A613,Ledger!$A:$E,5,FALSE),0)&gt;=VLOOKUP($C613,RoleTitles!$A:$B,2,FALSE),"YES","NO"))</f>
        <v/>
      </c>
      <c r="K613" s="27">
        <f>IF($A613="","",IF(AND($H613="PROMOTE",$J613="YES"),"YES — PROMOTE","NO"))</f>
        <v/>
      </c>
    </row>
    <row r="614">
      <c r="A614" s="7" t="n"/>
      <c r="B614" s="7">
        <f>IF($A614="","",VLOOKUP($A614,CoachRoster!$A:$E,4,FALSE))</f>
        <v/>
      </c>
      <c r="C614" s="7" t="n"/>
      <c r="D614" s="7" t="n"/>
      <c r="E614" s="7" t="n"/>
      <c r="F614" s="7" t="n"/>
      <c r="G614" s="7" t="n"/>
      <c r="H614" s="7">
        <f>IF($A614="","",IF(AND($E614="Pass",$F614="Pass",$G614="Pass"),"PROMOTE","NOT YET"))</f>
        <v/>
      </c>
      <c r="I614" s="7" t="n"/>
      <c r="J614" s="27">
        <f>IF(OR($A614="",$C614=""),"",IF(IFERROR(VLOOKUP($A614,Ledger!$A:$E,5,FALSE),0)&gt;=VLOOKUP($C614,RoleTitles!$A:$B,2,FALSE),"YES","NO"))</f>
        <v/>
      </c>
      <c r="K614" s="27">
        <f>IF($A614="","",IF(AND($H614="PROMOTE",$J614="YES"),"YES — PROMOTE","NO"))</f>
        <v/>
      </c>
    </row>
    <row r="615">
      <c r="A615" s="7" t="n"/>
      <c r="B615" s="7">
        <f>IF($A615="","",VLOOKUP($A615,CoachRoster!$A:$E,4,FALSE))</f>
        <v/>
      </c>
      <c r="C615" s="7" t="n"/>
      <c r="D615" s="7" t="n"/>
      <c r="E615" s="7" t="n"/>
      <c r="F615" s="7" t="n"/>
      <c r="G615" s="7" t="n"/>
      <c r="H615" s="7">
        <f>IF($A615="","",IF(AND($E615="Pass",$F615="Pass",$G615="Pass"),"PROMOTE","NOT YET"))</f>
        <v/>
      </c>
      <c r="I615" s="7" t="n"/>
      <c r="J615" s="27">
        <f>IF(OR($A615="",$C615=""),"",IF(IFERROR(VLOOKUP($A615,Ledger!$A:$E,5,FALSE),0)&gt;=VLOOKUP($C615,RoleTitles!$A:$B,2,FALSE),"YES","NO"))</f>
        <v/>
      </c>
      <c r="K615" s="27">
        <f>IF($A615="","",IF(AND($H615="PROMOTE",$J615="YES"),"YES — PROMOTE","NO"))</f>
        <v/>
      </c>
    </row>
    <row r="616">
      <c r="A616" s="7" t="n"/>
      <c r="B616" s="7">
        <f>IF($A616="","",VLOOKUP($A616,CoachRoster!$A:$E,4,FALSE))</f>
        <v/>
      </c>
      <c r="C616" s="7" t="n"/>
      <c r="D616" s="7" t="n"/>
      <c r="E616" s="7" t="n"/>
      <c r="F616" s="7" t="n"/>
      <c r="G616" s="7" t="n"/>
      <c r="H616" s="7">
        <f>IF($A616="","",IF(AND($E616="Pass",$F616="Pass",$G616="Pass"),"PROMOTE","NOT YET"))</f>
        <v/>
      </c>
      <c r="I616" s="7" t="n"/>
      <c r="J616" s="27">
        <f>IF(OR($A616="",$C616=""),"",IF(IFERROR(VLOOKUP($A616,Ledger!$A:$E,5,FALSE),0)&gt;=VLOOKUP($C616,RoleTitles!$A:$B,2,FALSE),"YES","NO"))</f>
        <v/>
      </c>
      <c r="K616" s="27">
        <f>IF($A616="","",IF(AND($H616="PROMOTE",$J616="YES"),"YES — PROMOTE","NO"))</f>
        <v/>
      </c>
    </row>
    <row r="617">
      <c r="A617" s="7" t="n"/>
      <c r="B617" s="7">
        <f>IF($A617="","",VLOOKUP($A617,CoachRoster!$A:$E,4,FALSE))</f>
        <v/>
      </c>
      <c r="C617" s="7" t="n"/>
      <c r="D617" s="7" t="n"/>
      <c r="E617" s="7" t="n"/>
      <c r="F617" s="7" t="n"/>
      <c r="G617" s="7" t="n"/>
      <c r="H617" s="7">
        <f>IF($A617="","",IF(AND($E617="Pass",$F617="Pass",$G617="Pass"),"PROMOTE","NOT YET"))</f>
        <v/>
      </c>
      <c r="I617" s="7" t="n"/>
      <c r="J617" s="27">
        <f>IF(OR($A617="",$C617=""),"",IF(IFERROR(VLOOKUP($A617,Ledger!$A:$E,5,FALSE),0)&gt;=VLOOKUP($C617,RoleTitles!$A:$B,2,FALSE),"YES","NO"))</f>
        <v/>
      </c>
      <c r="K617" s="27">
        <f>IF($A617="","",IF(AND($H617="PROMOTE",$J617="YES"),"YES — PROMOTE","NO"))</f>
        <v/>
      </c>
    </row>
    <row r="618">
      <c r="A618" s="7" t="n"/>
      <c r="B618" s="7">
        <f>IF($A618="","",VLOOKUP($A618,CoachRoster!$A:$E,4,FALSE))</f>
        <v/>
      </c>
      <c r="C618" s="7" t="n"/>
      <c r="D618" s="7" t="n"/>
      <c r="E618" s="7" t="n"/>
      <c r="F618" s="7" t="n"/>
      <c r="G618" s="7" t="n"/>
      <c r="H618" s="7">
        <f>IF($A618="","",IF(AND($E618="Pass",$F618="Pass",$G618="Pass"),"PROMOTE","NOT YET"))</f>
        <v/>
      </c>
      <c r="I618" s="7" t="n"/>
      <c r="J618" s="27">
        <f>IF(OR($A618="",$C618=""),"",IF(IFERROR(VLOOKUP($A618,Ledger!$A:$E,5,FALSE),0)&gt;=VLOOKUP($C618,RoleTitles!$A:$B,2,FALSE),"YES","NO"))</f>
        <v/>
      </c>
      <c r="K618" s="27">
        <f>IF($A618="","",IF(AND($H618="PROMOTE",$J618="YES"),"YES — PROMOTE","NO"))</f>
        <v/>
      </c>
    </row>
    <row r="619">
      <c r="A619" s="7" t="n"/>
      <c r="B619" s="7">
        <f>IF($A619="","",VLOOKUP($A619,CoachRoster!$A:$E,4,FALSE))</f>
        <v/>
      </c>
      <c r="C619" s="7" t="n"/>
      <c r="D619" s="7" t="n"/>
      <c r="E619" s="7" t="n"/>
      <c r="F619" s="7" t="n"/>
      <c r="G619" s="7" t="n"/>
      <c r="H619" s="7">
        <f>IF($A619="","",IF(AND($E619="Pass",$F619="Pass",$G619="Pass"),"PROMOTE","NOT YET"))</f>
        <v/>
      </c>
      <c r="I619" s="7" t="n"/>
      <c r="J619" s="27">
        <f>IF(OR($A619="",$C619=""),"",IF(IFERROR(VLOOKUP($A619,Ledger!$A:$E,5,FALSE),0)&gt;=VLOOKUP($C619,RoleTitles!$A:$B,2,FALSE),"YES","NO"))</f>
        <v/>
      </c>
      <c r="K619" s="27">
        <f>IF($A619="","",IF(AND($H619="PROMOTE",$J619="YES"),"YES — PROMOTE","NO"))</f>
        <v/>
      </c>
    </row>
    <row r="620">
      <c r="A620" s="7" t="n"/>
      <c r="B620" s="7">
        <f>IF($A620="","",VLOOKUP($A620,CoachRoster!$A:$E,4,FALSE))</f>
        <v/>
      </c>
      <c r="C620" s="7" t="n"/>
      <c r="D620" s="7" t="n"/>
      <c r="E620" s="7" t="n"/>
      <c r="F620" s="7" t="n"/>
      <c r="G620" s="7" t="n"/>
      <c r="H620" s="7">
        <f>IF($A620="","",IF(AND($E620="Pass",$F620="Pass",$G620="Pass"),"PROMOTE","NOT YET"))</f>
        <v/>
      </c>
      <c r="I620" s="7" t="n"/>
      <c r="J620" s="27">
        <f>IF(OR($A620="",$C620=""),"",IF(IFERROR(VLOOKUP($A620,Ledger!$A:$E,5,FALSE),0)&gt;=VLOOKUP($C620,RoleTitles!$A:$B,2,FALSE),"YES","NO"))</f>
        <v/>
      </c>
      <c r="K620" s="27">
        <f>IF($A620="","",IF(AND($H620="PROMOTE",$J620="YES"),"YES — PROMOTE","NO"))</f>
        <v/>
      </c>
    </row>
    <row r="621">
      <c r="A621" s="7" t="n"/>
      <c r="B621" s="7">
        <f>IF($A621="","",VLOOKUP($A621,CoachRoster!$A:$E,4,FALSE))</f>
        <v/>
      </c>
      <c r="C621" s="7" t="n"/>
      <c r="D621" s="7" t="n"/>
      <c r="E621" s="7" t="n"/>
      <c r="F621" s="7" t="n"/>
      <c r="G621" s="7" t="n"/>
      <c r="H621" s="7">
        <f>IF($A621="","",IF(AND($E621="Pass",$F621="Pass",$G621="Pass"),"PROMOTE","NOT YET"))</f>
        <v/>
      </c>
      <c r="I621" s="7" t="n"/>
      <c r="J621" s="27">
        <f>IF(OR($A621="",$C621=""),"",IF(IFERROR(VLOOKUP($A621,Ledger!$A:$E,5,FALSE),0)&gt;=VLOOKUP($C621,RoleTitles!$A:$B,2,FALSE),"YES","NO"))</f>
        <v/>
      </c>
      <c r="K621" s="27">
        <f>IF($A621="","",IF(AND($H621="PROMOTE",$J621="YES"),"YES — PROMOTE","NO"))</f>
        <v/>
      </c>
    </row>
    <row r="622">
      <c r="A622" s="7" t="n"/>
      <c r="B622" s="7">
        <f>IF($A622="","",VLOOKUP($A622,CoachRoster!$A:$E,4,FALSE))</f>
        <v/>
      </c>
      <c r="C622" s="7" t="n"/>
      <c r="D622" s="7" t="n"/>
      <c r="E622" s="7" t="n"/>
      <c r="F622" s="7" t="n"/>
      <c r="G622" s="7" t="n"/>
      <c r="H622" s="7">
        <f>IF($A622="","",IF(AND($E622="Pass",$F622="Pass",$G622="Pass"),"PROMOTE","NOT YET"))</f>
        <v/>
      </c>
      <c r="I622" s="7" t="n"/>
      <c r="J622" s="27">
        <f>IF(OR($A622="",$C622=""),"",IF(IFERROR(VLOOKUP($A622,Ledger!$A:$E,5,FALSE),0)&gt;=VLOOKUP($C622,RoleTitles!$A:$B,2,FALSE),"YES","NO"))</f>
        <v/>
      </c>
      <c r="K622" s="27">
        <f>IF($A622="","",IF(AND($H622="PROMOTE",$J622="YES"),"YES — PROMOTE","NO"))</f>
        <v/>
      </c>
    </row>
    <row r="623">
      <c r="A623" s="7" t="n"/>
      <c r="B623" s="7">
        <f>IF($A623="","",VLOOKUP($A623,CoachRoster!$A:$E,4,FALSE))</f>
        <v/>
      </c>
      <c r="C623" s="7" t="n"/>
      <c r="D623" s="7" t="n"/>
      <c r="E623" s="7" t="n"/>
      <c r="F623" s="7" t="n"/>
      <c r="G623" s="7" t="n"/>
      <c r="H623" s="7">
        <f>IF($A623="","",IF(AND($E623="Pass",$F623="Pass",$G623="Pass"),"PROMOTE","NOT YET"))</f>
        <v/>
      </c>
      <c r="I623" s="7" t="n"/>
      <c r="J623" s="27">
        <f>IF(OR($A623="",$C623=""),"",IF(IFERROR(VLOOKUP($A623,Ledger!$A:$E,5,FALSE),0)&gt;=VLOOKUP($C623,RoleTitles!$A:$B,2,FALSE),"YES","NO"))</f>
        <v/>
      </c>
      <c r="K623" s="27">
        <f>IF($A623="","",IF(AND($H623="PROMOTE",$J623="YES"),"YES — PROMOTE","NO"))</f>
        <v/>
      </c>
    </row>
    <row r="624">
      <c r="A624" s="7" t="n"/>
      <c r="B624" s="7">
        <f>IF($A624="","",VLOOKUP($A624,CoachRoster!$A:$E,4,FALSE))</f>
        <v/>
      </c>
      <c r="C624" s="7" t="n"/>
      <c r="D624" s="7" t="n"/>
      <c r="E624" s="7" t="n"/>
      <c r="F624" s="7" t="n"/>
      <c r="G624" s="7" t="n"/>
      <c r="H624" s="7">
        <f>IF($A624="","",IF(AND($E624="Pass",$F624="Pass",$G624="Pass"),"PROMOTE","NOT YET"))</f>
        <v/>
      </c>
      <c r="I624" s="7" t="n"/>
      <c r="J624" s="27">
        <f>IF(OR($A624="",$C624=""),"",IF(IFERROR(VLOOKUP($A624,Ledger!$A:$E,5,FALSE),0)&gt;=VLOOKUP($C624,RoleTitles!$A:$B,2,FALSE),"YES","NO"))</f>
        <v/>
      </c>
      <c r="K624" s="27">
        <f>IF($A624="","",IF(AND($H624="PROMOTE",$J624="YES"),"YES — PROMOTE","NO"))</f>
        <v/>
      </c>
    </row>
    <row r="625">
      <c r="A625" s="7" t="n"/>
      <c r="B625" s="7">
        <f>IF($A625="","",VLOOKUP($A625,CoachRoster!$A:$E,4,FALSE))</f>
        <v/>
      </c>
      <c r="C625" s="7" t="n"/>
      <c r="D625" s="7" t="n"/>
      <c r="E625" s="7" t="n"/>
      <c r="F625" s="7" t="n"/>
      <c r="G625" s="7" t="n"/>
      <c r="H625" s="7">
        <f>IF($A625="","",IF(AND($E625="Pass",$F625="Pass",$G625="Pass"),"PROMOTE","NOT YET"))</f>
        <v/>
      </c>
      <c r="I625" s="7" t="n"/>
      <c r="J625" s="27">
        <f>IF(OR($A625="",$C625=""),"",IF(IFERROR(VLOOKUP($A625,Ledger!$A:$E,5,FALSE),0)&gt;=VLOOKUP($C625,RoleTitles!$A:$B,2,FALSE),"YES","NO"))</f>
        <v/>
      </c>
      <c r="K625" s="27">
        <f>IF($A625="","",IF(AND($H625="PROMOTE",$J625="YES"),"YES — PROMOTE","NO"))</f>
        <v/>
      </c>
    </row>
    <row r="626">
      <c r="A626" s="7" t="n"/>
      <c r="B626" s="7">
        <f>IF($A626="","",VLOOKUP($A626,CoachRoster!$A:$E,4,FALSE))</f>
        <v/>
      </c>
      <c r="C626" s="7" t="n"/>
      <c r="D626" s="7" t="n"/>
      <c r="E626" s="7" t="n"/>
      <c r="F626" s="7" t="n"/>
      <c r="G626" s="7" t="n"/>
      <c r="H626" s="7">
        <f>IF($A626="","",IF(AND($E626="Pass",$F626="Pass",$G626="Pass"),"PROMOTE","NOT YET"))</f>
        <v/>
      </c>
      <c r="I626" s="7" t="n"/>
      <c r="J626" s="27">
        <f>IF(OR($A626="",$C626=""),"",IF(IFERROR(VLOOKUP($A626,Ledger!$A:$E,5,FALSE),0)&gt;=VLOOKUP($C626,RoleTitles!$A:$B,2,FALSE),"YES","NO"))</f>
        <v/>
      </c>
      <c r="K626" s="27">
        <f>IF($A626="","",IF(AND($H626="PROMOTE",$J626="YES"),"YES — PROMOTE","NO"))</f>
        <v/>
      </c>
    </row>
    <row r="627">
      <c r="A627" s="7" t="n"/>
      <c r="B627" s="7">
        <f>IF($A627="","",VLOOKUP($A627,CoachRoster!$A:$E,4,FALSE))</f>
        <v/>
      </c>
      <c r="C627" s="7" t="n"/>
      <c r="D627" s="7" t="n"/>
      <c r="E627" s="7" t="n"/>
      <c r="F627" s="7" t="n"/>
      <c r="G627" s="7" t="n"/>
      <c r="H627" s="7">
        <f>IF($A627="","",IF(AND($E627="Pass",$F627="Pass",$G627="Pass"),"PROMOTE","NOT YET"))</f>
        <v/>
      </c>
      <c r="I627" s="7" t="n"/>
      <c r="J627" s="27">
        <f>IF(OR($A627="",$C627=""),"",IF(IFERROR(VLOOKUP($A627,Ledger!$A:$E,5,FALSE),0)&gt;=VLOOKUP($C627,RoleTitles!$A:$B,2,FALSE),"YES","NO"))</f>
        <v/>
      </c>
      <c r="K627" s="27">
        <f>IF($A627="","",IF(AND($H627="PROMOTE",$J627="YES"),"YES — PROMOTE","NO"))</f>
        <v/>
      </c>
    </row>
    <row r="628">
      <c r="A628" s="7" t="n"/>
      <c r="B628" s="7">
        <f>IF($A628="","",VLOOKUP($A628,CoachRoster!$A:$E,4,FALSE))</f>
        <v/>
      </c>
      <c r="C628" s="7" t="n"/>
      <c r="D628" s="7" t="n"/>
      <c r="E628" s="7" t="n"/>
      <c r="F628" s="7" t="n"/>
      <c r="G628" s="7" t="n"/>
      <c r="H628" s="7">
        <f>IF($A628="","",IF(AND($E628="Pass",$F628="Pass",$G628="Pass"),"PROMOTE","NOT YET"))</f>
        <v/>
      </c>
      <c r="I628" s="7" t="n"/>
      <c r="J628" s="27">
        <f>IF(OR($A628="",$C628=""),"",IF(IFERROR(VLOOKUP($A628,Ledger!$A:$E,5,FALSE),0)&gt;=VLOOKUP($C628,RoleTitles!$A:$B,2,FALSE),"YES","NO"))</f>
        <v/>
      </c>
      <c r="K628" s="27">
        <f>IF($A628="","",IF(AND($H628="PROMOTE",$J628="YES"),"YES — PROMOTE","NO"))</f>
        <v/>
      </c>
    </row>
    <row r="629">
      <c r="A629" s="7" t="n"/>
      <c r="B629" s="7">
        <f>IF($A629="","",VLOOKUP($A629,CoachRoster!$A:$E,4,FALSE))</f>
        <v/>
      </c>
      <c r="C629" s="7" t="n"/>
      <c r="D629" s="7" t="n"/>
      <c r="E629" s="7" t="n"/>
      <c r="F629" s="7" t="n"/>
      <c r="G629" s="7" t="n"/>
      <c r="H629" s="7">
        <f>IF($A629="","",IF(AND($E629="Pass",$F629="Pass",$G629="Pass"),"PROMOTE","NOT YET"))</f>
        <v/>
      </c>
      <c r="I629" s="7" t="n"/>
      <c r="J629" s="27">
        <f>IF(OR($A629="",$C629=""),"",IF(IFERROR(VLOOKUP($A629,Ledger!$A:$E,5,FALSE),0)&gt;=VLOOKUP($C629,RoleTitles!$A:$B,2,FALSE),"YES","NO"))</f>
        <v/>
      </c>
      <c r="K629" s="27">
        <f>IF($A629="","",IF(AND($H629="PROMOTE",$J629="YES"),"YES — PROMOTE","NO"))</f>
        <v/>
      </c>
    </row>
    <row r="630">
      <c r="A630" s="7" t="n"/>
      <c r="B630" s="7">
        <f>IF($A630="","",VLOOKUP($A630,CoachRoster!$A:$E,4,FALSE))</f>
        <v/>
      </c>
      <c r="C630" s="7" t="n"/>
      <c r="D630" s="7" t="n"/>
      <c r="E630" s="7" t="n"/>
      <c r="F630" s="7" t="n"/>
      <c r="G630" s="7" t="n"/>
      <c r="H630" s="7">
        <f>IF($A630="","",IF(AND($E630="Pass",$F630="Pass",$G630="Pass"),"PROMOTE","NOT YET"))</f>
        <v/>
      </c>
      <c r="I630" s="7" t="n"/>
      <c r="J630" s="27">
        <f>IF(OR($A630="",$C630=""),"",IF(IFERROR(VLOOKUP($A630,Ledger!$A:$E,5,FALSE),0)&gt;=VLOOKUP($C630,RoleTitles!$A:$B,2,FALSE),"YES","NO"))</f>
        <v/>
      </c>
      <c r="K630" s="27">
        <f>IF($A630="","",IF(AND($H630="PROMOTE",$J630="YES"),"YES — PROMOTE","NO"))</f>
        <v/>
      </c>
    </row>
    <row r="631">
      <c r="A631" s="7" t="n"/>
      <c r="B631" s="7">
        <f>IF($A631="","",VLOOKUP($A631,CoachRoster!$A:$E,4,FALSE))</f>
        <v/>
      </c>
      <c r="C631" s="7" t="n"/>
      <c r="D631" s="7" t="n"/>
      <c r="E631" s="7" t="n"/>
      <c r="F631" s="7" t="n"/>
      <c r="G631" s="7" t="n"/>
      <c r="H631" s="7">
        <f>IF($A631="","",IF(AND($E631="Pass",$F631="Pass",$G631="Pass"),"PROMOTE","NOT YET"))</f>
        <v/>
      </c>
      <c r="I631" s="7" t="n"/>
      <c r="J631" s="27">
        <f>IF(OR($A631="",$C631=""),"",IF(IFERROR(VLOOKUP($A631,Ledger!$A:$E,5,FALSE),0)&gt;=VLOOKUP($C631,RoleTitles!$A:$B,2,FALSE),"YES","NO"))</f>
        <v/>
      </c>
      <c r="K631" s="27">
        <f>IF($A631="","",IF(AND($H631="PROMOTE",$J631="YES"),"YES — PROMOTE","NO"))</f>
        <v/>
      </c>
    </row>
    <row r="632">
      <c r="A632" s="7" t="n"/>
      <c r="B632" s="7">
        <f>IF($A632="","",VLOOKUP($A632,CoachRoster!$A:$E,4,FALSE))</f>
        <v/>
      </c>
      <c r="C632" s="7" t="n"/>
      <c r="D632" s="7" t="n"/>
      <c r="E632" s="7" t="n"/>
      <c r="F632" s="7" t="n"/>
      <c r="G632" s="7" t="n"/>
      <c r="H632" s="7">
        <f>IF($A632="","",IF(AND($E632="Pass",$F632="Pass",$G632="Pass"),"PROMOTE","NOT YET"))</f>
        <v/>
      </c>
      <c r="I632" s="7" t="n"/>
      <c r="J632" s="27">
        <f>IF(OR($A632="",$C632=""),"",IF(IFERROR(VLOOKUP($A632,Ledger!$A:$E,5,FALSE),0)&gt;=VLOOKUP($C632,RoleTitles!$A:$B,2,FALSE),"YES","NO"))</f>
        <v/>
      </c>
      <c r="K632" s="27">
        <f>IF($A632="","",IF(AND($H632="PROMOTE",$J632="YES"),"YES — PROMOTE","NO"))</f>
        <v/>
      </c>
    </row>
    <row r="633">
      <c r="A633" s="7" t="n"/>
      <c r="B633" s="7">
        <f>IF($A633="","",VLOOKUP($A633,CoachRoster!$A:$E,4,FALSE))</f>
        <v/>
      </c>
      <c r="C633" s="7" t="n"/>
      <c r="D633" s="7" t="n"/>
      <c r="E633" s="7" t="n"/>
      <c r="F633" s="7" t="n"/>
      <c r="G633" s="7" t="n"/>
      <c r="H633" s="7">
        <f>IF($A633="","",IF(AND($E633="Pass",$F633="Pass",$G633="Pass"),"PROMOTE","NOT YET"))</f>
        <v/>
      </c>
      <c r="I633" s="7" t="n"/>
      <c r="J633" s="27">
        <f>IF(OR($A633="",$C633=""),"",IF(IFERROR(VLOOKUP($A633,Ledger!$A:$E,5,FALSE),0)&gt;=VLOOKUP($C633,RoleTitles!$A:$B,2,FALSE),"YES","NO"))</f>
        <v/>
      </c>
      <c r="K633" s="27">
        <f>IF($A633="","",IF(AND($H633="PROMOTE",$J633="YES"),"YES — PROMOTE","NO"))</f>
        <v/>
      </c>
    </row>
    <row r="634">
      <c r="A634" s="7" t="n"/>
      <c r="B634" s="7">
        <f>IF($A634="","",VLOOKUP($A634,CoachRoster!$A:$E,4,FALSE))</f>
        <v/>
      </c>
      <c r="C634" s="7" t="n"/>
      <c r="D634" s="7" t="n"/>
      <c r="E634" s="7" t="n"/>
      <c r="F634" s="7" t="n"/>
      <c r="G634" s="7" t="n"/>
      <c r="H634" s="7">
        <f>IF($A634="","",IF(AND($E634="Pass",$F634="Pass",$G634="Pass"),"PROMOTE","NOT YET"))</f>
        <v/>
      </c>
      <c r="I634" s="7" t="n"/>
      <c r="J634" s="27">
        <f>IF(OR($A634="",$C634=""),"",IF(IFERROR(VLOOKUP($A634,Ledger!$A:$E,5,FALSE),0)&gt;=VLOOKUP($C634,RoleTitles!$A:$B,2,FALSE),"YES","NO"))</f>
        <v/>
      </c>
      <c r="K634" s="27">
        <f>IF($A634="","",IF(AND($H634="PROMOTE",$J634="YES"),"YES — PROMOTE","NO"))</f>
        <v/>
      </c>
    </row>
    <row r="635">
      <c r="A635" s="7" t="n"/>
      <c r="B635" s="7">
        <f>IF($A635="","",VLOOKUP($A635,CoachRoster!$A:$E,4,FALSE))</f>
        <v/>
      </c>
      <c r="C635" s="7" t="n"/>
      <c r="D635" s="7" t="n"/>
      <c r="E635" s="7" t="n"/>
      <c r="F635" s="7" t="n"/>
      <c r="G635" s="7" t="n"/>
      <c r="H635" s="7">
        <f>IF($A635="","",IF(AND($E635="Pass",$F635="Pass",$G635="Pass"),"PROMOTE","NOT YET"))</f>
        <v/>
      </c>
      <c r="I635" s="7" t="n"/>
      <c r="J635" s="27">
        <f>IF(OR($A635="",$C635=""),"",IF(IFERROR(VLOOKUP($A635,Ledger!$A:$E,5,FALSE),0)&gt;=VLOOKUP($C635,RoleTitles!$A:$B,2,FALSE),"YES","NO"))</f>
        <v/>
      </c>
      <c r="K635" s="27">
        <f>IF($A635="","",IF(AND($H635="PROMOTE",$J635="YES"),"YES — PROMOTE","NO"))</f>
        <v/>
      </c>
    </row>
    <row r="636">
      <c r="A636" s="7" t="n"/>
      <c r="B636" s="7">
        <f>IF($A636="","",VLOOKUP($A636,CoachRoster!$A:$E,4,FALSE))</f>
        <v/>
      </c>
      <c r="C636" s="7" t="n"/>
      <c r="D636" s="7" t="n"/>
      <c r="E636" s="7" t="n"/>
      <c r="F636" s="7" t="n"/>
      <c r="G636" s="7" t="n"/>
      <c r="H636" s="7">
        <f>IF($A636="","",IF(AND($E636="Pass",$F636="Pass",$G636="Pass"),"PROMOTE","NOT YET"))</f>
        <v/>
      </c>
      <c r="I636" s="7" t="n"/>
      <c r="J636" s="27">
        <f>IF(OR($A636="",$C636=""),"",IF(IFERROR(VLOOKUP($A636,Ledger!$A:$E,5,FALSE),0)&gt;=VLOOKUP($C636,RoleTitles!$A:$B,2,FALSE),"YES","NO"))</f>
        <v/>
      </c>
      <c r="K636" s="27">
        <f>IF($A636="","",IF(AND($H636="PROMOTE",$J636="YES"),"YES — PROMOTE","NO"))</f>
        <v/>
      </c>
    </row>
    <row r="637">
      <c r="A637" s="7" t="n"/>
      <c r="B637" s="7">
        <f>IF($A637="","",VLOOKUP($A637,CoachRoster!$A:$E,4,FALSE))</f>
        <v/>
      </c>
      <c r="C637" s="7" t="n"/>
      <c r="D637" s="7" t="n"/>
      <c r="E637" s="7" t="n"/>
      <c r="F637" s="7" t="n"/>
      <c r="G637" s="7" t="n"/>
      <c r="H637" s="7">
        <f>IF($A637="","",IF(AND($E637="Pass",$F637="Pass",$G637="Pass"),"PROMOTE","NOT YET"))</f>
        <v/>
      </c>
      <c r="I637" s="7" t="n"/>
      <c r="J637" s="27">
        <f>IF(OR($A637="",$C637=""),"",IF(IFERROR(VLOOKUP($A637,Ledger!$A:$E,5,FALSE),0)&gt;=VLOOKUP($C637,RoleTitles!$A:$B,2,FALSE),"YES","NO"))</f>
        <v/>
      </c>
      <c r="K637" s="27">
        <f>IF($A637="","",IF(AND($H637="PROMOTE",$J637="YES"),"YES — PROMOTE","NO"))</f>
        <v/>
      </c>
    </row>
    <row r="638">
      <c r="A638" s="7" t="n"/>
      <c r="B638" s="7">
        <f>IF($A638="","",VLOOKUP($A638,CoachRoster!$A:$E,4,FALSE))</f>
        <v/>
      </c>
      <c r="C638" s="7" t="n"/>
      <c r="D638" s="7" t="n"/>
      <c r="E638" s="7" t="n"/>
      <c r="F638" s="7" t="n"/>
      <c r="G638" s="7" t="n"/>
      <c r="H638" s="7">
        <f>IF($A638="","",IF(AND($E638="Pass",$F638="Pass",$G638="Pass"),"PROMOTE","NOT YET"))</f>
        <v/>
      </c>
      <c r="I638" s="7" t="n"/>
      <c r="J638" s="27">
        <f>IF(OR($A638="",$C638=""),"",IF(IFERROR(VLOOKUP($A638,Ledger!$A:$E,5,FALSE),0)&gt;=VLOOKUP($C638,RoleTitles!$A:$B,2,FALSE),"YES","NO"))</f>
        <v/>
      </c>
      <c r="K638" s="27">
        <f>IF($A638="","",IF(AND($H638="PROMOTE",$J638="YES"),"YES — PROMOTE","NO"))</f>
        <v/>
      </c>
    </row>
    <row r="639">
      <c r="A639" s="7" t="n"/>
      <c r="B639" s="7">
        <f>IF($A639="","",VLOOKUP($A639,CoachRoster!$A:$E,4,FALSE))</f>
        <v/>
      </c>
      <c r="C639" s="7" t="n"/>
      <c r="D639" s="7" t="n"/>
      <c r="E639" s="7" t="n"/>
      <c r="F639" s="7" t="n"/>
      <c r="G639" s="7" t="n"/>
      <c r="H639" s="7">
        <f>IF($A639="","",IF(AND($E639="Pass",$F639="Pass",$G639="Pass"),"PROMOTE","NOT YET"))</f>
        <v/>
      </c>
      <c r="I639" s="7" t="n"/>
      <c r="J639" s="27">
        <f>IF(OR($A639="",$C639=""),"",IF(IFERROR(VLOOKUP($A639,Ledger!$A:$E,5,FALSE),0)&gt;=VLOOKUP($C639,RoleTitles!$A:$B,2,FALSE),"YES","NO"))</f>
        <v/>
      </c>
      <c r="K639" s="27">
        <f>IF($A639="","",IF(AND($H639="PROMOTE",$J639="YES"),"YES — PROMOTE","NO"))</f>
        <v/>
      </c>
    </row>
    <row r="640">
      <c r="A640" s="7" t="n"/>
      <c r="B640" s="7">
        <f>IF($A640="","",VLOOKUP($A640,CoachRoster!$A:$E,4,FALSE))</f>
        <v/>
      </c>
      <c r="C640" s="7" t="n"/>
      <c r="D640" s="7" t="n"/>
      <c r="E640" s="7" t="n"/>
      <c r="F640" s="7" t="n"/>
      <c r="G640" s="7" t="n"/>
      <c r="H640" s="7">
        <f>IF($A640="","",IF(AND($E640="Pass",$F640="Pass",$G640="Pass"),"PROMOTE","NOT YET"))</f>
        <v/>
      </c>
      <c r="I640" s="7" t="n"/>
      <c r="J640" s="27">
        <f>IF(OR($A640="",$C640=""),"",IF(IFERROR(VLOOKUP($A640,Ledger!$A:$E,5,FALSE),0)&gt;=VLOOKUP($C640,RoleTitles!$A:$B,2,FALSE),"YES","NO"))</f>
        <v/>
      </c>
      <c r="K640" s="27">
        <f>IF($A640="","",IF(AND($H640="PROMOTE",$J640="YES"),"YES — PROMOTE","NO"))</f>
        <v/>
      </c>
    </row>
    <row r="641">
      <c r="A641" s="7" t="n"/>
      <c r="B641" s="7">
        <f>IF($A641="","",VLOOKUP($A641,CoachRoster!$A:$E,4,FALSE))</f>
        <v/>
      </c>
      <c r="C641" s="7" t="n"/>
      <c r="D641" s="7" t="n"/>
      <c r="E641" s="7" t="n"/>
      <c r="F641" s="7" t="n"/>
      <c r="G641" s="7" t="n"/>
      <c r="H641" s="7">
        <f>IF($A641="","",IF(AND($E641="Pass",$F641="Pass",$G641="Pass"),"PROMOTE","NOT YET"))</f>
        <v/>
      </c>
      <c r="I641" s="7" t="n"/>
      <c r="J641" s="27">
        <f>IF(OR($A641="",$C641=""),"",IF(IFERROR(VLOOKUP($A641,Ledger!$A:$E,5,FALSE),0)&gt;=VLOOKUP($C641,RoleTitles!$A:$B,2,FALSE),"YES","NO"))</f>
        <v/>
      </c>
      <c r="K641" s="27">
        <f>IF($A641="","",IF(AND($H641="PROMOTE",$J641="YES"),"YES — PROMOTE","NO"))</f>
        <v/>
      </c>
    </row>
    <row r="642">
      <c r="A642" s="7" t="n"/>
      <c r="B642" s="7">
        <f>IF($A642="","",VLOOKUP($A642,CoachRoster!$A:$E,4,FALSE))</f>
        <v/>
      </c>
      <c r="C642" s="7" t="n"/>
      <c r="D642" s="7" t="n"/>
      <c r="E642" s="7" t="n"/>
      <c r="F642" s="7" t="n"/>
      <c r="G642" s="7" t="n"/>
      <c r="H642" s="7">
        <f>IF($A642="","",IF(AND($E642="Pass",$F642="Pass",$G642="Pass"),"PROMOTE","NOT YET"))</f>
        <v/>
      </c>
      <c r="I642" s="7" t="n"/>
      <c r="J642" s="27">
        <f>IF(OR($A642="",$C642=""),"",IF(IFERROR(VLOOKUP($A642,Ledger!$A:$E,5,FALSE),0)&gt;=VLOOKUP($C642,RoleTitles!$A:$B,2,FALSE),"YES","NO"))</f>
        <v/>
      </c>
      <c r="K642" s="27">
        <f>IF($A642="","",IF(AND($H642="PROMOTE",$J642="YES"),"YES — PROMOTE","NO"))</f>
        <v/>
      </c>
    </row>
    <row r="643">
      <c r="A643" s="7" t="n"/>
      <c r="B643" s="7">
        <f>IF($A643="","",VLOOKUP($A643,CoachRoster!$A:$E,4,FALSE))</f>
        <v/>
      </c>
      <c r="C643" s="7" t="n"/>
      <c r="D643" s="7" t="n"/>
      <c r="E643" s="7" t="n"/>
      <c r="F643" s="7" t="n"/>
      <c r="G643" s="7" t="n"/>
      <c r="H643" s="7">
        <f>IF($A643="","",IF(AND($E643="Pass",$F643="Pass",$G643="Pass"),"PROMOTE","NOT YET"))</f>
        <v/>
      </c>
      <c r="I643" s="7" t="n"/>
      <c r="J643" s="27">
        <f>IF(OR($A643="",$C643=""),"",IF(IFERROR(VLOOKUP($A643,Ledger!$A:$E,5,FALSE),0)&gt;=VLOOKUP($C643,RoleTitles!$A:$B,2,FALSE),"YES","NO"))</f>
        <v/>
      </c>
      <c r="K643" s="27">
        <f>IF($A643="","",IF(AND($H643="PROMOTE",$J643="YES"),"YES — PROMOTE","NO"))</f>
        <v/>
      </c>
    </row>
    <row r="644">
      <c r="A644" s="7" t="n"/>
      <c r="B644" s="7">
        <f>IF($A644="","",VLOOKUP($A644,CoachRoster!$A:$E,4,FALSE))</f>
        <v/>
      </c>
      <c r="C644" s="7" t="n"/>
      <c r="D644" s="7" t="n"/>
      <c r="E644" s="7" t="n"/>
      <c r="F644" s="7" t="n"/>
      <c r="G644" s="7" t="n"/>
      <c r="H644" s="7">
        <f>IF($A644="","",IF(AND($E644="Pass",$F644="Pass",$G644="Pass"),"PROMOTE","NOT YET"))</f>
        <v/>
      </c>
      <c r="I644" s="7" t="n"/>
      <c r="J644" s="27">
        <f>IF(OR($A644="",$C644=""),"",IF(IFERROR(VLOOKUP($A644,Ledger!$A:$E,5,FALSE),0)&gt;=VLOOKUP($C644,RoleTitles!$A:$B,2,FALSE),"YES","NO"))</f>
        <v/>
      </c>
      <c r="K644" s="27">
        <f>IF($A644="","",IF(AND($H644="PROMOTE",$J644="YES"),"YES — PROMOTE","NO"))</f>
        <v/>
      </c>
    </row>
    <row r="645">
      <c r="A645" s="7" t="n"/>
      <c r="B645" s="7">
        <f>IF($A645="","",VLOOKUP($A645,CoachRoster!$A:$E,4,FALSE))</f>
        <v/>
      </c>
      <c r="C645" s="7" t="n"/>
      <c r="D645" s="7" t="n"/>
      <c r="E645" s="7" t="n"/>
      <c r="F645" s="7" t="n"/>
      <c r="G645" s="7" t="n"/>
      <c r="H645" s="7">
        <f>IF($A645="","",IF(AND($E645="Pass",$F645="Pass",$G645="Pass"),"PROMOTE","NOT YET"))</f>
        <v/>
      </c>
      <c r="I645" s="7" t="n"/>
      <c r="J645" s="27">
        <f>IF(OR($A645="",$C645=""),"",IF(IFERROR(VLOOKUP($A645,Ledger!$A:$E,5,FALSE),0)&gt;=VLOOKUP($C645,RoleTitles!$A:$B,2,FALSE),"YES","NO"))</f>
        <v/>
      </c>
      <c r="K645" s="27">
        <f>IF($A645="","",IF(AND($H645="PROMOTE",$J645="YES"),"YES — PROMOTE","NO"))</f>
        <v/>
      </c>
    </row>
    <row r="646">
      <c r="A646" s="7" t="n"/>
      <c r="B646" s="7">
        <f>IF($A646="","",VLOOKUP($A646,CoachRoster!$A:$E,4,FALSE))</f>
        <v/>
      </c>
      <c r="C646" s="7" t="n"/>
      <c r="D646" s="7" t="n"/>
      <c r="E646" s="7" t="n"/>
      <c r="F646" s="7" t="n"/>
      <c r="G646" s="7" t="n"/>
      <c r="H646" s="7">
        <f>IF($A646="","",IF(AND($E646="Pass",$F646="Pass",$G646="Pass"),"PROMOTE","NOT YET"))</f>
        <v/>
      </c>
      <c r="I646" s="7" t="n"/>
      <c r="J646" s="27">
        <f>IF(OR($A646="",$C646=""),"",IF(IFERROR(VLOOKUP($A646,Ledger!$A:$E,5,FALSE),0)&gt;=VLOOKUP($C646,RoleTitles!$A:$B,2,FALSE),"YES","NO"))</f>
        <v/>
      </c>
      <c r="K646" s="27">
        <f>IF($A646="","",IF(AND($H646="PROMOTE",$J646="YES"),"YES — PROMOTE","NO"))</f>
        <v/>
      </c>
    </row>
    <row r="647">
      <c r="A647" s="7" t="n"/>
      <c r="B647" s="7">
        <f>IF($A647="","",VLOOKUP($A647,CoachRoster!$A:$E,4,FALSE))</f>
        <v/>
      </c>
      <c r="C647" s="7" t="n"/>
      <c r="D647" s="7" t="n"/>
      <c r="E647" s="7" t="n"/>
      <c r="F647" s="7" t="n"/>
      <c r="G647" s="7" t="n"/>
      <c r="H647" s="7">
        <f>IF($A647="","",IF(AND($E647="Pass",$F647="Pass",$G647="Pass"),"PROMOTE","NOT YET"))</f>
        <v/>
      </c>
      <c r="I647" s="7" t="n"/>
      <c r="J647" s="27">
        <f>IF(OR($A647="",$C647=""),"",IF(IFERROR(VLOOKUP($A647,Ledger!$A:$E,5,FALSE),0)&gt;=VLOOKUP($C647,RoleTitles!$A:$B,2,FALSE),"YES","NO"))</f>
        <v/>
      </c>
      <c r="K647" s="27">
        <f>IF($A647="","",IF(AND($H647="PROMOTE",$J647="YES"),"YES — PROMOTE","NO"))</f>
        <v/>
      </c>
    </row>
    <row r="648">
      <c r="A648" s="7" t="n"/>
      <c r="B648" s="7">
        <f>IF($A648="","",VLOOKUP($A648,CoachRoster!$A:$E,4,FALSE))</f>
        <v/>
      </c>
      <c r="C648" s="7" t="n"/>
      <c r="D648" s="7" t="n"/>
      <c r="E648" s="7" t="n"/>
      <c r="F648" s="7" t="n"/>
      <c r="G648" s="7" t="n"/>
      <c r="H648" s="7">
        <f>IF($A648="","",IF(AND($E648="Pass",$F648="Pass",$G648="Pass"),"PROMOTE","NOT YET"))</f>
        <v/>
      </c>
      <c r="I648" s="7" t="n"/>
      <c r="J648" s="27">
        <f>IF(OR($A648="",$C648=""),"",IF(IFERROR(VLOOKUP($A648,Ledger!$A:$E,5,FALSE),0)&gt;=VLOOKUP($C648,RoleTitles!$A:$B,2,FALSE),"YES","NO"))</f>
        <v/>
      </c>
      <c r="K648" s="27">
        <f>IF($A648="","",IF(AND($H648="PROMOTE",$J648="YES"),"YES — PROMOTE","NO"))</f>
        <v/>
      </c>
    </row>
    <row r="649">
      <c r="A649" s="7" t="n"/>
      <c r="B649" s="7">
        <f>IF($A649="","",VLOOKUP($A649,CoachRoster!$A:$E,4,FALSE))</f>
        <v/>
      </c>
      <c r="C649" s="7" t="n"/>
      <c r="D649" s="7" t="n"/>
      <c r="E649" s="7" t="n"/>
      <c r="F649" s="7" t="n"/>
      <c r="G649" s="7" t="n"/>
      <c r="H649" s="7">
        <f>IF($A649="","",IF(AND($E649="Pass",$F649="Pass",$G649="Pass"),"PROMOTE","NOT YET"))</f>
        <v/>
      </c>
      <c r="I649" s="7" t="n"/>
      <c r="J649" s="27">
        <f>IF(OR($A649="",$C649=""),"",IF(IFERROR(VLOOKUP($A649,Ledger!$A:$E,5,FALSE),0)&gt;=VLOOKUP($C649,RoleTitles!$A:$B,2,FALSE),"YES","NO"))</f>
        <v/>
      </c>
      <c r="K649" s="27">
        <f>IF($A649="","",IF(AND($H649="PROMOTE",$J649="YES"),"YES — PROMOTE","NO"))</f>
        <v/>
      </c>
    </row>
    <row r="650">
      <c r="A650" s="7" t="n"/>
      <c r="B650" s="7">
        <f>IF($A650="","",VLOOKUP($A650,CoachRoster!$A:$E,4,FALSE))</f>
        <v/>
      </c>
      <c r="C650" s="7" t="n"/>
      <c r="D650" s="7" t="n"/>
      <c r="E650" s="7" t="n"/>
      <c r="F650" s="7" t="n"/>
      <c r="G650" s="7" t="n"/>
      <c r="H650" s="7">
        <f>IF($A650="","",IF(AND($E650="Pass",$F650="Pass",$G650="Pass"),"PROMOTE","NOT YET"))</f>
        <v/>
      </c>
      <c r="I650" s="7" t="n"/>
      <c r="J650" s="27">
        <f>IF(OR($A650="",$C650=""),"",IF(IFERROR(VLOOKUP($A650,Ledger!$A:$E,5,FALSE),0)&gt;=VLOOKUP($C650,RoleTitles!$A:$B,2,FALSE),"YES","NO"))</f>
        <v/>
      </c>
      <c r="K650" s="27">
        <f>IF($A650="","",IF(AND($H650="PROMOTE",$J650="YES"),"YES — PROMOTE","NO"))</f>
        <v/>
      </c>
    </row>
    <row r="651">
      <c r="A651" s="7" t="n"/>
      <c r="B651" s="7">
        <f>IF($A651="","",VLOOKUP($A651,CoachRoster!$A:$E,4,FALSE))</f>
        <v/>
      </c>
      <c r="C651" s="7" t="n"/>
      <c r="D651" s="7" t="n"/>
      <c r="E651" s="7" t="n"/>
      <c r="F651" s="7" t="n"/>
      <c r="G651" s="7" t="n"/>
      <c r="H651" s="7">
        <f>IF($A651="","",IF(AND($E651="Pass",$F651="Pass",$G651="Pass"),"PROMOTE","NOT YET"))</f>
        <v/>
      </c>
      <c r="I651" s="7" t="n"/>
      <c r="J651" s="27">
        <f>IF(OR($A651="",$C651=""),"",IF(IFERROR(VLOOKUP($A651,Ledger!$A:$E,5,FALSE),0)&gt;=VLOOKUP($C651,RoleTitles!$A:$B,2,FALSE),"YES","NO"))</f>
        <v/>
      </c>
      <c r="K651" s="27">
        <f>IF($A651="","",IF(AND($H651="PROMOTE",$J651="YES"),"YES — PROMOTE","NO"))</f>
        <v/>
      </c>
    </row>
    <row r="652">
      <c r="A652" s="7" t="n"/>
      <c r="B652" s="7">
        <f>IF($A652="","",VLOOKUP($A652,CoachRoster!$A:$E,4,FALSE))</f>
        <v/>
      </c>
      <c r="C652" s="7" t="n"/>
      <c r="D652" s="7" t="n"/>
      <c r="E652" s="7" t="n"/>
      <c r="F652" s="7" t="n"/>
      <c r="G652" s="7" t="n"/>
      <c r="H652" s="7">
        <f>IF($A652="","",IF(AND($E652="Pass",$F652="Pass",$G652="Pass"),"PROMOTE","NOT YET"))</f>
        <v/>
      </c>
      <c r="I652" s="7" t="n"/>
      <c r="J652" s="27">
        <f>IF(OR($A652="",$C652=""),"",IF(IFERROR(VLOOKUP($A652,Ledger!$A:$E,5,FALSE),0)&gt;=VLOOKUP($C652,RoleTitles!$A:$B,2,FALSE),"YES","NO"))</f>
        <v/>
      </c>
      <c r="K652" s="27">
        <f>IF($A652="","",IF(AND($H652="PROMOTE",$J652="YES"),"YES — PROMOTE","NO"))</f>
        <v/>
      </c>
    </row>
    <row r="653">
      <c r="A653" s="7" t="n"/>
      <c r="B653" s="7">
        <f>IF($A653="","",VLOOKUP($A653,CoachRoster!$A:$E,4,FALSE))</f>
        <v/>
      </c>
      <c r="C653" s="7" t="n"/>
      <c r="D653" s="7" t="n"/>
      <c r="E653" s="7" t="n"/>
      <c r="F653" s="7" t="n"/>
      <c r="G653" s="7" t="n"/>
      <c r="H653" s="7">
        <f>IF($A653="","",IF(AND($E653="Pass",$F653="Pass",$G653="Pass"),"PROMOTE","NOT YET"))</f>
        <v/>
      </c>
      <c r="I653" s="7" t="n"/>
      <c r="J653" s="27">
        <f>IF(OR($A653="",$C653=""),"",IF(IFERROR(VLOOKUP($A653,Ledger!$A:$E,5,FALSE),0)&gt;=VLOOKUP($C653,RoleTitles!$A:$B,2,FALSE),"YES","NO"))</f>
        <v/>
      </c>
      <c r="K653" s="27">
        <f>IF($A653="","",IF(AND($H653="PROMOTE",$J653="YES"),"YES — PROMOTE","NO"))</f>
        <v/>
      </c>
    </row>
    <row r="654">
      <c r="A654" s="7" t="n"/>
      <c r="B654" s="7">
        <f>IF($A654="","",VLOOKUP($A654,CoachRoster!$A:$E,4,FALSE))</f>
        <v/>
      </c>
      <c r="C654" s="7" t="n"/>
      <c r="D654" s="7" t="n"/>
      <c r="E654" s="7" t="n"/>
      <c r="F654" s="7" t="n"/>
      <c r="G654" s="7" t="n"/>
      <c r="H654" s="7">
        <f>IF($A654="","",IF(AND($E654="Pass",$F654="Pass",$G654="Pass"),"PROMOTE","NOT YET"))</f>
        <v/>
      </c>
      <c r="I654" s="7" t="n"/>
      <c r="J654" s="27">
        <f>IF(OR($A654="",$C654=""),"",IF(IFERROR(VLOOKUP($A654,Ledger!$A:$E,5,FALSE),0)&gt;=VLOOKUP($C654,RoleTitles!$A:$B,2,FALSE),"YES","NO"))</f>
        <v/>
      </c>
      <c r="K654" s="27">
        <f>IF($A654="","",IF(AND($H654="PROMOTE",$J654="YES"),"YES — PROMOTE","NO"))</f>
        <v/>
      </c>
    </row>
    <row r="655">
      <c r="A655" s="7" t="n"/>
      <c r="B655" s="7">
        <f>IF($A655="","",VLOOKUP($A655,CoachRoster!$A:$E,4,FALSE))</f>
        <v/>
      </c>
      <c r="C655" s="7" t="n"/>
      <c r="D655" s="7" t="n"/>
      <c r="E655" s="7" t="n"/>
      <c r="F655" s="7" t="n"/>
      <c r="G655" s="7" t="n"/>
      <c r="H655" s="7">
        <f>IF($A655="","",IF(AND($E655="Pass",$F655="Pass",$G655="Pass"),"PROMOTE","NOT YET"))</f>
        <v/>
      </c>
      <c r="I655" s="7" t="n"/>
      <c r="J655" s="27">
        <f>IF(OR($A655="",$C655=""),"",IF(IFERROR(VLOOKUP($A655,Ledger!$A:$E,5,FALSE),0)&gt;=VLOOKUP($C655,RoleTitles!$A:$B,2,FALSE),"YES","NO"))</f>
        <v/>
      </c>
      <c r="K655" s="27">
        <f>IF($A655="","",IF(AND($H655="PROMOTE",$J655="YES"),"YES — PROMOTE","NO"))</f>
        <v/>
      </c>
    </row>
    <row r="656">
      <c r="A656" s="7" t="n"/>
      <c r="B656" s="7">
        <f>IF($A656="","",VLOOKUP($A656,CoachRoster!$A:$E,4,FALSE))</f>
        <v/>
      </c>
      <c r="C656" s="7" t="n"/>
      <c r="D656" s="7" t="n"/>
      <c r="E656" s="7" t="n"/>
      <c r="F656" s="7" t="n"/>
      <c r="G656" s="7" t="n"/>
      <c r="H656" s="7">
        <f>IF($A656="","",IF(AND($E656="Pass",$F656="Pass",$G656="Pass"),"PROMOTE","NOT YET"))</f>
        <v/>
      </c>
      <c r="I656" s="7" t="n"/>
      <c r="J656" s="27">
        <f>IF(OR($A656="",$C656=""),"",IF(IFERROR(VLOOKUP($A656,Ledger!$A:$E,5,FALSE),0)&gt;=VLOOKUP($C656,RoleTitles!$A:$B,2,FALSE),"YES","NO"))</f>
        <v/>
      </c>
      <c r="K656" s="27">
        <f>IF($A656="","",IF(AND($H656="PROMOTE",$J656="YES"),"YES — PROMOTE","NO"))</f>
        <v/>
      </c>
    </row>
    <row r="657">
      <c r="A657" s="7" t="n"/>
      <c r="B657" s="7">
        <f>IF($A657="","",VLOOKUP($A657,CoachRoster!$A:$E,4,FALSE))</f>
        <v/>
      </c>
      <c r="C657" s="7" t="n"/>
      <c r="D657" s="7" t="n"/>
      <c r="E657" s="7" t="n"/>
      <c r="F657" s="7" t="n"/>
      <c r="G657" s="7" t="n"/>
      <c r="H657" s="7">
        <f>IF($A657="","",IF(AND($E657="Pass",$F657="Pass",$G657="Pass"),"PROMOTE","NOT YET"))</f>
        <v/>
      </c>
      <c r="I657" s="7" t="n"/>
      <c r="J657" s="27">
        <f>IF(OR($A657="",$C657=""),"",IF(IFERROR(VLOOKUP($A657,Ledger!$A:$E,5,FALSE),0)&gt;=VLOOKUP($C657,RoleTitles!$A:$B,2,FALSE),"YES","NO"))</f>
        <v/>
      </c>
      <c r="K657" s="27">
        <f>IF($A657="","",IF(AND($H657="PROMOTE",$J657="YES"),"YES — PROMOTE","NO"))</f>
        <v/>
      </c>
    </row>
    <row r="658">
      <c r="A658" s="7" t="n"/>
      <c r="B658" s="7">
        <f>IF($A658="","",VLOOKUP($A658,CoachRoster!$A:$E,4,FALSE))</f>
        <v/>
      </c>
      <c r="C658" s="7" t="n"/>
      <c r="D658" s="7" t="n"/>
      <c r="E658" s="7" t="n"/>
      <c r="F658" s="7" t="n"/>
      <c r="G658" s="7" t="n"/>
      <c r="H658" s="7">
        <f>IF($A658="","",IF(AND($E658="Pass",$F658="Pass",$G658="Pass"),"PROMOTE","NOT YET"))</f>
        <v/>
      </c>
      <c r="I658" s="7" t="n"/>
      <c r="J658" s="27">
        <f>IF(OR($A658="",$C658=""),"",IF(IFERROR(VLOOKUP($A658,Ledger!$A:$E,5,FALSE),0)&gt;=VLOOKUP($C658,RoleTitles!$A:$B,2,FALSE),"YES","NO"))</f>
        <v/>
      </c>
      <c r="K658" s="27">
        <f>IF($A658="","",IF(AND($H658="PROMOTE",$J658="YES"),"YES — PROMOTE","NO"))</f>
        <v/>
      </c>
    </row>
    <row r="659">
      <c r="A659" s="7" t="n"/>
      <c r="B659" s="7">
        <f>IF($A659="","",VLOOKUP($A659,CoachRoster!$A:$E,4,FALSE))</f>
        <v/>
      </c>
      <c r="C659" s="7" t="n"/>
      <c r="D659" s="7" t="n"/>
      <c r="E659" s="7" t="n"/>
      <c r="F659" s="7" t="n"/>
      <c r="G659" s="7" t="n"/>
      <c r="H659" s="7">
        <f>IF($A659="","",IF(AND($E659="Pass",$F659="Pass",$G659="Pass"),"PROMOTE","NOT YET"))</f>
        <v/>
      </c>
      <c r="I659" s="7" t="n"/>
      <c r="J659" s="27">
        <f>IF(OR($A659="",$C659=""),"",IF(IFERROR(VLOOKUP($A659,Ledger!$A:$E,5,FALSE),0)&gt;=VLOOKUP($C659,RoleTitles!$A:$B,2,FALSE),"YES","NO"))</f>
        <v/>
      </c>
      <c r="K659" s="27">
        <f>IF($A659="","",IF(AND($H659="PROMOTE",$J659="YES"),"YES — PROMOTE","NO"))</f>
        <v/>
      </c>
    </row>
    <row r="660">
      <c r="A660" s="7" t="n"/>
      <c r="B660" s="7">
        <f>IF($A660="","",VLOOKUP($A660,CoachRoster!$A:$E,4,FALSE))</f>
        <v/>
      </c>
      <c r="C660" s="7" t="n"/>
      <c r="D660" s="7" t="n"/>
      <c r="E660" s="7" t="n"/>
      <c r="F660" s="7" t="n"/>
      <c r="G660" s="7" t="n"/>
      <c r="H660" s="7">
        <f>IF($A660="","",IF(AND($E660="Pass",$F660="Pass",$G660="Pass"),"PROMOTE","NOT YET"))</f>
        <v/>
      </c>
      <c r="I660" s="7" t="n"/>
      <c r="J660" s="27">
        <f>IF(OR($A660="",$C660=""),"",IF(IFERROR(VLOOKUP($A660,Ledger!$A:$E,5,FALSE),0)&gt;=VLOOKUP($C660,RoleTitles!$A:$B,2,FALSE),"YES","NO"))</f>
        <v/>
      </c>
      <c r="K660" s="27">
        <f>IF($A660="","",IF(AND($H660="PROMOTE",$J660="YES"),"YES — PROMOTE","NO"))</f>
        <v/>
      </c>
    </row>
    <row r="661">
      <c r="A661" s="7" t="n"/>
      <c r="B661" s="7">
        <f>IF($A661="","",VLOOKUP($A661,CoachRoster!$A:$E,4,FALSE))</f>
        <v/>
      </c>
      <c r="C661" s="7" t="n"/>
      <c r="D661" s="7" t="n"/>
      <c r="E661" s="7" t="n"/>
      <c r="F661" s="7" t="n"/>
      <c r="G661" s="7" t="n"/>
      <c r="H661" s="7">
        <f>IF($A661="","",IF(AND($E661="Pass",$F661="Pass",$G661="Pass"),"PROMOTE","NOT YET"))</f>
        <v/>
      </c>
      <c r="I661" s="7" t="n"/>
      <c r="J661" s="27">
        <f>IF(OR($A661="",$C661=""),"",IF(IFERROR(VLOOKUP($A661,Ledger!$A:$E,5,FALSE),0)&gt;=VLOOKUP($C661,RoleTitles!$A:$B,2,FALSE),"YES","NO"))</f>
        <v/>
      </c>
      <c r="K661" s="27">
        <f>IF($A661="","",IF(AND($H661="PROMOTE",$J661="YES"),"YES — PROMOTE","NO"))</f>
        <v/>
      </c>
    </row>
    <row r="662">
      <c r="A662" s="7" t="n"/>
      <c r="B662" s="7">
        <f>IF($A662="","",VLOOKUP($A662,CoachRoster!$A:$E,4,FALSE))</f>
        <v/>
      </c>
      <c r="C662" s="7" t="n"/>
      <c r="D662" s="7" t="n"/>
      <c r="E662" s="7" t="n"/>
      <c r="F662" s="7" t="n"/>
      <c r="G662" s="7" t="n"/>
      <c r="H662" s="7">
        <f>IF($A662="","",IF(AND($E662="Pass",$F662="Pass",$G662="Pass"),"PROMOTE","NOT YET"))</f>
        <v/>
      </c>
      <c r="I662" s="7" t="n"/>
      <c r="J662" s="27">
        <f>IF(OR($A662="",$C662=""),"",IF(IFERROR(VLOOKUP($A662,Ledger!$A:$E,5,FALSE),0)&gt;=VLOOKUP($C662,RoleTitles!$A:$B,2,FALSE),"YES","NO"))</f>
        <v/>
      </c>
      <c r="K662" s="27">
        <f>IF($A662="","",IF(AND($H662="PROMOTE",$J662="YES"),"YES — PROMOTE","NO"))</f>
        <v/>
      </c>
    </row>
    <row r="663">
      <c r="A663" s="7" t="n"/>
      <c r="B663" s="7">
        <f>IF($A663="","",VLOOKUP($A663,CoachRoster!$A:$E,4,FALSE))</f>
        <v/>
      </c>
      <c r="C663" s="7" t="n"/>
      <c r="D663" s="7" t="n"/>
      <c r="E663" s="7" t="n"/>
      <c r="F663" s="7" t="n"/>
      <c r="G663" s="7" t="n"/>
      <c r="H663" s="7">
        <f>IF($A663="","",IF(AND($E663="Pass",$F663="Pass",$G663="Pass"),"PROMOTE","NOT YET"))</f>
        <v/>
      </c>
      <c r="I663" s="7" t="n"/>
      <c r="J663" s="27">
        <f>IF(OR($A663="",$C663=""),"",IF(IFERROR(VLOOKUP($A663,Ledger!$A:$E,5,FALSE),0)&gt;=VLOOKUP($C663,RoleTitles!$A:$B,2,FALSE),"YES","NO"))</f>
        <v/>
      </c>
      <c r="K663" s="27">
        <f>IF($A663="","",IF(AND($H663="PROMOTE",$J663="YES"),"YES — PROMOTE","NO"))</f>
        <v/>
      </c>
    </row>
    <row r="664">
      <c r="A664" s="7" t="n"/>
      <c r="B664" s="7">
        <f>IF($A664="","",VLOOKUP($A664,CoachRoster!$A:$E,4,FALSE))</f>
        <v/>
      </c>
      <c r="C664" s="7" t="n"/>
      <c r="D664" s="7" t="n"/>
      <c r="E664" s="7" t="n"/>
      <c r="F664" s="7" t="n"/>
      <c r="G664" s="7" t="n"/>
      <c r="H664" s="7">
        <f>IF($A664="","",IF(AND($E664="Pass",$F664="Pass",$G664="Pass"),"PROMOTE","NOT YET"))</f>
        <v/>
      </c>
      <c r="I664" s="7" t="n"/>
      <c r="J664" s="27">
        <f>IF(OR($A664="",$C664=""),"",IF(IFERROR(VLOOKUP($A664,Ledger!$A:$E,5,FALSE),0)&gt;=VLOOKUP($C664,RoleTitles!$A:$B,2,FALSE),"YES","NO"))</f>
        <v/>
      </c>
      <c r="K664" s="27">
        <f>IF($A664="","",IF(AND($H664="PROMOTE",$J664="YES"),"YES — PROMOTE","NO"))</f>
        <v/>
      </c>
    </row>
    <row r="665">
      <c r="A665" s="7" t="n"/>
      <c r="B665" s="7">
        <f>IF($A665="","",VLOOKUP($A665,CoachRoster!$A:$E,4,FALSE))</f>
        <v/>
      </c>
      <c r="C665" s="7" t="n"/>
      <c r="D665" s="7" t="n"/>
      <c r="E665" s="7" t="n"/>
      <c r="F665" s="7" t="n"/>
      <c r="G665" s="7" t="n"/>
      <c r="H665" s="7">
        <f>IF($A665="","",IF(AND($E665="Pass",$F665="Pass",$G665="Pass"),"PROMOTE","NOT YET"))</f>
        <v/>
      </c>
      <c r="I665" s="7" t="n"/>
      <c r="J665" s="27">
        <f>IF(OR($A665="",$C665=""),"",IF(IFERROR(VLOOKUP($A665,Ledger!$A:$E,5,FALSE),0)&gt;=VLOOKUP($C665,RoleTitles!$A:$B,2,FALSE),"YES","NO"))</f>
        <v/>
      </c>
      <c r="K665" s="27">
        <f>IF($A665="","",IF(AND($H665="PROMOTE",$J665="YES"),"YES — PROMOTE","NO"))</f>
        <v/>
      </c>
    </row>
    <row r="666">
      <c r="A666" s="7" t="n"/>
      <c r="B666" s="7">
        <f>IF($A666="","",VLOOKUP($A666,CoachRoster!$A:$E,4,FALSE))</f>
        <v/>
      </c>
      <c r="C666" s="7" t="n"/>
      <c r="D666" s="7" t="n"/>
      <c r="E666" s="7" t="n"/>
      <c r="F666" s="7" t="n"/>
      <c r="G666" s="7" t="n"/>
      <c r="H666" s="7">
        <f>IF($A666="","",IF(AND($E666="Pass",$F666="Pass",$G666="Pass"),"PROMOTE","NOT YET"))</f>
        <v/>
      </c>
      <c r="I666" s="7" t="n"/>
      <c r="J666" s="27">
        <f>IF(OR($A666="",$C666=""),"",IF(IFERROR(VLOOKUP($A666,Ledger!$A:$E,5,FALSE),0)&gt;=VLOOKUP($C666,RoleTitles!$A:$B,2,FALSE),"YES","NO"))</f>
        <v/>
      </c>
      <c r="K666" s="27">
        <f>IF($A666="","",IF(AND($H666="PROMOTE",$J666="YES"),"YES — PROMOTE","NO"))</f>
        <v/>
      </c>
    </row>
    <row r="667">
      <c r="A667" s="7" t="n"/>
      <c r="B667" s="7">
        <f>IF($A667="","",VLOOKUP($A667,CoachRoster!$A:$E,4,FALSE))</f>
        <v/>
      </c>
      <c r="C667" s="7" t="n"/>
      <c r="D667" s="7" t="n"/>
      <c r="E667" s="7" t="n"/>
      <c r="F667" s="7" t="n"/>
      <c r="G667" s="7" t="n"/>
      <c r="H667" s="7">
        <f>IF($A667="","",IF(AND($E667="Pass",$F667="Pass",$G667="Pass"),"PROMOTE","NOT YET"))</f>
        <v/>
      </c>
      <c r="I667" s="7" t="n"/>
      <c r="J667" s="27">
        <f>IF(OR($A667="",$C667=""),"",IF(IFERROR(VLOOKUP($A667,Ledger!$A:$E,5,FALSE),0)&gt;=VLOOKUP($C667,RoleTitles!$A:$B,2,FALSE),"YES","NO"))</f>
        <v/>
      </c>
      <c r="K667" s="27">
        <f>IF($A667="","",IF(AND($H667="PROMOTE",$J667="YES"),"YES — PROMOTE","NO"))</f>
        <v/>
      </c>
    </row>
    <row r="668">
      <c r="A668" s="7" t="n"/>
      <c r="B668" s="7">
        <f>IF($A668="","",VLOOKUP($A668,CoachRoster!$A:$E,4,FALSE))</f>
        <v/>
      </c>
      <c r="C668" s="7" t="n"/>
      <c r="D668" s="7" t="n"/>
      <c r="E668" s="7" t="n"/>
      <c r="F668" s="7" t="n"/>
      <c r="G668" s="7" t="n"/>
      <c r="H668" s="7">
        <f>IF($A668="","",IF(AND($E668="Pass",$F668="Pass",$G668="Pass"),"PROMOTE","NOT YET"))</f>
        <v/>
      </c>
      <c r="I668" s="7" t="n"/>
      <c r="J668" s="27">
        <f>IF(OR($A668="",$C668=""),"",IF(IFERROR(VLOOKUP($A668,Ledger!$A:$E,5,FALSE),0)&gt;=VLOOKUP($C668,RoleTitles!$A:$B,2,FALSE),"YES","NO"))</f>
        <v/>
      </c>
      <c r="K668" s="27">
        <f>IF($A668="","",IF(AND($H668="PROMOTE",$J668="YES"),"YES — PROMOTE","NO"))</f>
        <v/>
      </c>
    </row>
    <row r="669">
      <c r="A669" s="7" t="n"/>
      <c r="B669" s="7">
        <f>IF($A669="","",VLOOKUP($A669,CoachRoster!$A:$E,4,FALSE))</f>
        <v/>
      </c>
      <c r="C669" s="7" t="n"/>
      <c r="D669" s="7" t="n"/>
      <c r="E669" s="7" t="n"/>
      <c r="F669" s="7" t="n"/>
      <c r="G669" s="7" t="n"/>
      <c r="H669" s="7">
        <f>IF($A669="","",IF(AND($E669="Pass",$F669="Pass",$G669="Pass"),"PROMOTE","NOT YET"))</f>
        <v/>
      </c>
      <c r="I669" s="7" t="n"/>
      <c r="J669" s="27">
        <f>IF(OR($A669="",$C669=""),"",IF(IFERROR(VLOOKUP($A669,Ledger!$A:$E,5,FALSE),0)&gt;=VLOOKUP($C669,RoleTitles!$A:$B,2,FALSE),"YES","NO"))</f>
        <v/>
      </c>
      <c r="K669" s="27">
        <f>IF($A669="","",IF(AND($H669="PROMOTE",$J669="YES"),"YES — PROMOTE","NO"))</f>
        <v/>
      </c>
    </row>
    <row r="670">
      <c r="A670" s="7" t="n"/>
      <c r="B670" s="7">
        <f>IF($A670="","",VLOOKUP($A670,CoachRoster!$A:$E,4,FALSE))</f>
        <v/>
      </c>
      <c r="C670" s="7" t="n"/>
      <c r="D670" s="7" t="n"/>
      <c r="E670" s="7" t="n"/>
      <c r="F670" s="7" t="n"/>
      <c r="G670" s="7" t="n"/>
      <c r="H670" s="7">
        <f>IF($A670="","",IF(AND($E670="Pass",$F670="Pass",$G670="Pass"),"PROMOTE","NOT YET"))</f>
        <v/>
      </c>
      <c r="I670" s="7" t="n"/>
      <c r="J670" s="27">
        <f>IF(OR($A670="",$C670=""),"",IF(IFERROR(VLOOKUP($A670,Ledger!$A:$E,5,FALSE),0)&gt;=VLOOKUP($C670,RoleTitles!$A:$B,2,FALSE),"YES","NO"))</f>
        <v/>
      </c>
      <c r="K670" s="27">
        <f>IF($A670="","",IF(AND($H670="PROMOTE",$J670="YES"),"YES — PROMOTE","NO"))</f>
        <v/>
      </c>
    </row>
    <row r="671">
      <c r="A671" s="7" t="n"/>
      <c r="B671" s="7">
        <f>IF($A671="","",VLOOKUP($A671,CoachRoster!$A:$E,4,FALSE))</f>
        <v/>
      </c>
      <c r="C671" s="7" t="n"/>
      <c r="D671" s="7" t="n"/>
      <c r="E671" s="7" t="n"/>
      <c r="F671" s="7" t="n"/>
      <c r="G671" s="7" t="n"/>
      <c r="H671" s="7">
        <f>IF($A671="","",IF(AND($E671="Pass",$F671="Pass",$G671="Pass"),"PROMOTE","NOT YET"))</f>
        <v/>
      </c>
      <c r="I671" s="7" t="n"/>
      <c r="J671" s="27">
        <f>IF(OR($A671="",$C671=""),"",IF(IFERROR(VLOOKUP($A671,Ledger!$A:$E,5,FALSE),0)&gt;=VLOOKUP($C671,RoleTitles!$A:$B,2,FALSE),"YES","NO"))</f>
        <v/>
      </c>
      <c r="K671" s="27">
        <f>IF($A671="","",IF(AND($H671="PROMOTE",$J671="YES"),"YES — PROMOTE","NO"))</f>
        <v/>
      </c>
    </row>
    <row r="672">
      <c r="A672" s="7" t="n"/>
      <c r="B672" s="7">
        <f>IF($A672="","",VLOOKUP($A672,CoachRoster!$A:$E,4,FALSE))</f>
        <v/>
      </c>
      <c r="C672" s="7" t="n"/>
      <c r="D672" s="7" t="n"/>
      <c r="E672" s="7" t="n"/>
      <c r="F672" s="7" t="n"/>
      <c r="G672" s="7" t="n"/>
      <c r="H672" s="7">
        <f>IF($A672="","",IF(AND($E672="Pass",$F672="Pass",$G672="Pass"),"PROMOTE","NOT YET"))</f>
        <v/>
      </c>
      <c r="I672" s="7" t="n"/>
      <c r="J672" s="27">
        <f>IF(OR($A672="",$C672=""),"",IF(IFERROR(VLOOKUP($A672,Ledger!$A:$E,5,FALSE),0)&gt;=VLOOKUP($C672,RoleTitles!$A:$B,2,FALSE),"YES","NO"))</f>
        <v/>
      </c>
      <c r="K672" s="27">
        <f>IF($A672="","",IF(AND($H672="PROMOTE",$J672="YES"),"YES — PROMOTE","NO"))</f>
        <v/>
      </c>
    </row>
    <row r="673">
      <c r="A673" s="7" t="n"/>
      <c r="B673" s="7">
        <f>IF($A673="","",VLOOKUP($A673,CoachRoster!$A:$E,4,FALSE))</f>
        <v/>
      </c>
      <c r="C673" s="7" t="n"/>
      <c r="D673" s="7" t="n"/>
      <c r="E673" s="7" t="n"/>
      <c r="F673" s="7" t="n"/>
      <c r="G673" s="7" t="n"/>
      <c r="H673" s="7">
        <f>IF($A673="","",IF(AND($E673="Pass",$F673="Pass",$G673="Pass"),"PROMOTE","NOT YET"))</f>
        <v/>
      </c>
      <c r="I673" s="7" t="n"/>
      <c r="J673" s="27">
        <f>IF(OR($A673="",$C673=""),"",IF(IFERROR(VLOOKUP($A673,Ledger!$A:$E,5,FALSE),0)&gt;=VLOOKUP($C673,RoleTitles!$A:$B,2,FALSE),"YES","NO"))</f>
        <v/>
      </c>
      <c r="K673" s="27">
        <f>IF($A673="","",IF(AND($H673="PROMOTE",$J673="YES"),"YES — PROMOTE","NO"))</f>
        <v/>
      </c>
    </row>
    <row r="674">
      <c r="A674" s="7" t="n"/>
      <c r="B674" s="7">
        <f>IF($A674="","",VLOOKUP($A674,CoachRoster!$A:$E,4,FALSE))</f>
        <v/>
      </c>
      <c r="C674" s="7" t="n"/>
      <c r="D674" s="7" t="n"/>
      <c r="E674" s="7" t="n"/>
      <c r="F674" s="7" t="n"/>
      <c r="G674" s="7" t="n"/>
      <c r="H674" s="7">
        <f>IF($A674="","",IF(AND($E674="Pass",$F674="Pass",$G674="Pass"),"PROMOTE","NOT YET"))</f>
        <v/>
      </c>
      <c r="I674" s="7" t="n"/>
      <c r="J674" s="27">
        <f>IF(OR($A674="",$C674=""),"",IF(IFERROR(VLOOKUP($A674,Ledger!$A:$E,5,FALSE),0)&gt;=VLOOKUP($C674,RoleTitles!$A:$B,2,FALSE),"YES","NO"))</f>
        <v/>
      </c>
      <c r="K674" s="27">
        <f>IF($A674="","",IF(AND($H674="PROMOTE",$J674="YES"),"YES — PROMOTE","NO"))</f>
        <v/>
      </c>
    </row>
    <row r="675">
      <c r="A675" s="7" t="n"/>
      <c r="B675" s="7">
        <f>IF($A675="","",VLOOKUP($A675,CoachRoster!$A:$E,4,FALSE))</f>
        <v/>
      </c>
      <c r="C675" s="7" t="n"/>
      <c r="D675" s="7" t="n"/>
      <c r="E675" s="7" t="n"/>
      <c r="F675" s="7" t="n"/>
      <c r="G675" s="7" t="n"/>
      <c r="H675" s="7">
        <f>IF($A675="","",IF(AND($E675="Pass",$F675="Pass",$G675="Pass"),"PROMOTE","NOT YET"))</f>
        <v/>
      </c>
      <c r="I675" s="7" t="n"/>
      <c r="J675" s="27">
        <f>IF(OR($A675="",$C675=""),"",IF(IFERROR(VLOOKUP($A675,Ledger!$A:$E,5,FALSE),0)&gt;=VLOOKUP($C675,RoleTitles!$A:$B,2,FALSE),"YES","NO"))</f>
        <v/>
      </c>
      <c r="K675" s="27">
        <f>IF($A675="","",IF(AND($H675="PROMOTE",$J675="YES"),"YES — PROMOTE","NO"))</f>
        <v/>
      </c>
    </row>
    <row r="676">
      <c r="A676" s="7" t="n"/>
      <c r="B676" s="7">
        <f>IF($A676="","",VLOOKUP($A676,CoachRoster!$A:$E,4,FALSE))</f>
        <v/>
      </c>
      <c r="C676" s="7" t="n"/>
      <c r="D676" s="7" t="n"/>
      <c r="E676" s="7" t="n"/>
      <c r="F676" s="7" t="n"/>
      <c r="G676" s="7" t="n"/>
      <c r="H676" s="7">
        <f>IF($A676="","",IF(AND($E676="Pass",$F676="Pass",$G676="Pass"),"PROMOTE","NOT YET"))</f>
        <v/>
      </c>
      <c r="I676" s="7" t="n"/>
      <c r="J676" s="27">
        <f>IF(OR($A676="",$C676=""),"",IF(IFERROR(VLOOKUP($A676,Ledger!$A:$E,5,FALSE),0)&gt;=VLOOKUP($C676,RoleTitles!$A:$B,2,FALSE),"YES","NO"))</f>
        <v/>
      </c>
      <c r="K676" s="27">
        <f>IF($A676="","",IF(AND($H676="PROMOTE",$J676="YES"),"YES — PROMOTE","NO"))</f>
        <v/>
      </c>
    </row>
    <row r="677">
      <c r="A677" s="7" t="n"/>
      <c r="B677" s="7">
        <f>IF($A677="","",VLOOKUP($A677,CoachRoster!$A:$E,4,FALSE))</f>
        <v/>
      </c>
      <c r="C677" s="7" t="n"/>
      <c r="D677" s="7" t="n"/>
      <c r="E677" s="7" t="n"/>
      <c r="F677" s="7" t="n"/>
      <c r="G677" s="7" t="n"/>
      <c r="H677" s="7">
        <f>IF($A677="","",IF(AND($E677="Pass",$F677="Pass",$G677="Pass"),"PROMOTE","NOT YET"))</f>
        <v/>
      </c>
      <c r="I677" s="7" t="n"/>
      <c r="J677" s="27">
        <f>IF(OR($A677="",$C677=""),"",IF(IFERROR(VLOOKUP($A677,Ledger!$A:$E,5,FALSE),0)&gt;=VLOOKUP($C677,RoleTitles!$A:$B,2,FALSE),"YES","NO"))</f>
        <v/>
      </c>
      <c r="K677" s="27">
        <f>IF($A677="","",IF(AND($H677="PROMOTE",$J677="YES"),"YES — PROMOTE","NO"))</f>
        <v/>
      </c>
    </row>
    <row r="678">
      <c r="A678" s="7" t="n"/>
      <c r="B678" s="7">
        <f>IF($A678="","",VLOOKUP($A678,CoachRoster!$A:$E,4,FALSE))</f>
        <v/>
      </c>
      <c r="C678" s="7" t="n"/>
      <c r="D678" s="7" t="n"/>
      <c r="E678" s="7" t="n"/>
      <c r="F678" s="7" t="n"/>
      <c r="G678" s="7" t="n"/>
      <c r="H678" s="7">
        <f>IF($A678="","",IF(AND($E678="Pass",$F678="Pass",$G678="Pass"),"PROMOTE","NOT YET"))</f>
        <v/>
      </c>
      <c r="I678" s="7" t="n"/>
      <c r="J678" s="27">
        <f>IF(OR($A678="",$C678=""),"",IF(IFERROR(VLOOKUP($A678,Ledger!$A:$E,5,FALSE),0)&gt;=VLOOKUP($C678,RoleTitles!$A:$B,2,FALSE),"YES","NO"))</f>
        <v/>
      </c>
      <c r="K678" s="27">
        <f>IF($A678="","",IF(AND($H678="PROMOTE",$J678="YES"),"YES — PROMOTE","NO"))</f>
        <v/>
      </c>
    </row>
    <row r="679">
      <c r="A679" s="7" t="n"/>
      <c r="B679" s="7">
        <f>IF($A679="","",VLOOKUP($A679,CoachRoster!$A:$E,4,FALSE))</f>
        <v/>
      </c>
      <c r="C679" s="7" t="n"/>
      <c r="D679" s="7" t="n"/>
      <c r="E679" s="7" t="n"/>
      <c r="F679" s="7" t="n"/>
      <c r="G679" s="7" t="n"/>
      <c r="H679" s="7">
        <f>IF($A679="","",IF(AND($E679="Pass",$F679="Pass",$G679="Pass"),"PROMOTE","NOT YET"))</f>
        <v/>
      </c>
      <c r="I679" s="7" t="n"/>
      <c r="J679" s="27">
        <f>IF(OR($A679="",$C679=""),"",IF(IFERROR(VLOOKUP($A679,Ledger!$A:$E,5,FALSE),0)&gt;=VLOOKUP($C679,RoleTitles!$A:$B,2,FALSE),"YES","NO"))</f>
        <v/>
      </c>
      <c r="K679" s="27">
        <f>IF($A679="","",IF(AND($H679="PROMOTE",$J679="YES"),"YES — PROMOTE","NO"))</f>
        <v/>
      </c>
    </row>
    <row r="680">
      <c r="A680" s="7" t="n"/>
      <c r="B680" s="7">
        <f>IF($A680="","",VLOOKUP($A680,CoachRoster!$A:$E,4,FALSE))</f>
        <v/>
      </c>
      <c r="C680" s="7" t="n"/>
      <c r="D680" s="7" t="n"/>
      <c r="E680" s="7" t="n"/>
      <c r="F680" s="7" t="n"/>
      <c r="G680" s="7" t="n"/>
      <c r="H680" s="7">
        <f>IF($A680="","",IF(AND($E680="Pass",$F680="Pass",$G680="Pass"),"PROMOTE","NOT YET"))</f>
        <v/>
      </c>
      <c r="I680" s="7" t="n"/>
      <c r="J680" s="27">
        <f>IF(OR($A680="",$C680=""),"",IF(IFERROR(VLOOKUP($A680,Ledger!$A:$E,5,FALSE),0)&gt;=VLOOKUP($C680,RoleTitles!$A:$B,2,FALSE),"YES","NO"))</f>
        <v/>
      </c>
      <c r="K680" s="27">
        <f>IF($A680="","",IF(AND($H680="PROMOTE",$J680="YES"),"YES — PROMOTE","NO"))</f>
        <v/>
      </c>
    </row>
    <row r="681">
      <c r="A681" s="7" t="n"/>
      <c r="B681" s="7">
        <f>IF($A681="","",VLOOKUP($A681,CoachRoster!$A:$E,4,FALSE))</f>
        <v/>
      </c>
      <c r="C681" s="7" t="n"/>
      <c r="D681" s="7" t="n"/>
      <c r="E681" s="7" t="n"/>
      <c r="F681" s="7" t="n"/>
      <c r="G681" s="7" t="n"/>
      <c r="H681" s="7">
        <f>IF($A681="","",IF(AND($E681="Pass",$F681="Pass",$G681="Pass"),"PROMOTE","NOT YET"))</f>
        <v/>
      </c>
      <c r="I681" s="7" t="n"/>
      <c r="J681" s="27">
        <f>IF(OR($A681="",$C681=""),"",IF(IFERROR(VLOOKUP($A681,Ledger!$A:$E,5,FALSE),0)&gt;=VLOOKUP($C681,RoleTitles!$A:$B,2,FALSE),"YES","NO"))</f>
        <v/>
      </c>
      <c r="K681" s="27">
        <f>IF($A681="","",IF(AND($H681="PROMOTE",$J681="YES"),"YES — PROMOTE","NO"))</f>
        <v/>
      </c>
    </row>
    <row r="682">
      <c r="A682" s="7" t="n"/>
      <c r="B682" s="7">
        <f>IF($A682="","",VLOOKUP($A682,CoachRoster!$A:$E,4,FALSE))</f>
        <v/>
      </c>
      <c r="C682" s="7" t="n"/>
      <c r="D682" s="7" t="n"/>
      <c r="E682" s="7" t="n"/>
      <c r="F682" s="7" t="n"/>
      <c r="G682" s="7" t="n"/>
      <c r="H682" s="7">
        <f>IF($A682="","",IF(AND($E682="Pass",$F682="Pass",$G682="Pass"),"PROMOTE","NOT YET"))</f>
        <v/>
      </c>
      <c r="I682" s="7" t="n"/>
      <c r="J682" s="27">
        <f>IF(OR($A682="",$C682=""),"",IF(IFERROR(VLOOKUP($A682,Ledger!$A:$E,5,FALSE),0)&gt;=VLOOKUP($C682,RoleTitles!$A:$B,2,FALSE),"YES","NO"))</f>
        <v/>
      </c>
      <c r="K682" s="27">
        <f>IF($A682="","",IF(AND($H682="PROMOTE",$J682="YES"),"YES — PROMOTE","NO"))</f>
        <v/>
      </c>
    </row>
    <row r="683">
      <c r="A683" s="7" t="n"/>
      <c r="B683" s="7">
        <f>IF($A683="","",VLOOKUP($A683,CoachRoster!$A:$E,4,FALSE))</f>
        <v/>
      </c>
      <c r="C683" s="7" t="n"/>
      <c r="D683" s="7" t="n"/>
      <c r="E683" s="7" t="n"/>
      <c r="F683" s="7" t="n"/>
      <c r="G683" s="7" t="n"/>
      <c r="H683" s="7">
        <f>IF($A683="","",IF(AND($E683="Pass",$F683="Pass",$G683="Pass"),"PROMOTE","NOT YET"))</f>
        <v/>
      </c>
      <c r="I683" s="7" t="n"/>
      <c r="J683" s="27">
        <f>IF(OR($A683="",$C683=""),"",IF(IFERROR(VLOOKUP($A683,Ledger!$A:$E,5,FALSE),0)&gt;=VLOOKUP($C683,RoleTitles!$A:$B,2,FALSE),"YES","NO"))</f>
        <v/>
      </c>
      <c r="K683" s="27">
        <f>IF($A683="","",IF(AND($H683="PROMOTE",$J683="YES"),"YES — PROMOTE","NO"))</f>
        <v/>
      </c>
    </row>
    <row r="684">
      <c r="A684" s="7" t="n"/>
      <c r="B684" s="7">
        <f>IF($A684="","",VLOOKUP($A684,CoachRoster!$A:$E,4,FALSE))</f>
        <v/>
      </c>
      <c r="C684" s="7" t="n"/>
      <c r="D684" s="7" t="n"/>
      <c r="E684" s="7" t="n"/>
      <c r="F684" s="7" t="n"/>
      <c r="G684" s="7" t="n"/>
      <c r="H684" s="7">
        <f>IF($A684="","",IF(AND($E684="Pass",$F684="Pass",$G684="Pass"),"PROMOTE","NOT YET"))</f>
        <v/>
      </c>
      <c r="I684" s="7" t="n"/>
      <c r="J684" s="27">
        <f>IF(OR($A684="",$C684=""),"",IF(IFERROR(VLOOKUP($A684,Ledger!$A:$E,5,FALSE),0)&gt;=VLOOKUP($C684,RoleTitles!$A:$B,2,FALSE),"YES","NO"))</f>
        <v/>
      </c>
      <c r="K684" s="27">
        <f>IF($A684="","",IF(AND($H684="PROMOTE",$J684="YES"),"YES — PROMOTE","NO"))</f>
        <v/>
      </c>
    </row>
    <row r="685">
      <c r="A685" s="7" t="n"/>
      <c r="B685" s="7">
        <f>IF($A685="","",VLOOKUP($A685,CoachRoster!$A:$E,4,FALSE))</f>
        <v/>
      </c>
      <c r="C685" s="7" t="n"/>
      <c r="D685" s="7" t="n"/>
      <c r="E685" s="7" t="n"/>
      <c r="F685" s="7" t="n"/>
      <c r="G685" s="7" t="n"/>
      <c r="H685" s="7">
        <f>IF($A685="","",IF(AND($E685="Pass",$F685="Pass",$G685="Pass"),"PROMOTE","NOT YET"))</f>
        <v/>
      </c>
      <c r="I685" s="7" t="n"/>
      <c r="J685" s="27">
        <f>IF(OR($A685="",$C685=""),"",IF(IFERROR(VLOOKUP($A685,Ledger!$A:$E,5,FALSE),0)&gt;=VLOOKUP($C685,RoleTitles!$A:$B,2,FALSE),"YES","NO"))</f>
        <v/>
      </c>
      <c r="K685" s="27">
        <f>IF($A685="","",IF(AND($H685="PROMOTE",$J685="YES"),"YES — PROMOTE","NO"))</f>
        <v/>
      </c>
    </row>
    <row r="686">
      <c r="A686" s="7" t="n"/>
      <c r="B686" s="7">
        <f>IF($A686="","",VLOOKUP($A686,CoachRoster!$A:$E,4,FALSE))</f>
        <v/>
      </c>
      <c r="C686" s="7" t="n"/>
      <c r="D686" s="7" t="n"/>
      <c r="E686" s="7" t="n"/>
      <c r="F686" s="7" t="n"/>
      <c r="G686" s="7" t="n"/>
      <c r="H686" s="7">
        <f>IF($A686="","",IF(AND($E686="Pass",$F686="Pass",$G686="Pass"),"PROMOTE","NOT YET"))</f>
        <v/>
      </c>
      <c r="I686" s="7" t="n"/>
      <c r="J686" s="27">
        <f>IF(OR($A686="",$C686=""),"",IF(IFERROR(VLOOKUP($A686,Ledger!$A:$E,5,FALSE),0)&gt;=VLOOKUP($C686,RoleTitles!$A:$B,2,FALSE),"YES","NO"))</f>
        <v/>
      </c>
      <c r="K686" s="27">
        <f>IF($A686="","",IF(AND($H686="PROMOTE",$J686="YES"),"YES — PROMOTE","NO"))</f>
        <v/>
      </c>
    </row>
    <row r="687">
      <c r="A687" s="7" t="n"/>
      <c r="B687" s="7">
        <f>IF($A687="","",VLOOKUP($A687,CoachRoster!$A:$E,4,FALSE))</f>
        <v/>
      </c>
      <c r="C687" s="7" t="n"/>
      <c r="D687" s="7" t="n"/>
      <c r="E687" s="7" t="n"/>
      <c r="F687" s="7" t="n"/>
      <c r="G687" s="7" t="n"/>
      <c r="H687" s="7">
        <f>IF($A687="","",IF(AND($E687="Pass",$F687="Pass",$G687="Pass"),"PROMOTE","NOT YET"))</f>
        <v/>
      </c>
      <c r="I687" s="7" t="n"/>
      <c r="J687" s="27">
        <f>IF(OR($A687="",$C687=""),"",IF(IFERROR(VLOOKUP($A687,Ledger!$A:$E,5,FALSE),0)&gt;=VLOOKUP($C687,RoleTitles!$A:$B,2,FALSE),"YES","NO"))</f>
        <v/>
      </c>
      <c r="K687" s="27">
        <f>IF($A687="","",IF(AND($H687="PROMOTE",$J687="YES"),"YES — PROMOTE","NO"))</f>
        <v/>
      </c>
    </row>
    <row r="688">
      <c r="A688" s="7" t="n"/>
      <c r="B688" s="7">
        <f>IF($A688="","",VLOOKUP($A688,CoachRoster!$A:$E,4,FALSE))</f>
        <v/>
      </c>
      <c r="C688" s="7" t="n"/>
      <c r="D688" s="7" t="n"/>
      <c r="E688" s="7" t="n"/>
      <c r="F688" s="7" t="n"/>
      <c r="G688" s="7" t="n"/>
      <c r="H688" s="7">
        <f>IF($A688="","",IF(AND($E688="Pass",$F688="Pass",$G688="Pass"),"PROMOTE","NOT YET"))</f>
        <v/>
      </c>
      <c r="I688" s="7" t="n"/>
      <c r="J688" s="27">
        <f>IF(OR($A688="",$C688=""),"",IF(IFERROR(VLOOKUP($A688,Ledger!$A:$E,5,FALSE),0)&gt;=VLOOKUP($C688,RoleTitles!$A:$B,2,FALSE),"YES","NO"))</f>
        <v/>
      </c>
      <c r="K688" s="27">
        <f>IF($A688="","",IF(AND($H688="PROMOTE",$J688="YES"),"YES — PROMOTE","NO"))</f>
        <v/>
      </c>
    </row>
    <row r="689">
      <c r="A689" s="7" t="n"/>
      <c r="B689" s="7">
        <f>IF($A689="","",VLOOKUP($A689,CoachRoster!$A:$E,4,FALSE))</f>
        <v/>
      </c>
      <c r="C689" s="7" t="n"/>
      <c r="D689" s="7" t="n"/>
      <c r="E689" s="7" t="n"/>
      <c r="F689" s="7" t="n"/>
      <c r="G689" s="7" t="n"/>
      <c r="H689" s="7">
        <f>IF($A689="","",IF(AND($E689="Pass",$F689="Pass",$G689="Pass"),"PROMOTE","NOT YET"))</f>
        <v/>
      </c>
      <c r="I689" s="7" t="n"/>
      <c r="J689" s="27">
        <f>IF(OR($A689="",$C689=""),"",IF(IFERROR(VLOOKUP($A689,Ledger!$A:$E,5,FALSE),0)&gt;=VLOOKUP($C689,RoleTitles!$A:$B,2,FALSE),"YES","NO"))</f>
        <v/>
      </c>
      <c r="K689" s="27">
        <f>IF($A689="","",IF(AND($H689="PROMOTE",$J689="YES"),"YES — PROMOTE","NO"))</f>
        <v/>
      </c>
    </row>
    <row r="690">
      <c r="A690" s="7" t="n"/>
      <c r="B690" s="7">
        <f>IF($A690="","",VLOOKUP($A690,CoachRoster!$A:$E,4,FALSE))</f>
        <v/>
      </c>
      <c r="C690" s="7" t="n"/>
      <c r="D690" s="7" t="n"/>
      <c r="E690" s="7" t="n"/>
      <c r="F690" s="7" t="n"/>
      <c r="G690" s="7" t="n"/>
      <c r="H690" s="7">
        <f>IF($A690="","",IF(AND($E690="Pass",$F690="Pass",$G690="Pass"),"PROMOTE","NOT YET"))</f>
        <v/>
      </c>
      <c r="I690" s="7" t="n"/>
      <c r="J690" s="27">
        <f>IF(OR($A690="",$C690=""),"",IF(IFERROR(VLOOKUP($A690,Ledger!$A:$E,5,FALSE),0)&gt;=VLOOKUP($C690,RoleTitles!$A:$B,2,FALSE),"YES","NO"))</f>
        <v/>
      </c>
      <c r="K690" s="27">
        <f>IF($A690="","",IF(AND($H690="PROMOTE",$J690="YES"),"YES — PROMOTE","NO"))</f>
        <v/>
      </c>
    </row>
    <row r="691">
      <c r="A691" s="7" t="n"/>
      <c r="B691" s="7">
        <f>IF($A691="","",VLOOKUP($A691,CoachRoster!$A:$E,4,FALSE))</f>
        <v/>
      </c>
      <c r="C691" s="7" t="n"/>
      <c r="D691" s="7" t="n"/>
      <c r="E691" s="7" t="n"/>
      <c r="F691" s="7" t="n"/>
      <c r="G691" s="7" t="n"/>
      <c r="H691" s="7">
        <f>IF($A691="","",IF(AND($E691="Pass",$F691="Pass",$G691="Pass"),"PROMOTE","NOT YET"))</f>
        <v/>
      </c>
      <c r="I691" s="7" t="n"/>
      <c r="J691" s="27">
        <f>IF(OR($A691="",$C691=""),"",IF(IFERROR(VLOOKUP($A691,Ledger!$A:$E,5,FALSE),0)&gt;=VLOOKUP($C691,RoleTitles!$A:$B,2,FALSE),"YES","NO"))</f>
        <v/>
      </c>
      <c r="K691" s="27">
        <f>IF($A691="","",IF(AND($H691="PROMOTE",$J691="YES"),"YES — PROMOTE","NO"))</f>
        <v/>
      </c>
    </row>
    <row r="692">
      <c r="A692" s="7" t="n"/>
      <c r="B692" s="7">
        <f>IF($A692="","",VLOOKUP($A692,CoachRoster!$A:$E,4,FALSE))</f>
        <v/>
      </c>
      <c r="C692" s="7" t="n"/>
      <c r="D692" s="7" t="n"/>
      <c r="E692" s="7" t="n"/>
      <c r="F692" s="7" t="n"/>
      <c r="G692" s="7" t="n"/>
      <c r="H692" s="7">
        <f>IF($A692="","",IF(AND($E692="Pass",$F692="Pass",$G692="Pass"),"PROMOTE","NOT YET"))</f>
        <v/>
      </c>
      <c r="I692" s="7" t="n"/>
      <c r="J692" s="27">
        <f>IF(OR($A692="",$C692=""),"",IF(IFERROR(VLOOKUP($A692,Ledger!$A:$E,5,FALSE),0)&gt;=VLOOKUP($C692,RoleTitles!$A:$B,2,FALSE),"YES","NO"))</f>
        <v/>
      </c>
      <c r="K692" s="27">
        <f>IF($A692="","",IF(AND($H692="PROMOTE",$J692="YES"),"YES — PROMOTE","NO"))</f>
        <v/>
      </c>
    </row>
    <row r="693">
      <c r="A693" s="7" t="n"/>
      <c r="B693" s="7">
        <f>IF($A693="","",VLOOKUP($A693,CoachRoster!$A:$E,4,FALSE))</f>
        <v/>
      </c>
      <c r="C693" s="7" t="n"/>
      <c r="D693" s="7" t="n"/>
      <c r="E693" s="7" t="n"/>
      <c r="F693" s="7" t="n"/>
      <c r="G693" s="7" t="n"/>
      <c r="H693" s="7">
        <f>IF($A693="","",IF(AND($E693="Pass",$F693="Pass",$G693="Pass"),"PROMOTE","NOT YET"))</f>
        <v/>
      </c>
      <c r="I693" s="7" t="n"/>
      <c r="J693" s="27">
        <f>IF(OR($A693="",$C693=""),"",IF(IFERROR(VLOOKUP($A693,Ledger!$A:$E,5,FALSE),0)&gt;=VLOOKUP($C693,RoleTitles!$A:$B,2,FALSE),"YES","NO"))</f>
        <v/>
      </c>
      <c r="K693" s="27">
        <f>IF($A693="","",IF(AND($H693="PROMOTE",$J693="YES"),"YES — PROMOTE","NO"))</f>
        <v/>
      </c>
    </row>
    <row r="694">
      <c r="A694" s="7" t="n"/>
      <c r="B694" s="7">
        <f>IF($A694="","",VLOOKUP($A694,CoachRoster!$A:$E,4,FALSE))</f>
        <v/>
      </c>
      <c r="C694" s="7" t="n"/>
      <c r="D694" s="7" t="n"/>
      <c r="E694" s="7" t="n"/>
      <c r="F694" s="7" t="n"/>
      <c r="G694" s="7" t="n"/>
      <c r="H694" s="7">
        <f>IF($A694="","",IF(AND($E694="Pass",$F694="Pass",$G694="Pass"),"PROMOTE","NOT YET"))</f>
        <v/>
      </c>
      <c r="I694" s="7" t="n"/>
      <c r="J694" s="27">
        <f>IF(OR($A694="",$C694=""),"",IF(IFERROR(VLOOKUP($A694,Ledger!$A:$E,5,FALSE),0)&gt;=VLOOKUP($C694,RoleTitles!$A:$B,2,FALSE),"YES","NO"))</f>
        <v/>
      </c>
      <c r="K694" s="27">
        <f>IF($A694="","",IF(AND($H694="PROMOTE",$J694="YES"),"YES — PROMOTE","NO"))</f>
        <v/>
      </c>
    </row>
    <row r="695">
      <c r="A695" s="7" t="n"/>
      <c r="B695" s="7">
        <f>IF($A695="","",VLOOKUP($A695,CoachRoster!$A:$E,4,FALSE))</f>
        <v/>
      </c>
      <c r="C695" s="7" t="n"/>
      <c r="D695" s="7" t="n"/>
      <c r="E695" s="7" t="n"/>
      <c r="F695" s="7" t="n"/>
      <c r="G695" s="7" t="n"/>
      <c r="H695" s="7">
        <f>IF($A695="","",IF(AND($E695="Pass",$F695="Pass",$G695="Pass"),"PROMOTE","NOT YET"))</f>
        <v/>
      </c>
      <c r="I695" s="7" t="n"/>
      <c r="J695" s="27">
        <f>IF(OR($A695="",$C695=""),"",IF(IFERROR(VLOOKUP($A695,Ledger!$A:$E,5,FALSE),0)&gt;=VLOOKUP($C695,RoleTitles!$A:$B,2,FALSE),"YES","NO"))</f>
        <v/>
      </c>
      <c r="K695" s="27">
        <f>IF($A695="","",IF(AND($H695="PROMOTE",$J695="YES"),"YES — PROMOTE","NO"))</f>
        <v/>
      </c>
    </row>
    <row r="696">
      <c r="A696" s="7" t="n"/>
      <c r="B696" s="7">
        <f>IF($A696="","",VLOOKUP($A696,CoachRoster!$A:$E,4,FALSE))</f>
        <v/>
      </c>
      <c r="C696" s="7" t="n"/>
      <c r="D696" s="7" t="n"/>
      <c r="E696" s="7" t="n"/>
      <c r="F696" s="7" t="n"/>
      <c r="G696" s="7" t="n"/>
      <c r="H696" s="7">
        <f>IF($A696="","",IF(AND($E696="Pass",$F696="Pass",$G696="Pass"),"PROMOTE","NOT YET"))</f>
        <v/>
      </c>
      <c r="I696" s="7" t="n"/>
      <c r="J696" s="27">
        <f>IF(OR($A696="",$C696=""),"",IF(IFERROR(VLOOKUP($A696,Ledger!$A:$E,5,FALSE),0)&gt;=VLOOKUP($C696,RoleTitles!$A:$B,2,FALSE),"YES","NO"))</f>
        <v/>
      </c>
      <c r="K696" s="27">
        <f>IF($A696="","",IF(AND($H696="PROMOTE",$J696="YES"),"YES — PROMOTE","NO"))</f>
        <v/>
      </c>
    </row>
    <row r="697">
      <c r="A697" s="7" t="n"/>
      <c r="B697" s="7">
        <f>IF($A697="","",VLOOKUP($A697,CoachRoster!$A:$E,4,FALSE))</f>
        <v/>
      </c>
      <c r="C697" s="7" t="n"/>
      <c r="D697" s="7" t="n"/>
      <c r="E697" s="7" t="n"/>
      <c r="F697" s="7" t="n"/>
      <c r="G697" s="7" t="n"/>
      <c r="H697" s="7">
        <f>IF($A697="","",IF(AND($E697="Pass",$F697="Pass",$G697="Pass"),"PROMOTE","NOT YET"))</f>
        <v/>
      </c>
      <c r="I697" s="7" t="n"/>
      <c r="J697" s="27">
        <f>IF(OR($A697="",$C697=""),"",IF(IFERROR(VLOOKUP($A697,Ledger!$A:$E,5,FALSE),0)&gt;=VLOOKUP($C697,RoleTitles!$A:$B,2,FALSE),"YES","NO"))</f>
        <v/>
      </c>
      <c r="K697" s="27">
        <f>IF($A697="","",IF(AND($H697="PROMOTE",$J697="YES"),"YES — PROMOTE","NO"))</f>
        <v/>
      </c>
    </row>
    <row r="698">
      <c r="A698" s="7" t="n"/>
      <c r="B698" s="7">
        <f>IF($A698="","",VLOOKUP($A698,CoachRoster!$A:$E,4,FALSE))</f>
        <v/>
      </c>
      <c r="C698" s="7" t="n"/>
      <c r="D698" s="7" t="n"/>
      <c r="E698" s="7" t="n"/>
      <c r="F698" s="7" t="n"/>
      <c r="G698" s="7" t="n"/>
      <c r="H698" s="7">
        <f>IF($A698="","",IF(AND($E698="Pass",$F698="Pass",$G698="Pass"),"PROMOTE","NOT YET"))</f>
        <v/>
      </c>
      <c r="I698" s="7" t="n"/>
      <c r="J698" s="27">
        <f>IF(OR($A698="",$C698=""),"",IF(IFERROR(VLOOKUP($A698,Ledger!$A:$E,5,FALSE),0)&gt;=VLOOKUP($C698,RoleTitles!$A:$B,2,FALSE),"YES","NO"))</f>
        <v/>
      </c>
      <c r="K698" s="27">
        <f>IF($A698="","",IF(AND($H698="PROMOTE",$J698="YES"),"YES — PROMOTE","NO"))</f>
        <v/>
      </c>
    </row>
    <row r="699">
      <c r="A699" s="7" t="n"/>
      <c r="B699" s="7">
        <f>IF($A699="","",VLOOKUP($A699,CoachRoster!$A:$E,4,FALSE))</f>
        <v/>
      </c>
      <c r="C699" s="7" t="n"/>
      <c r="D699" s="7" t="n"/>
      <c r="E699" s="7" t="n"/>
      <c r="F699" s="7" t="n"/>
      <c r="G699" s="7" t="n"/>
      <c r="H699" s="7">
        <f>IF($A699="","",IF(AND($E699="Pass",$F699="Pass",$G699="Pass"),"PROMOTE","NOT YET"))</f>
        <v/>
      </c>
      <c r="I699" s="7" t="n"/>
      <c r="J699" s="27">
        <f>IF(OR($A699="",$C699=""),"",IF(IFERROR(VLOOKUP($A699,Ledger!$A:$E,5,FALSE),0)&gt;=VLOOKUP($C699,RoleTitles!$A:$B,2,FALSE),"YES","NO"))</f>
        <v/>
      </c>
      <c r="K699" s="27">
        <f>IF($A699="","",IF(AND($H699="PROMOTE",$J699="YES"),"YES — PROMOTE","NO"))</f>
        <v/>
      </c>
    </row>
    <row r="700">
      <c r="A700" s="7" t="n"/>
      <c r="B700" s="7">
        <f>IF($A700="","",VLOOKUP($A700,CoachRoster!$A:$E,4,FALSE))</f>
        <v/>
      </c>
      <c r="C700" s="7" t="n"/>
      <c r="D700" s="7" t="n"/>
      <c r="E700" s="7" t="n"/>
      <c r="F700" s="7" t="n"/>
      <c r="G700" s="7" t="n"/>
      <c r="H700" s="7">
        <f>IF($A700="","",IF(AND($E700="Pass",$F700="Pass",$G700="Pass"),"PROMOTE","NOT YET"))</f>
        <v/>
      </c>
      <c r="I700" s="7" t="n"/>
      <c r="J700" s="27">
        <f>IF(OR($A700="",$C700=""),"",IF(IFERROR(VLOOKUP($A700,Ledger!$A:$E,5,FALSE),0)&gt;=VLOOKUP($C700,RoleTitles!$A:$B,2,FALSE),"YES","NO"))</f>
        <v/>
      </c>
      <c r="K700" s="27">
        <f>IF($A700="","",IF(AND($H700="PROMOTE",$J700="YES"),"YES — PROMOTE","NO"))</f>
        <v/>
      </c>
    </row>
    <row r="701">
      <c r="A701" s="7" t="n"/>
      <c r="B701" s="7">
        <f>IF($A701="","",VLOOKUP($A701,CoachRoster!$A:$E,4,FALSE))</f>
        <v/>
      </c>
      <c r="C701" s="7" t="n"/>
      <c r="D701" s="7" t="n"/>
      <c r="E701" s="7" t="n"/>
      <c r="F701" s="7" t="n"/>
      <c r="G701" s="7" t="n"/>
      <c r="H701" s="7">
        <f>IF($A701="","",IF(AND($E701="Pass",$F701="Pass",$G701="Pass"),"PROMOTE","NOT YET"))</f>
        <v/>
      </c>
      <c r="I701" s="7" t="n"/>
      <c r="J701" s="27">
        <f>IF(OR($A701="",$C701=""),"",IF(IFERROR(VLOOKUP($A701,Ledger!$A:$E,5,FALSE),0)&gt;=VLOOKUP($C701,RoleTitles!$A:$B,2,FALSE),"YES","NO"))</f>
        <v/>
      </c>
      <c r="K701" s="27">
        <f>IF($A701="","",IF(AND($H701="PROMOTE",$J701="YES"),"YES — PROMOTE","NO"))</f>
        <v/>
      </c>
    </row>
    <row r="702">
      <c r="A702" s="7" t="n"/>
      <c r="B702" s="7">
        <f>IF($A702="","",VLOOKUP($A702,CoachRoster!$A:$E,4,FALSE))</f>
        <v/>
      </c>
      <c r="C702" s="7" t="n"/>
      <c r="D702" s="7" t="n"/>
      <c r="E702" s="7" t="n"/>
      <c r="F702" s="7" t="n"/>
      <c r="G702" s="7" t="n"/>
      <c r="H702" s="7">
        <f>IF($A702="","",IF(AND($E702="Pass",$F702="Pass",$G702="Pass"),"PROMOTE","NOT YET"))</f>
        <v/>
      </c>
      <c r="I702" s="7" t="n"/>
      <c r="J702" s="27">
        <f>IF(OR($A702="",$C702=""),"",IF(IFERROR(VLOOKUP($A702,Ledger!$A:$E,5,FALSE),0)&gt;=VLOOKUP($C702,RoleTitles!$A:$B,2,FALSE),"YES","NO"))</f>
        <v/>
      </c>
      <c r="K702" s="27">
        <f>IF($A702="","",IF(AND($H702="PROMOTE",$J702="YES"),"YES — PROMOTE","NO"))</f>
        <v/>
      </c>
    </row>
    <row r="703">
      <c r="A703" s="7" t="n"/>
      <c r="B703" s="7">
        <f>IF($A703="","",VLOOKUP($A703,CoachRoster!$A:$E,4,FALSE))</f>
        <v/>
      </c>
      <c r="C703" s="7" t="n"/>
      <c r="D703" s="7" t="n"/>
      <c r="E703" s="7" t="n"/>
      <c r="F703" s="7" t="n"/>
      <c r="G703" s="7" t="n"/>
      <c r="H703" s="7">
        <f>IF($A703="","",IF(AND($E703="Pass",$F703="Pass",$G703="Pass"),"PROMOTE","NOT YET"))</f>
        <v/>
      </c>
      <c r="I703" s="7" t="n"/>
      <c r="J703" s="27">
        <f>IF(OR($A703="",$C703=""),"",IF(IFERROR(VLOOKUP($A703,Ledger!$A:$E,5,FALSE),0)&gt;=VLOOKUP($C703,RoleTitles!$A:$B,2,FALSE),"YES","NO"))</f>
        <v/>
      </c>
      <c r="K703" s="27">
        <f>IF($A703="","",IF(AND($H703="PROMOTE",$J703="YES"),"YES — PROMOTE","NO"))</f>
        <v/>
      </c>
    </row>
    <row r="704">
      <c r="A704" s="7" t="n"/>
      <c r="B704" s="7">
        <f>IF($A704="","",VLOOKUP($A704,CoachRoster!$A:$E,4,FALSE))</f>
        <v/>
      </c>
      <c r="C704" s="7" t="n"/>
      <c r="D704" s="7" t="n"/>
      <c r="E704" s="7" t="n"/>
      <c r="F704" s="7" t="n"/>
      <c r="G704" s="7" t="n"/>
      <c r="H704" s="7">
        <f>IF($A704="","",IF(AND($E704="Pass",$F704="Pass",$G704="Pass"),"PROMOTE","NOT YET"))</f>
        <v/>
      </c>
      <c r="I704" s="7" t="n"/>
      <c r="J704" s="27">
        <f>IF(OR($A704="",$C704=""),"",IF(IFERROR(VLOOKUP($A704,Ledger!$A:$E,5,FALSE),0)&gt;=VLOOKUP($C704,RoleTitles!$A:$B,2,FALSE),"YES","NO"))</f>
        <v/>
      </c>
      <c r="K704" s="27">
        <f>IF($A704="","",IF(AND($H704="PROMOTE",$J704="YES"),"YES — PROMOTE","NO"))</f>
        <v/>
      </c>
    </row>
    <row r="705">
      <c r="A705" s="7" t="n"/>
      <c r="B705" s="7">
        <f>IF($A705="","",VLOOKUP($A705,CoachRoster!$A:$E,4,FALSE))</f>
        <v/>
      </c>
      <c r="C705" s="7" t="n"/>
      <c r="D705" s="7" t="n"/>
      <c r="E705" s="7" t="n"/>
      <c r="F705" s="7" t="n"/>
      <c r="G705" s="7" t="n"/>
      <c r="H705" s="7">
        <f>IF($A705="","",IF(AND($E705="Pass",$F705="Pass",$G705="Pass"),"PROMOTE","NOT YET"))</f>
        <v/>
      </c>
      <c r="I705" s="7" t="n"/>
      <c r="J705" s="27">
        <f>IF(OR($A705="",$C705=""),"",IF(IFERROR(VLOOKUP($A705,Ledger!$A:$E,5,FALSE),0)&gt;=VLOOKUP($C705,RoleTitles!$A:$B,2,FALSE),"YES","NO"))</f>
        <v/>
      </c>
      <c r="K705" s="27">
        <f>IF($A705="","",IF(AND($H705="PROMOTE",$J705="YES"),"YES — PROMOTE","NO"))</f>
        <v/>
      </c>
    </row>
    <row r="706">
      <c r="A706" s="7" t="n"/>
      <c r="B706" s="7">
        <f>IF($A706="","",VLOOKUP($A706,CoachRoster!$A:$E,4,FALSE))</f>
        <v/>
      </c>
      <c r="C706" s="7" t="n"/>
      <c r="D706" s="7" t="n"/>
      <c r="E706" s="7" t="n"/>
      <c r="F706" s="7" t="n"/>
      <c r="G706" s="7" t="n"/>
      <c r="H706" s="7">
        <f>IF($A706="","",IF(AND($E706="Pass",$F706="Pass",$G706="Pass"),"PROMOTE","NOT YET"))</f>
        <v/>
      </c>
      <c r="I706" s="7" t="n"/>
      <c r="J706" s="27">
        <f>IF(OR($A706="",$C706=""),"",IF(IFERROR(VLOOKUP($A706,Ledger!$A:$E,5,FALSE),0)&gt;=VLOOKUP($C706,RoleTitles!$A:$B,2,FALSE),"YES","NO"))</f>
        <v/>
      </c>
      <c r="K706" s="27">
        <f>IF($A706="","",IF(AND($H706="PROMOTE",$J706="YES"),"YES — PROMOTE","NO"))</f>
        <v/>
      </c>
    </row>
    <row r="707">
      <c r="A707" s="7" t="n"/>
      <c r="B707" s="7">
        <f>IF($A707="","",VLOOKUP($A707,CoachRoster!$A:$E,4,FALSE))</f>
        <v/>
      </c>
      <c r="C707" s="7" t="n"/>
      <c r="D707" s="7" t="n"/>
      <c r="E707" s="7" t="n"/>
      <c r="F707" s="7" t="n"/>
      <c r="G707" s="7" t="n"/>
      <c r="H707" s="7">
        <f>IF($A707="","",IF(AND($E707="Pass",$F707="Pass",$G707="Pass"),"PROMOTE","NOT YET"))</f>
        <v/>
      </c>
      <c r="I707" s="7" t="n"/>
      <c r="J707" s="27">
        <f>IF(OR($A707="",$C707=""),"",IF(IFERROR(VLOOKUP($A707,Ledger!$A:$E,5,FALSE),0)&gt;=VLOOKUP($C707,RoleTitles!$A:$B,2,FALSE),"YES","NO"))</f>
        <v/>
      </c>
      <c r="K707" s="27">
        <f>IF($A707="","",IF(AND($H707="PROMOTE",$J707="YES"),"YES — PROMOTE","NO"))</f>
        <v/>
      </c>
    </row>
    <row r="708">
      <c r="A708" s="7" t="n"/>
      <c r="B708" s="7">
        <f>IF($A708="","",VLOOKUP($A708,CoachRoster!$A:$E,4,FALSE))</f>
        <v/>
      </c>
      <c r="C708" s="7" t="n"/>
      <c r="D708" s="7" t="n"/>
      <c r="E708" s="7" t="n"/>
      <c r="F708" s="7" t="n"/>
      <c r="G708" s="7" t="n"/>
      <c r="H708" s="7">
        <f>IF($A708="","",IF(AND($E708="Pass",$F708="Pass",$G708="Pass"),"PROMOTE","NOT YET"))</f>
        <v/>
      </c>
      <c r="I708" s="7" t="n"/>
      <c r="J708" s="27">
        <f>IF(OR($A708="",$C708=""),"",IF(IFERROR(VLOOKUP($A708,Ledger!$A:$E,5,FALSE),0)&gt;=VLOOKUP($C708,RoleTitles!$A:$B,2,FALSE),"YES","NO"))</f>
        <v/>
      </c>
      <c r="K708" s="27">
        <f>IF($A708="","",IF(AND($H708="PROMOTE",$J708="YES"),"YES — PROMOTE","NO"))</f>
        <v/>
      </c>
    </row>
    <row r="709">
      <c r="A709" s="7" t="n"/>
      <c r="B709" s="7">
        <f>IF($A709="","",VLOOKUP($A709,CoachRoster!$A:$E,4,FALSE))</f>
        <v/>
      </c>
      <c r="C709" s="7" t="n"/>
      <c r="D709" s="7" t="n"/>
      <c r="E709" s="7" t="n"/>
      <c r="F709" s="7" t="n"/>
      <c r="G709" s="7" t="n"/>
      <c r="H709" s="7">
        <f>IF($A709="","",IF(AND($E709="Pass",$F709="Pass",$G709="Pass"),"PROMOTE","NOT YET"))</f>
        <v/>
      </c>
      <c r="I709" s="7" t="n"/>
      <c r="J709" s="27">
        <f>IF(OR($A709="",$C709=""),"",IF(IFERROR(VLOOKUP($A709,Ledger!$A:$E,5,FALSE),0)&gt;=VLOOKUP($C709,RoleTitles!$A:$B,2,FALSE),"YES","NO"))</f>
        <v/>
      </c>
      <c r="K709" s="27">
        <f>IF($A709="","",IF(AND($H709="PROMOTE",$J709="YES"),"YES — PROMOTE","NO"))</f>
        <v/>
      </c>
    </row>
    <row r="710">
      <c r="A710" s="7" t="n"/>
      <c r="B710" s="7">
        <f>IF($A710="","",VLOOKUP($A710,CoachRoster!$A:$E,4,FALSE))</f>
        <v/>
      </c>
      <c r="C710" s="7" t="n"/>
      <c r="D710" s="7" t="n"/>
      <c r="E710" s="7" t="n"/>
      <c r="F710" s="7" t="n"/>
      <c r="G710" s="7" t="n"/>
      <c r="H710" s="7">
        <f>IF($A710="","",IF(AND($E710="Pass",$F710="Pass",$G710="Pass"),"PROMOTE","NOT YET"))</f>
        <v/>
      </c>
      <c r="I710" s="7" t="n"/>
      <c r="J710" s="27">
        <f>IF(OR($A710="",$C710=""),"",IF(IFERROR(VLOOKUP($A710,Ledger!$A:$E,5,FALSE),0)&gt;=VLOOKUP($C710,RoleTitles!$A:$B,2,FALSE),"YES","NO"))</f>
        <v/>
      </c>
      <c r="K710" s="27">
        <f>IF($A710="","",IF(AND($H710="PROMOTE",$J710="YES"),"YES — PROMOTE","NO"))</f>
        <v/>
      </c>
    </row>
    <row r="711">
      <c r="A711" s="7" t="n"/>
      <c r="B711" s="7">
        <f>IF($A711="","",VLOOKUP($A711,CoachRoster!$A:$E,4,FALSE))</f>
        <v/>
      </c>
      <c r="C711" s="7" t="n"/>
      <c r="D711" s="7" t="n"/>
      <c r="E711" s="7" t="n"/>
      <c r="F711" s="7" t="n"/>
      <c r="G711" s="7" t="n"/>
      <c r="H711" s="7">
        <f>IF($A711="","",IF(AND($E711="Pass",$F711="Pass",$G711="Pass"),"PROMOTE","NOT YET"))</f>
        <v/>
      </c>
      <c r="I711" s="7" t="n"/>
      <c r="J711" s="27">
        <f>IF(OR($A711="",$C711=""),"",IF(IFERROR(VLOOKUP($A711,Ledger!$A:$E,5,FALSE),0)&gt;=VLOOKUP($C711,RoleTitles!$A:$B,2,FALSE),"YES","NO"))</f>
        <v/>
      </c>
      <c r="K711" s="27">
        <f>IF($A711="","",IF(AND($H711="PROMOTE",$J711="YES"),"YES — PROMOTE","NO"))</f>
        <v/>
      </c>
    </row>
    <row r="712">
      <c r="A712" s="7" t="n"/>
      <c r="B712" s="7">
        <f>IF($A712="","",VLOOKUP($A712,CoachRoster!$A:$E,4,FALSE))</f>
        <v/>
      </c>
      <c r="C712" s="7" t="n"/>
      <c r="D712" s="7" t="n"/>
      <c r="E712" s="7" t="n"/>
      <c r="F712" s="7" t="n"/>
      <c r="G712" s="7" t="n"/>
      <c r="H712" s="7">
        <f>IF($A712="","",IF(AND($E712="Pass",$F712="Pass",$G712="Pass"),"PROMOTE","NOT YET"))</f>
        <v/>
      </c>
      <c r="I712" s="7" t="n"/>
      <c r="J712" s="27">
        <f>IF(OR($A712="",$C712=""),"",IF(IFERROR(VLOOKUP($A712,Ledger!$A:$E,5,FALSE),0)&gt;=VLOOKUP($C712,RoleTitles!$A:$B,2,FALSE),"YES","NO"))</f>
        <v/>
      </c>
      <c r="K712" s="27">
        <f>IF($A712="","",IF(AND($H712="PROMOTE",$J712="YES"),"YES — PROMOTE","NO"))</f>
        <v/>
      </c>
    </row>
    <row r="713">
      <c r="A713" s="7" t="n"/>
      <c r="B713" s="7">
        <f>IF($A713="","",VLOOKUP($A713,CoachRoster!$A:$E,4,FALSE))</f>
        <v/>
      </c>
      <c r="C713" s="7" t="n"/>
      <c r="D713" s="7" t="n"/>
      <c r="E713" s="7" t="n"/>
      <c r="F713" s="7" t="n"/>
      <c r="G713" s="7" t="n"/>
      <c r="H713" s="7">
        <f>IF($A713="","",IF(AND($E713="Pass",$F713="Pass",$G713="Pass"),"PROMOTE","NOT YET"))</f>
        <v/>
      </c>
      <c r="I713" s="7" t="n"/>
      <c r="J713" s="27">
        <f>IF(OR($A713="",$C713=""),"",IF(IFERROR(VLOOKUP($A713,Ledger!$A:$E,5,FALSE),0)&gt;=VLOOKUP($C713,RoleTitles!$A:$B,2,FALSE),"YES","NO"))</f>
        <v/>
      </c>
      <c r="K713" s="27">
        <f>IF($A713="","",IF(AND($H713="PROMOTE",$J713="YES"),"YES — PROMOTE","NO"))</f>
        <v/>
      </c>
    </row>
    <row r="714">
      <c r="A714" s="7" t="n"/>
      <c r="B714" s="7">
        <f>IF($A714="","",VLOOKUP($A714,CoachRoster!$A:$E,4,FALSE))</f>
        <v/>
      </c>
      <c r="C714" s="7" t="n"/>
      <c r="D714" s="7" t="n"/>
      <c r="E714" s="7" t="n"/>
      <c r="F714" s="7" t="n"/>
      <c r="G714" s="7" t="n"/>
      <c r="H714" s="7">
        <f>IF($A714="","",IF(AND($E714="Pass",$F714="Pass",$G714="Pass"),"PROMOTE","NOT YET"))</f>
        <v/>
      </c>
      <c r="I714" s="7" t="n"/>
      <c r="J714" s="27">
        <f>IF(OR($A714="",$C714=""),"",IF(IFERROR(VLOOKUP($A714,Ledger!$A:$E,5,FALSE),0)&gt;=VLOOKUP($C714,RoleTitles!$A:$B,2,FALSE),"YES","NO"))</f>
        <v/>
      </c>
      <c r="K714" s="27">
        <f>IF($A714="","",IF(AND($H714="PROMOTE",$J714="YES"),"YES — PROMOTE","NO"))</f>
        <v/>
      </c>
    </row>
    <row r="715">
      <c r="A715" s="7" t="n"/>
      <c r="B715" s="7">
        <f>IF($A715="","",VLOOKUP($A715,CoachRoster!$A:$E,4,FALSE))</f>
        <v/>
      </c>
      <c r="C715" s="7" t="n"/>
      <c r="D715" s="7" t="n"/>
      <c r="E715" s="7" t="n"/>
      <c r="F715" s="7" t="n"/>
      <c r="G715" s="7" t="n"/>
      <c r="H715" s="7">
        <f>IF($A715="","",IF(AND($E715="Pass",$F715="Pass",$G715="Pass"),"PROMOTE","NOT YET"))</f>
        <v/>
      </c>
      <c r="I715" s="7" t="n"/>
      <c r="J715" s="27">
        <f>IF(OR($A715="",$C715=""),"",IF(IFERROR(VLOOKUP($A715,Ledger!$A:$E,5,FALSE),0)&gt;=VLOOKUP($C715,RoleTitles!$A:$B,2,FALSE),"YES","NO"))</f>
        <v/>
      </c>
      <c r="K715" s="27">
        <f>IF($A715="","",IF(AND($H715="PROMOTE",$J715="YES"),"YES — PROMOTE","NO"))</f>
        <v/>
      </c>
    </row>
    <row r="716">
      <c r="A716" s="7" t="n"/>
      <c r="B716" s="7">
        <f>IF($A716="","",VLOOKUP($A716,CoachRoster!$A:$E,4,FALSE))</f>
        <v/>
      </c>
      <c r="C716" s="7" t="n"/>
      <c r="D716" s="7" t="n"/>
      <c r="E716" s="7" t="n"/>
      <c r="F716" s="7" t="n"/>
      <c r="G716" s="7" t="n"/>
      <c r="H716" s="7">
        <f>IF($A716="","",IF(AND($E716="Pass",$F716="Pass",$G716="Pass"),"PROMOTE","NOT YET"))</f>
        <v/>
      </c>
      <c r="I716" s="7" t="n"/>
      <c r="J716" s="27">
        <f>IF(OR($A716="",$C716=""),"",IF(IFERROR(VLOOKUP($A716,Ledger!$A:$E,5,FALSE),0)&gt;=VLOOKUP($C716,RoleTitles!$A:$B,2,FALSE),"YES","NO"))</f>
        <v/>
      </c>
      <c r="K716" s="27">
        <f>IF($A716="","",IF(AND($H716="PROMOTE",$J716="YES"),"YES — PROMOTE","NO"))</f>
        <v/>
      </c>
    </row>
    <row r="717">
      <c r="A717" s="7" t="n"/>
      <c r="B717" s="7">
        <f>IF($A717="","",VLOOKUP($A717,CoachRoster!$A:$E,4,FALSE))</f>
        <v/>
      </c>
      <c r="C717" s="7" t="n"/>
      <c r="D717" s="7" t="n"/>
      <c r="E717" s="7" t="n"/>
      <c r="F717" s="7" t="n"/>
      <c r="G717" s="7" t="n"/>
      <c r="H717" s="7">
        <f>IF($A717="","",IF(AND($E717="Pass",$F717="Pass",$G717="Pass"),"PROMOTE","NOT YET"))</f>
        <v/>
      </c>
      <c r="I717" s="7" t="n"/>
      <c r="J717" s="27">
        <f>IF(OR($A717="",$C717=""),"",IF(IFERROR(VLOOKUP($A717,Ledger!$A:$E,5,FALSE),0)&gt;=VLOOKUP($C717,RoleTitles!$A:$B,2,FALSE),"YES","NO"))</f>
        <v/>
      </c>
      <c r="K717" s="27">
        <f>IF($A717="","",IF(AND($H717="PROMOTE",$J717="YES"),"YES — PROMOTE","NO"))</f>
        <v/>
      </c>
    </row>
    <row r="718">
      <c r="A718" s="7" t="n"/>
      <c r="B718" s="7">
        <f>IF($A718="","",VLOOKUP($A718,CoachRoster!$A:$E,4,FALSE))</f>
        <v/>
      </c>
      <c r="C718" s="7" t="n"/>
      <c r="D718" s="7" t="n"/>
      <c r="E718" s="7" t="n"/>
      <c r="F718" s="7" t="n"/>
      <c r="G718" s="7" t="n"/>
      <c r="H718" s="7">
        <f>IF($A718="","",IF(AND($E718="Pass",$F718="Pass",$G718="Pass"),"PROMOTE","NOT YET"))</f>
        <v/>
      </c>
      <c r="I718" s="7" t="n"/>
      <c r="J718" s="27">
        <f>IF(OR($A718="",$C718=""),"",IF(IFERROR(VLOOKUP($A718,Ledger!$A:$E,5,FALSE),0)&gt;=VLOOKUP($C718,RoleTitles!$A:$B,2,FALSE),"YES","NO"))</f>
        <v/>
      </c>
      <c r="K718" s="27">
        <f>IF($A718="","",IF(AND($H718="PROMOTE",$J718="YES"),"YES — PROMOTE","NO"))</f>
        <v/>
      </c>
    </row>
    <row r="719">
      <c r="A719" s="7" t="n"/>
      <c r="B719" s="7">
        <f>IF($A719="","",VLOOKUP($A719,CoachRoster!$A:$E,4,FALSE))</f>
        <v/>
      </c>
      <c r="C719" s="7" t="n"/>
      <c r="D719" s="7" t="n"/>
      <c r="E719" s="7" t="n"/>
      <c r="F719" s="7" t="n"/>
      <c r="G719" s="7" t="n"/>
      <c r="H719" s="7">
        <f>IF($A719="","",IF(AND($E719="Pass",$F719="Pass",$G719="Pass"),"PROMOTE","NOT YET"))</f>
        <v/>
      </c>
      <c r="I719" s="7" t="n"/>
      <c r="J719" s="27">
        <f>IF(OR($A719="",$C719=""),"",IF(IFERROR(VLOOKUP($A719,Ledger!$A:$E,5,FALSE),0)&gt;=VLOOKUP($C719,RoleTitles!$A:$B,2,FALSE),"YES","NO"))</f>
        <v/>
      </c>
      <c r="K719" s="27">
        <f>IF($A719="","",IF(AND($H719="PROMOTE",$J719="YES"),"YES — PROMOTE","NO"))</f>
        <v/>
      </c>
    </row>
    <row r="720">
      <c r="A720" s="7" t="n"/>
      <c r="B720" s="7">
        <f>IF($A720="","",VLOOKUP($A720,CoachRoster!$A:$E,4,FALSE))</f>
        <v/>
      </c>
      <c r="C720" s="7" t="n"/>
      <c r="D720" s="7" t="n"/>
      <c r="E720" s="7" t="n"/>
      <c r="F720" s="7" t="n"/>
      <c r="G720" s="7" t="n"/>
      <c r="H720" s="7">
        <f>IF($A720="","",IF(AND($E720="Pass",$F720="Pass",$G720="Pass"),"PROMOTE","NOT YET"))</f>
        <v/>
      </c>
      <c r="I720" s="7" t="n"/>
      <c r="J720" s="27">
        <f>IF(OR($A720="",$C720=""),"",IF(IFERROR(VLOOKUP($A720,Ledger!$A:$E,5,FALSE),0)&gt;=VLOOKUP($C720,RoleTitles!$A:$B,2,FALSE),"YES","NO"))</f>
        <v/>
      </c>
      <c r="K720" s="27">
        <f>IF($A720="","",IF(AND($H720="PROMOTE",$J720="YES"),"YES — PROMOTE","NO"))</f>
        <v/>
      </c>
    </row>
    <row r="721">
      <c r="A721" s="7" t="n"/>
      <c r="B721" s="7">
        <f>IF($A721="","",VLOOKUP($A721,CoachRoster!$A:$E,4,FALSE))</f>
        <v/>
      </c>
      <c r="C721" s="7" t="n"/>
      <c r="D721" s="7" t="n"/>
      <c r="E721" s="7" t="n"/>
      <c r="F721" s="7" t="n"/>
      <c r="G721" s="7" t="n"/>
      <c r="H721" s="7">
        <f>IF($A721="","",IF(AND($E721="Pass",$F721="Pass",$G721="Pass"),"PROMOTE","NOT YET"))</f>
        <v/>
      </c>
      <c r="I721" s="7" t="n"/>
      <c r="J721" s="27">
        <f>IF(OR($A721="",$C721=""),"",IF(IFERROR(VLOOKUP($A721,Ledger!$A:$E,5,FALSE),0)&gt;=VLOOKUP($C721,RoleTitles!$A:$B,2,FALSE),"YES","NO"))</f>
        <v/>
      </c>
      <c r="K721" s="27">
        <f>IF($A721="","",IF(AND($H721="PROMOTE",$J721="YES"),"YES — PROMOTE","NO"))</f>
        <v/>
      </c>
    </row>
    <row r="722">
      <c r="A722" s="7" t="n"/>
      <c r="B722" s="7">
        <f>IF($A722="","",VLOOKUP($A722,CoachRoster!$A:$E,4,FALSE))</f>
        <v/>
      </c>
      <c r="C722" s="7" t="n"/>
      <c r="D722" s="7" t="n"/>
      <c r="E722" s="7" t="n"/>
      <c r="F722" s="7" t="n"/>
      <c r="G722" s="7" t="n"/>
      <c r="H722" s="7">
        <f>IF($A722="","",IF(AND($E722="Pass",$F722="Pass",$G722="Pass"),"PROMOTE","NOT YET"))</f>
        <v/>
      </c>
      <c r="I722" s="7" t="n"/>
      <c r="J722" s="27">
        <f>IF(OR($A722="",$C722=""),"",IF(IFERROR(VLOOKUP($A722,Ledger!$A:$E,5,FALSE),0)&gt;=VLOOKUP($C722,RoleTitles!$A:$B,2,FALSE),"YES","NO"))</f>
        <v/>
      </c>
      <c r="K722" s="27">
        <f>IF($A722="","",IF(AND($H722="PROMOTE",$J722="YES"),"YES — PROMOTE","NO"))</f>
        <v/>
      </c>
    </row>
    <row r="723">
      <c r="A723" s="7" t="n"/>
      <c r="B723" s="7">
        <f>IF($A723="","",VLOOKUP($A723,CoachRoster!$A:$E,4,FALSE))</f>
        <v/>
      </c>
      <c r="C723" s="7" t="n"/>
      <c r="D723" s="7" t="n"/>
      <c r="E723" s="7" t="n"/>
      <c r="F723" s="7" t="n"/>
      <c r="G723" s="7" t="n"/>
      <c r="H723" s="7">
        <f>IF($A723="","",IF(AND($E723="Pass",$F723="Pass",$G723="Pass"),"PROMOTE","NOT YET"))</f>
        <v/>
      </c>
      <c r="I723" s="7" t="n"/>
      <c r="J723" s="27">
        <f>IF(OR($A723="",$C723=""),"",IF(IFERROR(VLOOKUP($A723,Ledger!$A:$E,5,FALSE),0)&gt;=VLOOKUP($C723,RoleTitles!$A:$B,2,FALSE),"YES","NO"))</f>
        <v/>
      </c>
      <c r="K723" s="27">
        <f>IF($A723="","",IF(AND($H723="PROMOTE",$J723="YES"),"YES — PROMOTE","NO"))</f>
        <v/>
      </c>
    </row>
    <row r="724">
      <c r="A724" s="7" t="n"/>
      <c r="B724" s="7">
        <f>IF($A724="","",VLOOKUP($A724,CoachRoster!$A:$E,4,FALSE))</f>
        <v/>
      </c>
      <c r="C724" s="7" t="n"/>
      <c r="D724" s="7" t="n"/>
      <c r="E724" s="7" t="n"/>
      <c r="F724" s="7" t="n"/>
      <c r="G724" s="7" t="n"/>
      <c r="H724" s="7">
        <f>IF($A724="","",IF(AND($E724="Pass",$F724="Pass",$G724="Pass"),"PROMOTE","NOT YET"))</f>
        <v/>
      </c>
      <c r="I724" s="7" t="n"/>
      <c r="J724" s="27">
        <f>IF(OR($A724="",$C724=""),"",IF(IFERROR(VLOOKUP($A724,Ledger!$A:$E,5,FALSE),0)&gt;=VLOOKUP($C724,RoleTitles!$A:$B,2,FALSE),"YES","NO"))</f>
        <v/>
      </c>
      <c r="K724" s="27">
        <f>IF($A724="","",IF(AND($H724="PROMOTE",$J724="YES"),"YES — PROMOTE","NO"))</f>
        <v/>
      </c>
    </row>
    <row r="725">
      <c r="A725" s="7" t="n"/>
      <c r="B725" s="7">
        <f>IF($A725="","",VLOOKUP($A725,CoachRoster!$A:$E,4,FALSE))</f>
        <v/>
      </c>
      <c r="C725" s="7" t="n"/>
      <c r="D725" s="7" t="n"/>
      <c r="E725" s="7" t="n"/>
      <c r="F725" s="7" t="n"/>
      <c r="G725" s="7" t="n"/>
      <c r="H725" s="7">
        <f>IF($A725="","",IF(AND($E725="Pass",$F725="Pass",$G725="Pass"),"PROMOTE","NOT YET"))</f>
        <v/>
      </c>
      <c r="I725" s="7" t="n"/>
      <c r="J725" s="27">
        <f>IF(OR($A725="",$C725=""),"",IF(IFERROR(VLOOKUP($A725,Ledger!$A:$E,5,FALSE),0)&gt;=VLOOKUP($C725,RoleTitles!$A:$B,2,FALSE),"YES","NO"))</f>
        <v/>
      </c>
      <c r="K725" s="27">
        <f>IF($A725="","",IF(AND($H725="PROMOTE",$J725="YES"),"YES — PROMOTE","NO"))</f>
        <v/>
      </c>
    </row>
    <row r="726">
      <c r="A726" s="7" t="n"/>
      <c r="B726" s="7">
        <f>IF($A726="","",VLOOKUP($A726,CoachRoster!$A:$E,4,FALSE))</f>
        <v/>
      </c>
      <c r="C726" s="7" t="n"/>
      <c r="D726" s="7" t="n"/>
      <c r="E726" s="7" t="n"/>
      <c r="F726" s="7" t="n"/>
      <c r="G726" s="7" t="n"/>
      <c r="H726" s="7">
        <f>IF($A726="","",IF(AND($E726="Pass",$F726="Pass",$G726="Pass"),"PROMOTE","NOT YET"))</f>
        <v/>
      </c>
      <c r="I726" s="7" t="n"/>
      <c r="J726" s="27">
        <f>IF(OR($A726="",$C726=""),"",IF(IFERROR(VLOOKUP($A726,Ledger!$A:$E,5,FALSE),0)&gt;=VLOOKUP($C726,RoleTitles!$A:$B,2,FALSE),"YES","NO"))</f>
        <v/>
      </c>
      <c r="K726" s="27">
        <f>IF($A726="","",IF(AND($H726="PROMOTE",$J726="YES"),"YES — PROMOTE","NO"))</f>
        <v/>
      </c>
    </row>
    <row r="727">
      <c r="A727" s="7" t="n"/>
      <c r="B727" s="7">
        <f>IF($A727="","",VLOOKUP($A727,CoachRoster!$A:$E,4,FALSE))</f>
        <v/>
      </c>
      <c r="C727" s="7" t="n"/>
      <c r="D727" s="7" t="n"/>
      <c r="E727" s="7" t="n"/>
      <c r="F727" s="7" t="n"/>
      <c r="G727" s="7" t="n"/>
      <c r="H727" s="7">
        <f>IF($A727="","",IF(AND($E727="Pass",$F727="Pass",$G727="Pass"),"PROMOTE","NOT YET"))</f>
        <v/>
      </c>
      <c r="I727" s="7" t="n"/>
      <c r="J727" s="27">
        <f>IF(OR($A727="",$C727=""),"",IF(IFERROR(VLOOKUP($A727,Ledger!$A:$E,5,FALSE),0)&gt;=VLOOKUP($C727,RoleTitles!$A:$B,2,FALSE),"YES","NO"))</f>
        <v/>
      </c>
      <c r="K727" s="27">
        <f>IF($A727="","",IF(AND($H727="PROMOTE",$J727="YES"),"YES — PROMOTE","NO"))</f>
        <v/>
      </c>
    </row>
    <row r="728">
      <c r="A728" s="7" t="n"/>
      <c r="B728" s="7">
        <f>IF($A728="","",VLOOKUP($A728,CoachRoster!$A:$E,4,FALSE))</f>
        <v/>
      </c>
      <c r="C728" s="7" t="n"/>
      <c r="D728" s="7" t="n"/>
      <c r="E728" s="7" t="n"/>
      <c r="F728" s="7" t="n"/>
      <c r="G728" s="7" t="n"/>
      <c r="H728" s="7">
        <f>IF($A728="","",IF(AND($E728="Pass",$F728="Pass",$G728="Pass"),"PROMOTE","NOT YET"))</f>
        <v/>
      </c>
      <c r="I728" s="7" t="n"/>
      <c r="J728" s="27">
        <f>IF(OR($A728="",$C728=""),"",IF(IFERROR(VLOOKUP($A728,Ledger!$A:$E,5,FALSE),0)&gt;=VLOOKUP($C728,RoleTitles!$A:$B,2,FALSE),"YES","NO"))</f>
        <v/>
      </c>
      <c r="K728" s="27">
        <f>IF($A728="","",IF(AND($H728="PROMOTE",$J728="YES"),"YES — PROMOTE","NO"))</f>
        <v/>
      </c>
    </row>
    <row r="729">
      <c r="A729" s="7" t="n"/>
      <c r="B729" s="7">
        <f>IF($A729="","",VLOOKUP($A729,CoachRoster!$A:$E,4,FALSE))</f>
        <v/>
      </c>
      <c r="C729" s="7" t="n"/>
      <c r="D729" s="7" t="n"/>
      <c r="E729" s="7" t="n"/>
      <c r="F729" s="7" t="n"/>
      <c r="G729" s="7" t="n"/>
      <c r="H729" s="7">
        <f>IF($A729="","",IF(AND($E729="Pass",$F729="Pass",$G729="Pass"),"PROMOTE","NOT YET"))</f>
        <v/>
      </c>
      <c r="I729" s="7" t="n"/>
      <c r="J729" s="27">
        <f>IF(OR($A729="",$C729=""),"",IF(IFERROR(VLOOKUP($A729,Ledger!$A:$E,5,FALSE),0)&gt;=VLOOKUP($C729,RoleTitles!$A:$B,2,FALSE),"YES","NO"))</f>
        <v/>
      </c>
      <c r="K729" s="27">
        <f>IF($A729="","",IF(AND($H729="PROMOTE",$J729="YES"),"YES — PROMOTE","NO"))</f>
        <v/>
      </c>
    </row>
    <row r="730">
      <c r="A730" s="7" t="n"/>
      <c r="B730" s="7">
        <f>IF($A730="","",VLOOKUP($A730,CoachRoster!$A:$E,4,FALSE))</f>
        <v/>
      </c>
      <c r="C730" s="7" t="n"/>
      <c r="D730" s="7" t="n"/>
      <c r="E730" s="7" t="n"/>
      <c r="F730" s="7" t="n"/>
      <c r="G730" s="7" t="n"/>
      <c r="H730" s="7">
        <f>IF($A730="","",IF(AND($E730="Pass",$F730="Pass",$G730="Pass"),"PROMOTE","NOT YET"))</f>
        <v/>
      </c>
      <c r="I730" s="7" t="n"/>
      <c r="J730" s="27">
        <f>IF(OR($A730="",$C730=""),"",IF(IFERROR(VLOOKUP($A730,Ledger!$A:$E,5,FALSE),0)&gt;=VLOOKUP($C730,RoleTitles!$A:$B,2,FALSE),"YES","NO"))</f>
        <v/>
      </c>
      <c r="K730" s="27">
        <f>IF($A730="","",IF(AND($H730="PROMOTE",$J730="YES"),"YES — PROMOTE","NO"))</f>
        <v/>
      </c>
    </row>
    <row r="731">
      <c r="A731" s="7" t="n"/>
      <c r="B731" s="7">
        <f>IF($A731="","",VLOOKUP($A731,CoachRoster!$A:$E,4,FALSE))</f>
        <v/>
      </c>
      <c r="C731" s="7" t="n"/>
      <c r="D731" s="7" t="n"/>
      <c r="E731" s="7" t="n"/>
      <c r="F731" s="7" t="n"/>
      <c r="G731" s="7" t="n"/>
      <c r="H731" s="7">
        <f>IF($A731="","",IF(AND($E731="Pass",$F731="Pass",$G731="Pass"),"PROMOTE","NOT YET"))</f>
        <v/>
      </c>
      <c r="I731" s="7" t="n"/>
      <c r="J731" s="27">
        <f>IF(OR($A731="",$C731=""),"",IF(IFERROR(VLOOKUP($A731,Ledger!$A:$E,5,FALSE),0)&gt;=VLOOKUP($C731,RoleTitles!$A:$B,2,FALSE),"YES","NO"))</f>
        <v/>
      </c>
      <c r="K731" s="27">
        <f>IF($A731="","",IF(AND($H731="PROMOTE",$J731="YES"),"YES — PROMOTE","NO"))</f>
        <v/>
      </c>
    </row>
    <row r="732">
      <c r="A732" s="7" t="n"/>
      <c r="B732" s="7">
        <f>IF($A732="","",VLOOKUP($A732,CoachRoster!$A:$E,4,FALSE))</f>
        <v/>
      </c>
      <c r="C732" s="7" t="n"/>
      <c r="D732" s="7" t="n"/>
      <c r="E732" s="7" t="n"/>
      <c r="F732" s="7" t="n"/>
      <c r="G732" s="7" t="n"/>
      <c r="H732" s="7">
        <f>IF($A732="","",IF(AND($E732="Pass",$F732="Pass",$G732="Pass"),"PROMOTE","NOT YET"))</f>
        <v/>
      </c>
      <c r="I732" s="7" t="n"/>
      <c r="J732" s="27">
        <f>IF(OR($A732="",$C732=""),"",IF(IFERROR(VLOOKUP($A732,Ledger!$A:$E,5,FALSE),0)&gt;=VLOOKUP($C732,RoleTitles!$A:$B,2,FALSE),"YES","NO"))</f>
        <v/>
      </c>
      <c r="K732" s="27">
        <f>IF($A732="","",IF(AND($H732="PROMOTE",$J732="YES"),"YES — PROMOTE","NO"))</f>
        <v/>
      </c>
    </row>
    <row r="733">
      <c r="A733" s="7" t="n"/>
      <c r="B733" s="7">
        <f>IF($A733="","",VLOOKUP($A733,CoachRoster!$A:$E,4,FALSE))</f>
        <v/>
      </c>
      <c r="C733" s="7" t="n"/>
      <c r="D733" s="7" t="n"/>
      <c r="E733" s="7" t="n"/>
      <c r="F733" s="7" t="n"/>
      <c r="G733" s="7" t="n"/>
      <c r="H733" s="7">
        <f>IF($A733="","",IF(AND($E733="Pass",$F733="Pass",$G733="Pass"),"PROMOTE","NOT YET"))</f>
        <v/>
      </c>
      <c r="I733" s="7" t="n"/>
      <c r="J733" s="27">
        <f>IF(OR($A733="",$C733=""),"",IF(IFERROR(VLOOKUP($A733,Ledger!$A:$E,5,FALSE),0)&gt;=VLOOKUP($C733,RoleTitles!$A:$B,2,FALSE),"YES","NO"))</f>
        <v/>
      </c>
      <c r="K733" s="27">
        <f>IF($A733="","",IF(AND($H733="PROMOTE",$J733="YES"),"YES — PROMOTE","NO"))</f>
        <v/>
      </c>
    </row>
    <row r="734">
      <c r="A734" s="7" t="n"/>
      <c r="B734" s="7">
        <f>IF($A734="","",VLOOKUP($A734,CoachRoster!$A:$E,4,FALSE))</f>
        <v/>
      </c>
      <c r="C734" s="7" t="n"/>
      <c r="D734" s="7" t="n"/>
      <c r="E734" s="7" t="n"/>
      <c r="F734" s="7" t="n"/>
      <c r="G734" s="7" t="n"/>
      <c r="H734" s="7">
        <f>IF($A734="","",IF(AND($E734="Pass",$F734="Pass",$G734="Pass"),"PROMOTE","NOT YET"))</f>
        <v/>
      </c>
      <c r="I734" s="7" t="n"/>
      <c r="J734" s="27">
        <f>IF(OR($A734="",$C734=""),"",IF(IFERROR(VLOOKUP($A734,Ledger!$A:$E,5,FALSE),0)&gt;=VLOOKUP($C734,RoleTitles!$A:$B,2,FALSE),"YES","NO"))</f>
        <v/>
      </c>
      <c r="K734" s="27">
        <f>IF($A734="","",IF(AND($H734="PROMOTE",$J734="YES"),"YES — PROMOTE","NO"))</f>
        <v/>
      </c>
    </row>
    <row r="735">
      <c r="A735" s="7" t="n"/>
      <c r="B735" s="7">
        <f>IF($A735="","",VLOOKUP($A735,CoachRoster!$A:$E,4,FALSE))</f>
        <v/>
      </c>
      <c r="C735" s="7" t="n"/>
      <c r="D735" s="7" t="n"/>
      <c r="E735" s="7" t="n"/>
      <c r="F735" s="7" t="n"/>
      <c r="G735" s="7" t="n"/>
      <c r="H735" s="7">
        <f>IF($A735="","",IF(AND($E735="Pass",$F735="Pass",$G735="Pass"),"PROMOTE","NOT YET"))</f>
        <v/>
      </c>
      <c r="I735" s="7" t="n"/>
      <c r="J735" s="27">
        <f>IF(OR($A735="",$C735=""),"",IF(IFERROR(VLOOKUP($A735,Ledger!$A:$E,5,FALSE),0)&gt;=VLOOKUP($C735,RoleTitles!$A:$B,2,FALSE),"YES","NO"))</f>
        <v/>
      </c>
      <c r="K735" s="27">
        <f>IF($A735="","",IF(AND($H735="PROMOTE",$J735="YES"),"YES — PROMOTE","NO"))</f>
        <v/>
      </c>
    </row>
    <row r="736">
      <c r="A736" s="7" t="n"/>
      <c r="B736" s="7">
        <f>IF($A736="","",VLOOKUP($A736,CoachRoster!$A:$E,4,FALSE))</f>
        <v/>
      </c>
      <c r="C736" s="7" t="n"/>
      <c r="D736" s="7" t="n"/>
      <c r="E736" s="7" t="n"/>
      <c r="F736" s="7" t="n"/>
      <c r="G736" s="7" t="n"/>
      <c r="H736" s="7">
        <f>IF($A736="","",IF(AND($E736="Pass",$F736="Pass",$G736="Pass"),"PROMOTE","NOT YET"))</f>
        <v/>
      </c>
      <c r="I736" s="7" t="n"/>
      <c r="J736" s="27">
        <f>IF(OR($A736="",$C736=""),"",IF(IFERROR(VLOOKUP($A736,Ledger!$A:$E,5,FALSE),0)&gt;=VLOOKUP($C736,RoleTitles!$A:$B,2,FALSE),"YES","NO"))</f>
        <v/>
      </c>
      <c r="K736" s="27">
        <f>IF($A736="","",IF(AND($H736="PROMOTE",$J736="YES"),"YES — PROMOTE","NO"))</f>
        <v/>
      </c>
    </row>
    <row r="737">
      <c r="A737" s="7" t="n"/>
      <c r="B737" s="7">
        <f>IF($A737="","",VLOOKUP($A737,CoachRoster!$A:$E,4,FALSE))</f>
        <v/>
      </c>
      <c r="C737" s="7" t="n"/>
      <c r="D737" s="7" t="n"/>
      <c r="E737" s="7" t="n"/>
      <c r="F737" s="7" t="n"/>
      <c r="G737" s="7" t="n"/>
      <c r="H737" s="7">
        <f>IF($A737="","",IF(AND($E737="Pass",$F737="Pass",$G737="Pass"),"PROMOTE","NOT YET"))</f>
        <v/>
      </c>
      <c r="I737" s="7" t="n"/>
      <c r="J737" s="27">
        <f>IF(OR($A737="",$C737=""),"",IF(IFERROR(VLOOKUP($A737,Ledger!$A:$E,5,FALSE),0)&gt;=VLOOKUP($C737,RoleTitles!$A:$B,2,FALSE),"YES","NO"))</f>
        <v/>
      </c>
      <c r="K737" s="27">
        <f>IF($A737="","",IF(AND($H737="PROMOTE",$J737="YES"),"YES — PROMOTE","NO"))</f>
        <v/>
      </c>
    </row>
    <row r="738">
      <c r="A738" s="7" t="n"/>
      <c r="B738" s="7">
        <f>IF($A738="","",VLOOKUP($A738,CoachRoster!$A:$E,4,FALSE))</f>
        <v/>
      </c>
      <c r="C738" s="7" t="n"/>
      <c r="D738" s="7" t="n"/>
      <c r="E738" s="7" t="n"/>
      <c r="F738" s="7" t="n"/>
      <c r="G738" s="7" t="n"/>
      <c r="H738" s="7">
        <f>IF($A738="","",IF(AND($E738="Pass",$F738="Pass",$G738="Pass"),"PROMOTE","NOT YET"))</f>
        <v/>
      </c>
      <c r="I738" s="7" t="n"/>
      <c r="J738" s="27">
        <f>IF(OR($A738="",$C738=""),"",IF(IFERROR(VLOOKUP($A738,Ledger!$A:$E,5,FALSE),0)&gt;=VLOOKUP($C738,RoleTitles!$A:$B,2,FALSE),"YES","NO"))</f>
        <v/>
      </c>
      <c r="K738" s="27">
        <f>IF($A738="","",IF(AND($H738="PROMOTE",$J738="YES"),"YES — PROMOTE","NO"))</f>
        <v/>
      </c>
    </row>
    <row r="739">
      <c r="A739" s="7" t="n"/>
      <c r="B739" s="7">
        <f>IF($A739="","",VLOOKUP($A739,CoachRoster!$A:$E,4,FALSE))</f>
        <v/>
      </c>
      <c r="C739" s="7" t="n"/>
      <c r="D739" s="7" t="n"/>
      <c r="E739" s="7" t="n"/>
      <c r="F739" s="7" t="n"/>
      <c r="G739" s="7" t="n"/>
      <c r="H739" s="7">
        <f>IF($A739="","",IF(AND($E739="Pass",$F739="Pass",$G739="Pass"),"PROMOTE","NOT YET"))</f>
        <v/>
      </c>
      <c r="I739" s="7" t="n"/>
      <c r="J739" s="27">
        <f>IF(OR($A739="",$C739=""),"",IF(IFERROR(VLOOKUP($A739,Ledger!$A:$E,5,FALSE),0)&gt;=VLOOKUP($C739,RoleTitles!$A:$B,2,FALSE),"YES","NO"))</f>
        <v/>
      </c>
      <c r="K739" s="27">
        <f>IF($A739="","",IF(AND($H739="PROMOTE",$J739="YES"),"YES — PROMOTE","NO"))</f>
        <v/>
      </c>
    </row>
    <row r="740">
      <c r="A740" s="7" t="n"/>
      <c r="B740" s="7">
        <f>IF($A740="","",VLOOKUP($A740,CoachRoster!$A:$E,4,FALSE))</f>
        <v/>
      </c>
      <c r="C740" s="7" t="n"/>
      <c r="D740" s="7" t="n"/>
      <c r="E740" s="7" t="n"/>
      <c r="F740" s="7" t="n"/>
      <c r="G740" s="7" t="n"/>
      <c r="H740" s="7">
        <f>IF($A740="","",IF(AND($E740="Pass",$F740="Pass",$G740="Pass"),"PROMOTE","NOT YET"))</f>
        <v/>
      </c>
      <c r="I740" s="7" t="n"/>
      <c r="J740" s="27">
        <f>IF(OR($A740="",$C740=""),"",IF(IFERROR(VLOOKUP($A740,Ledger!$A:$E,5,FALSE),0)&gt;=VLOOKUP($C740,RoleTitles!$A:$B,2,FALSE),"YES","NO"))</f>
        <v/>
      </c>
      <c r="K740" s="27">
        <f>IF($A740="","",IF(AND($H740="PROMOTE",$J740="YES"),"YES — PROMOTE","NO"))</f>
        <v/>
      </c>
    </row>
    <row r="741">
      <c r="A741" s="7" t="n"/>
      <c r="B741" s="7">
        <f>IF($A741="","",VLOOKUP($A741,CoachRoster!$A:$E,4,FALSE))</f>
        <v/>
      </c>
      <c r="C741" s="7" t="n"/>
      <c r="D741" s="7" t="n"/>
      <c r="E741" s="7" t="n"/>
      <c r="F741" s="7" t="n"/>
      <c r="G741" s="7" t="n"/>
      <c r="H741" s="7">
        <f>IF($A741="","",IF(AND($E741="Pass",$F741="Pass",$G741="Pass"),"PROMOTE","NOT YET"))</f>
        <v/>
      </c>
      <c r="I741" s="7" t="n"/>
      <c r="J741" s="27">
        <f>IF(OR($A741="",$C741=""),"",IF(IFERROR(VLOOKUP($A741,Ledger!$A:$E,5,FALSE),0)&gt;=VLOOKUP($C741,RoleTitles!$A:$B,2,FALSE),"YES","NO"))</f>
        <v/>
      </c>
      <c r="K741" s="27">
        <f>IF($A741="","",IF(AND($H741="PROMOTE",$J741="YES"),"YES — PROMOTE","NO"))</f>
        <v/>
      </c>
    </row>
    <row r="742">
      <c r="A742" s="7" t="n"/>
      <c r="B742" s="7">
        <f>IF($A742="","",VLOOKUP($A742,CoachRoster!$A:$E,4,FALSE))</f>
        <v/>
      </c>
      <c r="C742" s="7" t="n"/>
      <c r="D742" s="7" t="n"/>
      <c r="E742" s="7" t="n"/>
      <c r="F742" s="7" t="n"/>
      <c r="G742" s="7" t="n"/>
      <c r="H742" s="7">
        <f>IF($A742="","",IF(AND($E742="Pass",$F742="Pass",$G742="Pass"),"PROMOTE","NOT YET"))</f>
        <v/>
      </c>
      <c r="I742" s="7" t="n"/>
      <c r="J742" s="27">
        <f>IF(OR($A742="",$C742=""),"",IF(IFERROR(VLOOKUP($A742,Ledger!$A:$E,5,FALSE),0)&gt;=VLOOKUP($C742,RoleTitles!$A:$B,2,FALSE),"YES","NO"))</f>
        <v/>
      </c>
      <c r="K742" s="27">
        <f>IF($A742="","",IF(AND($H742="PROMOTE",$J742="YES"),"YES — PROMOTE","NO"))</f>
        <v/>
      </c>
    </row>
    <row r="743">
      <c r="A743" s="7" t="n"/>
      <c r="B743" s="7">
        <f>IF($A743="","",VLOOKUP($A743,CoachRoster!$A:$E,4,FALSE))</f>
        <v/>
      </c>
      <c r="C743" s="7" t="n"/>
      <c r="D743" s="7" t="n"/>
      <c r="E743" s="7" t="n"/>
      <c r="F743" s="7" t="n"/>
      <c r="G743" s="7" t="n"/>
      <c r="H743" s="7">
        <f>IF($A743="","",IF(AND($E743="Pass",$F743="Pass",$G743="Pass"),"PROMOTE","NOT YET"))</f>
        <v/>
      </c>
      <c r="I743" s="7" t="n"/>
      <c r="J743" s="27">
        <f>IF(OR($A743="",$C743=""),"",IF(IFERROR(VLOOKUP($A743,Ledger!$A:$E,5,FALSE),0)&gt;=VLOOKUP($C743,RoleTitles!$A:$B,2,FALSE),"YES","NO"))</f>
        <v/>
      </c>
      <c r="K743" s="27">
        <f>IF($A743="","",IF(AND($H743="PROMOTE",$J743="YES"),"YES — PROMOTE","NO"))</f>
        <v/>
      </c>
    </row>
    <row r="744">
      <c r="A744" s="7" t="n"/>
      <c r="B744" s="7">
        <f>IF($A744="","",VLOOKUP($A744,CoachRoster!$A:$E,4,FALSE))</f>
        <v/>
      </c>
      <c r="C744" s="7" t="n"/>
      <c r="D744" s="7" t="n"/>
      <c r="E744" s="7" t="n"/>
      <c r="F744" s="7" t="n"/>
      <c r="G744" s="7" t="n"/>
      <c r="H744" s="7">
        <f>IF($A744="","",IF(AND($E744="Pass",$F744="Pass",$G744="Pass"),"PROMOTE","NOT YET"))</f>
        <v/>
      </c>
      <c r="I744" s="7" t="n"/>
      <c r="J744" s="27">
        <f>IF(OR($A744="",$C744=""),"",IF(IFERROR(VLOOKUP($A744,Ledger!$A:$E,5,FALSE),0)&gt;=VLOOKUP($C744,RoleTitles!$A:$B,2,FALSE),"YES","NO"))</f>
        <v/>
      </c>
      <c r="K744" s="27">
        <f>IF($A744="","",IF(AND($H744="PROMOTE",$J744="YES"),"YES — PROMOTE","NO"))</f>
        <v/>
      </c>
    </row>
    <row r="745">
      <c r="A745" s="7" t="n"/>
      <c r="B745" s="7">
        <f>IF($A745="","",VLOOKUP($A745,CoachRoster!$A:$E,4,FALSE))</f>
        <v/>
      </c>
      <c r="C745" s="7" t="n"/>
      <c r="D745" s="7" t="n"/>
      <c r="E745" s="7" t="n"/>
      <c r="F745" s="7" t="n"/>
      <c r="G745" s="7" t="n"/>
      <c r="H745" s="7">
        <f>IF($A745="","",IF(AND($E745="Pass",$F745="Pass",$G745="Pass"),"PROMOTE","NOT YET"))</f>
        <v/>
      </c>
      <c r="I745" s="7" t="n"/>
      <c r="J745" s="27">
        <f>IF(OR($A745="",$C745=""),"",IF(IFERROR(VLOOKUP($A745,Ledger!$A:$E,5,FALSE),0)&gt;=VLOOKUP($C745,RoleTitles!$A:$B,2,FALSE),"YES","NO"))</f>
        <v/>
      </c>
      <c r="K745" s="27">
        <f>IF($A745="","",IF(AND($H745="PROMOTE",$J745="YES"),"YES — PROMOTE","NO"))</f>
        <v/>
      </c>
    </row>
    <row r="746">
      <c r="A746" s="7" t="n"/>
      <c r="B746" s="7">
        <f>IF($A746="","",VLOOKUP($A746,CoachRoster!$A:$E,4,FALSE))</f>
        <v/>
      </c>
      <c r="C746" s="7" t="n"/>
      <c r="D746" s="7" t="n"/>
      <c r="E746" s="7" t="n"/>
      <c r="F746" s="7" t="n"/>
      <c r="G746" s="7" t="n"/>
      <c r="H746" s="7">
        <f>IF($A746="","",IF(AND($E746="Pass",$F746="Pass",$G746="Pass"),"PROMOTE","NOT YET"))</f>
        <v/>
      </c>
      <c r="I746" s="7" t="n"/>
      <c r="J746" s="27">
        <f>IF(OR($A746="",$C746=""),"",IF(IFERROR(VLOOKUP($A746,Ledger!$A:$E,5,FALSE),0)&gt;=VLOOKUP($C746,RoleTitles!$A:$B,2,FALSE),"YES","NO"))</f>
        <v/>
      </c>
      <c r="K746" s="27">
        <f>IF($A746="","",IF(AND($H746="PROMOTE",$J746="YES"),"YES — PROMOTE","NO"))</f>
        <v/>
      </c>
    </row>
    <row r="747">
      <c r="A747" s="7" t="n"/>
      <c r="B747" s="7">
        <f>IF($A747="","",VLOOKUP($A747,CoachRoster!$A:$E,4,FALSE))</f>
        <v/>
      </c>
      <c r="C747" s="7" t="n"/>
      <c r="D747" s="7" t="n"/>
      <c r="E747" s="7" t="n"/>
      <c r="F747" s="7" t="n"/>
      <c r="G747" s="7" t="n"/>
      <c r="H747" s="7">
        <f>IF($A747="","",IF(AND($E747="Pass",$F747="Pass",$G747="Pass"),"PROMOTE","NOT YET"))</f>
        <v/>
      </c>
      <c r="I747" s="7" t="n"/>
      <c r="J747" s="27">
        <f>IF(OR($A747="",$C747=""),"",IF(IFERROR(VLOOKUP($A747,Ledger!$A:$E,5,FALSE),0)&gt;=VLOOKUP($C747,RoleTitles!$A:$B,2,FALSE),"YES","NO"))</f>
        <v/>
      </c>
      <c r="K747" s="27">
        <f>IF($A747="","",IF(AND($H747="PROMOTE",$J747="YES"),"YES — PROMOTE","NO"))</f>
        <v/>
      </c>
    </row>
    <row r="748">
      <c r="A748" s="7" t="n"/>
      <c r="B748" s="7">
        <f>IF($A748="","",VLOOKUP($A748,CoachRoster!$A:$E,4,FALSE))</f>
        <v/>
      </c>
      <c r="C748" s="7" t="n"/>
      <c r="D748" s="7" t="n"/>
      <c r="E748" s="7" t="n"/>
      <c r="F748" s="7" t="n"/>
      <c r="G748" s="7" t="n"/>
      <c r="H748" s="7">
        <f>IF($A748="","",IF(AND($E748="Pass",$F748="Pass",$G748="Pass"),"PROMOTE","NOT YET"))</f>
        <v/>
      </c>
      <c r="I748" s="7" t="n"/>
      <c r="J748" s="27">
        <f>IF(OR($A748="",$C748=""),"",IF(IFERROR(VLOOKUP($A748,Ledger!$A:$E,5,FALSE),0)&gt;=VLOOKUP($C748,RoleTitles!$A:$B,2,FALSE),"YES","NO"))</f>
        <v/>
      </c>
      <c r="K748" s="27">
        <f>IF($A748="","",IF(AND($H748="PROMOTE",$J748="YES"),"YES — PROMOTE","NO"))</f>
        <v/>
      </c>
    </row>
    <row r="749">
      <c r="A749" s="7" t="n"/>
      <c r="B749" s="7">
        <f>IF($A749="","",VLOOKUP($A749,CoachRoster!$A:$E,4,FALSE))</f>
        <v/>
      </c>
      <c r="C749" s="7" t="n"/>
      <c r="D749" s="7" t="n"/>
      <c r="E749" s="7" t="n"/>
      <c r="F749" s="7" t="n"/>
      <c r="G749" s="7" t="n"/>
      <c r="H749" s="7">
        <f>IF($A749="","",IF(AND($E749="Pass",$F749="Pass",$G749="Pass"),"PROMOTE","NOT YET"))</f>
        <v/>
      </c>
      <c r="I749" s="7" t="n"/>
      <c r="J749" s="27">
        <f>IF(OR($A749="",$C749=""),"",IF(IFERROR(VLOOKUP($A749,Ledger!$A:$E,5,FALSE),0)&gt;=VLOOKUP($C749,RoleTitles!$A:$B,2,FALSE),"YES","NO"))</f>
        <v/>
      </c>
      <c r="K749" s="27">
        <f>IF($A749="","",IF(AND($H749="PROMOTE",$J749="YES"),"YES — PROMOTE","NO"))</f>
        <v/>
      </c>
    </row>
    <row r="750">
      <c r="A750" s="7" t="n"/>
      <c r="B750" s="7">
        <f>IF($A750="","",VLOOKUP($A750,CoachRoster!$A:$E,4,FALSE))</f>
        <v/>
      </c>
      <c r="C750" s="7" t="n"/>
      <c r="D750" s="7" t="n"/>
      <c r="E750" s="7" t="n"/>
      <c r="F750" s="7" t="n"/>
      <c r="G750" s="7" t="n"/>
      <c r="H750" s="7">
        <f>IF($A750="","",IF(AND($E750="Pass",$F750="Pass",$G750="Pass"),"PROMOTE","NOT YET"))</f>
        <v/>
      </c>
      <c r="I750" s="7" t="n"/>
      <c r="J750" s="27">
        <f>IF(OR($A750="",$C750=""),"",IF(IFERROR(VLOOKUP($A750,Ledger!$A:$E,5,FALSE),0)&gt;=VLOOKUP($C750,RoleTitles!$A:$B,2,FALSE),"YES","NO"))</f>
        <v/>
      </c>
      <c r="K750" s="27">
        <f>IF($A750="","",IF(AND($H750="PROMOTE",$J750="YES"),"YES — PROMOTE","NO"))</f>
        <v/>
      </c>
    </row>
    <row r="751">
      <c r="A751" s="7" t="n"/>
      <c r="B751" s="7">
        <f>IF($A751="","",VLOOKUP($A751,CoachRoster!$A:$E,4,FALSE))</f>
        <v/>
      </c>
      <c r="C751" s="7" t="n"/>
      <c r="D751" s="7" t="n"/>
      <c r="E751" s="7" t="n"/>
      <c r="F751" s="7" t="n"/>
      <c r="G751" s="7" t="n"/>
      <c r="H751" s="7">
        <f>IF($A751="","",IF(AND($E751="Pass",$F751="Pass",$G751="Pass"),"PROMOTE","NOT YET"))</f>
        <v/>
      </c>
      <c r="I751" s="7" t="n"/>
      <c r="J751" s="27">
        <f>IF(OR($A751="",$C751=""),"",IF(IFERROR(VLOOKUP($A751,Ledger!$A:$E,5,FALSE),0)&gt;=VLOOKUP($C751,RoleTitles!$A:$B,2,FALSE),"YES","NO"))</f>
        <v/>
      </c>
      <c r="K751" s="27">
        <f>IF($A751="","",IF(AND($H751="PROMOTE",$J751="YES"),"YES — PROMOTE","NO"))</f>
        <v/>
      </c>
    </row>
    <row r="752">
      <c r="A752" s="7" t="n"/>
      <c r="B752" s="7">
        <f>IF($A752="","",VLOOKUP($A752,CoachRoster!$A:$E,4,FALSE))</f>
        <v/>
      </c>
      <c r="C752" s="7" t="n"/>
      <c r="D752" s="7" t="n"/>
      <c r="E752" s="7" t="n"/>
      <c r="F752" s="7" t="n"/>
      <c r="G752" s="7" t="n"/>
      <c r="H752" s="7">
        <f>IF($A752="","",IF(AND($E752="Pass",$F752="Pass",$G752="Pass"),"PROMOTE","NOT YET"))</f>
        <v/>
      </c>
      <c r="I752" s="7" t="n"/>
      <c r="J752" s="27">
        <f>IF(OR($A752="",$C752=""),"",IF(IFERROR(VLOOKUP($A752,Ledger!$A:$E,5,FALSE),0)&gt;=VLOOKUP($C752,RoleTitles!$A:$B,2,FALSE),"YES","NO"))</f>
        <v/>
      </c>
      <c r="K752" s="27">
        <f>IF($A752="","",IF(AND($H752="PROMOTE",$J752="YES"),"YES — PROMOTE","NO"))</f>
        <v/>
      </c>
    </row>
    <row r="753">
      <c r="A753" s="7" t="n"/>
      <c r="B753" s="7">
        <f>IF($A753="","",VLOOKUP($A753,CoachRoster!$A:$E,4,FALSE))</f>
        <v/>
      </c>
      <c r="C753" s="7" t="n"/>
      <c r="D753" s="7" t="n"/>
      <c r="E753" s="7" t="n"/>
      <c r="F753" s="7" t="n"/>
      <c r="G753" s="7" t="n"/>
      <c r="H753" s="7">
        <f>IF($A753="","",IF(AND($E753="Pass",$F753="Pass",$G753="Pass"),"PROMOTE","NOT YET"))</f>
        <v/>
      </c>
      <c r="I753" s="7" t="n"/>
      <c r="J753" s="27">
        <f>IF(OR($A753="",$C753=""),"",IF(IFERROR(VLOOKUP($A753,Ledger!$A:$E,5,FALSE),0)&gt;=VLOOKUP($C753,RoleTitles!$A:$B,2,FALSE),"YES","NO"))</f>
        <v/>
      </c>
      <c r="K753" s="27">
        <f>IF($A753="","",IF(AND($H753="PROMOTE",$J753="YES"),"YES — PROMOTE","NO"))</f>
        <v/>
      </c>
    </row>
    <row r="754">
      <c r="A754" s="7" t="n"/>
      <c r="B754" s="7">
        <f>IF($A754="","",VLOOKUP($A754,CoachRoster!$A:$E,4,FALSE))</f>
        <v/>
      </c>
      <c r="C754" s="7" t="n"/>
      <c r="D754" s="7" t="n"/>
      <c r="E754" s="7" t="n"/>
      <c r="F754" s="7" t="n"/>
      <c r="G754" s="7" t="n"/>
      <c r="H754" s="7">
        <f>IF($A754="","",IF(AND($E754="Pass",$F754="Pass",$G754="Pass"),"PROMOTE","NOT YET"))</f>
        <v/>
      </c>
      <c r="I754" s="7" t="n"/>
      <c r="J754" s="27">
        <f>IF(OR($A754="",$C754=""),"",IF(IFERROR(VLOOKUP($A754,Ledger!$A:$E,5,FALSE),0)&gt;=VLOOKUP($C754,RoleTitles!$A:$B,2,FALSE),"YES","NO"))</f>
        <v/>
      </c>
      <c r="K754" s="27">
        <f>IF($A754="","",IF(AND($H754="PROMOTE",$J754="YES"),"YES — PROMOTE","NO"))</f>
        <v/>
      </c>
    </row>
    <row r="755">
      <c r="A755" s="7" t="n"/>
      <c r="B755" s="7">
        <f>IF($A755="","",VLOOKUP($A755,CoachRoster!$A:$E,4,FALSE))</f>
        <v/>
      </c>
      <c r="C755" s="7" t="n"/>
      <c r="D755" s="7" t="n"/>
      <c r="E755" s="7" t="n"/>
      <c r="F755" s="7" t="n"/>
      <c r="G755" s="7" t="n"/>
      <c r="H755" s="7">
        <f>IF($A755="","",IF(AND($E755="Pass",$F755="Pass",$G755="Pass"),"PROMOTE","NOT YET"))</f>
        <v/>
      </c>
      <c r="I755" s="7" t="n"/>
      <c r="J755" s="27">
        <f>IF(OR($A755="",$C755=""),"",IF(IFERROR(VLOOKUP($A755,Ledger!$A:$E,5,FALSE),0)&gt;=VLOOKUP($C755,RoleTitles!$A:$B,2,FALSE),"YES","NO"))</f>
        <v/>
      </c>
      <c r="K755" s="27">
        <f>IF($A755="","",IF(AND($H755="PROMOTE",$J755="YES"),"YES — PROMOTE","NO"))</f>
        <v/>
      </c>
    </row>
    <row r="756">
      <c r="A756" s="7" t="n"/>
      <c r="B756" s="7">
        <f>IF($A756="","",VLOOKUP($A756,CoachRoster!$A:$E,4,FALSE))</f>
        <v/>
      </c>
      <c r="C756" s="7" t="n"/>
      <c r="D756" s="7" t="n"/>
      <c r="E756" s="7" t="n"/>
      <c r="F756" s="7" t="n"/>
      <c r="G756" s="7" t="n"/>
      <c r="H756" s="7">
        <f>IF($A756="","",IF(AND($E756="Pass",$F756="Pass",$G756="Pass"),"PROMOTE","NOT YET"))</f>
        <v/>
      </c>
      <c r="I756" s="7" t="n"/>
      <c r="J756" s="27">
        <f>IF(OR($A756="",$C756=""),"",IF(IFERROR(VLOOKUP($A756,Ledger!$A:$E,5,FALSE),0)&gt;=VLOOKUP($C756,RoleTitles!$A:$B,2,FALSE),"YES","NO"))</f>
        <v/>
      </c>
      <c r="K756" s="27">
        <f>IF($A756="","",IF(AND($H756="PROMOTE",$J756="YES"),"YES — PROMOTE","NO"))</f>
        <v/>
      </c>
    </row>
    <row r="757">
      <c r="A757" s="7" t="n"/>
      <c r="B757" s="7">
        <f>IF($A757="","",VLOOKUP($A757,CoachRoster!$A:$E,4,FALSE))</f>
        <v/>
      </c>
      <c r="C757" s="7" t="n"/>
      <c r="D757" s="7" t="n"/>
      <c r="E757" s="7" t="n"/>
      <c r="F757" s="7" t="n"/>
      <c r="G757" s="7" t="n"/>
      <c r="H757" s="7">
        <f>IF($A757="","",IF(AND($E757="Pass",$F757="Pass",$G757="Pass"),"PROMOTE","NOT YET"))</f>
        <v/>
      </c>
      <c r="I757" s="7" t="n"/>
      <c r="J757" s="27">
        <f>IF(OR($A757="",$C757=""),"",IF(IFERROR(VLOOKUP($A757,Ledger!$A:$E,5,FALSE),0)&gt;=VLOOKUP($C757,RoleTitles!$A:$B,2,FALSE),"YES","NO"))</f>
        <v/>
      </c>
      <c r="K757" s="27">
        <f>IF($A757="","",IF(AND($H757="PROMOTE",$J757="YES"),"YES — PROMOTE","NO"))</f>
        <v/>
      </c>
    </row>
    <row r="758">
      <c r="A758" s="7" t="n"/>
      <c r="B758" s="7">
        <f>IF($A758="","",VLOOKUP($A758,CoachRoster!$A:$E,4,FALSE))</f>
        <v/>
      </c>
      <c r="C758" s="7" t="n"/>
      <c r="D758" s="7" t="n"/>
      <c r="E758" s="7" t="n"/>
      <c r="F758" s="7" t="n"/>
      <c r="G758" s="7" t="n"/>
      <c r="H758" s="7">
        <f>IF($A758="","",IF(AND($E758="Pass",$F758="Pass",$G758="Pass"),"PROMOTE","NOT YET"))</f>
        <v/>
      </c>
      <c r="I758" s="7" t="n"/>
      <c r="J758" s="27">
        <f>IF(OR($A758="",$C758=""),"",IF(IFERROR(VLOOKUP($A758,Ledger!$A:$E,5,FALSE),0)&gt;=VLOOKUP($C758,RoleTitles!$A:$B,2,FALSE),"YES","NO"))</f>
        <v/>
      </c>
      <c r="K758" s="27">
        <f>IF($A758="","",IF(AND($H758="PROMOTE",$J758="YES"),"YES — PROMOTE","NO"))</f>
        <v/>
      </c>
    </row>
    <row r="759">
      <c r="A759" s="7" t="n"/>
      <c r="B759" s="7">
        <f>IF($A759="","",VLOOKUP($A759,CoachRoster!$A:$E,4,FALSE))</f>
        <v/>
      </c>
      <c r="C759" s="7" t="n"/>
      <c r="D759" s="7" t="n"/>
      <c r="E759" s="7" t="n"/>
      <c r="F759" s="7" t="n"/>
      <c r="G759" s="7" t="n"/>
      <c r="H759" s="7">
        <f>IF($A759="","",IF(AND($E759="Pass",$F759="Pass",$G759="Pass"),"PROMOTE","NOT YET"))</f>
        <v/>
      </c>
      <c r="I759" s="7" t="n"/>
      <c r="J759" s="27">
        <f>IF(OR($A759="",$C759=""),"",IF(IFERROR(VLOOKUP($A759,Ledger!$A:$E,5,FALSE),0)&gt;=VLOOKUP($C759,RoleTitles!$A:$B,2,FALSE),"YES","NO"))</f>
        <v/>
      </c>
      <c r="K759" s="27">
        <f>IF($A759="","",IF(AND($H759="PROMOTE",$J759="YES"),"YES — PROMOTE","NO"))</f>
        <v/>
      </c>
    </row>
    <row r="760">
      <c r="A760" s="7" t="n"/>
      <c r="B760" s="7">
        <f>IF($A760="","",VLOOKUP($A760,CoachRoster!$A:$E,4,FALSE))</f>
        <v/>
      </c>
      <c r="C760" s="7" t="n"/>
      <c r="D760" s="7" t="n"/>
      <c r="E760" s="7" t="n"/>
      <c r="F760" s="7" t="n"/>
      <c r="G760" s="7" t="n"/>
      <c r="H760" s="7">
        <f>IF($A760="","",IF(AND($E760="Pass",$F760="Pass",$G760="Pass"),"PROMOTE","NOT YET"))</f>
        <v/>
      </c>
      <c r="I760" s="7" t="n"/>
      <c r="J760" s="27">
        <f>IF(OR($A760="",$C760=""),"",IF(IFERROR(VLOOKUP($A760,Ledger!$A:$E,5,FALSE),0)&gt;=VLOOKUP($C760,RoleTitles!$A:$B,2,FALSE),"YES","NO"))</f>
        <v/>
      </c>
      <c r="K760" s="27">
        <f>IF($A760="","",IF(AND($H760="PROMOTE",$J760="YES"),"YES — PROMOTE","NO"))</f>
        <v/>
      </c>
    </row>
    <row r="761">
      <c r="A761" s="7" t="n"/>
      <c r="B761" s="7">
        <f>IF($A761="","",VLOOKUP($A761,CoachRoster!$A:$E,4,FALSE))</f>
        <v/>
      </c>
      <c r="C761" s="7" t="n"/>
      <c r="D761" s="7" t="n"/>
      <c r="E761" s="7" t="n"/>
      <c r="F761" s="7" t="n"/>
      <c r="G761" s="7" t="n"/>
      <c r="H761" s="7">
        <f>IF($A761="","",IF(AND($E761="Pass",$F761="Pass",$G761="Pass"),"PROMOTE","NOT YET"))</f>
        <v/>
      </c>
      <c r="I761" s="7" t="n"/>
      <c r="J761" s="27">
        <f>IF(OR($A761="",$C761=""),"",IF(IFERROR(VLOOKUP($A761,Ledger!$A:$E,5,FALSE),0)&gt;=VLOOKUP($C761,RoleTitles!$A:$B,2,FALSE),"YES","NO"))</f>
        <v/>
      </c>
      <c r="K761" s="27">
        <f>IF($A761="","",IF(AND($H761="PROMOTE",$J761="YES"),"YES — PROMOTE","NO"))</f>
        <v/>
      </c>
    </row>
    <row r="762">
      <c r="A762" s="7" t="n"/>
      <c r="B762" s="7">
        <f>IF($A762="","",VLOOKUP($A762,CoachRoster!$A:$E,4,FALSE))</f>
        <v/>
      </c>
      <c r="C762" s="7" t="n"/>
      <c r="D762" s="7" t="n"/>
      <c r="E762" s="7" t="n"/>
      <c r="F762" s="7" t="n"/>
      <c r="G762" s="7" t="n"/>
      <c r="H762" s="7">
        <f>IF($A762="","",IF(AND($E762="Pass",$F762="Pass",$G762="Pass"),"PROMOTE","NOT YET"))</f>
        <v/>
      </c>
      <c r="I762" s="7" t="n"/>
      <c r="J762" s="27">
        <f>IF(OR($A762="",$C762=""),"",IF(IFERROR(VLOOKUP($A762,Ledger!$A:$E,5,FALSE),0)&gt;=VLOOKUP($C762,RoleTitles!$A:$B,2,FALSE),"YES","NO"))</f>
        <v/>
      </c>
      <c r="K762" s="27">
        <f>IF($A762="","",IF(AND($H762="PROMOTE",$J762="YES"),"YES — PROMOTE","NO"))</f>
        <v/>
      </c>
    </row>
    <row r="763">
      <c r="A763" s="7" t="n"/>
      <c r="B763" s="7">
        <f>IF($A763="","",VLOOKUP($A763,CoachRoster!$A:$E,4,FALSE))</f>
        <v/>
      </c>
      <c r="C763" s="7" t="n"/>
      <c r="D763" s="7" t="n"/>
      <c r="E763" s="7" t="n"/>
      <c r="F763" s="7" t="n"/>
      <c r="G763" s="7" t="n"/>
      <c r="H763" s="7">
        <f>IF($A763="","",IF(AND($E763="Pass",$F763="Pass",$G763="Pass"),"PROMOTE","NOT YET"))</f>
        <v/>
      </c>
      <c r="I763" s="7" t="n"/>
      <c r="J763" s="27">
        <f>IF(OR($A763="",$C763=""),"",IF(IFERROR(VLOOKUP($A763,Ledger!$A:$E,5,FALSE),0)&gt;=VLOOKUP($C763,RoleTitles!$A:$B,2,FALSE),"YES","NO"))</f>
        <v/>
      </c>
      <c r="K763" s="27">
        <f>IF($A763="","",IF(AND($H763="PROMOTE",$J763="YES"),"YES — PROMOTE","NO"))</f>
        <v/>
      </c>
    </row>
    <row r="764">
      <c r="A764" s="7" t="n"/>
      <c r="B764" s="7">
        <f>IF($A764="","",VLOOKUP($A764,CoachRoster!$A:$E,4,FALSE))</f>
        <v/>
      </c>
      <c r="C764" s="7" t="n"/>
      <c r="D764" s="7" t="n"/>
      <c r="E764" s="7" t="n"/>
      <c r="F764" s="7" t="n"/>
      <c r="G764" s="7" t="n"/>
      <c r="H764" s="7">
        <f>IF($A764="","",IF(AND($E764="Pass",$F764="Pass",$G764="Pass"),"PROMOTE","NOT YET"))</f>
        <v/>
      </c>
      <c r="I764" s="7" t="n"/>
      <c r="J764" s="27">
        <f>IF(OR($A764="",$C764=""),"",IF(IFERROR(VLOOKUP($A764,Ledger!$A:$E,5,FALSE),0)&gt;=VLOOKUP($C764,RoleTitles!$A:$B,2,FALSE),"YES","NO"))</f>
        <v/>
      </c>
      <c r="K764" s="27">
        <f>IF($A764="","",IF(AND($H764="PROMOTE",$J764="YES"),"YES — PROMOTE","NO"))</f>
        <v/>
      </c>
    </row>
    <row r="765">
      <c r="A765" s="7" t="n"/>
      <c r="B765" s="7">
        <f>IF($A765="","",VLOOKUP($A765,CoachRoster!$A:$E,4,FALSE))</f>
        <v/>
      </c>
      <c r="C765" s="7" t="n"/>
      <c r="D765" s="7" t="n"/>
      <c r="E765" s="7" t="n"/>
      <c r="F765" s="7" t="n"/>
      <c r="G765" s="7" t="n"/>
      <c r="H765" s="7">
        <f>IF($A765="","",IF(AND($E765="Pass",$F765="Pass",$G765="Pass"),"PROMOTE","NOT YET"))</f>
        <v/>
      </c>
      <c r="I765" s="7" t="n"/>
      <c r="J765" s="27">
        <f>IF(OR($A765="",$C765=""),"",IF(IFERROR(VLOOKUP($A765,Ledger!$A:$E,5,FALSE),0)&gt;=VLOOKUP($C765,RoleTitles!$A:$B,2,FALSE),"YES","NO"))</f>
        <v/>
      </c>
      <c r="K765" s="27">
        <f>IF($A765="","",IF(AND($H765="PROMOTE",$J765="YES"),"YES — PROMOTE","NO"))</f>
        <v/>
      </c>
    </row>
    <row r="766">
      <c r="A766" s="7" t="n"/>
      <c r="B766" s="7">
        <f>IF($A766="","",VLOOKUP($A766,CoachRoster!$A:$E,4,FALSE))</f>
        <v/>
      </c>
      <c r="C766" s="7" t="n"/>
      <c r="D766" s="7" t="n"/>
      <c r="E766" s="7" t="n"/>
      <c r="F766" s="7" t="n"/>
      <c r="G766" s="7" t="n"/>
      <c r="H766" s="7">
        <f>IF($A766="","",IF(AND($E766="Pass",$F766="Pass",$G766="Pass"),"PROMOTE","NOT YET"))</f>
        <v/>
      </c>
      <c r="I766" s="7" t="n"/>
      <c r="J766" s="27">
        <f>IF(OR($A766="",$C766=""),"",IF(IFERROR(VLOOKUP($A766,Ledger!$A:$E,5,FALSE),0)&gt;=VLOOKUP($C766,RoleTitles!$A:$B,2,FALSE),"YES","NO"))</f>
        <v/>
      </c>
      <c r="K766" s="27">
        <f>IF($A766="","",IF(AND($H766="PROMOTE",$J766="YES"),"YES — PROMOTE","NO"))</f>
        <v/>
      </c>
    </row>
    <row r="767">
      <c r="A767" s="7" t="n"/>
      <c r="B767" s="7">
        <f>IF($A767="","",VLOOKUP($A767,CoachRoster!$A:$E,4,FALSE))</f>
        <v/>
      </c>
      <c r="C767" s="7" t="n"/>
      <c r="D767" s="7" t="n"/>
      <c r="E767" s="7" t="n"/>
      <c r="F767" s="7" t="n"/>
      <c r="G767" s="7" t="n"/>
      <c r="H767" s="7">
        <f>IF($A767="","",IF(AND($E767="Pass",$F767="Pass",$G767="Pass"),"PROMOTE","NOT YET"))</f>
        <v/>
      </c>
      <c r="I767" s="7" t="n"/>
      <c r="J767" s="27">
        <f>IF(OR($A767="",$C767=""),"",IF(IFERROR(VLOOKUP($A767,Ledger!$A:$E,5,FALSE),0)&gt;=VLOOKUP($C767,RoleTitles!$A:$B,2,FALSE),"YES","NO"))</f>
        <v/>
      </c>
      <c r="K767" s="27">
        <f>IF($A767="","",IF(AND($H767="PROMOTE",$J767="YES"),"YES — PROMOTE","NO"))</f>
        <v/>
      </c>
    </row>
    <row r="768">
      <c r="A768" s="7" t="n"/>
      <c r="B768" s="7">
        <f>IF($A768="","",VLOOKUP($A768,CoachRoster!$A:$E,4,FALSE))</f>
        <v/>
      </c>
      <c r="C768" s="7" t="n"/>
      <c r="D768" s="7" t="n"/>
      <c r="E768" s="7" t="n"/>
      <c r="F768" s="7" t="n"/>
      <c r="G768" s="7" t="n"/>
      <c r="H768" s="7">
        <f>IF($A768="","",IF(AND($E768="Pass",$F768="Pass",$G768="Pass"),"PROMOTE","NOT YET"))</f>
        <v/>
      </c>
      <c r="I768" s="7" t="n"/>
      <c r="J768" s="27">
        <f>IF(OR($A768="",$C768=""),"",IF(IFERROR(VLOOKUP($A768,Ledger!$A:$E,5,FALSE),0)&gt;=VLOOKUP($C768,RoleTitles!$A:$B,2,FALSE),"YES","NO"))</f>
        <v/>
      </c>
      <c r="K768" s="27">
        <f>IF($A768="","",IF(AND($H768="PROMOTE",$J768="YES"),"YES — PROMOTE","NO"))</f>
        <v/>
      </c>
    </row>
    <row r="769">
      <c r="A769" s="7" t="n"/>
      <c r="B769" s="7">
        <f>IF($A769="","",VLOOKUP($A769,CoachRoster!$A:$E,4,FALSE))</f>
        <v/>
      </c>
      <c r="C769" s="7" t="n"/>
      <c r="D769" s="7" t="n"/>
      <c r="E769" s="7" t="n"/>
      <c r="F769" s="7" t="n"/>
      <c r="G769" s="7" t="n"/>
      <c r="H769" s="7">
        <f>IF($A769="","",IF(AND($E769="Pass",$F769="Pass",$G769="Pass"),"PROMOTE","NOT YET"))</f>
        <v/>
      </c>
      <c r="I769" s="7" t="n"/>
      <c r="J769" s="27">
        <f>IF(OR($A769="",$C769=""),"",IF(IFERROR(VLOOKUP($A769,Ledger!$A:$E,5,FALSE),0)&gt;=VLOOKUP($C769,RoleTitles!$A:$B,2,FALSE),"YES","NO"))</f>
        <v/>
      </c>
      <c r="K769" s="27">
        <f>IF($A769="","",IF(AND($H769="PROMOTE",$J769="YES"),"YES — PROMOTE","NO"))</f>
        <v/>
      </c>
    </row>
    <row r="770">
      <c r="A770" s="7" t="n"/>
      <c r="B770" s="7">
        <f>IF($A770="","",VLOOKUP($A770,CoachRoster!$A:$E,4,FALSE))</f>
        <v/>
      </c>
      <c r="C770" s="7" t="n"/>
      <c r="D770" s="7" t="n"/>
      <c r="E770" s="7" t="n"/>
      <c r="F770" s="7" t="n"/>
      <c r="G770" s="7" t="n"/>
      <c r="H770" s="7">
        <f>IF($A770="","",IF(AND($E770="Pass",$F770="Pass",$G770="Pass"),"PROMOTE","NOT YET"))</f>
        <v/>
      </c>
      <c r="I770" s="7" t="n"/>
      <c r="J770" s="27">
        <f>IF(OR($A770="",$C770=""),"",IF(IFERROR(VLOOKUP($A770,Ledger!$A:$E,5,FALSE),0)&gt;=VLOOKUP($C770,RoleTitles!$A:$B,2,FALSE),"YES","NO"))</f>
        <v/>
      </c>
      <c r="K770" s="27">
        <f>IF($A770="","",IF(AND($H770="PROMOTE",$J770="YES"),"YES — PROMOTE","NO"))</f>
        <v/>
      </c>
    </row>
    <row r="771">
      <c r="A771" s="7" t="n"/>
      <c r="B771" s="7">
        <f>IF($A771="","",VLOOKUP($A771,CoachRoster!$A:$E,4,FALSE))</f>
        <v/>
      </c>
      <c r="C771" s="7" t="n"/>
      <c r="D771" s="7" t="n"/>
      <c r="E771" s="7" t="n"/>
      <c r="F771" s="7" t="n"/>
      <c r="G771" s="7" t="n"/>
      <c r="H771" s="7">
        <f>IF($A771="","",IF(AND($E771="Pass",$F771="Pass",$G771="Pass"),"PROMOTE","NOT YET"))</f>
        <v/>
      </c>
      <c r="I771" s="7" t="n"/>
      <c r="J771" s="27">
        <f>IF(OR($A771="",$C771=""),"",IF(IFERROR(VLOOKUP($A771,Ledger!$A:$E,5,FALSE),0)&gt;=VLOOKUP($C771,RoleTitles!$A:$B,2,FALSE),"YES","NO"))</f>
        <v/>
      </c>
      <c r="K771" s="27">
        <f>IF($A771="","",IF(AND($H771="PROMOTE",$J771="YES"),"YES — PROMOTE","NO"))</f>
        <v/>
      </c>
    </row>
    <row r="772">
      <c r="A772" s="7" t="n"/>
      <c r="B772" s="7">
        <f>IF($A772="","",VLOOKUP($A772,CoachRoster!$A:$E,4,FALSE))</f>
        <v/>
      </c>
      <c r="C772" s="7" t="n"/>
      <c r="D772" s="7" t="n"/>
      <c r="E772" s="7" t="n"/>
      <c r="F772" s="7" t="n"/>
      <c r="G772" s="7" t="n"/>
      <c r="H772" s="7">
        <f>IF($A772="","",IF(AND($E772="Pass",$F772="Pass",$G772="Pass"),"PROMOTE","NOT YET"))</f>
        <v/>
      </c>
      <c r="I772" s="7" t="n"/>
      <c r="J772" s="27">
        <f>IF(OR($A772="",$C772=""),"",IF(IFERROR(VLOOKUP($A772,Ledger!$A:$E,5,FALSE),0)&gt;=VLOOKUP($C772,RoleTitles!$A:$B,2,FALSE),"YES","NO"))</f>
        <v/>
      </c>
      <c r="K772" s="27">
        <f>IF($A772="","",IF(AND($H772="PROMOTE",$J772="YES"),"YES — PROMOTE","NO"))</f>
        <v/>
      </c>
    </row>
    <row r="773">
      <c r="A773" s="7" t="n"/>
      <c r="B773" s="7">
        <f>IF($A773="","",VLOOKUP($A773,CoachRoster!$A:$E,4,FALSE))</f>
        <v/>
      </c>
      <c r="C773" s="7" t="n"/>
      <c r="D773" s="7" t="n"/>
      <c r="E773" s="7" t="n"/>
      <c r="F773" s="7" t="n"/>
      <c r="G773" s="7" t="n"/>
      <c r="H773" s="7">
        <f>IF($A773="","",IF(AND($E773="Pass",$F773="Pass",$G773="Pass"),"PROMOTE","NOT YET"))</f>
        <v/>
      </c>
      <c r="I773" s="7" t="n"/>
      <c r="J773" s="27">
        <f>IF(OR($A773="",$C773=""),"",IF(IFERROR(VLOOKUP($A773,Ledger!$A:$E,5,FALSE),0)&gt;=VLOOKUP($C773,RoleTitles!$A:$B,2,FALSE),"YES","NO"))</f>
        <v/>
      </c>
      <c r="K773" s="27">
        <f>IF($A773="","",IF(AND($H773="PROMOTE",$J773="YES"),"YES — PROMOTE","NO"))</f>
        <v/>
      </c>
    </row>
    <row r="774">
      <c r="A774" s="7" t="n"/>
      <c r="B774" s="7">
        <f>IF($A774="","",VLOOKUP($A774,CoachRoster!$A:$E,4,FALSE))</f>
        <v/>
      </c>
      <c r="C774" s="7" t="n"/>
      <c r="D774" s="7" t="n"/>
      <c r="E774" s="7" t="n"/>
      <c r="F774" s="7" t="n"/>
      <c r="G774" s="7" t="n"/>
      <c r="H774" s="7">
        <f>IF($A774="","",IF(AND($E774="Pass",$F774="Pass",$G774="Pass"),"PROMOTE","NOT YET"))</f>
        <v/>
      </c>
      <c r="I774" s="7" t="n"/>
      <c r="J774" s="27">
        <f>IF(OR($A774="",$C774=""),"",IF(IFERROR(VLOOKUP($A774,Ledger!$A:$E,5,FALSE),0)&gt;=VLOOKUP($C774,RoleTitles!$A:$B,2,FALSE),"YES","NO"))</f>
        <v/>
      </c>
      <c r="K774" s="27">
        <f>IF($A774="","",IF(AND($H774="PROMOTE",$J774="YES"),"YES — PROMOTE","NO"))</f>
        <v/>
      </c>
    </row>
    <row r="775">
      <c r="A775" s="7" t="n"/>
      <c r="B775" s="7">
        <f>IF($A775="","",VLOOKUP($A775,CoachRoster!$A:$E,4,FALSE))</f>
        <v/>
      </c>
      <c r="C775" s="7" t="n"/>
      <c r="D775" s="7" t="n"/>
      <c r="E775" s="7" t="n"/>
      <c r="F775" s="7" t="n"/>
      <c r="G775" s="7" t="n"/>
      <c r="H775" s="7">
        <f>IF($A775="","",IF(AND($E775="Pass",$F775="Pass",$G775="Pass"),"PROMOTE","NOT YET"))</f>
        <v/>
      </c>
      <c r="I775" s="7" t="n"/>
      <c r="J775" s="27">
        <f>IF(OR($A775="",$C775=""),"",IF(IFERROR(VLOOKUP($A775,Ledger!$A:$E,5,FALSE),0)&gt;=VLOOKUP($C775,RoleTitles!$A:$B,2,FALSE),"YES","NO"))</f>
        <v/>
      </c>
      <c r="K775" s="27">
        <f>IF($A775="","",IF(AND($H775="PROMOTE",$J775="YES"),"YES — PROMOTE","NO"))</f>
        <v/>
      </c>
    </row>
    <row r="776">
      <c r="A776" s="7" t="n"/>
      <c r="B776" s="7">
        <f>IF($A776="","",VLOOKUP($A776,CoachRoster!$A:$E,4,FALSE))</f>
        <v/>
      </c>
      <c r="C776" s="7" t="n"/>
      <c r="D776" s="7" t="n"/>
      <c r="E776" s="7" t="n"/>
      <c r="F776" s="7" t="n"/>
      <c r="G776" s="7" t="n"/>
      <c r="H776" s="7">
        <f>IF($A776="","",IF(AND($E776="Pass",$F776="Pass",$G776="Pass"),"PROMOTE","NOT YET"))</f>
        <v/>
      </c>
      <c r="I776" s="7" t="n"/>
      <c r="J776" s="27">
        <f>IF(OR($A776="",$C776=""),"",IF(IFERROR(VLOOKUP($A776,Ledger!$A:$E,5,FALSE),0)&gt;=VLOOKUP($C776,RoleTitles!$A:$B,2,FALSE),"YES","NO"))</f>
        <v/>
      </c>
      <c r="K776" s="27">
        <f>IF($A776="","",IF(AND($H776="PROMOTE",$J776="YES"),"YES — PROMOTE","NO"))</f>
        <v/>
      </c>
    </row>
    <row r="777">
      <c r="A777" s="7" t="n"/>
      <c r="B777" s="7">
        <f>IF($A777="","",VLOOKUP($A777,CoachRoster!$A:$E,4,FALSE))</f>
        <v/>
      </c>
      <c r="C777" s="7" t="n"/>
      <c r="D777" s="7" t="n"/>
      <c r="E777" s="7" t="n"/>
      <c r="F777" s="7" t="n"/>
      <c r="G777" s="7" t="n"/>
      <c r="H777" s="7">
        <f>IF($A777="","",IF(AND($E777="Pass",$F777="Pass",$G777="Pass"),"PROMOTE","NOT YET"))</f>
        <v/>
      </c>
      <c r="I777" s="7" t="n"/>
      <c r="J777" s="27">
        <f>IF(OR($A777="",$C777=""),"",IF(IFERROR(VLOOKUP($A777,Ledger!$A:$E,5,FALSE),0)&gt;=VLOOKUP($C777,RoleTitles!$A:$B,2,FALSE),"YES","NO"))</f>
        <v/>
      </c>
      <c r="K777" s="27">
        <f>IF($A777="","",IF(AND($H777="PROMOTE",$J777="YES"),"YES — PROMOTE","NO"))</f>
        <v/>
      </c>
    </row>
    <row r="778">
      <c r="A778" s="7" t="n"/>
      <c r="B778" s="7">
        <f>IF($A778="","",VLOOKUP($A778,CoachRoster!$A:$E,4,FALSE))</f>
        <v/>
      </c>
      <c r="C778" s="7" t="n"/>
      <c r="D778" s="7" t="n"/>
      <c r="E778" s="7" t="n"/>
      <c r="F778" s="7" t="n"/>
      <c r="G778" s="7" t="n"/>
      <c r="H778" s="7">
        <f>IF($A778="","",IF(AND($E778="Pass",$F778="Pass",$G778="Pass"),"PROMOTE","NOT YET"))</f>
        <v/>
      </c>
      <c r="I778" s="7" t="n"/>
      <c r="J778" s="27">
        <f>IF(OR($A778="",$C778=""),"",IF(IFERROR(VLOOKUP($A778,Ledger!$A:$E,5,FALSE),0)&gt;=VLOOKUP($C778,RoleTitles!$A:$B,2,FALSE),"YES","NO"))</f>
        <v/>
      </c>
      <c r="K778" s="27">
        <f>IF($A778="","",IF(AND($H778="PROMOTE",$J778="YES"),"YES — PROMOTE","NO"))</f>
        <v/>
      </c>
    </row>
    <row r="779">
      <c r="A779" s="7" t="n"/>
      <c r="B779" s="7">
        <f>IF($A779="","",VLOOKUP($A779,CoachRoster!$A:$E,4,FALSE))</f>
        <v/>
      </c>
      <c r="C779" s="7" t="n"/>
      <c r="D779" s="7" t="n"/>
      <c r="E779" s="7" t="n"/>
      <c r="F779" s="7" t="n"/>
      <c r="G779" s="7" t="n"/>
      <c r="H779" s="7">
        <f>IF($A779="","",IF(AND($E779="Pass",$F779="Pass",$G779="Pass"),"PROMOTE","NOT YET"))</f>
        <v/>
      </c>
      <c r="I779" s="7" t="n"/>
      <c r="J779" s="27">
        <f>IF(OR($A779="",$C779=""),"",IF(IFERROR(VLOOKUP($A779,Ledger!$A:$E,5,FALSE),0)&gt;=VLOOKUP($C779,RoleTitles!$A:$B,2,FALSE),"YES","NO"))</f>
        <v/>
      </c>
      <c r="K779" s="27">
        <f>IF($A779="","",IF(AND($H779="PROMOTE",$J779="YES"),"YES — PROMOTE","NO"))</f>
        <v/>
      </c>
    </row>
    <row r="780">
      <c r="A780" s="7" t="n"/>
      <c r="B780" s="7">
        <f>IF($A780="","",VLOOKUP($A780,CoachRoster!$A:$E,4,FALSE))</f>
        <v/>
      </c>
      <c r="C780" s="7" t="n"/>
      <c r="D780" s="7" t="n"/>
      <c r="E780" s="7" t="n"/>
      <c r="F780" s="7" t="n"/>
      <c r="G780" s="7" t="n"/>
      <c r="H780" s="7">
        <f>IF($A780="","",IF(AND($E780="Pass",$F780="Pass",$G780="Pass"),"PROMOTE","NOT YET"))</f>
        <v/>
      </c>
      <c r="I780" s="7" t="n"/>
      <c r="J780" s="27">
        <f>IF(OR($A780="",$C780=""),"",IF(IFERROR(VLOOKUP($A780,Ledger!$A:$E,5,FALSE),0)&gt;=VLOOKUP($C780,RoleTitles!$A:$B,2,FALSE),"YES","NO"))</f>
        <v/>
      </c>
      <c r="K780" s="27">
        <f>IF($A780="","",IF(AND($H780="PROMOTE",$J780="YES"),"YES — PROMOTE","NO"))</f>
        <v/>
      </c>
    </row>
    <row r="781">
      <c r="A781" s="7" t="n"/>
      <c r="B781" s="7">
        <f>IF($A781="","",VLOOKUP($A781,CoachRoster!$A:$E,4,FALSE))</f>
        <v/>
      </c>
      <c r="C781" s="7" t="n"/>
      <c r="D781" s="7" t="n"/>
      <c r="E781" s="7" t="n"/>
      <c r="F781" s="7" t="n"/>
      <c r="G781" s="7" t="n"/>
      <c r="H781" s="7">
        <f>IF($A781="","",IF(AND($E781="Pass",$F781="Pass",$G781="Pass"),"PROMOTE","NOT YET"))</f>
        <v/>
      </c>
      <c r="I781" s="7" t="n"/>
      <c r="J781" s="27">
        <f>IF(OR($A781="",$C781=""),"",IF(IFERROR(VLOOKUP($A781,Ledger!$A:$E,5,FALSE),0)&gt;=VLOOKUP($C781,RoleTitles!$A:$B,2,FALSE),"YES","NO"))</f>
        <v/>
      </c>
      <c r="K781" s="27">
        <f>IF($A781="","",IF(AND($H781="PROMOTE",$J781="YES"),"YES — PROMOTE","NO"))</f>
        <v/>
      </c>
    </row>
    <row r="782">
      <c r="A782" s="7" t="n"/>
      <c r="B782" s="7">
        <f>IF($A782="","",VLOOKUP($A782,CoachRoster!$A:$E,4,FALSE))</f>
        <v/>
      </c>
      <c r="C782" s="7" t="n"/>
      <c r="D782" s="7" t="n"/>
      <c r="E782" s="7" t="n"/>
      <c r="F782" s="7" t="n"/>
      <c r="G782" s="7" t="n"/>
      <c r="H782" s="7">
        <f>IF($A782="","",IF(AND($E782="Pass",$F782="Pass",$G782="Pass"),"PROMOTE","NOT YET"))</f>
        <v/>
      </c>
      <c r="I782" s="7" t="n"/>
      <c r="J782" s="27">
        <f>IF(OR($A782="",$C782=""),"",IF(IFERROR(VLOOKUP($A782,Ledger!$A:$E,5,FALSE),0)&gt;=VLOOKUP($C782,RoleTitles!$A:$B,2,FALSE),"YES","NO"))</f>
        <v/>
      </c>
      <c r="K782" s="27">
        <f>IF($A782="","",IF(AND($H782="PROMOTE",$J782="YES"),"YES — PROMOTE","NO"))</f>
        <v/>
      </c>
    </row>
    <row r="783">
      <c r="A783" s="7" t="n"/>
      <c r="B783" s="7">
        <f>IF($A783="","",VLOOKUP($A783,CoachRoster!$A:$E,4,FALSE))</f>
        <v/>
      </c>
      <c r="C783" s="7" t="n"/>
      <c r="D783" s="7" t="n"/>
      <c r="E783" s="7" t="n"/>
      <c r="F783" s="7" t="n"/>
      <c r="G783" s="7" t="n"/>
      <c r="H783" s="7">
        <f>IF($A783="","",IF(AND($E783="Pass",$F783="Pass",$G783="Pass"),"PROMOTE","NOT YET"))</f>
        <v/>
      </c>
      <c r="I783" s="7" t="n"/>
      <c r="J783" s="27">
        <f>IF(OR($A783="",$C783=""),"",IF(IFERROR(VLOOKUP($A783,Ledger!$A:$E,5,FALSE),0)&gt;=VLOOKUP($C783,RoleTitles!$A:$B,2,FALSE),"YES","NO"))</f>
        <v/>
      </c>
      <c r="K783" s="27">
        <f>IF($A783="","",IF(AND($H783="PROMOTE",$J783="YES"),"YES — PROMOTE","NO"))</f>
        <v/>
      </c>
    </row>
    <row r="784">
      <c r="A784" s="7" t="n"/>
      <c r="B784" s="7">
        <f>IF($A784="","",VLOOKUP($A784,CoachRoster!$A:$E,4,FALSE))</f>
        <v/>
      </c>
      <c r="C784" s="7" t="n"/>
      <c r="D784" s="7" t="n"/>
      <c r="E784" s="7" t="n"/>
      <c r="F784" s="7" t="n"/>
      <c r="G784" s="7" t="n"/>
      <c r="H784" s="7">
        <f>IF($A784="","",IF(AND($E784="Pass",$F784="Pass",$G784="Pass"),"PROMOTE","NOT YET"))</f>
        <v/>
      </c>
      <c r="I784" s="7" t="n"/>
      <c r="J784" s="27">
        <f>IF(OR($A784="",$C784=""),"",IF(IFERROR(VLOOKUP($A784,Ledger!$A:$E,5,FALSE),0)&gt;=VLOOKUP($C784,RoleTitles!$A:$B,2,FALSE),"YES","NO"))</f>
        <v/>
      </c>
      <c r="K784" s="27">
        <f>IF($A784="","",IF(AND($H784="PROMOTE",$J784="YES"),"YES — PROMOTE","NO"))</f>
        <v/>
      </c>
    </row>
    <row r="785">
      <c r="A785" s="7" t="n"/>
      <c r="B785" s="7">
        <f>IF($A785="","",VLOOKUP($A785,CoachRoster!$A:$E,4,FALSE))</f>
        <v/>
      </c>
      <c r="C785" s="7" t="n"/>
      <c r="D785" s="7" t="n"/>
      <c r="E785" s="7" t="n"/>
      <c r="F785" s="7" t="n"/>
      <c r="G785" s="7" t="n"/>
      <c r="H785" s="7">
        <f>IF($A785="","",IF(AND($E785="Pass",$F785="Pass",$G785="Pass"),"PROMOTE","NOT YET"))</f>
        <v/>
      </c>
      <c r="I785" s="7" t="n"/>
      <c r="J785" s="27">
        <f>IF(OR($A785="",$C785=""),"",IF(IFERROR(VLOOKUP($A785,Ledger!$A:$E,5,FALSE),0)&gt;=VLOOKUP($C785,RoleTitles!$A:$B,2,FALSE),"YES","NO"))</f>
        <v/>
      </c>
      <c r="K785" s="27">
        <f>IF($A785="","",IF(AND($H785="PROMOTE",$J785="YES"),"YES — PROMOTE","NO"))</f>
        <v/>
      </c>
    </row>
    <row r="786">
      <c r="A786" s="7" t="n"/>
      <c r="B786" s="7">
        <f>IF($A786="","",VLOOKUP($A786,CoachRoster!$A:$E,4,FALSE))</f>
        <v/>
      </c>
      <c r="C786" s="7" t="n"/>
      <c r="D786" s="7" t="n"/>
      <c r="E786" s="7" t="n"/>
      <c r="F786" s="7" t="n"/>
      <c r="G786" s="7" t="n"/>
      <c r="H786" s="7">
        <f>IF($A786="","",IF(AND($E786="Pass",$F786="Pass",$G786="Pass"),"PROMOTE","NOT YET"))</f>
        <v/>
      </c>
      <c r="I786" s="7" t="n"/>
      <c r="J786" s="27">
        <f>IF(OR($A786="",$C786=""),"",IF(IFERROR(VLOOKUP($A786,Ledger!$A:$E,5,FALSE),0)&gt;=VLOOKUP($C786,RoleTitles!$A:$B,2,FALSE),"YES","NO"))</f>
        <v/>
      </c>
      <c r="K786" s="27">
        <f>IF($A786="","",IF(AND($H786="PROMOTE",$J786="YES"),"YES — PROMOTE","NO"))</f>
        <v/>
      </c>
    </row>
    <row r="787">
      <c r="A787" s="7" t="n"/>
      <c r="B787" s="7">
        <f>IF($A787="","",VLOOKUP($A787,CoachRoster!$A:$E,4,FALSE))</f>
        <v/>
      </c>
      <c r="C787" s="7" t="n"/>
      <c r="D787" s="7" t="n"/>
      <c r="E787" s="7" t="n"/>
      <c r="F787" s="7" t="n"/>
      <c r="G787" s="7" t="n"/>
      <c r="H787" s="7">
        <f>IF($A787="","",IF(AND($E787="Pass",$F787="Pass",$G787="Pass"),"PROMOTE","NOT YET"))</f>
        <v/>
      </c>
      <c r="I787" s="7" t="n"/>
      <c r="J787" s="27">
        <f>IF(OR($A787="",$C787=""),"",IF(IFERROR(VLOOKUP($A787,Ledger!$A:$E,5,FALSE),0)&gt;=VLOOKUP($C787,RoleTitles!$A:$B,2,FALSE),"YES","NO"))</f>
        <v/>
      </c>
      <c r="K787" s="27">
        <f>IF($A787="","",IF(AND($H787="PROMOTE",$J787="YES"),"YES — PROMOTE","NO"))</f>
        <v/>
      </c>
    </row>
    <row r="788">
      <c r="A788" s="7" t="n"/>
      <c r="B788" s="7">
        <f>IF($A788="","",VLOOKUP($A788,CoachRoster!$A:$E,4,FALSE))</f>
        <v/>
      </c>
      <c r="C788" s="7" t="n"/>
      <c r="D788" s="7" t="n"/>
      <c r="E788" s="7" t="n"/>
      <c r="F788" s="7" t="n"/>
      <c r="G788" s="7" t="n"/>
      <c r="H788" s="7">
        <f>IF($A788="","",IF(AND($E788="Pass",$F788="Pass",$G788="Pass"),"PROMOTE","NOT YET"))</f>
        <v/>
      </c>
      <c r="I788" s="7" t="n"/>
      <c r="J788" s="27">
        <f>IF(OR($A788="",$C788=""),"",IF(IFERROR(VLOOKUP($A788,Ledger!$A:$E,5,FALSE),0)&gt;=VLOOKUP($C788,RoleTitles!$A:$B,2,FALSE),"YES","NO"))</f>
        <v/>
      </c>
      <c r="K788" s="27">
        <f>IF($A788="","",IF(AND($H788="PROMOTE",$J788="YES"),"YES — PROMOTE","NO"))</f>
        <v/>
      </c>
    </row>
    <row r="789">
      <c r="A789" s="7" t="n"/>
      <c r="B789" s="7">
        <f>IF($A789="","",VLOOKUP($A789,CoachRoster!$A:$E,4,FALSE))</f>
        <v/>
      </c>
      <c r="C789" s="7" t="n"/>
      <c r="D789" s="7" t="n"/>
      <c r="E789" s="7" t="n"/>
      <c r="F789" s="7" t="n"/>
      <c r="G789" s="7" t="n"/>
      <c r="H789" s="7">
        <f>IF($A789="","",IF(AND($E789="Pass",$F789="Pass",$G789="Pass"),"PROMOTE","NOT YET"))</f>
        <v/>
      </c>
      <c r="I789" s="7" t="n"/>
      <c r="J789" s="27">
        <f>IF(OR($A789="",$C789=""),"",IF(IFERROR(VLOOKUP($A789,Ledger!$A:$E,5,FALSE),0)&gt;=VLOOKUP($C789,RoleTitles!$A:$B,2,FALSE),"YES","NO"))</f>
        <v/>
      </c>
      <c r="K789" s="27">
        <f>IF($A789="","",IF(AND($H789="PROMOTE",$J789="YES"),"YES — PROMOTE","NO"))</f>
        <v/>
      </c>
    </row>
    <row r="790">
      <c r="A790" s="7" t="n"/>
      <c r="B790" s="7">
        <f>IF($A790="","",VLOOKUP($A790,CoachRoster!$A:$E,4,FALSE))</f>
        <v/>
      </c>
      <c r="C790" s="7" t="n"/>
      <c r="D790" s="7" t="n"/>
      <c r="E790" s="7" t="n"/>
      <c r="F790" s="7" t="n"/>
      <c r="G790" s="7" t="n"/>
      <c r="H790" s="7">
        <f>IF($A790="","",IF(AND($E790="Pass",$F790="Pass",$G790="Pass"),"PROMOTE","NOT YET"))</f>
        <v/>
      </c>
      <c r="I790" s="7" t="n"/>
      <c r="J790" s="27">
        <f>IF(OR($A790="",$C790=""),"",IF(IFERROR(VLOOKUP($A790,Ledger!$A:$E,5,FALSE),0)&gt;=VLOOKUP($C790,RoleTitles!$A:$B,2,FALSE),"YES","NO"))</f>
        <v/>
      </c>
      <c r="K790" s="27">
        <f>IF($A790="","",IF(AND($H790="PROMOTE",$J790="YES"),"YES — PROMOTE","NO"))</f>
        <v/>
      </c>
    </row>
    <row r="791">
      <c r="A791" s="7" t="n"/>
      <c r="B791" s="7">
        <f>IF($A791="","",VLOOKUP($A791,CoachRoster!$A:$E,4,FALSE))</f>
        <v/>
      </c>
      <c r="C791" s="7" t="n"/>
      <c r="D791" s="7" t="n"/>
      <c r="E791" s="7" t="n"/>
      <c r="F791" s="7" t="n"/>
      <c r="G791" s="7" t="n"/>
      <c r="H791" s="7">
        <f>IF($A791="","",IF(AND($E791="Pass",$F791="Pass",$G791="Pass"),"PROMOTE","NOT YET"))</f>
        <v/>
      </c>
      <c r="I791" s="7" t="n"/>
      <c r="J791" s="27">
        <f>IF(OR($A791="",$C791=""),"",IF(IFERROR(VLOOKUP($A791,Ledger!$A:$E,5,FALSE),0)&gt;=VLOOKUP($C791,RoleTitles!$A:$B,2,FALSE),"YES","NO"))</f>
        <v/>
      </c>
      <c r="K791" s="27">
        <f>IF($A791="","",IF(AND($H791="PROMOTE",$J791="YES"),"YES — PROMOTE","NO"))</f>
        <v/>
      </c>
    </row>
    <row r="792">
      <c r="A792" s="7" t="n"/>
      <c r="B792" s="7">
        <f>IF($A792="","",VLOOKUP($A792,CoachRoster!$A:$E,4,FALSE))</f>
        <v/>
      </c>
      <c r="C792" s="7" t="n"/>
      <c r="D792" s="7" t="n"/>
      <c r="E792" s="7" t="n"/>
      <c r="F792" s="7" t="n"/>
      <c r="G792" s="7" t="n"/>
      <c r="H792" s="7">
        <f>IF($A792="","",IF(AND($E792="Pass",$F792="Pass",$G792="Pass"),"PROMOTE","NOT YET"))</f>
        <v/>
      </c>
      <c r="I792" s="7" t="n"/>
      <c r="J792" s="27">
        <f>IF(OR($A792="",$C792=""),"",IF(IFERROR(VLOOKUP($A792,Ledger!$A:$E,5,FALSE),0)&gt;=VLOOKUP($C792,RoleTitles!$A:$B,2,FALSE),"YES","NO"))</f>
        <v/>
      </c>
      <c r="K792" s="27">
        <f>IF($A792="","",IF(AND($H792="PROMOTE",$J792="YES"),"YES — PROMOTE","NO"))</f>
        <v/>
      </c>
    </row>
    <row r="793">
      <c r="A793" s="7" t="n"/>
      <c r="B793" s="7">
        <f>IF($A793="","",VLOOKUP($A793,CoachRoster!$A:$E,4,FALSE))</f>
        <v/>
      </c>
      <c r="C793" s="7" t="n"/>
      <c r="D793" s="7" t="n"/>
      <c r="E793" s="7" t="n"/>
      <c r="F793" s="7" t="n"/>
      <c r="G793" s="7" t="n"/>
      <c r="H793" s="7">
        <f>IF($A793="","",IF(AND($E793="Pass",$F793="Pass",$G793="Pass"),"PROMOTE","NOT YET"))</f>
        <v/>
      </c>
      <c r="I793" s="7" t="n"/>
      <c r="J793" s="27">
        <f>IF(OR($A793="",$C793=""),"",IF(IFERROR(VLOOKUP($A793,Ledger!$A:$E,5,FALSE),0)&gt;=VLOOKUP($C793,RoleTitles!$A:$B,2,FALSE),"YES","NO"))</f>
        <v/>
      </c>
      <c r="K793" s="27">
        <f>IF($A793="","",IF(AND($H793="PROMOTE",$J793="YES"),"YES — PROMOTE","NO"))</f>
        <v/>
      </c>
    </row>
    <row r="794">
      <c r="A794" s="7" t="n"/>
      <c r="B794" s="7">
        <f>IF($A794="","",VLOOKUP($A794,CoachRoster!$A:$E,4,FALSE))</f>
        <v/>
      </c>
      <c r="C794" s="7" t="n"/>
      <c r="D794" s="7" t="n"/>
      <c r="E794" s="7" t="n"/>
      <c r="F794" s="7" t="n"/>
      <c r="G794" s="7" t="n"/>
      <c r="H794" s="7">
        <f>IF($A794="","",IF(AND($E794="Pass",$F794="Pass",$G794="Pass"),"PROMOTE","NOT YET"))</f>
        <v/>
      </c>
      <c r="I794" s="7" t="n"/>
      <c r="J794" s="27">
        <f>IF(OR($A794="",$C794=""),"",IF(IFERROR(VLOOKUP($A794,Ledger!$A:$E,5,FALSE),0)&gt;=VLOOKUP($C794,RoleTitles!$A:$B,2,FALSE),"YES","NO"))</f>
        <v/>
      </c>
      <c r="K794" s="27">
        <f>IF($A794="","",IF(AND($H794="PROMOTE",$J794="YES"),"YES — PROMOTE","NO"))</f>
        <v/>
      </c>
    </row>
    <row r="795">
      <c r="A795" s="7" t="n"/>
      <c r="B795" s="7">
        <f>IF($A795="","",VLOOKUP($A795,CoachRoster!$A:$E,4,FALSE))</f>
        <v/>
      </c>
      <c r="C795" s="7" t="n"/>
      <c r="D795" s="7" t="n"/>
      <c r="E795" s="7" t="n"/>
      <c r="F795" s="7" t="n"/>
      <c r="G795" s="7" t="n"/>
      <c r="H795" s="7">
        <f>IF($A795="","",IF(AND($E795="Pass",$F795="Pass",$G795="Pass"),"PROMOTE","NOT YET"))</f>
        <v/>
      </c>
      <c r="I795" s="7" t="n"/>
      <c r="J795" s="27">
        <f>IF(OR($A795="",$C795=""),"",IF(IFERROR(VLOOKUP($A795,Ledger!$A:$E,5,FALSE),0)&gt;=VLOOKUP($C795,RoleTitles!$A:$B,2,FALSE),"YES","NO"))</f>
        <v/>
      </c>
      <c r="K795" s="27">
        <f>IF($A795="","",IF(AND($H795="PROMOTE",$J795="YES"),"YES — PROMOTE","NO"))</f>
        <v/>
      </c>
    </row>
    <row r="796">
      <c r="A796" s="7" t="n"/>
      <c r="B796" s="7">
        <f>IF($A796="","",VLOOKUP($A796,CoachRoster!$A:$E,4,FALSE))</f>
        <v/>
      </c>
      <c r="C796" s="7" t="n"/>
      <c r="D796" s="7" t="n"/>
      <c r="E796" s="7" t="n"/>
      <c r="F796" s="7" t="n"/>
      <c r="G796" s="7" t="n"/>
      <c r="H796" s="7">
        <f>IF($A796="","",IF(AND($E796="Pass",$F796="Pass",$G796="Pass"),"PROMOTE","NOT YET"))</f>
        <v/>
      </c>
      <c r="I796" s="7" t="n"/>
      <c r="J796" s="27">
        <f>IF(OR($A796="",$C796=""),"",IF(IFERROR(VLOOKUP($A796,Ledger!$A:$E,5,FALSE),0)&gt;=VLOOKUP($C796,RoleTitles!$A:$B,2,FALSE),"YES","NO"))</f>
        <v/>
      </c>
      <c r="K796" s="27">
        <f>IF($A796="","",IF(AND($H796="PROMOTE",$J796="YES"),"YES — PROMOTE","NO"))</f>
        <v/>
      </c>
    </row>
    <row r="797">
      <c r="A797" s="7" t="n"/>
      <c r="B797" s="7">
        <f>IF($A797="","",VLOOKUP($A797,CoachRoster!$A:$E,4,FALSE))</f>
        <v/>
      </c>
      <c r="C797" s="7" t="n"/>
      <c r="D797" s="7" t="n"/>
      <c r="E797" s="7" t="n"/>
      <c r="F797" s="7" t="n"/>
      <c r="G797" s="7" t="n"/>
      <c r="H797" s="7">
        <f>IF($A797="","",IF(AND($E797="Pass",$F797="Pass",$G797="Pass"),"PROMOTE","NOT YET"))</f>
        <v/>
      </c>
      <c r="I797" s="7" t="n"/>
      <c r="J797" s="27">
        <f>IF(OR($A797="",$C797=""),"",IF(IFERROR(VLOOKUP($A797,Ledger!$A:$E,5,FALSE),0)&gt;=VLOOKUP($C797,RoleTitles!$A:$B,2,FALSE),"YES","NO"))</f>
        <v/>
      </c>
      <c r="K797" s="27">
        <f>IF($A797="","",IF(AND($H797="PROMOTE",$J797="YES"),"YES — PROMOTE","NO"))</f>
        <v/>
      </c>
    </row>
    <row r="798">
      <c r="A798" s="7" t="n"/>
      <c r="B798" s="7">
        <f>IF($A798="","",VLOOKUP($A798,CoachRoster!$A:$E,4,FALSE))</f>
        <v/>
      </c>
      <c r="C798" s="7" t="n"/>
      <c r="D798" s="7" t="n"/>
      <c r="E798" s="7" t="n"/>
      <c r="F798" s="7" t="n"/>
      <c r="G798" s="7" t="n"/>
      <c r="H798" s="7">
        <f>IF($A798="","",IF(AND($E798="Pass",$F798="Pass",$G798="Pass"),"PROMOTE","NOT YET"))</f>
        <v/>
      </c>
      <c r="I798" s="7" t="n"/>
      <c r="J798" s="27">
        <f>IF(OR($A798="",$C798=""),"",IF(IFERROR(VLOOKUP($A798,Ledger!$A:$E,5,FALSE),0)&gt;=VLOOKUP($C798,RoleTitles!$A:$B,2,FALSE),"YES","NO"))</f>
        <v/>
      </c>
      <c r="K798" s="27">
        <f>IF($A798="","",IF(AND($H798="PROMOTE",$J798="YES"),"YES — PROMOTE","NO"))</f>
        <v/>
      </c>
    </row>
    <row r="799">
      <c r="A799" s="7" t="n"/>
      <c r="B799" s="7">
        <f>IF($A799="","",VLOOKUP($A799,CoachRoster!$A:$E,4,FALSE))</f>
        <v/>
      </c>
      <c r="C799" s="7" t="n"/>
      <c r="D799" s="7" t="n"/>
      <c r="E799" s="7" t="n"/>
      <c r="F799" s="7" t="n"/>
      <c r="G799" s="7" t="n"/>
      <c r="H799" s="7">
        <f>IF($A799="","",IF(AND($E799="Pass",$F799="Pass",$G799="Pass"),"PROMOTE","NOT YET"))</f>
        <v/>
      </c>
      <c r="I799" s="7" t="n"/>
      <c r="J799" s="27">
        <f>IF(OR($A799="",$C799=""),"",IF(IFERROR(VLOOKUP($A799,Ledger!$A:$E,5,FALSE),0)&gt;=VLOOKUP($C799,RoleTitles!$A:$B,2,FALSE),"YES","NO"))</f>
        <v/>
      </c>
      <c r="K799" s="27">
        <f>IF($A799="","",IF(AND($H799="PROMOTE",$J799="YES"),"YES — PROMOTE","NO"))</f>
        <v/>
      </c>
    </row>
    <row r="800">
      <c r="A800" s="7" t="n"/>
      <c r="B800" s="7">
        <f>IF($A800="","",VLOOKUP($A800,CoachRoster!$A:$E,4,FALSE))</f>
        <v/>
      </c>
      <c r="C800" s="7" t="n"/>
      <c r="D800" s="7" t="n"/>
      <c r="E800" s="7" t="n"/>
      <c r="F800" s="7" t="n"/>
      <c r="G800" s="7" t="n"/>
      <c r="H800" s="7">
        <f>IF($A800="","",IF(AND($E800="Pass",$F800="Pass",$G800="Pass"),"PROMOTE","NOT YET"))</f>
        <v/>
      </c>
      <c r="I800" s="7" t="n"/>
      <c r="J800" s="27">
        <f>IF(OR($A800="",$C800=""),"",IF(IFERROR(VLOOKUP($A800,Ledger!$A:$E,5,FALSE),0)&gt;=VLOOKUP($C800,RoleTitles!$A:$B,2,FALSE),"YES","NO"))</f>
        <v/>
      </c>
      <c r="K800" s="27">
        <f>IF($A800="","",IF(AND($H800="PROMOTE",$J800="YES"),"YES — PROMOTE","NO"))</f>
        <v/>
      </c>
    </row>
    <row r="801">
      <c r="A801" s="7" t="n"/>
      <c r="B801" s="7">
        <f>IF($A801="","",VLOOKUP($A801,CoachRoster!$A:$E,4,FALSE))</f>
        <v/>
      </c>
      <c r="C801" s="7" t="n"/>
      <c r="D801" s="7" t="n"/>
      <c r="E801" s="7" t="n"/>
      <c r="F801" s="7" t="n"/>
      <c r="G801" s="7" t="n"/>
      <c r="H801" s="7">
        <f>IF($A801="","",IF(AND($E801="Pass",$F801="Pass",$G801="Pass"),"PROMOTE","NOT YET"))</f>
        <v/>
      </c>
      <c r="I801" s="7" t="n"/>
      <c r="J801" s="27">
        <f>IF(OR($A801="",$C801=""),"",IF(IFERROR(VLOOKUP($A801,Ledger!$A:$E,5,FALSE),0)&gt;=VLOOKUP($C801,RoleTitles!$A:$B,2,FALSE),"YES","NO"))</f>
        <v/>
      </c>
      <c r="K801" s="27">
        <f>IF($A801="","",IF(AND($H801="PROMOTE",$J801="YES"),"YES — PROMOTE","NO"))</f>
        <v/>
      </c>
    </row>
    <row r="802">
      <c r="A802" s="7" t="n"/>
      <c r="B802" s="7">
        <f>IF($A802="","",VLOOKUP($A802,CoachRoster!$A:$E,4,FALSE))</f>
        <v/>
      </c>
      <c r="C802" s="7" t="n"/>
      <c r="D802" s="7" t="n"/>
      <c r="E802" s="7" t="n"/>
      <c r="F802" s="7" t="n"/>
      <c r="G802" s="7" t="n"/>
      <c r="H802" s="7">
        <f>IF($A802="","",IF(AND($E802="Pass",$F802="Pass",$G802="Pass"),"PROMOTE","NOT YET"))</f>
        <v/>
      </c>
      <c r="I802" s="7" t="n"/>
      <c r="J802" s="27">
        <f>IF(OR($A802="",$C802=""),"",IF(IFERROR(VLOOKUP($A802,Ledger!$A:$E,5,FALSE),0)&gt;=VLOOKUP($C802,RoleTitles!$A:$B,2,FALSE),"YES","NO"))</f>
        <v/>
      </c>
      <c r="K802" s="27">
        <f>IF($A802="","",IF(AND($H802="PROMOTE",$J802="YES"),"YES — PROMOTE","NO"))</f>
        <v/>
      </c>
    </row>
    <row r="803">
      <c r="A803" s="7" t="n"/>
      <c r="B803" s="7">
        <f>IF($A803="","",VLOOKUP($A803,CoachRoster!$A:$E,4,FALSE))</f>
        <v/>
      </c>
      <c r="C803" s="7" t="n"/>
      <c r="D803" s="7" t="n"/>
      <c r="E803" s="7" t="n"/>
      <c r="F803" s="7" t="n"/>
      <c r="G803" s="7" t="n"/>
      <c r="H803" s="7">
        <f>IF($A803="","",IF(AND($E803="Pass",$F803="Pass",$G803="Pass"),"PROMOTE","NOT YET"))</f>
        <v/>
      </c>
      <c r="I803" s="7" t="n"/>
      <c r="J803" s="27">
        <f>IF(OR($A803="",$C803=""),"",IF(IFERROR(VLOOKUP($A803,Ledger!$A:$E,5,FALSE),0)&gt;=VLOOKUP($C803,RoleTitles!$A:$B,2,FALSE),"YES","NO"))</f>
        <v/>
      </c>
      <c r="K803" s="27">
        <f>IF($A803="","",IF(AND($H803="PROMOTE",$J803="YES"),"YES — PROMOTE","NO"))</f>
        <v/>
      </c>
    </row>
    <row r="804">
      <c r="A804" s="7" t="n"/>
      <c r="B804" s="7">
        <f>IF($A804="","",VLOOKUP($A804,CoachRoster!$A:$E,4,FALSE))</f>
        <v/>
      </c>
      <c r="C804" s="7" t="n"/>
      <c r="D804" s="7" t="n"/>
      <c r="E804" s="7" t="n"/>
      <c r="F804" s="7" t="n"/>
      <c r="G804" s="7" t="n"/>
      <c r="H804" s="7">
        <f>IF($A804="","",IF(AND($E804="Pass",$F804="Pass",$G804="Pass"),"PROMOTE","NOT YET"))</f>
        <v/>
      </c>
      <c r="I804" s="7" t="n"/>
      <c r="J804" s="27">
        <f>IF(OR($A804="",$C804=""),"",IF(IFERROR(VLOOKUP($A804,Ledger!$A:$E,5,FALSE),0)&gt;=VLOOKUP($C804,RoleTitles!$A:$B,2,FALSE),"YES","NO"))</f>
        <v/>
      </c>
      <c r="K804" s="27">
        <f>IF($A804="","",IF(AND($H804="PROMOTE",$J804="YES"),"YES — PROMOTE","NO"))</f>
        <v/>
      </c>
    </row>
    <row r="805">
      <c r="A805" s="7" t="n"/>
      <c r="B805" s="7">
        <f>IF($A805="","",VLOOKUP($A805,CoachRoster!$A:$E,4,FALSE))</f>
        <v/>
      </c>
      <c r="C805" s="7" t="n"/>
      <c r="D805" s="7" t="n"/>
      <c r="E805" s="7" t="n"/>
      <c r="F805" s="7" t="n"/>
      <c r="G805" s="7" t="n"/>
      <c r="H805" s="7">
        <f>IF($A805="","",IF(AND($E805="Pass",$F805="Pass",$G805="Pass"),"PROMOTE","NOT YET"))</f>
        <v/>
      </c>
      <c r="I805" s="7" t="n"/>
      <c r="J805" s="27">
        <f>IF(OR($A805="",$C805=""),"",IF(IFERROR(VLOOKUP($A805,Ledger!$A:$E,5,FALSE),0)&gt;=VLOOKUP($C805,RoleTitles!$A:$B,2,FALSE),"YES","NO"))</f>
        <v/>
      </c>
      <c r="K805" s="27">
        <f>IF($A805="","",IF(AND($H805="PROMOTE",$J805="YES"),"YES — PROMOTE","NO"))</f>
        <v/>
      </c>
    </row>
    <row r="806">
      <c r="A806" s="7" t="n"/>
      <c r="B806" s="7">
        <f>IF($A806="","",VLOOKUP($A806,CoachRoster!$A:$E,4,FALSE))</f>
        <v/>
      </c>
      <c r="C806" s="7" t="n"/>
      <c r="D806" s="7" t="n"/>
      <c r="E806" s="7" t="n"/>
      <c r="F806" s="7" t="n"/>
      <c r="G806" s="7" t="n"/>
      <c r="H806" s="7">
        <f>IF($A806="","",IF(AND($E806="Pass",$F806="Pass",$G806="Pass"),"PROMOTE","NOT YET"))</f>
        <v/>
      </c>
      <c r="I806" s="7" t="n"/>
      <c r="J806" s="27">
        <f>IF(OR($A806="",$C806=""),"",IF(IFERROR(VLOOKUP($A806,Ledger!$A:$E,5,FALSE),0)&gt;=VLOOKUP($C806,RoleTitles!$A:$B,2,FALSE),"YES","NO"))</f>
        <v/>
      </c>
      <c r="K806" s="27">
        <f>IF($A806="","",IF(AND($H806="PROMOTE",$J806="YES"),"YES — PROMOTE","NO"))</f>
        <v/>
      </c>
    </row>
    <row r="807">
      <c r="A807" s="7" t="n"/>
      <c r="B807" s="7">
        <f>IF($A807="","",VLOOKUP($A807,CoachRoster!$A:$E,4,FALSE))</f>
        <v/>
      </c>
      <c r="C807" s="7" t="n"/>
      <c r="D807" s="7" t="n"/>
      <c r="E807" s="7" t="n"/>
      <c r="F807" s="7" t="n"/>
      <c r="G807" s="7" t="n"/>
      <c r="H807" s="7">
        <f>IF($A807="","",IF(AND($E807="Pass",$F807="Pass",$G807="Pass"),"PROMOTE","NOT YET"))</f>
        <v/>
      </c>
      <c r="I807" s="7" t="n"/>
      <c r="J807" s="27">
        <f>IF(OR($A807="",$C807=""),"",IF(IFERROR(VLOOKUP($A807,Ledger!$A:$E,5,FALSE),0)&gt;=VLOOKUP($C807,RoleTitles!$A:$B,2,FALSE),"YES","NO"))</f>
        <v/>
      </c>
      <c r="K807" s="27">
        <f>IF($A807="","",IF(AND($H807="PROMOTE",$J807="YES"),"YES — PROMOTE","NO"))</f>
        <v/>
      </c>
    </row>
    <row r="808">
      <c r="A808" s="7" t="n"/>
      <c r="B808" s="7">
        <f>IF($A808="","",VLOOKUP($A808,CoachRoster!$A:$E,4,FALSE))</f>
        <v/>
      </c>
      <c r="C808" s="7" t="n"/>
      <c r="D808" s="7" t="n"/>
      <c r="E808" s="7" t="n"/>
      <c r="F808" s="7" t="n"/>
      <c r="G808" s="7" t="n"/>
      <c r="H808" s="7">
        <f>IF($A808="","",IF(AND($E808="Pass",$F808="Pass",$G808="Pass"),"PROMOTE","NOT YET"))</f>
        <v/>
      </c>
      <c r="I808" s="7" t="n"/>
      <c r="J808" s="27">
        <f>IF(OR($A808="",$C808=""),"",IF(IFERROR(VLOOKUP($A808,Ledger!$A:$E,5,FALSE),0)&gt;=VLOOKUP($C808,RoleTitles!$A:$B,2,FALSE),"YES","NO"))</f>
        <v/>
      </c>
      <c r="K808" s="27">
        <f>IF($A808="","",IF(AND($H808="PROMOTE",$J808="YES"),"YES — PROMOTE","NO"))</f>
        <v/>
      </c>
    </row>
    <row r="809">
      <c r="A809" s="7" t="n"/>
      <c r="B809" s="7">
        <f>IF($A809="","",VLOOKUP($A809,CoachRoster!$A:$E,4,FALSE))</f>
        <v/>
      </c>
      <c r="C809" s="7" t="n"/>
      <c r="D809" s="7" t="n"/>
      <c r="E809" s="7" t="n"/>
      <c r="F809" s="7" t="n"/>
      <c r="G809" s="7" t="n"/>
      <c r="H809" s="7">
        <f>IF($A809="","",IF(AND($E809="Pass",$F809="Pass",$G809="Pass"),"PROMOTE","NOT YET"))</f>
        <v/>
      </c>
      <c r="I809" s="7" t="n"/>
      <c r="J809" s="27">
        <f>IF(OR($A809="",$C809=""),"",IF(IFERROR(VLOOKUP($A809,Ledger!$A:$E,5,FALSE),0)&gt;=VLOOKUP($C809,RoleTitles!$A:$B,2,FALSE),"YES","NO"))</f>
        <v/>
      </c>
      <c r="K809" s="27">
        <f>IF($A809="","",IF(AND($H809="PROMOTE",$J809="YES"),"YES — PROMOTE","NO"))</f>
        <v/>
      </c>
    </row>
    <row r="810">
      <c r="A810" s="7" t="n"/>
      <c r="B810" s="7">
        <f>IF($A810="","",VLOOKUP($A810,CoachRoster!$A:$E,4,FALSE))</f>
        <v/>
      </c>
      <c r="C810" s="7" t="n"/>
      <c r="D810" s="7" t="n"/>
      <c r="E810" s="7" t="n"/>
      <c r="F810" s="7" t="n"/>
      <c r="G810" s="7" t="n"/>
      <c r="H810" s="7">
        <f>IF($A810="","",IF(AND($E810="Pass",$F810="Pass",$G810="Pass"),"PROMOTE","NOT YET"))</f>
        <v/>
      </c>
      <c r="I810" s="7" t="n"/>
      <c r="J810" s="27">
        <f>IF(OR($A810="",$C810=""),"",IF(IFERROR(VLOOKUP($A810,Ledger!$A:$E,5,FALSE),0)&gt;=VLOOKUP($C810,RoleTitles!$A:$B,2,FALSE),"YES","NO"))</f>
        <v/>
      </c>
      <c r="K810" s="27">
        <f>IF($A810="","",IF(AND($H810="PROMOTE",$J810="YES"),"YES — PROMOTE","NO"))</f>
        <v/>
      </c>
    </row>
    <row r="811">
      <c r="A811" s="7" t="n"/>
      <c r="B811" s="7">
        <f>IF($A811="","",VLOOKUP($A811,CoachRoster!$A:$E,4,FALSE))</f>
        <v/>
      </c>
      <c r="C811" s="7" t="n"/>
      <c r="D811" s="7" t="n"/>
      <c r="E811" s="7" t="n"/>
      <c r="F811" s="7" t="n"/>
      <c r="G811" s="7" t="n"/>
      <c r="H811" s="7">
        <f>IF($A811="","",IF(AND($E811="Pass",$F811="Pass",$G811="Pass"),"PROMOTE","NOT YET"))</f>
        <v/>
      </c>
      <c r="I811" s="7" t="n"/>
      <c r="J811" s="27">
        <f>IF(OR($A811="",$C811=""),"",IF(IFERROR(VLOOKUP($A811,Ledger!$A:$E,5,FALSE),0)&gt;=VLOOKUP($C811,RoleTitles!$A:$B,2,FALSE),"YES","NO"))</f>
        <v/>
      </c>
      <c r="K811" s="27">
        <f>IF($A811="","",IF(AND($H811="PROMOTE",$J811="YES"),"YES — PROMOTE","NO"))</f>
        <v/>
      </c>
    </row>
    <row r="812">
      <c r="A812" s="7" t="n"/>
      <c r="B812" s="7">
        <f>IF($A812="","",VLOOKUP($A812,CoachRoster!$A:$E,4,FALSE))</f>
        <v/>
      </c>
      <c r="C812" s="7" t="n"/>
      <c r="D812" s="7" t="n"/>
      <c r="E812" s="7" t="n"/>
      <c r="F812" s="7" t="n"/>
      <c r="G812" s="7" t="n"/>
      <c r="H812" s="7">
        <f>IF($A812="","",IF(AND($E812="Pass",$F812="Pass",$G812="Pass"),"PROMOTE","NOT YET"))</f>
        <v/>
      </c>
      <c r="I812" s="7" t="n"/>
      <c r="J812" s="27">
        <f>IF(OR($A812="",$C812=""),"",IF(IFERROR(VLOOKUP($A812,Ledger!$A:$E,5,FALSE),0)&gt;=VLOOKUP($C812,RoleTitles!$A:$B,2,FALSE),"YES","NO"))</f>
        <v/>
      </c>
      <c r="K812" s="27">
        <f>IF($A812="","",IF(AND($H812="PROMOTE",$J812="YES"),"YES — PROMOTE","NO"))</f>
        <v/>
      </c>
    </row>
    <row r="813">
      <c r="A813" s="7" t="n"/>
      <c r="B813" s="7">
        <f>IF($A813="","",VLOOKUP($A813,CoachRoster!$A:$E,4,FALSE))</f>
        <v/>
      </c>
      <c r="C813" s="7" t="n"/>
      <c r="D813" s="7" t="n"/>
      <c r="E813" s="7" t="n"/>
      <c r="F813" s="7" t="n"/>
      <c r="G813" s="7" t="n"/>
      <c r="H813" s="7">
        <f>IF($A813="","",IF(AND($E813="Pass",$F813="Pass",$G813="Pass"),"PROMOTE","NOT YET"))</f>
        <v/>
      </c>
      <c r="I813" s="7" t="n"/>
      <c r="J813" s="27">
        <f>IF(OR($A813="",$C813=""),"",IF(IFERROR(VLOOKUP($A813,Ledger!$A:$E,5,FALSE),0)&gt;=VLOOKUP($C813,RoleTitles!$A:$B,2,FALSE),"YES","NO"))</f>
        <v/>
      </c>
      <c r="K813" s="27">
        <f>IF($A813="","",IF(AND($H813="PROMOTE",$J813="YES"),"YES — PROMOTE","NO"))</f>
        <v/>
      </c>
    </row>
    <row r="814">
      <c r="A814" s="7" t="n"/>
      <c r="B814" s="7">
        <f>IF($A814="","",VLOOKUP($A814,CoachRoster!$A:$E,4,FALSE))</f>
        <v/>
      </c>
      <c r="C814" s="7" t="n"/>
      <c r="D814" s="7" t="n"/>
      <c r="E814" s="7" t="n"/>
      <c r="F814" s="7" t="n"/>
      <c r="G814" s="7" t="n"/>
      <c r="H814" s="7">
        <f>IF($A814="","",IF(AND($E814="Pass",$F814="Pass",$G814="Pass"),"PROMOTE","NOT YET"))</f>
        <v/>
      </c>
      <c r="I814" s="7" t="n"/>
      <c r="J814" s="27">
        <f>IF(OR($A814="",$C814=""),"",IF(IFERROR(VLOOKUP($A814,Ledger!$A:$E,5,FALSE),0)&gt;=VLOOKUP($C814,RoleTitles!$A:$B,2,FALSE),"YES","NO"))</f>
        <v/>
      </c>
      <c r="K814" s="27">
        <f>IF($A814="","",IF(AND($H814="PROMOTE",$J814="YES"),"YES — PROMOTE","NO"))</f>
        <v/>
      </c>
    </row>
    <row r="815">
      <c r="A815" s="7" t="n"/>
      <c r="B815" s="7">
        <f>IF($A815="","",VLOOKUP($A815,CoachRoster!$A:$E,4,FALSE))</f>
        <v/>
      </c>
      <c r="C815" s="7" t="n"/>
      <c r="D815" s="7" t="n"/>
      <c r="E815" s="7" t="n"/>
      <c r="F815" s="7" t="n"/>
      <c r="G815" s="7" t="n"/>
      <c r="H815" s="7">
        <f>IF($A815="","",IF(AND($E815="Pass",$F815="Pass",$G815="Pass"),"PROMOTE","NOT YET"))</f>
        <v/>
      </c>
      <c r="I815" s="7" t="n"/>
      <c r="J815" s="27">
        <f>IF(OR($A815="",$C815=""),"",IF(IFERROR(VLOOKUP($A815,Ledger!$A:$E,5,FALSE),0)&gt;=VLOOKUP($C815,RoleTitles!$A:$B,2,FALSE),"YES","NO"))</f>
        <v/>
      </c>
      <c r="K815" s="27">
        <f>IF($A815="","",IF(AND($H815="PROMOTE",$J815="YES"),"YES — PROMOTE","NO"))</f>
        <v/>
      </c>
    </row>
    <row r="816">
      <c r="A816" s="7" t="n"/>
      <c r="B816" s="7">
        <f>IF($A816="","",VLOOKUP($A816,CoachRoster!$A:$E,4,FALSE))</f>
        <v/>
      </c>
      <c r="C816" s="7" t="n"/>
      <c r="D816" s="7" t="n"/>
      <c r="E816" s="7" t="n"/>
      <c r="F816" s="7" t="n"/>
      <c r="G816" s="7" t="n"/>
      <c r="H816" s="7">
        <f>IF($A816="","",IF(AND($E816="Pass",$F816="Pass",$G816="Pass"),"PROMOTE","NOT YET"))</f>
        <v/>
      </c>
      <c r="I816" s="7" t="n"/>
      <c r="J816" s="27">
        <f>IF(OR($A816="",$C816=""),"",IF(IFERROR(VLOOKUP($A816,Ledger!$A:$E,5,FALSE),0)&gt;=VLOOKUP($C816,RoleTitles!$A:$B,2,FALSE),"YES","NO"))</f>
        <v/>
      </c>
      <c r="K816" s="27">
        <f>IF($A816="","",IF(AND($H816="PROMOTE",$J816="YES"),"YES — PROMOTE","NO"))</f>
        <v/>
      </c>
    </row>
    <row r="817">
      <c r="A817" s="7" t="n"/>
      <c r="B817" s="7">
        <f>IF($A817="","",VLOOKUP($A817,CoachRoster!$A:$E,4,FALSE))</f>
        <v/>
      </c>
      <c r="C817" s="7" t="n"/>
      <c r="D817" s="7" t="n"/>
      <c r="E817" s="7" t="n"/>
      <c r="F817" s="7" t="n"/>
      <c r="G817" s="7" t="n"/>
      <c r="H817" s="7">
        <f>IF($A817="","",IF(AND($E817="Pass",$F817="Pass",$G817="Pass"),"PROMOTE","NOT YET"))</f>
        <v/>
      </c>
      <c r="I817" s="7" t="n"/>
      <c r="J817" s="27">
        <f>IF(OR($A817="",$C817=""),"",IF(IFERROR(VLOOKUP($A817,Ledger!$A:$E,5,FALSE),0)&gt;=VLOOKUP($C817,RoleTitles!$A:$B,2,FALSE),"YES","NO"))</f>
        <v/>
      </c>
      <c r="K817" s="27">
        <f>IF($A817="","",IF(AND($H817="PROMOTE",$J817="YES"),"YES — PROMOTE","NO"))</f>
        <v/>
      </c>
    </row>
    <row r="818">
      <c r="A818" s="7" t="n"/>
      <c r="B818" s="7">
        <f>IF($A818="","",VLOOKUP($A818,CoachRoster!$A:$E,4,FALSE))</f>
        <v/>
      </c>
      <c r="C818" s="7" t="n"/>
      <c r="D818" s="7" t="n"/>
      <c r="E818" s="7" t="n"/>
      <c r="F818" s="7" t="n"/>
      <c r="G818" s="7" t="n"/>
      <c r="H818" s="7">
        <f>IF($A818="","",IF(AND($E818="Pass",$F818="Pass",$G818="Pass"),"PROMOTE","NOT YET"))</f>
        <v/>
      </c>
      <c r="I818" s="7" t="n"/>
      <c r="J818" s="27">
        <f>IF(OR($A818="",$C818=""),"",IF(IFERROR(VLOOKUP($A818,Ledger!$A:$E,5,FALSE),0)&gt;=VLOOKUP($C818,RoleTitles!$A:$B,2,FALSE),"YES","NO"))</f>
        <v/>
      </c>
      <c r="K818" s="27">
        <f>IF($A818="","",IF(AND($H818="PROMOTE",$J818="YES"),"YES — PROMOTE","NO"))</f>
        <v/>
      </c>
    </row>
    <row r="819">
      <c r="A819" s="7" t="n"/>
      <c r="B819" s="7">
        <f>IF($A819="","",VLOOKUP($A819,CoachRoster!$A:$E,4,FALSE))</f>
        <v/>
      </c>
      <c r="C819" s="7" t="n"/>
      <c r="D819" s="7" t="n"/>
      <c r="E819" s="7" t="n"/>
      <c r="F819" s="7" t="n"/>
      <c r="G819" s="7" t="n"/>
      <c r="H819" s="7">
        <f>IF($A819="","",IF(AND($E819="Pass",$F819="Pass",$G819="Pass"),"PROMOTE","NOT YET"))</f>
        <v/>
      </c>
      <c r="I819" s="7" t="n"/>
      <c r="J819" s="27">
        <f>IF(OR($A819="",$C819=""),"",IF(IFERROR(VLOOKUP($A819,Ledger!$A:$E,5,FALSE),0)&gt;=VLOOKUP($C819,RoleTitles!$A:$B,2,FALSE),"YES","NO"))</f>
        <v/>
      </c>
      <c r="K819" s="27">
        <f>IF($A819="","",IF(AND($H819="PROMOTE",$J819="YES"),"YES — PROMOTE","NO"))</f>
        <v/>
      </c>
    </row>
    <row r="820">
      <c r="A820" s="7" t="n"/>
      <c r="B820" s="7">
        <f>IF($A820="","",VLOOKUP($A820,CoachRoster!$A:$E,4,FALSE))</f>
        <v/>
      </c>
      <c r="C820" s="7" t="n"/>
      <c r="D820" s="7" t="n"/>
      <c r="E820" s="7" t="n"/>
      <c r="F820" s="7" t="n"/>
      <c r="G820" s="7" t="n"/>
      <c r="H820" s="7">
        <f>IF($A820="","",IF(AND($E820="Pass",$F820="Pass",$G820="Pass"),"PROMOTE","NOT YET"))</f>
        <v/>
      </c>
      <c r="I820" s="7" t="n"/>
      <c r="J820" s="27">
        <f>IF(OR($A820="",$C820=""),"",IF(IFERROR(VLOOKUP($A820,Ledger!$A:$E,5,FALSE),0)&gt;=VLOOKUP($C820,RoleTitles!$A:$B,2,FALSE),"YES","NO"))</f>
        <v/>
      </c>
      <c r="K820" s="27">
        <f>IF($A820="","",IF(AND($H820="PROMOTE",$J820="YES"),"YES — PROMOTE","NO"))</f>
        <v/>
      </c>
    </row>
    <row r="821">
      <c r="A821" s="7" t="n"/>
      <c r="B821" s="7">
        <f>IF($A821="","",VLOOKUP($A821,CoachRoster!$A:$E,4,FALSE))</f>
        <v/>
      </c>
      <c r="C821" s="7" t="n"/>
      <c r="D821" s="7" t="n"/>
      <c r="E821" s="7" t="n"/>
      <c r="F821" s="7" t="n"/>
      <c r="G821" s="7" t="n"/>
      <c r="H821" s="7">
        <f>IF($A821="","",IF(AND($E821="Pass",$F821="Pass",$G821="Pass"),"PROMOTE","NOT YET"))</f>
        <v/>
      </c>
      <c r="I821" s="7" t="n"/>
      <c r="J821" s="27">
        <f>IF(OR($A821="",$C821=""),"",IF(IFERROR(VLOOKUP($A821,Ledger!$A:$E,5,FALSE),0)&gt;=VLOOKUP($C821,RoleTitles!$A:$B,2,FALSE),"YES","NO"))</f>
        <v/>
      </c>
      <c r="K821" s="27">
        <f>IF($A821="","",IF(AND($H821="PROMOTE",$J821="YES"),"YES — PROMOTE","NO"))</f>
        <v/>
      </c>
    </row>
    <row r="822">
      <c r="A822" s="7" t="n"/>
      <c r="B822" s="7">
        <f>IF($A822="","",VLOOKUP($A822,CoachRoster!$A:$E,4,FALSE))</f>
        <v/>
      </c>
      <c r="C822" s="7" t="n"/>
      <c r="D822" s="7" t="n"/>
      <c r="E822" s="7" t="n"/>
      <c r="F822" s="7" t="n"/>
      <c r="G822" s="7" t="n"/>
      <c r="H822" s="7">
        <f>IF($A822="","",IF(AND($E822="Pass",$F822="Pass",$G822="Pass"),"PROMOTE","NOT YET"))</f>
        <v/>
      </c>
      <c r="I822" s="7" t="n"/>
      <c r="J822" s="27">
        <f>IF(OR($A822="",$C822=""),"",IF(IFERROR(VLOOKUP($A822,Ledger!$A:$E,5,FALSE),0)&gt;=VLOOKUP($C822,RoleTitles!$A:$B,2,FALSE),"YES","NO"))</f>
        <v/>
      </c>
      <c r="K822" s="27">
        <f>IF($A822="","",IF(AND($H822="PROMOTE",$J822="YES"),"YES — PROMOTE","NO"))</f>
        <v/>
      </c>
    </row>
    <row r="823">
      <c r="A823" s="7" t="n"/>
      <c r="B823" s="7">
        <f>IF($A823="","",VLOOKUP($A823,CoachRoster!$A:$E,4,FALSE))</f>
        <v/>
      </c>
      <c r="C823" s="7" t="n"/>
      <c r="D823" s="7" t="n"/>
      <c r="E823" s="7" t="n"/>
      <c r="F823" s="7" t="n"/>
      <c r="G823" s="7" t="n"/>
      <c r="H823" s="7">
        <f>IF($A823="","",IF(AND($E823="Pass",$F823="Pass",$G823="Pass"),"PROMOTE","NOT YET"))</f>
        <v/>
      </c>
      <c r="I823" s="7" t="n"/>
      <c r="J823" s="27">
        <f>IF(OR($A823="",$C823=""),"",IF(IFERROR(VLOOKUP($A823,Ledger!$A:$E,5,FALSE),0)&gt;=VLOOKUP($C823,RoleTitles!$A:$B,2,FALSE),"YES","NO"))</f>
        <v/>
      </c>
      <c r="K823" s="27">
        <f>IF($A823="","",IF(AND($H823="PROMOTE",$J823="YES"),"YES — PROMOTE","NO"))</f>
        <v/>
      </c>
    </row>
    <row r="824">
      <c r="A824" s="7" t="n"/>
      <c r="B824" s="7">
        <f>IF($A824="","",VLOOKUP($A824,CoachRoster!$A:$E,4,FALSE))</f>
        <v/>
      </c>
      <c r="C824" s="7" t="n"/>
      <c r="D824" s="7" t="n"/>
      <c r="E824" s="7" t="n"/>
      <c r="F824" s="7" t="n"/>
      <c r="G824" s="7" t="n"/>
      <c r="H824" s="7">
        <f>IF($A824="","",IF(AND($E824="Pass",$F824="Pass",$G824="Pass"),"PROMOTE","NOT YET"))</f>
        <v/>
      </c>
      <c r="I824" s="7" t="n"/>
      <c r="J824" s="27">
        <f>IF(OR($A824="",$C824=""),"",IF(IFERROR(VLOOKUP($A824,Ledger!$A:$E,5,FALSE),0)&gt;=VLOOKUP($C824,RoleTitles!$A:$B,2,FALSE),"YES","NO"))</f>
        <v/>
      </c>
      <c r="K824" s="27">
        <f>IF($A824="","",IF(AND($H824="PROMOTE",$J824="YES"),"YES — PROMOTE","NO"))</f>
        <v/>
      </c>
    </row>
    <row r="825">
      <c r="A825" s="7" t="n"/>
      <c r="B825" s="7">
        <f>IF($A825="","",VLOOKUP($A825,CoachRoster!$A:$E,4,FALSE))</f>
        <v/>
      </c>
      <c r="C825" s="7" t="n"/>
      <c r="D825" s="7" t="n"/>
      <c r="E825" s="7" t="n"/>
      <c r="F825" s="7" t="n"/>
      <c r="G825" s="7" t="n"/>
      <c r="H825" s="7">
        <f>IF($A825="","",IF(AND($E825="Pass",$F825="Pass",$G825="Pass"),"PROMOTE","NOT YET"))</f>
        <v/>
      </c>
      <c r="I825" s="7" t="n"/>
      <c r="J825" s="27">
        <f>IF(OR($A825="",$C825=""),"",IF(IFERROR(VLOOKUP($A825,Ledger!$A:$E,5,FALSE),0)&gt;=VLOOKUP($C825,RoleTitles!$A:$B,2,FALSE),"YES","NO"))</f>
        <v/>
      </c>
      <c r="K825" s="27">
        <f>IF($A825="","",IF(AND($H825="PROMOTE",$J825="YES"),"YES — PROMOTE","NO"))</f>
        <v/>
      </c>
    </row>
    <row r="826">
      <c r="A826" s="7" t="n"/>
      <c r="B826" s="7">
        <f>IF($A826="","",VLOOKUP($A826,CoachRoster!$A:$E,4,FALSE))</f>
        <v/>
      </c>
      <c r="C826" s="7" t="n"/>
      <c r="D826" s="7" t="n"/>
      <c r="E826" s="7" t="n"/>
      <c r="F826" s="7" t="n"/>
      <c r="G826" s="7" t="n"/>
      <c r="H826" s="7">
        <f>IF($A826="","",IF(AND($E826="Pass",$F826="Pass",$G826="Pass"),"PROMOTE","NOT YET"))</f>
        <v/>
      </c>
      <c r="I826" s="7" t="n"/>
      <c r="J826" s="27">
        <f>IF(OR($A826="",$C826=""),"",IF(IFERROR(VLOOKUP($A826,Ledger!$A:$E,5,FALSE),0)&gt;=VLOOKUP($C826,RoleTitles!$A:$B,2,FALSE),"YES","NO"))</f>
        <v/>
      </c>
      <c r="K826" s="27">
        <f>IF($A826="","",IF(AND($H826="PROMOTE",$J826="YES"),"YES — PROMOTE","NO"))</f>
        <v/>
      </c>
    </row>
    <row r="827">
      <c r="A827" s="7" t="n"/>
      <c r="B827" s="7">
        <f>IF($A827="","",VLOOKUP($A827,CoachRoster!$A:$E,4,FALSE))</f>
        <v/>
      </c>
      <c r="C827" s="7" t="n"/>
      <c r="D827" s="7" t="n"/>
      <c r="E827" s="7" t="n"/>
      <c r="F827" s="7" t="n"/>
      <c r="G827" s="7" t="n"/>
      <c r="H827" s="7">
        <f>IF($A827="","",IF(AND($E827="Pass",$F827="Pass",$G827="Pass"),"PROMOTE","NOT YET"))</f>
        <v/>
      </c>
      <c r="I827" s="7" t="n"/>
      <c r="J827" s="27">
        <f>IF(OR($A827="",$C827=""),"",IF(IFERROR(VLOOKUP($A827,Ledger!$A:$E,5,FALSE),0)&gt;=VLOOKUP($C827,RoleTitles!$A:$B,2,FALSE),"YES","NO"))</f>
        <v/>
      </c>
      <c r="K827" s="27">
        <f>IF($A827="","",IF(AND($H827="PROMOTE",$J827="YES"),"YES — PROMOTE","NO"))</f>
        <v/>
      </c>
    </row>
    <row r="828">
      <c r="A828" s="7" t="n"/>
      <c r="B828" s="7">
        <f>IF($A828="","",VLOOKUP($A828,CoachRoster!$A:$E,4,FALSE))</f>
        <v/>
      </c>
      <c r="C828" s="7" t="n"/>
      <c r="D828" s="7" t="n"/>
      <c r="E828" s="7" t="n"/>
      <c r="F828" s="7" t="n"/>
      <c r="G828" s="7" t="n"/>
      <c r="H828" s="7">
        <f>IF($A828="","",IF(AND($E828="Pass",$F828="Pass",$G828="Pass"),"PROMOTE","NOT YET"))</f>
        <v/>
      </c>
      <c r="I828" s="7" t="n"/>
      <c r="J828" s="27">
        <f>IF(OR($A828="",$C828=""),"",IF(IFERROR(VLOOKUP($A828,Ledger!$A:$E,5,FALSE),0)&gt;=VLOOKUP($C828,RoleTitles!$A:$B,2,FALSE),"YES","NO"))</f>
        <v/>
      </c>
      <c r="K828" s="27">
        <f>IF($A828="","",IF(AND($H828="PROMOTE",$J828="YES"),"YES — PROMOTE","NO"))</f>
        <v/>
      </c>
    </row>
    <row r="829">
      <c r="A829" s="7" t="n"/>
      <c r="B829" s="7">
        <f>IF($A829="","",VLOOKUP($A829,CoachRoster!$A:$E,4,FALSE))</f>
        <v/>
      </c>
      <c r="C829" s="7" t="n"/>
      <c r="D829" s="7" t="n"/>
      <c r="E829" s="7" t="n"/>
      <c r="F829" s="7" t="n"/>
      <c r="G829" s="7" t="n"/>
      <c r="H829" s="7">
        <f>IF($A829="","",IF(AND($E829="Pass",$F829="Pass",$G829="Pass"),"PROMOTE","NOT YET"))</f>
        <v/>
      </c>
      <c r="I829" s="7" t="n"/>
      <c r="J829" s="27">
        <f>IF(OR($A829="",$C829=""),"",IF(IFERROR(VLOOKUP($A829,Ledger!$A:$E,5,FALSE),0)&gt;=VLOOKUP($C829,RoleTitles!$A:$B,2,FALSE),"YES","NO"))</f>
        <v/>
      </c>
      <c r="K829" s="27">
        <f>IF($A829="","",IF(AND($H829="PROMOTE",$J829="YES"),"YES — PROMOTE","NO"))</f>
        <v/>
      </c>
    </row>
    <row r="830">
      <c r="A830" s="7" t="n"/>
      <c r="B830" s="7">
        <f>IF($A830="","",VLOOKUP($A830,CoachRoster!$A:$E,4,FALSE))</f>
        <v/>
      </c>
      <c r="C830" s="7" t="n"/>
      <c r="D830" s="7" t="n"/>
      <c r="E830" s="7" t="n"/>
      <c r="F830" s="7" t="n"/>
      <c r="G830" s="7" t="n"/>
      <c r="H830" s="7">
        <f>IF($A830="","",IF(AND($E830="Pass",$F830="Pass",$G830="Pass"),"PROMOTE","NOT YET"))</f>
        <v/>
      </c>
      <c r="I830" s="7" t="n"/>
      <c r="J830" s="27">
        <f>IF(OR($A830="",$C830=""),"",IF(IFERROR(VLOOKUP($A830,Ledger!$A:$E,5,FALSE),0)&gt;=VLOOKUP($C830,RoleTitles!$A:$B,2,FALSE),"YES","NO"))</f>
        <v/>
      </c>
      <c r="K830" s="27">
        <f>IF($A830="","",IF(AND($H830="PROMOTE",$J830="YES"),"YES — PROMOTE","NO"))</f>
        <v/>
      </c>
    </row>
    <row r="831">
      <c r="A831" s="7" t="n"/>
      <c r="B831" s="7">
        <f>IF($A831="","",VLOOKUP($A831,CoachRoster!$A:$E,4,FALSE))</f>
        <v/>
      </c>
      <c r="C831" s="7" t="n"/>
      <c r="D831" s="7" t="n"/>
      <c r="E831" s="7" t="n"/>
      <c r="F831" s="7" t="n"/>
      <c r="G831" s="7" t="n"/>
      <c r="H831" s="7">
        <f>IF($A831="","",IF(AND($E831="Pass",$F831="Pass",$G831="Pass"),"PROMOTE","NOT YET"))</f>
        <v/>
      </c>
      <c r="I831" s="7" t="n"/>
      <c r="J831" s="27">
        <f>IF(OR($A831="",$C831=""),"",IF(IFERROR(VLOOKUP($A831,Ledger!$A:$E,5,FALSE),0)&gt;=VLOOKUP($C831,RoleTitles!$A:$B,2,FALSE),"YES","NO"))</f>
        <v/>
      </c>
      <c r="K831" s="27">
        <f>IF($A831="","",IF(AND($H831="PROMOTE",$J831="YES"),"YES — PROMOTE","NO"))</f>
        <v/>
      </c>
    </row>
    <row r="832">
      <c r="A832" s="7" t="n"/>
      <c r="B832" s="7">
        <f>IF($A832="","",VLOOKUP($A832,CoachRoster!$A:$E,4,FALSE))</f>
        <v/>
      </c>
      <c r="C832" s="7" t="n"/>
      <c r="D832" s="7" t="n"/>
      <c r="E832" s="7" t="n"/>
      <c r="F832" s="7" t="n"/>
      <c r="G832" s="7" t="n"/>
      <c r="H832" s="7">
        <f>IF($A832="","",IF(AND($E832="Pass",$F832="Pass",$G832="Pass"),"PROMOTE","NOT YET"))</f>
        <v/>
      </c>
      <c r="I832" s="7" t="n"/>
      <c r="J832" s="27">
        <f>IF(OR($A832="",$C832=""),"",IF(IFERROR(VLOOKUP($A832,Ledger!$A:$E,5,FALSE),0)&gt;=VLOOKUP($C832,RoleTitles!$A:$B,2,FALSE),"YES","NO"))</f>
        <v/>
      </c>
      <c r="K832" s="27">
        <f>IF($A832="","",IF(AND($H832="PROMOTE",$J832="YES"),"YES — PROMOTE","NO"))</f>
        <v/>
      </c>
    </row>
    <row r="833">
      <c r="A833" s="7" t="n"/>
      <c r="B833" s="7">
        <f>IF($A833="","",VLOOKUP($A833,CoachRoster!$A:$E,4,FALSE))</f>
        <v/>
      </c>
      <c r="C833" s="7" t="n"/>
      <c r="D833" s="7" t="n"/>
      <c r="E833" s="7" t="n"/>
      <c r="F833" s="7" t="n"/>
      <c r="G833" s="7" t="n"/>
      <c r="H833" s="7">
        <f>IF($A833="","",IF(AND($E833="Pass",$F833="Pass",$G833="Pass"),"PROMOTE","NOT YET"))</f>
        <v/>
      </c>
      <c r="I833" s="7" t="n"/>
      <c r="J833" s="27">
        <f>IF(OR($A833="",$C833=""),"",IF(IFERROR(VLOOKUP($A833,Ledger!$A:$E,5,FALSE),0)&gt;=VLOOKUP($C833,RoleTitles!$A:$B,2,FALSE),"YES","NO"))</f>
        <v/>
      </c>
      <c r="K833" s="27">
        <f>IF($A833="","",IF(AND($H833="PROMOTE",$J833="YES"),"YES — PROMOTE","NO"))</f>
        <v/>
      </c>
    </row>
    <row r="834">
      <c r="A834" s="7" t="n"/>
      <c r="B834" s="7">
        <f>IF($A834="","",VLOOKUP($A834,CoachRoster!$A:$E,4,FALSE))</f>
        <v/>
      </c>
      <c r="C834" s="7" t="n"/>
      <c r="D834" s="7" t="n"/>
      <c r="E834" s="7" t="n"/>
      <c r="F834" s="7" t="n"/>
      <c r="G834" s="7" t="n"/>
      <c r="H834" s="7">
        <f>IF($A834="","",IF(AND($E834="Pass",$F834="Pass",$G834="Pass"),"PROMOTE","NOT YET"))</f>
        <v/>
      </c>
      <c r="I834" s="7" t="n"/>
      <c r="J834" s="27">
        <f>IF(OR($A834="",$C834=""),"",IF(IFERROR(VLOOKUP($A834,Ledger!$A:$E,5,FALSE),0)&gt;=VLOOKUP($C834,RoleTitles!$A:$B,2,FALSE),"YES","NO"))</f>
        <v/>
      </c>
      <c r="K834" s="27">
        <f>IF($A834="","",IF(AND($H834="PROMOTE",$J834="YES"),"YES — PROMOTE","NO"))</f>
        <v/>
      </c>
    </row>
    <row r="835">
      <c r="A835" s="7" t="n"/>
      <c r="B835" s="7">
        <f>IF($A835="","",VLOOKUP($A835,CoachRoster!$A:$E,4,FALSE))</f>
        <v/>
      </c>
      <c r="C835" s="7" t="n"/>
      <c r="D835" s="7" t="n"/>
      <c r="E835" s="7" t="n"/>
      <c r="F835" s="7" t="n"/>
      <c r="G835" s="7" t="n"/>
      <c r="H835" s="7">
        <f>IF($A835="","",IF(AND($E835="Pass",$F835="Pass",$G835="Pass"),"PROMOTE","NOT YET"))</f>
        <v/>
      </c>
      <c r="I835" s="7" t="n"/>
      <c r="J835" s="27">
        <f>IF(OR($A835="",$C835=""),"",IF(IFERROR(VLOOKUP($A835,Ledger!$A:$E,5,FALSE),0)&gt;=VLOOKUP($C835,RoleTitles!$A:$B,2,FALSE),"YES","NO"))</f>
        <v/>
      </c>
      <c r="K835" s="27">
        <f>IF($A835="","",IF(AND($H835="PROMOTE",$J835="YES"),"YES — PROMOTE","NO"))</f>
        <v/>
      </c>
    </row>
    <row r="836">
      <c r="A836" s="7" t="n"/>
      <c r="B836" s="7">
        <f>IF($A836="","",VLOOKUP($A836,CoachRoster!$A:$E,4,FALSE))</f>
        <v/>
      </c>
      <c r="C836" s="7" t="n"/>
      <c r="D836" s="7" t="n"/>
      <c r="E836" s="7" t="n"/>
      <c r="F836" s="7" t="n"/>
      <c r="G836" s="7" t="n"/>
      <c r="H836" s="7">
        <f>IF($A836="","",IF(AND($E836="Pass",$F836="Pass",$G836="Pass"),"PROMOTE","NOT YET"))</f>
        <v/>
      </c>
      <c r="I836" s="7" t="n"/>
      <c r="J836" s="27">
        <f>IF(OR($A836="",$C836=""),"",IF(IFERROR(VLOOKUP($A836,Ledger!$A:$E,5,FALSE),0)&gt;=VLOOKUP($C836,RoleTitles!$A:$B,2,FALSE),"YES","NO"))</f>
        <v/>
      </c>
      <c r="K836" s="27">
        <f>IF($A836="","",IF(AND($H836="PROMOTE",$J836="YES"),"YES — PROMOTE","NO"))</f>
        <v/>
      </c>
    </row>
    <row r="837">
      <c r="A837" s="7" t="n"/>
      <c r="B837" s="7">
        <f>IF($A837="","",VLOOKUP($A837,CoachRoster!$A:$E,4,FALSE))</f>
        <v/>
      </c>
      <c r="C837" s="7" t="n"/>
      <c r="D837" s="7" t="n"/>
      <c r="E837" s="7" t="n"/>
      <c r="F837" s="7" t="n"/>
      <c r="G837" s="7" t="n"/>
      <c r="H837" s="7">
        <f>IF($A837="","",IF(AND($E837="Pass",$F837="Pass",$G837="Pass"),"PROMOTE","NOT YET"))</f>
        <v/>
      </c>
      <c r="I837" s="7" t="n"/>
      <c r="J837" s="27">
        <f>IF(OR($A837="",$C837=""),"",IF(IFERROR(VLOOKUP($A837,Ledger!$A:$E,5,FALSE),0)&gt;=VLOOKUP($C837,RoleTitles!$A:$B,2,FALSE),"YES","NO"))</f>
        <v/>
      </c>
      <c r="K837" s="27">
        <f>IF($A837="","",IF(AND($H837="PROMOTE",$J837="YES"),"YES — PROMOTE","NO"))</f>
        <v/>
      </c>
    </row>
    <row r="838">
      <c r="A838" s="7" t="n"/>
      <c r="B838" s="7">
        <f>IF($A838="","",VLOOKUP($A838,CoachRoster!$A:$E,4,FALSE))</f>
        <v/>
      </c>
      <c r="C838" s="7" t="n"/>
      <c r="D838" s="7" t="n"/>
      <c r="E838" s="7" t="n"/>
      <c r="F838" s="7" t="n"/>
      <c r="G838" s="7" t="n"/>
      <c r="H838" s="7">
        <f>IF($A838="","",IF(AND($E838="Pass",$F838="Pass",$G838="Pass"),"PROMOTE","NOT YET"))</f>
        <v/>
      </c>
      <c r="I838" s="7" t="n"/>
      <c r="J838" s="27">
        <f>IF(OR($A838="",$C838=""),"",IF(IFERROR(VLOOKUP($A838,Ledger!$A:$E,5,FALSE),0)&gt;=VLOOKUP($C838,RoleTitles!$A:$B,2,FALSE),"YES","NO"))</f>
        <v/>
      </c>
      <c r="K838" s="27">
        <f>IF($A838="","",IF(AND($H838="PROMOTE",$J838="YES"),"YES — PROMOTE","NO"))</f>
        <v/>
      </c>
    </row>
    <row r="839">
      <c r="A839" s="7" t="n"/>
      <c r="B839" s="7">
        <f>IF($A839="","",VLOOKUP($A839,CoachRoster!$A:$E,4,FALSE))</f>
        <v/>
      </c>
      <c r="C839" s="7" t="n"/>
      <c r="D839" s="7" t="n"/>
      <c r="E839" s="7" t="n"/>
      <c r="F839" s="7" t="n"/>
      <c r="G839" s="7" t="n"/>
      <c r="H839" s="7">
        <f>IF($A839="","",IF(AND($E839="Pass",$F839="Pass",$G839="Pass"),"PROMOTE","NOT YET"))</f>
        <v/>
      </c>
      <c r="I839" s="7" t="n"/>
      <c r="J839" s="27">
        <f>IF(OR($A839="",$C839=""),"",IF(IFERROR(VLOOKUP($A839,Ledger!$A:$E,5,FALSE),0)&gt;=VLOOKUP($C839,RoleTitles!$A:$B,2,FALSE),"YES","NO"))</f>
        <v/>
      </c>
      <c r="K839" s="27">
        <f>IF($A839="","",IF(AND($H839="PROMOTE",$J839="YES"),"YES — PROMOTE","NO"))</f>
        <v/>
      </c>
    </row>
    <row r="840">
      <c r="A840" s="7" t="n"/>
      <c r="B840" s="7">
        <f>IF($A840="","",VLOOKUP($A840,CoachRoster!$A:$E,4,FALSE))</f>
        <v/>
      </c>
      <c r="C840" s="7" t="n"/>
      <c r="D840" s="7" t="n"/>
      <c r="E840" s="7" t="n"/>
      <c r="F840" s="7" t="n"/>
      <c r="G840" s="7" t="n"/>
      <c r="H840" s="7">
        <f>IF($A840="","",IF(AND($E840="Pass",$F840="Pass",$G840="Pass"),"PROMOTE","NOT YET"))</f>
        <v/>
      </c>
      <c r="I840" s="7" t="n"/>
      <c r="J840" s="27">
        <f>IF(OR($A840="",$C840=""),"",IF(IFERROR(VLOOKUP($A840,Ledger!$A:$E,5,FALSE),0)&gt;=VLOOKUP($C840,RoleTitles!$A:$B,2,FALSE),"YES","NO"))</f>
        <v/>
      </c>
      <c r="K840" s="27">
        <f>IF($A840="","",IF(AND($H840="PROMOTE",$J840="YES"),"YES — PROMOTE","NO"))</f>
        <v/>
      </c>
    </row>
    <row r="841">
      <c r="A841" s="7" t="n"/>
      <c r="B841" s="7">
        <f>IF($A841="","",VLOOKUP($A841,CoachRoster!$A:$E,4,FALSE))</f>
        <v/>
      </c>
      <c r="C841" s="7" t="n"/>
      <c r="D841" s="7" t="n"/>
      <c r="E841" s="7" t="n"/>
      <c r="F841" s="7" t="n"/>
      <c r="G841" s="7" t="n"/>
      <c r="H841" s="7">
        <f>IF($A841="","",IF(AND($E841="Pass",$F841="Pass",$G841="Pass"),"PROMOTE","NOT YET"))</f>
        <v/>
      </c>
      <c r="I841" s="7" t="n"/>
      <c r="J841" s="27">
        <f>IF(OR($A841="",$C841=""),"",IF(IFERROR(VLOOKUP($A841,Ledger!$A:$E,5,FALSE),0)&gt;=VLOOKUP($C841,RoleTitles!$A:$B,2,FALSE),"YES","NO"))</f>
        <v/>
      </c>
      <c r="K841" s="27">
        <f>IF($A841="","",IF(AND($H841="PROMOTE",$J841="YES"),"YES — PROMOTE","NO"))</f>
        <v/>
      </c>
    </row>
    <row r="842">
      <c r="A842" s="7" t="n"/>
      <c r="B842" s="7">
        <f>IF($A842="","",VLOOKUP($A842,CoachRoster!$A:$E,4,FALSE))</f>
        <v/>
      </c>
      <c r="C842" s="7" t="n"/>
      <c r="D842" s="7" t="n"/>
      <c r="E842" s="7" t="n"/>
      <c r="F842" s="7" t="n"/>
      <c r="G842" s="7" t="n"/>
      <c r="H842" s="7">
        <f>IF($A842="","",IF(AND($E842="Pass",$F842="Pass",$G842="Pass"),"PROMOTE","NOT YET"))</f>
        <v/>
      </c>
      <c r="I842" s="7" t="n"/>
      <c r="J842" s="27">
        <f>IF(OR($A842="",$C842=""),"",IF(IFERROR(VLOOKUP($A842,Ledger!$A:$E,5,FALSE),0)&gt;=VLOOKUP($C842,RoleTitles!$A:$B,2,FALSE),"YES","NO"))</f>
        <v/>
      </c>
      <c r="K842" s="27">
        <f>IF($A842="","",IF(AND($H842="PROMOTE",$J842="YES"),"YES — PROMOTE","NO"))</f>
        <v/>
      </c>
    </row>
    <row r="843">
      <c r="A843" s="7" t="n"/>
      <c r="B843" s="7">
        <f>IF($A843="","",VLOOKUP($A843,CoachRoster!$A:$E,4,FALSE))</f>
        <v/>
      </c>
      <c r="C843" s="7" t="n"/>
      <c r="D843" s="7" t="n"/>
      <c r="E843" s="7" t="n"/>
      <c r="F843" s="7" t="n"/>
      <c r="G843" s="7" t="n"/>
      <c r="H843" s="7">
        <f>IF($A843="","",IF(AND($E843="Pass",$F843="Pass",$G843="Pass"),"PROMOTE","NOT YET"))</f>
        <v/>
      </c>
      <c r="I843" s="7" t="n"/>
      <c r="J843" s="27">
        <f>IF(OR($A843="",$C843=""),"",IF(IFERROR(VLOOKUP($A843,Ledger!$A:$E,5,FALSE),0)&gt;=VLOOKUP($C843,RoleTitles!$A:$B,2,FALSE),"YES","NO"))</f>
        <v/>
      </c>
      <c r="K843" s="27">
        <f>IF($A843="","",IF(AND($H843="PROMOTE",$J843="YES"),"YES — PROMOTE","NO"))</f>
        <v/>
      </c>
    </row>
    <row r="844">
      <c r="A844" s="7" t="n"/>
      <c r="B844" s="7">
        <f>IF($A844="","",VLOOKUP($A844,CoachRoster!$A:$E,4,FALSE))</f>
        <v/>
      </c>
      <c r="C844" s="7" t="n"/>
      <c r="D844" s="7" t="n"/>
      <c r="E844" s="7" t="n"/>
      <c r="F844" s="7" t="n"/>
      <c r="G844" s="7" t="n"/>
      <c r="H844" s="7">
        <f>IF($A844="","",IF(AND($E844="Pass",$F844="Pass",$G844="Pass"),"PROMOTE","NOT YET"))</f>
        <v/>
      </c>
      <c r="I844" s="7" t="n"/>
      <c r="J844" s="27">
        <f>IF(OR($A844="",$C844=""),"",IF(IFERROR(VLOOKUP($A844,Ledger!$A:$E,5,FALSE),0)&gt;=VLOOKUP($C844,RoleTitles!$A:$B,2,FALSE),"YES","NO"))</f>
        <v/>
      </c>
      <c r="K844" s="27">
        <f>IF($A844="","",IF(AND($H844="PROMOTE",$J844="YES"),"YES — PROMOTE","NO"))</f>
        <v/>
      </c>
    </row>
    <row r="845">
      <c r="A845" s="7" t="n"/>
      <c r="B845" s="7">
        <f>IF($A845="","",VLOOKUP($A845,CoachRoster!$A:$E,4,FALSE))</f>
        <v/>
      </c>
      <c r="C845" s="7" t="n"/>
      <c r="D845" s="7" t="n"/>
      <c r="E845" s="7" t="n"/>
      <c r="F845" s="7" t="n"/>
      <c r="G845" s="7" t="n"/>
      <c r="H845" s="7">
        <f>IF($A845="","",IF(AND($E845="Pass",$F845="Pass",$G845="Pass"),"PROMOTE","NOT YET"))</f>
        <v/>
      </c>
      <c r="I845" s="7" t="n"/>
      <c r="J845" s="27">
        <f>IF(OR($A845="",$C845=""),"",IF(IFERROR(VLOOKUP($A845,Ledger!$A:$E,5,FALSE),0)&gt;=VLOOKUP($C845,RoleTitles!$A:$B,2,FALSE),"YES","NO"))</f>
        <v/>
      </c>
      <c r="K845" s="27">
        <f>IF($A845="","",IF(AND($H845="PROMOTE",$J845="YES"),"YES — PROMOTE","NO"))</f>
        <v/>
      </c>
    </row>
    <row r="846">
      <c r="A846" s="7" t="n"/>
      <c r="B846" s="7">
        <f>IF($A846="","",VLOOKUP($A846,CoachRoster!$A:$E,4,FALSE))</f>
        <v/>
      </c>
      <c r="C846" s="7" t="n"/>
      <c r="D846" s="7" t="n"/>
      <c r="E846" s="7" t="n"/>
      <c r="F846" s="7" t="n"/>
      <c r="G846" s="7" t="n"/>
      <c r="H846" s="7">
        <f>IF($A846="","",IF(AND($E846="Pass",$F846="Pass",$G846="Pass"),"PROMOTE","NOT YET"))</f>
        <v/>
      </c>
      <c r="I846" s="7" t="n"/>
      <c r="J846" s="27">
        <f>IF(OR($A846="",$C846=""),"",IF(IFERROR(VLOOKUP($A846,Ledger!$A:$E,5,FALSE),0)&gt;=VLOOKUP($C846,RoleTitles!$A:$B,2,FALSE),"YES","NO"))</f>
        <v/>
      </c>
      <c r="K846" s="27">
        <f>IF($A846="","",IF(AND($H846="PROMOTE",$J846="YES"),"YES — PROMOTE","NO"))</f>
        <v/>
      </c>
    </row>
    <row r="847">
      <c r="A847" s="7" t="n"/>
      <c r="B847" s="7">
        <f>IF($A847="","",VLOOKUP($A847,CoachRoster!$A:$E,4,FALSE))</f>
        <v/>
      </c>
      <c r="C847" s="7" t="n"/>
      <c r="D847" s="7" t="n"/>
      <c r="E847" s="7" t="n"/>
      <c r="F847" s="7" t="n"/>
      <c r="G847" s="7" t="n"/>
      <c r="H847" s="7">
        <f>IF($A847="","",IF(AND($E847="Pass",$F847="Pass",$G847="Pass"),"PROMOTE","NOT YET"))</f>
        <v/>
      </c>
      <c r="I847" s="7" t="n"/>
      <c r="J847" s="27">
        <f>IF(OR($A847="",$C847=""),"",IF(IFERROR(VLOOKUP($A847,Ledger!$A:$E,5,FALSE),0)&gt;=VLOOKUP($C847,RoleTitles!$A:$B,2,FALSE),"YES","NO"))</f>
        <v/>
      </c>
      <c r="K847" s="27">
        <f>IF($A847="","",IF(AND($H847="PROMOTE",$J847="YES"),"YES — PROMOTE","NO"))</f>
        <v/>
      </c>
    </row>
    <row r="848">
      <c r="A848" s="7" t="n"/>
      <c r="B848" s="7">
        <f>IF($A848="","",VLOOKUP($A848,CoachRoster!$A:$E,4,FALSE))</f>
        <v/>
      </c>
      <c r="C848" s="7" t="n"/>
      <c r="D848" s="7" t="n"/>
      <c r="E848" s="7" t="n"/>
      <c r="F848" s="7" t="n"/>
      <c r="G848" s="7" t="n"/>
      <c r="H848" s="7">
        <f>IF($A848="","",IF(AND($E848="Pass",$F848="Pass",$G848="Pass"),"PROMOTE","NOT YET"))</f>
        <v/>
      </c>
      <c r="I848" s="7" t="n"/>
      <c r="J848" s="27">
        <f>IF(OR($A848="",$C848=""),"",IF(IFERROR(VLOOKUP($A848,Ledger!$A:$E,5,FALSE),0)&gt;=VLOOKUP($C848,RoleTitles!$A:$B,2,FALSE),"YES","NO"))</f>
        <v/>
      </c>
      <c r="K848" s="27">
        <f>IF($A848="","",IF(AND($H848="PROMOTE",$J848="YES"),"YES — PROMOTE","NO"))</f>
        <v/>
      </c>
    </row>
    <row r="849">
      <c r="A849" s="7" t="n"/>
      <c r="B849" s="7">
        <f>IF($A849="","",VLOOKUP($A849,CoachRoster!$A:$E,4,FALSE))</f>
        <v/>
      </c>
      <c r="C849" s="7" t="n"/>
      <c r="D849" s="7" t="n"/>
      <c r="E849" s="7" t="n"/>
      <c r="F849" s="7" t="n"/>
      <c r="G849" s="7" t="n"/>
      <c r="H849" s="7">
        <f>IF($A849="","",IF(AND($E849="Pass",$F849="Pass",$G849="Pass"),"PROMOTE","NOT YET"))</f>
        <v/>
      </c>
      <c r="I849" s="7" t="n"/>
      <c r="J849" s="27">
        <f>IF(OR($A849="",$C849=""),"",IF(IFERROR(VLOOKUP($A849,Ledger!$A:$E,5,FALSE),0)&gt;=VLOOKUP($C849,RoleTitles!$A:$B,2,FALSE),"YES","NO"))</f>
        <v/>
      </c>
      <c r="K849" s="27">
        <f>IF($A849="","",IF(AND($H849="PROMOTE",$J849="YES"),"YES — PROMOTE","NO"))</f>
        <v/>
      </c>
    </row>
    <row r="850">
      <c r="A850" s="7" t="n"/>
      <c r="B850" s="7">
        <f>IF($A850="","",VLOOKUP($A850,CoachRoster!$A:$E,4,FALSE))</f>
        <v/>
      </c>
      <c r="C850" s="7" t="n"/>
      <c r="D850" s="7" t="n"/>
      <c r="E850" s="7" t="n"/>
      <c r="F850" s="7" t="n"/>
      <c r="G850" s="7" t="n"/>
      <c r="H850" s="7">
        <f>IF($A850="","",IF(AND($E850="Pass",$F850="Pass",$G850="Pass"),"PROMOTE","NOT YET"))</f>
        <v/>
      </c>
      <c r="I850" s="7" t="n"/>
      <c r="J850" s="27">
        <f>IF(OR($A850="",$C850=""),"",IF(IFERROR(VLOOKUP($A850,Ledger!$A:$E,5,FALSE),0)&gt;=VLOOKUP($C850,RoleTitles!$A:$B,2,FALSE),"YES","NO"))</f>
        <v/>
      </c>
      <c r="K850" s="27">
        <f>IF($A850="","",IF(AND($H850="PROMOTE",$J850="YES"),"YES — PROMOTE","NO"))</f>
        <v/>
      </c>
    </row>
    <row r="851">
      <c r="A851" s="7" t="n"/>
      <c r="B851" s="7">
        <f>IF($A851="","",VLOOKUP($A851,CoachRoster!$A:$E,4,FALSE))</f>
        <v/>
      </c>
      <c r="C851" s="7" t="n"/>
      <c r="D851" s="7" t="n"/>
      <c r="E851" s="7" t="n"/>
      <c r="F851" s="7" t="n"/>
      <c r="G851" s="7" t="n"/>
      <c r="H851" s="7">
        <f>IF($A851="","",IF(AND($E851="Pass",$F851="Pass",$G851="Pass"),"PROMOTE","NOT YET"))</f>
        <v/>
      </c>
      <c r="I851" s="7" t="n"/>
      <c r="J851" s="27">
        <f>IF(OR($A851="",$C851=""),"",IF(IFERROR(VLOOKUP($A851,Ledger!$A:$E,5,FALSE),0)&gt;=VLOOKUP($C851,RoleTitles!$A:$B,2,FALSE),"YES","NO"))</f>
        <v/>
      </c>
      <c r="K851" s="27">
        <f>IF($A851="","",IF(AND($H851="PROMOTE",$J851="YES"),"YES — PROMOTE","NO"))</f>
        <v/>
      </c>
    </row>
    <row r="852">
      <c r="A852" s="7" t="n"/>
      <c r="B852" s="7">
        <f>IF($A852="","",VLOOKUP($A852,CoachRoster!$A:$E,4,FALSE))</f>
        <v/>
      </c>
      <c r="C852" s="7" t="n"/>
      <c r="D852" s="7" t="n"/>
      <c r="E852" s="7" t="n"/>
      <c r="F852" s="7" t="n"/>
      <c r="G852" s="7" t="n"/>
      <c r="H852" s="7">
        <f>IF($A852="","",IF(AND($E852="Pass",$F852="Pass",$G852="Pass"),"PROMOTE","NOT YET"))</f>
        <v/>
      </c>
      <c r="I852" s="7" t="n"/>
      <c r="J852" s="27">
        <f>IF(OR($A852="",$C852=""),"",IF(IFERROR(VLOOKUP($A852,Ledger!$A:$E,5,FALSE),0)&gt;=VLOOKUP($C852,RoleTitles!$A:$B,2,FALSE),"YES","NO"))</f>
        <v/>
      </c>
      <c r="K852" s="27">
        <f>IF($A852="","",IF(AND($H852="PROMOTE",$J852="YES"),"YES — PROMOTE","NO"))</f>
        <v/>
      </c>
    </row>
    <row r="853">
      <c r="A853" s="7" t="n"/>
      <c r="B853" s="7">
        <f>IF($A853="","",VLOOKUP($A853,CoachRoster!$A:$E,4,FALSE))</f>
        <v/>
      </c>
      <c r="C853" s="7" t="n"/>
      <c r="D853" s="7" t="n"/>
      <c r="E853" s="7" t="n"/>
      <c r="F853" s="7" t="n"/>
      <c r="G853" s="7" t="n"/>
      <c r="H853" s="7">
        <f>IF($A853="","",IF(AND($E853="Pass",$F853="Pass",$G853="Pass"),"PROMOTE","NOT YET"))</f>
        <v/>
      </c>
      <c r="I853" s="7" t="n"/>
      <c r="J853" s="27">
        <f>IF(OR($A853="",$C853=""),"",IF(IFERROR(VLOOKUP($A853,Ledger!$A:$E,5,FALSE),0)&gt;=VLOOKUP($C853,RoleTitles!$A:$B,2,FALSE),"YES","NO"))</f>
        <v/>
      </c>
      <c r="K853" s="27">
        <f>IF($A853="","",IF(AND($H853="PROMOTE",$J853="YES"),"YES — PROMOTE","NO"))</f>
        <v/>
      </c>
    </row>
    <row r="854">
      <c r="A854" s="7" t="n"/>
      <c r="B854" s="7">
        <f>IF($A854="","",VLOOKUP($A854,CoachRoster!$A:$E,4,FALSE))</f>
        <v/>
      </c>
      <c r="C854" s="7" t="n"/>
      <c r="D854" s="7" t="n"/>
      <c r="E854" s="7" t="n"/>
      <c r="F854" s="7" t="n"/>
      <c r="G854" s="7" t="n"/>
      <c r="H854" s="7">
        <f>IF($A854="","",IF(AND($E854="Pass",$F854="Pass",$G854="Pass"),"PROMOTE","NOT YET"))</f>
        <v/>
      </c>
      <c r="I854" s="7" t="n"/>
      <c r="J854" s="27">
        <f>IF(OR($A854="",$C854=""),"",IF(IFERROR(VLOOKUP($A854,Ledger!$A:$E,5,FALSE),0)&gt;=VLOOKUP($C854,RoleTitles!$A:$B,2,FALSE),"YES","NO"))</f>
        <v/>
      </c>
      <c r="K854" s="27">
        <f>IF($A854="","",IF(AND($H854="PROMOTE",$J854="YES"),"YES — PROMOTE","NO"))</f>
        <v/>
      </c>
    </row>
    <row r="855">
      <c r="A855" s="7" t="n"/>
      <c r="B855" s="7">
        <f>IF($A855="","",VLOOKUP($A855,CoachRoster!$A:$E,4,FALSE))</f>
        <v/>
      </c>
      <c r="C855" s="7" t="n"/>
      <c r="D855" s="7" t="n"/>
      <c r="E855" s="7" t="n"/>
      <c r="F855" s="7" t="n"/>
      <c r="G855" s="7" t="n"/>
      <c r="H855" s="7">
        <f>IF($A855="","",IF(AND($E855="Pass",$F855="Pass",$G855="Pass"),"PROMOTE","NOT YET"))</f>
        <v/>
      </c>
      <c r="I855" s="7" t="n"/>
      <c r="J855" s="27">
        <f>IF(OR($A855="",$C855=""),"",IF(IFERROR(VLOOKUP($A855,Ledger!$A:$E,5,FALSE),0)&gt;=VLOOKUP($C855,RoleTitles!$A:$B,2,FALSE),"YES","NO"))</f>
        <v/>
      </c>
      <c r="K855" s="27">
        <f>IF($A855="","",IF(AND($H855="PROMOTE",$J855="YES"),"YES — PROMOTE","NO"))</f>
        <v/>
      </c>
    </row>
    <row r="856">
      <c r="A856" s="7" t="n"/>
      <c r="B856" s="7">
        <f>IF($A856="","",VLOOKUP($A856,CoachRoster!$A:$E,4,FALSE))</f>
        <v/>
      </c>
      <c r="C856" s="7" t="n"/>
      <c r="D856" s="7" t="n"/>
      <c r="E856" s="7" t="n"/>
      <c r="F856" s="7" t="n"/>
      <c r="G856" s="7" t="n"/>
      <c r="H856" s="7">
        <f>IF($A856="","",IF(AND($E856="Pass",$F856="Pass",$G856="Pass"),"PROMOTE","NOT YET"))</f>
        <v/>
      </c>
      <c r="I856" s="7" t="n"/>
      <c r="J856" s="27">
        <f>IF(OR($A856="",$C856=""),"",IF(IFERROR(VLOOKUP($A856,Ledger!$A:$E,5,FALSE),0)&gt;=VLOOKUP($C856,RoleTitles!$A:$B,2,FALSE),"YES","NO"))</f>
        <v/>
      </c>
      <c r="K856" s="27">
        <f>IF($A856="","",IF(AND($H856="PROMOTE",$J856="YES"),"YES — PROMOTE","NO"))</f>
        <v/>
      </c>
    </row>
    <row r="857">
      <c r="A857" s="7" t="n"/>
      <c r="B857" s="7">
        <f>IF($A857="","",VLOOKUP($A857,CoachRoster!$A:$E,4,FALSE))</f>
        <v/>
      </c>
      <c r="C857" s="7" t="n"/>
      <c r="D857" s="7" t="n"/>
      <c r="E857" s="7" t="n"/>
      <c r="F857" s="7" t="n"/>
      <c r="G857" s="7" t="n"/>
      <c r="H857" s="7">
        <f>IF($A857="","",IF(AND($E857="Pass",$F857="Pass",$G857="Pass"),"PROMOTE","NOT YET"))</f>
        <v/>
      </c>
      <c r="I857" s="7" t="n"/>
      <c r="J857" s="27">
        <f>IF(OR($A857="",$C857=""),"",IF(IFERROR(VLOOKUP($A857,Ledger!$A:$E,5,FALSE),0)&gt;=VLOOKUP($C857,RoleTitles!$A:$B,2,FALSE),"YES","NO"))</f>
        <v/>
      </c>
      <c r="K857" s="27">
        <f>IF($A857="","",IF(AND($H857="PROMOTE",$J857="YES"),"YES — PROMOTE","NO"))</f>
        <v/>
      </c>
    </row>
    <row r="858">
      <c r="A858" s="7" t="n"/>
      <c r="B858" s="7">
        <f>IF($A858="","",VLOOKUP($A858,CoachRoster!$A:$E,4,FALSE))</f>
        <v/>
      </c>
      <c r="C858" s="7" t="n"/>
      <c r="D858" s="7" t="n"/>
      <c r="E858" s="7" t="n"/>
      <c r="F858" s="7" t="n"/>
      <c r="G858" s="7" t="n"/>
      <c r="H858" s="7">
        <f>IF($A858="","",IF(AND($E858="Pass",$F858="Pass",$G858="Pass"),"PROMOTE","NOT YET"))</f>
        <v/>
      </c>
      <c r="I858" s="7" t="n"/>
      <c r="J858" s="27">
        <f>IF(OR($A858="",$C858=""),"",IF(IFERROR(VLOOKUP($A858,Ledger!$A:$E,5,FALSE),0)&gt;=VLOOKUP($C858,RoleTitles!$A:$B,2,FALSE),"YES","NO"))</f>
        <v/>
      </c>
      <c r="K858" s="27">
        <f>IF($A858="","",IF(AND($H858="PROMOTE",$J858="YES"),"YES — PROMOTE","NO"))</f>
        <v/>
      </c>
    </row>
    <row r="859">
      <c r="A859" s="7" t="n"/>
      <c r="B859" s="7">
        <f>IF($A859="","",VLOOKUP($A859,CoachRoster!$A:$E,4,FALSE))</f>
        <v/>
      </c>
      <c r="C859" s="7" t="n"/>
      <c r="D859" s="7" t="n"/>
      <c r="E859" s="7" t="n"/>
      <c r="F859" s="7" t="n"/>
      <c r="G859" s="7" t="n"/>
      <c r="H859" s="7">
        <f>IF($A859="","",IF(AND($E859="Pass",$F859="Pass",$G859="Pass"),"PROMOTE","NOT YET"))</f>
        <v/>
      </c>
      <c r="I859" s="7" t="n"/>
      <c r="J859" s="27">
        <f>IF(OR($A859="",$C859=""),"",IF(IFERROR(VLOOKUP($A859,Ledger!$A:$E,5,FALSE),0)&gt;=VLOOKUP($C859,RoleTitles!$A:$B,2,FALSE),"YES","NO"))</f>
        <v/>
      </c>
      <c r="K859" s="27">
        <f>IF($A859="","",IF(AND($H859="PROMOTE",$J859="YES"),"YES — PROMOTE","NO"))</f>
        <v/>
      </c>
    </row>
    <row r="860">
      <c r="A860" s="7" t="n"/>
      <c r="B860" s="7">
        <f>IF($A860="","",VLOOKUP($A860,CoachRoster!$A:$E,4,FALSE))</f>
        <v/>
      </c>
      <c r="C860" s="7" t="n"/>
      <c r="D860" s="7" t="n"/>
      <c r="E860" s="7" t="n"/>
      <c r="F860" s="7" t="n"/>
      <c r="G860" s="7" t="n"/>
      <c r="H860" s="7">
        <f>IF($A860="","",IF(AND($E860="Pass",$F860="Pass",$G860="Pass"),"PROMOTE","NOT YET"))</f>
        <v/>
      </c>
      <c r="I860" s="7" t="n"/>
      <c r="J860" s="27">
        <f>IF(OR($A860="",$C860=""),"",IF(IFERROR(VLOOKUP($A860,Ledger!$A:$E,5,FALSE),0)&gt;=VLOOKUP($C860,RoleTitles!$A:$B,2,FALSE),"YES","NO"))</f>
        <v/>
      </c>
      <c r="K860" s="27">
        <f>IF($A860="","",IF(AND($H860="PROMOTE",$J860="YES"),"YES — PROMOTE","NO"))</f>
        <v/>
      </c>
    </row>
    <row r="861">
      <c r="A861" s="7" t="n"/>
      <c r="B861" s="7">
        <f>IF($A861="","",VLOOKUP($A861,CoachRoster!$A:$E,4,FALSE))</f>
        <v/>
      </c>
      <c r="C861" s="7" t="n"/>
      <c r="D861" s="7" t="n"/>
      <c r="E861" s="7" t="n"/>
      <c r="F861" s="7" t="n"/>
      <c r="G861" s="7" t="n"/>
      <c r="H861" s="7">
        <f>IF($A861="","",IF(AND($E861="Pass",$F861="Pass",$G861="Pass"),"PROMOTE","NOT YET"))</f>
        <v/>
      </c>
      <c r="I861" s="7" t="n"/>
      <c r="J861" s="27">
        <f>IF(OR($A861="",$C861=""),"",IF(IFERROR(VLOOKUP($A861,Ledger!$A:$E,5,FALSE),0)&gt;=VLOOKUP($C861,RoleTitles!$A:$B,2,FALSE),"YES","NO"))</f>
        <v/>
      </c>
      <c r="K861" s="27">
        <f>IF($A861="","",IF(AND($H861="PROMOTE",$J861="YES"),"YES — PROMOTE","NO"))</f>
        <v/>
      </c>
    </row>
    <row r="862">
      <c r="A862" s="7" t="n"/>
      <c r="B862" s="7">
        <f>IF($A862="","",VLOOKUP($A862,CoachRoster!$A:$E,4,FALSE))</f>
        <v/>
      </c>
      <c r="C862" s="7" t="n"/>
      <c r="D862" s="7" t="n"/>
      <c r="E862" s="7" t="n"/>
      <c r="F862" s="7" t="n"/>
      <c r="G862" s="7" t="n"/>
      <c r="H862" s="7">
        <f>IF($A862="","",IF(AND($E862="Pass",$F862="Pass",$G862="Pass"),"PROMOTE","NOT YET"))</f>
        <v/>
      </c>
      <c r="I862" s="7" t="n"/>
      <c r="J862" s="27">
        <f>IF(OR($A862="",$C862=""),"",IF(IFERROR(VLOOKUP($A862,Ledger!$A:$E,5,FALSE),0)&gt;=VLOOKUP($C862,RoleTitles!$A:$B,2,FALSE),"YES","NO"))</f>
        <v/>
      </c>
      <c r="K862" s="27">
        <f>IF($A862="","",IF(AND($H862="PROMOTE",$J862="YES"),"YES — PROMOTE","NO"))</f>
        <v/>
      </c>
    </row>
    <row r="863">
      <c r="A863" s="7" t="n"/>
      <c r="B863" s="7">
        <f>IF($A863="","",VLOOKUP($A863,CoachRoster!$A:$E,4,FALSE))</f>
        <v/>
      </c>
      <c r="C863" s="7" t="n"/>
      <c r="D863" s="7" t="n"/>
      <c r="E863" s="7" t="n"/>
      <c r="F863" s="7" t="n"/>
      <c r="G863" s="7" t="n"/>
      <c r="H863" s="7">
        <f>IF($A863="","",IF(AND($E863="Pass",$F863="Pass",$G863="Pass"),"PROMOTE","NOT YET"))</f>
        <v/>
      </c>
      <c r="I863" s="7" t="n"/>
      <c r="J863" s="27">
        <f>IF(OR($A863="",$C863=""),"",IF(IFERROR(VLOOKUP($A863,Ledger!$A:$E,5,FALSE),0)&gt;=VLOOKUP($C863,RoleTitles!$A:$B,2,FALSE),"YES","NO"))</f>
        <v/>
      </c>
      <c r="K863" s="27">
        <f>IF($A863="","",IF(AND($H863="PROMOTE",$J863="YES"),"YES — PROMOTE","NO"))</f>
        <v/>
      </c>
    </row>
    <row r="864">
      <c r="A864" s="7" t="n"/>
      <c r="B864" s="7">
        <f>IF($A864="","",VLOOKUP($A864,CoachRoster!$A:$E,4,FALSE))</f>
        <v/>
      </c>
      <c r="C864" s="7" t="n"/>
      <c r="D864" s="7" t="n"/>
      <c r="E864" s="7" t="n"/>
      <c r="F864" s="7" t="n"/>
      <c r="G864" s="7" t="n"/>
      <c r="H864" s="7">
        <f>IF($A864="","",IF(AND($E864="Pass",$F864="Pass",$G864="Pass"),"PROMOTE","NOT YET"))</f>
        <v/>
      </c>
      <c r="I864" s="7" t="n"/>
      <c r="J864" s="27">
        <f>IF(OR($A864="",$C864=""),"",IF(IFERROR(VLOOKUP($A864,Ledger!$A:$E,5,FALSE),0)&gt;=VLOOKUP($C864,RoleTitles!$A:$B,2,FALSE),"YES","NO"))</f>
        <v/>
      </c>
      <c r="K864" s="27">
        <f>IF($A864="","",IF(AND($H864="PROMOTE",$J864="YES"),"YES — PROMOTE","NO"))</f>
        <v/>
      </c>
    </row>
    <row r="865">
      <c r="A865" s="7" t="n"/>
      <c r="B865" s="7">
        <f>IF($A865="","",VLOOKUP($A865,CoachRoster!$A:$E,4,FALSE))</f>
        <v/>
      </c>
      <c r="C865" s="7" t="n"/>
      <c r="D865" s="7" t="n"/>
      <c r="E865" s="7" t="n"/>
      <c r="F865" s="7" t="n"/>
      <c r="G865" s="7" t="n"/>
      <c r="H865" s="7">
        <f>IF($A865="","",IF(AND($E865="Pass",$F865="Pass",$G865="Pass"),"PROMOTE","NOT YET"))</f>
        <v/>
      </c>
      <c r="I865" s="7" t="n"/>
      <c r="J865" s="27">
        <f>IF(OR($A865="",$C865=""),"",IF(IFERROR(VLOOKUP($A865,Ledger!$A:$E,5,FALSE),0)&gt;=VLOOKUP($C865,RoleTitles!$A:$B,2,FALSE),"YES","NO"))</f>
        <v/>
      </c>
      <c r="K865" s="27">
        <f>IF($A865="","",IF(AND($H865="PROMOTE",$J865="YES"),"YES — PROMOTE","NO"))</f>
        <v/>
      </c>
    </row>
    <row r="866">
      <c r="A866" s="7" t="n"/>
      <c r="B866" s="7">
        <f>IF($A866="","",VLOOKUP($A866,CoachRoster!$A:$E,4,FALSE))</f>
        <v/>
      </c>
      <c r="C866" s="7" t="n"/>
      <c r="D866" s="7" t="n"/>
      <c r="E866" s="7" t="n"/>
      <c r="F866" s="7" t="n"/>
      <c r="G866" s="7" t="n"/>
      <c r="H866" s="7">
        <f>IF($A866="","",IF(AND($E866="Pass",$F866="Pass",$G866="Pass"),"PROMOTE","NOT YET"))</f>
        <v/>
      </c>
      <c r="I866" s="7" t="n"/>
      <c r="J866" s="27">
        <f>IF(OR($A866="",$C866=""),"",IF(IFERROR(VLOOKUP($A866,Ledger!$A:$E,5,FALSE),0)&gt;=VLOOKUP($C866,RoleTitles!$A:$B,2,FALSE),"YES","NO"))</f>
        <v/>
      </c>
      <c r="K866" s="27">
        <f>IF($A866="","",IF(AND($H866="PROMOTE",$J866="YES"),"YES — PROMOTE","NO"))</f>
        <v/>
      </c>
    </row>
    <row r="867">
      <c r="A867" s="7" t="n"/>
      <c r="B867" s="7">
        <f>IF($A867="","",VLOOKUP($A867,CoachRoster!$A:$E,4,FALSE))</f>
        <v/>
      </c>
      <c r="C867" s="7" t="n"/>
      <c r="D867" s="7" t="n"/>
      <c r="E867" s="7" t="n"/>
      <c r="F867" s="7" t="n"/>
      <c r="G867" s="7" t="n"/>
      <c r="H867" s="7">
        <f>IF($A867="","",IF(AND($E867="Pass",$F867="Pass",$G867="Pass"),"PROMOTE","NOT YET"))</f>
        <v/>
      </c>
      <c r="I867" s="7" t="n"/>
      <c r="J867" s="27">
        <f>IF(OR($A867="",$C867=""),"",IF(IFERROR(VLOOKUP($A867,Ledger!$A:$E,5,FALSE),0)&gt;=VLOOKUP($C867,RoleTitles!$A:$B,2,FALSE),"YES","NO"))</f>
        <v/>
      </c>
      <c r="K867" s="27">
        <f>IF($A867="","",IF(AND($H867="PROMOTE",$J867="YES"),"YES — PROMOTE","NO"))</f>
        <v/>
      </c>
    </row>
    <row r="868">
      <c r="A868" s="7" t="n"/>
      <c r="B868" s="7">
        <f>IF($A868="","",VLOOKUP($A868,CoachRoster!$A:$E,4,FALSE))</f>
        <v/>
      </c>
      <c r="C868" s="7" t="n"/>
      <c r="D868" s="7" t="n"/>
      <c r="E868" s="7" t="n"/>
      <c r="F868" s="7" t="n"/>
      <c r="G868" s="7" t="n"/>
      <c r="H868" s="7">
        <f>IF($A868="","",IF(AND($E868="Pass",$F868="Pass",$G868="Pass"),"PROMOTE","NOT YET"))</f>
        <v/>
      </c>
      <c r="I868" s="7" t="n"/>
      <c r="J868" s="27">
        <f>IF(OR($A868="",$C868=""),"",IF(IFERROR(VLOOKUP($A868,Ledger!$A:$E,5,FALSE),0)&gt;=VLOOKUP($C868,RoleTitles!$A:$B,2,FALSE),"YES","NO"))</f>
        <v/>
      </c>
      <c r="K868" s="27">
        <f>IF($A868="","",IF(AND($H868="PROMOTE",$J868="YES"),"YES — PROMOTE","NO"))</f>
        <v/>
      </c>
    </row>
    <row r="869">
      <c r="A869" s="7" t="n"/>
      <c r="B869" s="7">
        <f>IF($A869="","",VLOOKUP($A869,CoachRoster!$A:$E,4,FALSE))</f>
        <v/>
      </c>
      <c r="C869" s="7" t="n"/>
      <c r="D869" s="7" t="n"/>
      <c r="E869" s="7" t="n"/>
      <c r="F869" s="7" t="n"/>
      <c r="G869" s="7" t="n"/>
      <c r="H869" s="7">
        <f>IF($A869="","",IF(AND($E869="Pass",$F869="Pass",$G869="Pass"),"PROMOTE","NOT YET"))</f>
        <v/>
      </c>
      <c r="I869" s="7" t="n"/>
      <c r="J869" s="27">
        <f>IF(OR($A869="",$C869=""),"",IF(IFERROR(VLOOKUP($A869,Ledger!$A:$E,5,FALSE),0)&gt;=VLOOKUP($C869,RoleTitles!$A:$B,2,FALSE),"YES","NO"))</f>
        <v/>
      </c>
      <c r="K869" s="27">
        <f>IF($A869="","",IF(AND($H869="PROMOTE",$J869="YES"),"YES — PROMOTE","NO"))</f>
        <v/>
      </c>
    </row>
    <row r="870">
      <c r="A870" s="7" t="n"/>
      <c r="B870" s="7">
        <f>IF($A870="","",VLOOKUP($A870,CoachRoster!$A:$E,4,FALSE))</f>
        <v/>
      </c>
      <c r="C870" s="7" t="n"/>
      <c r="D870" s="7" t="n"/>
      <c r="E870" s="7" t="n"/>
      <c r="F870" s="7" t="n"/>
      <c r="G870" s="7" t="n"/>
      <c r="H870" s="7">
        <f>IF($A870="","",IF(AND($E870="Pass",$F870="Pass",$G870="Pass"),"PROMOTE","NOT YET"))</f>
        <v/>
      </c>
      <c r="I870" s="7" t="n"/>
      <c r="J870" s="27">
        <f>IF(OR($A870="",$C870=""),"",IF(IFERROR(VLOOKUP($A870,Ledger!$A:$E,5,FALSE),0)&gt;=VLOOKUP($C870,RoleTitles!$A:$B,2,FALSE),"YES","NO"))</f>
        <v/>
      </c>
      <c r="K870" s="27">
        <f>IF($A870="","",IF(AND($H870="PROMOTE",$J870="YES"),"YES — PROMOTE","NO"))</f>
        <v/>
      </c>
    </row>
    <row r="871">
      <c r="A871" s="7" t="n"/>
      <c r="B871" s="7">
        <f>IF($A871="","",VLOOKUP($A871,CoachRoster!$A:$E,4,FALSE))</f>
        <v/>
      </c>
      <c r="C871" s="7" t="n"/>
      <c r="D871" s="7" t="n"/>
      <c r="E871" s="7" t="n"/>
      <c r="F871" s="7" t="n"/>
      <c r="G871" s="7" t="n"/>
      <c r="H871" s="7">
        <f>IF($A871="","",IF(AND($E871="Pass",$F871="Pass",$G871="Pass"),"PROMOTE","NOT YET"))</f>
        <v/>
      </c>
      <c r="I871" s="7" t="n"/>
      <c r="J871" s="27">
        <f>IF(OR($A871="",$C871=""),"",IF(IFERROR(VLOOKUP($A871,Ledger!$A:$E,5,FALSE),0)&gt;=VLOOKUP($C871,RoleTitles!$A:$B,2,FALSE),"YES","NO"))</f>
        <v/>
      </c>
      <c r="K871" s="27">
        <f>IF($A871="","",IF(AND($H871="PROMOTE",$J871="YES"),"YES — PROMOTE","NO"))</f>
        <v/>
      </c>
    </row>
    <row r="872">
      <c r="A872" s="7" t="n"/>
      <c r="B872" s="7">
        <f>IF($A872="","",VLOOKUP($A872,CoachRoster!$A:$E,4,FALSE))</f>
        <v/>
      </c>
      <c r="C872" s="7" t="n"/>
      <c r="D872" s="7" t="n"/>
      <c r="E872" s="7" t="n"/>
      <c r="F872" s="7" t="n"/>
      <c r="G872" s="7" t="n"/>
      <c r="H872" s="7">
        <f>IF($A872="","",IF(AND($E872="Pass",$F872="Pass",$G872="Pass"),"PROMOTE","NOT YET"))</f>
        <v/>
      </c>
      <c r="I872" s="7" t="n"/>
      <c r="J872" s="27">
        <f>IF(OR($A872="",$C872=""),"",IF(IFERROR(VLOOKUP($A872,Ledger!$A:$E,5,FALSE),0)&gt;=VLOOKUP($C872,RoleTitles!$A:$B,2,FALSE),"YES","NO"))</f>
        <v/>
      </c>
      <c r="K872" s="27">
        <f>IF($A872="","",IF(AND($H872="PROMOTE",$J872="YES"),"YES — PROMOTE","NO"))</f>
        <v/>
      </c>
    </row>
    <row r="873">
      <c r="A873" s="7" t="n"/>
      <c r="B873" s="7">
        <f>IF($A873="","",VLOOKUP($A873,CoachRoster!$A:$E,4,FALSE))</f>
        <v/>
      </c>
      <c r="C873" s="7" t="n"/>
      <c r="D873" s="7" t="n"/>
      <c r="E873" s="7" t="n"/>
      <c r="F873" s="7" t="n"/>
      <c r="G873" s="7" t="n"/>
      <c r="H873" s="7">
        <f>IF($A873="","",IF(AND($E873="Pass",$F873="Pass",$G873="Pass"),"PROMOTE","NOT YET"))</f>
        <v/>
      </c>
      <c r="I873" s="7" t="n"/>
      <c r="J873" s="27">
        <f>IF(OR($A873="",$C873=""),"",IF(IFERROR(VLOOKUP($A873,Ledger!$A:$E,5,FALSE),0)&gt;=VLOOKUP($C873,RoleTitles!$A:$B,2,FALSE),"YES","NO"))</f>
        <v/>
      </c>
      <c r="K873" s="27">
        <f>IF($A873="","",IF(AND($H873="PROMOTE",$J873="YES"),"YES — PROMOTE","NO"))</f>
        <v/>
      </c>
    </row>
    <row r="874">
      <c r="A874" s="7" t="n"/>
      <c r="B874" s="7">
        <f>IF($A874="","",VLOOKUP($A874,CoachRoster!$A:$E,4,FALSE))</f>
        <v/>
      </c>
      <c r="C874" s="7" t="n"/>
      <c r="D874" s="7" t="n"/>
      <c r="E874" s="7" t="n"/>
      <c r="F874" s="7" t="n"/>
      <c r="G874" s="7" t="n"/>
      <c r="H874" s="7">
        <f>IF($A874="","",IF(AND($E874="Pass",$F874="Pass",$G874="Pass"),"PROMOTE","NOT YET"))</f>
        <v/>
      </c>
      <c r="I874" s="7" t="n"/>
      <c r="J874" s="27">
        <f>IF(OR($A874="",$C874=""),"",IF(IFERROR(VLOOKUP($A874,Ledger!$A:$E,5,FALSE),0)&gt;=VLOOKUP($C874,RoleTitles!$A:$B,2,FALSE),"YES","NO"))</f>
        <v/>
      </c>
      <c r="K874" s="27">
        <f>IF($A874="","",IF(AND($H874="PROMOTE",$J874="YES"),"YES — PROMOTE","NO"))</f>
        <v/>
      </c>
    </row>
    <row r="875">
      <c r="A875" s="7" t="n"/>
      <c r="B875" s="7">
        <f>IF($A875="","",VLOOKUP($A875,CoachRoster!$A:$E,4,FALSE))</f>
        <v/>
      </c>
      <c r="C875" s="7" t="n"/>
      <c r="D875" s="7" t="n"/>
      <c r="E875" s="7" t="n"/>
      <c r="F875" s="7" t="n"/>
      <c r="G875" s="7" t="n"/>
      <c r="H875" s="7">
        <f>IF($A875="","",IF(AND($E875="Pass",$F875="Pass",$G875="Pass"),"PROMOTE","NOT YET"))</f>
        <v/>
      </c>
      <c r="I875" s="7" t="n"/>
      <c r="J875" s="27">
        <f>IF(OR($A875="",$C875=""),"",IF(IFERROR(VLOOKUP($A875,Ledger!$A:$E,5,FALSE),0)&gt;=VLOOKUP($C875,RoleTitles!$A:$B,2,FALSE),"YES","NO"))</f>
        <v/>
      </c>
      <c r="K875" s="27">
        <f>IF($A875="","",IF(AND($H875="PROMOTE",$J875="YES"),"YES — PROMOTE","NO"))</f>
        <v/>
      </c>
    </row>
    <row r="876">
      <c r="A876" s="7" t="n"/>
      <c r="B876" s="7">
        <f>IF($A876="","",VLOOKUP($A876,CoachRoster!$A:$E,4,FALSE))</f>
        <v/>
      </c>
      <c r="C876" s="7" t="n"/>
      <c r="D876" s="7" t="n"/>
      <c r="E876" s="7" t="n"/>
      <c r="F876" s="7" t="n"/>
      <c r="G876" s="7" t="n"/>
      <c r="H876" s="7">
        <f>IF($A876="","",IF(AND($E876="Pass",$F876="Pass",$G876="Pass"),"PROMOTE","NOT YET"))</f>
        <v/>
      </c>
      <c r="I876" s="7" t="n"/>
      <c r="J876" s="27">
        <f>IF(OR($A876="",$C876=""),"",IF(IFERROR(VLOOKUP($A876,Ledger!$A:$E,5,FALSE),0)&gt;=VLOOKUP($C876,RoleTitles!$A:$B,2,FALSE),"YES","NO"))</f>
        <v/>
      </c>
      <c r="K876" s="27">
        <f>IF($A876="","",IF(AND($H876="PROMOTE",$J876="YES"),"YES — PROMOTE","NO"))</f>
        <v/>
      </c>
    </row>
    <row r="877">
      <c r="A877" s="7" t="n"/>
      <c r="B877" s="7">
        <f>IF($A877="","",VLOOKUP($A877,CoachRoster!$A:$E,4,FALSE))</f>
        <v/>
      </c>
      <c r="C877" s="7" t="n"/>
      <c r="D877" s="7" t="n"/>
      <c r="E877" s="7" t="n"/>
      <c r="F877" s="7" t="n"/>
      <c r="G877" s="7" t="n"/>
      <c r="H877" s="7">
        <f>IF($A877="","",IF(AND($E877="Pass",$F877="Pass",$G877="Pass"),"PROMOTE","NOT YET"))</f>
        <v/>
      </c>
      <c r="I877" s="7" t="n"/>
      <c r="J877" s="27">
        <f>IF(OR($A877="",$C877=""),"",IF(IFERROR(VLOOKUP($A877,Ledger!$A:$E,5,FALSE),0)&gt;=VLOOKUP($C877,RoleTitles!$A:$B,2,FALSE),"YES","NO"))</f>
        <v/>
      </c>
      <c r="K877" s="27">
        <f>IF($A877="","",IF(AND($H877="PROMOTE",$J877="YES"),"YES — PROMOTE","NO"))</f>
        <v/>
      </c>
    </row>
    <row r="878">
      <c r="A878" s="7" t="n"/>
      <c r="B878" s="7">
        <f>IF($A878="","",VLOOKUP($A878,CoachRoster!$A:$E,4,FALSE))</f>
        <v/>
      </c>
      <c r="C878" s="7" t="n"/>
      <c r="D878" s="7" t="n"/>
      <c r="E878" s="7" t="n"/>
      <c r="F878" s="7" t="n"/>
      <c r="G878" s="7" t="n"/>
      <c r="H878" s="7">
        <f>IF($A878="","",IF(AND($E878="Pass",$F878="Pass",$G878="Pass"),"PROMOTE","NOT YET"))</f>
        <v/>
      </c>
      <c r="I878" s="7" t="n"/>
      <c r="J878" s="27">
        <f>IF(OR($A878="",$C878=""),"",IF(IFERROR(VLOOKUP($A878,Ledger!$A:$E,5,FALSE),0)&gt;=VLOOKUP($C878,RoleTitles!$A:$B,2,FALSE),"YES","NO"))</f>
        <v/>
      </c>
      <c r="K878" s="27">
        <f>IF($A878="","",IF(AND($H878="PROMOTE",$J878="YES"),"YES — PROMOTE","NO"))</f>
        <v/>
      </c>
    </row>
    <row r="879">
      <c r="A879" s="7" t="n"/>
      <c r="B879" s="7">
        <f>IF($A879="","",VLOOKUP($A879,CoachRoster!$A:$E,4,FALSE))</f>
        <v/>
      </c>
      <c r="C879" s="7" t="n"/>
      <c r="D879" s="7" t="n"/>
      <c r="E879" s="7" t="n"/>
      <c r="F879" s="7" t="n"/>
      <c r="G879" s="7" t="n"/>
      <c r="H879" s="7">
        <f>IF($A879="","",IF(AND($E879="Pass",$F879="Pass",$G879="Pass"),"PROMOTE","NOT YET"))</f>
        <v/>
      </c>
      <c r="I879" s="7" t="n"/>
      <c r="J879" s="27">
        <f>IF(OR($A879="",$C879=""),"",IF(IFERROR(VLOOKUP($A879,Ledger!$A:$E,5,FALSE),0)&gt;=VLOOKUP($C879,RoleTitles!$A:$B,2,FALSE),"YES","NO"))</f>
        <v/>
      </c>
      <c r="K879" s="27">
        <f>IF($A879="","",IF(AND($H879="PROMOTE",$J879="YES"),"YES — PROMOTE","NO"))</f>
        <v/>
      </c>
    </row>
    <row r="880">
      <c r="A880" s="7" t="n"/>
      <c r="B880" s="7">
        <f>IF($A880="","",VLOOKUP($A880,CoachRoster!$A:$E,4,FALSE))</f>
        <v/>
      </c>
      <c r="C880" s="7" t="n"/>
      <c r="D880" s="7" t="n"/>
      <c r="E880" s="7" t="n"/>
      <c r="F880" s="7" t="n"/>
      <c r="G880" s="7" t="n"/>
      <c r="H880" s="7">
        <f>IF($A880="","",IF(AND($E880="Pass",$F880="Pass",$G880="Pass"),"PROMOTE","NOT YET"))</f>
        <v/>
      </c>
      <c r="I880" s="7" t="n"/>
      <c r="J880" s="27">
        <f>IF(OR($A880="",$C880=""),"",IF(IFERROR(VLOOKUP($A880,Ledger!$A:$E,5,FALSE),0)&gt;=VLOOKUP($C880,RoleTitles!$A:$B,2,FALSE),"YES","NO"))</f>
        <v/>
      </c>
      <c r="K880" s="27">
        <f>IF($A880="","",IF(AND($H880="PROMOTE",$J880="YES"),"YES — PROMOTE","NO"))</f>
        <v/>
      </c>
    </row>
    <row r="881">
      <c r="A881" s="7" t="n"/>
      <c r="B881" s="7">
        <f>IF($A881="","",VLOOKUP($A881,CoachRoster!$A:$E,4,FALSE))</f>
        <v/>
      </c>
      <c r="C881" s="7" t="n"/>
      <c r="D881" s="7" t="n"/>
      <c r="E881" s="7" t="n"/>
      <c r="F881" s="7" t="n"/>
      <c r="G881" s="7" t="n"/>
      <c r="H881" s="7">
        <f>IF($A881="","",IF(AND($E881="Pass",$F881="Pass",$G881="Pass"),"PROMOTE","NOT YET"))</f>
        <v/>
      </c>
      <c r="I881" s="7" t="n"/>
      <c r="J881" s="27">
        <f>IF(OR($A881="",$C881=""),"",IF(IFERROR(VLOOKUP($A881,Ledger!$A:$E,5,FALSE),0)&gt;=VLOOKUP($C881,RoleTitles!$A:$B,2,FALSE),"YES","NO"))</f>
        <v/>
      </c>
      <c r="K881" s="27">
        <f>IF($A881="","",IF(AND($H881="PROMOTE",$J881="YES"),"YES — PROMOTE","NO"))</f>
        <v/>
      </c>
    </row>
    <row r="882">
      <c r="A882" s="7" t="n"/>
      <c r="B882" s="7">
        <f>IF($A882="","",VLOOKUP($A882,CoachRoster!$A:$E,4,FALSE))</f>
        <v/>
      </c>
      <c r="C882" s="7" t="n"/>
      <c r="D882" s="7" t="n"/>
      <c r="E882" s="7" t="n"/>
      <c r="F882" s="7" t="n"/>
      <c r="G882" s="7" t="n"/>
      <c r="H882" s="7">
        <f>IF($A882="","",IF(AND($E882="Pass",$F882="Pass",$G882="Pass"),"PROMOTE","NOT YET"))</f>
        <v/>
      </c>
      <c r="I882" s="7" t="n"/>
      <c r="J882" s="27">
        <f>IF(OR($A882="",$C882=""),"",IF(IFERROR(VLOOKUP($A882,Ledger!$A:$E,5,FALSE),0)&gt;=VLOOKUP($C882,RoleTitles!$A:$B,2,FALSE),"YES","NO"))</f>
        <v/>
      </c>
      <c r="K882" s="27">
        <f>IF($A882="","",IF(AND($H882="PROMOTE",$J882="YES"),"YES — PROMOTE","NO"))</f>
        <v/>
      </c>
    </row>
    <row r="883">
      <c r="A883" s="7" t="n"/>
      <c r="B883" s="7">
        <f>IF($A883="","",VLOOKUP($A883,CoachRoster!$A:$E,4,FALSE))</f>
        <v/>
      </c>
      <c r="C883" s="7" t="n"/>
      <c r="D883" s="7" t="n"/>
      <c r="E883" s="7" t="n"/>
      <c r="F883" s="7" t="n"/>
      <c r="G883" s="7" t="n"/>
      <c r="H883" s="7">
        <f>IF($A883="","",IF(AND($E883="Pass",$F883="Pass",$G883="Pass"),"PROMOTE","NOT YET"))</f>
        <v/>
      </c>
      <c r="I883" s="7" t="n"/>
      <c r="J883" s="27">
        <f>IF(OR($A883="",$C883=""),"",IF(IFERROR(VLOOKUP($A883,Ledger!$A:$E,5,FALSE),0)&gt;=VLOOKUP($C883,RoleTitles!$A:$B,2,FALSE),"YES","NO"))</f>
        <v/>
      </c>
      <c r="K883" s="27">
        <f>IF($A883="","",IF(AND($H883="PROMOTE",$J883="YES"),"YES — PROMOTE","NO"))</f>
        <v/>
      </c>
    </row>
    <row r="884">
      <c r="A884" s="7" t="n"/>
      <c r="B884" s="7">
        <f>IF($A884="","",VLOOKUP($A884,CoachRoster!$A:$E,4,FALSE))</f>
        <v/>
      </c>
      <c r="C884" s="7" t="n"/>
      <c r="D884" s="7" t="n"/>
      <c r="E884" s="7" t="n"/>
      <c r="F884" s="7" t="n"/>
      <c r="G884" s="7" t="n"/>
      <c r="H884" s="7">
        <f>IF($A884="","",IF(AND($E884="Pass",$F884="Pass",$G884="Pass"),"PROMOTE","NOT YET"))</f>
        <v/>
      </c>
      <c r="I884" s="7" t="n"/>
      <c r="J884" s="27">
        <f>IF(OR($A884="",$C884=""),"",IF(IFERROR(VLOOKUP($A884,Ledger!$A:$E,5,FALSE),0)&gt;=VLOOKUP($C884,RoleTitles!$A:$B,2,FALSE),"YES","NO"))</f>
        <v/>
      </c>
      <c r="K884" s="27">
        <f>IF($A884="","",IF(AND($H884="PROMOTE",$J884="YES"),"YES — PROMOTE","NO"))</f>
        <v/>
      </c>
    </row>
    <row r="885">
      <c r="A885" s="7" t="n"/>
      <c r="B885" s="7">
        <f>IF($A885="","",VLOOKUP($A885,CoachRoster!$A:$E,4,FALSE))</f>
        <v/>
      </c>
      <c r="C885" s="7" t="n"/>
      <c r="D885" s="7" t="n"/>
      <c r="E885" s="7" t="n"/>
      <c r="F885" s="7" t="n"/>
      <c r="G885" s="7" t="n"/>
      <c r="H885" s="7">
        <f>IF($A885="","",IF(AND($E885="Pass",$F885="Pass",$G885="Pass"),"PROMOTE","NOT YET"))</f>
        <v/>
      </c>
      <c r="I885" s="7" t="n"/>
      <c r="J885" s="27">
        <f>IF(OR($A885="",$C885=""),"",IF(IFERROR(VLOOKUP($A885,Ledger!$A:$E,5,FALSE),0)&gt;=VLOOKUP($C885,RoleTitles!$A:$B,2,FALSE),"YES","NO"))</f>
        <v/>
      </c>
      <c r="K885" s="27">
        <f>IF($A885="","",IF(AND($H885="PROMOTE",$J885="YES"),"YES — PROMOTE","NO"))</f>
        <v/>
      </c>
    </row>
    <row r="886">
      <c r="A886" s="7" t="n"/>
      <c r="B886" s="7">
        <f>IF($A886="","",VLOOKUP($A886,CoachRoster!$A:$E,4,FALSE))</f>
        <v/>
      </c>
      <c r="C886" s="7" t="n"/>
      <c r="D886" s="7" t="n"/>
      <c r="E886" s="7" t="n"/>
      <c r="F886" s="7" t="n"/>
      <c r="G886" s="7" t="n"/>
      <c r="H886" s="7">
        <f>IF($A886="","",IF(AND($E886="Pass",$F886="Pass",$G886="Pass"),"PROMOTE","NOT YET"))</f>
        <v/>
      </c>
      <c r="I886" s="7" t="n"/>
      <c r="J886" s="27">
        <f>IF(OR($A886="",$C886=""),"",IF(IFERROR(VLOOKUP($A886,Ledger!$A:$E,5,FALSE),0)&gt;=VLOOKUP($C886,RoleTitles!$A:$B,2,FALSE),"YES","NO"))</f>
        <v/>
      </c>
      <c r="K886" s="27">
        <f>IF($A886="","",IF(AND($H886="PROMOTE",$J886="YES"),"YES — PROMOTE","NO"))</f>
        <v/>
      </c>
    </row>
    <row r="887">
      <c r="A887" s="7" t="n"/>
      <c r="B887" s="7">
        <f>IF($A887="","",VLOOKUP($A887,CoachRoster!$A:$E,4,FALSE))</f>
        <v/>
      </c>
      <c r="C887" s="7" t="n"/>
      <c r="D887" s="7" t="n"/>
      <c r="E887" s="7" t="n"/>
      <c r="F887" s="7" t="n"/>
      <c r="G887" s="7" t="n"/>
      <c r="H887" s="7">
        <f>IF($A887="","",IF(AND($E887="Pass",$F887="Pass",$G887="Pass"),"PROMOTE","NOT YET"))</f>
        <v/>
      </c>
      <c r="I887" s="7" t="n"/>
      <c r="J887" s="27">
        <f>IF(OR($A887="",$C887=""),"",IF(IFERROR(VLOOKUP($A887,Ledger!$A:$E,5,FALSE),0)&gt;=VLOOKUP($C887,RoleTitles!$A:$B,2,FALSE),"YES","NO"))</f>
        <v/>
      </c>
      <c r="K887" s="27">
        <f>IF($A887="","",IF(AND($H887="PROMOTE",$J887="YES"),"YES — PROMOTE","NO"))</f>
        <v/>
      </c>
    </row>
    <row r="888">
      <c r="A888" s="7" t="n"/>
      <c r="B888" s="7">
        <f>IF($A888="","",VLOOKUP($A888,CoachRoster!$A:$E,4,FALSE))</f>
        <v/>
      </c>
      <c r="C888" s="7" t="n"/>
      <c r="D888" s="7" t="n"/>
      <c r="E888" s="7" t="n"/>
      <c r="F888" s="7" t="n"/>
      <c r="G888" s="7" t="n"/>
      <c r="H888" s="7">
        <f>IF($A888="","",IF(AND($E888="Pass",$F888="Pass",$G888="Pass"),"PROMOTE","NOT YET"))</f>
        <v/>
      </c>
      <c r="I888" s="7" t="n"/>
      <c r="J888" s="27">
        <f>IF(OR($A888="",$C888=""),"",IF(IFERROR(VLOOKUP($A888,Ledger!$A:$E,5,FALSE),0)&gt;=VLOOKUP($C888,RoleTitles!$A:$B,2,FALSE),"YES","NO"))</f>
        <v/>
      </c>
      <c r="K888" s="27">
        <f>IF($A888="","",IF(AND($H888="PROMOTE",$J888="YES"),"YES — PROMOTE","NO"))</f>
        <v/>
      </c>
    </row>
    <row r="889">
      <c r="A889" s="7" t="n"/>
      <c r="B889" s="7">
        <f>IF($A889="","",VLOOKUP($A889,CoachRoster!$A:$E,4,FALSE))</f>
        <v/>
      </c>
      <c r="C889" s="7" t="n"/>
      <c r="D889" s="7" t="n"/>
      <c r="E889" s="7" t="n"/>
      <c r="F889" s="7" t="n"/>
      <c r="G889" s="7" t="n"/>
      <c r="H889" s="7">
        <f>IF($A889="","",IF(AND($E889="Pass",$F889="Pass",$G889="Pass"),"PROMOTE","NOT YET"))</f>
        <v/>
      </c>
      <c r="I889" s="7" t="n"/>
      <c r="J889" s="27">
        <f>IF(OR($A889="",$C889=""),"",IF(IFERROR(VLOOKUP($A889,Ledger!$A:$E,5,FALSE),0)&gt;=VLOOKUP($C889,RoleTitles!$A:$B,2,FALSE),"YES","NO"))</f>
        <v/>
      </c>
      <c r="K889" s="27">
        <f>IF($A889="","",IF(AND($H889="PROMOTE",$J889="YES"),"YES — PROMOTE","NO"))</f>
        <v/>
      </c>
    </row>
    <row r="890">
      <c r="A890" s="7" t="n"/>
      <c r="B890" s="7">
        <f>IF($A890="","",VLOOKUP($A890,CoachRoster!$A:$E,4,FALSE))</f>
        <v/>
      </c>
      <c r="C890" s="7" t="n"/>
      <c r="D890" s="7" t="n"/>
      <c r="E890" s="7" t="n"/>
      <c r="F890" s="7" t="n"/>
      <c r="G890" s="7" t="n"/>
      <c r="H890" s="7">
        <f>IF($A890="","",IF(AND($E890="Pass",$F890="Pass",$G890="Pass"),"PROMOTE","NOT YET"))</f>
        <v/>
      </c>
      <c r="I890" s="7" t="n"/>
      <c r="J890" s="27">
        <f>IF(OR($A890="",$C890=""),"",IF(IFERROR(VLOOKUP($A890,Ledger!$A:$E,5,FALSE),0)&gt;=VLOOKUP($C890,RoleTitles!$A:$B,2,FALSE),"YES","NO"))</f>
        <v/>
      </c>
      <c r="K890" s="27">
        <f>IF($A890="","",IF(AND($H890="PROMOTE",$J890="YES"),"YES — PROMOTE","NO"))</f>
        <v/>
      </c>
    </row>
    <row r="891">
      <c r="A891" s="7" t="n"/>
      <c r="B891" s="7">
        <f>IF($A891="","",VLOOKUP($A891,CoachRoster!$A:$E,4,FALSE))</f>
        <v/>
      </c>
      <c r="C891" s="7" t="n"/>
      <c r="D891" s="7" t="n"/>
      <c r="E891" s="7" t="n"/>
      <c r="F891" s="7" t="n"/>
      <c r="G891" s="7" t="n"/>
      <c r="H891" s="7">
        <f>IF($A891="","",IF(AND($E891="Pass",$F891="Pass",$G891="Pass"),"PROMOTE","NOT YET"))</f>
        <v/>
      </c>
      <c r="I891" s="7" t="n"/>
      <c r="J891" s="27">
        <f>IF(OR($A891="",$C891=""),"",IF(IFERROR(VLOOKUP($A891,Ledger!$A:$E,5,FALSE),0)&gt;=VLOOKUP($C891,RoleTitles!$A:$B,2,FALSE),"YES","NO"))</f>
        <v/>
      </c>
      <c r="K891" s="27">
        <f>IF($A891="","",IF(AND($H891="PROMOTE",$J891="YES"),"YES — PROMOTE","NO"))</f>
        <v/>
      </c>
    </row>
    <row r="892">
      <c r="A892" s="7" t="n"/>
      <c r="B892" s="7">
        <f>IF($A892="","",VLOOKUP($A892,CoachRoster!$A:$E,4,FALSE))</f>
        <v/>
      </c>
      <c r="C892" s="7" t="n"/>
      <c r="D892" s="7" t="n"/>
      <c r="E892" s="7" t="n"/>
      <c r="F892" s="7" t="n"/>
      <c r="G892" s="7" t="n"/>
      <c r="H892" s="7">
        <f>IF($A892="","",IF(AND($E892="Pass",$F892="Pass",$G892="Pass"),"PROMOTE","NOT YET"))</f>
        <v/>
      </c>
      <c r="I892" s="7" t="n"/>
      <c r="J892" s="27">
        <f>IF(OR($A892="",$C892=""),"",IF(IFERROR(VLOOKUP($A892,Ledger!$A:$E,5,FALSE),0)&gt;=VLOOKUP($C892,RoleTitles!$A:$B,2,FALSE),"YES","NO"))</f>
        <v/>
      </c>
      <c r="K892" s="27">
        <f>IF($A892="","",IF(AND($H892="PROMOTE",$J892="YES"),"YES — PROMOTE","NO"))</f>
        <v/>
      </c>
    </row>
    <row r="893">
      <c r="A893" s="7" t="n"/>
      <c r="B893" s="7">
        <f>IF($A893="","",VLOOKUP($A893,CoachRoster!$A:$E,4,FALSE))</f>
        <v/>
      </c>
      <c r="C893" s="7" t="n"/>
      <c r="D893" s="7" t="n"/>
      <c r="E893" s="7" t="n"/>
      <c r="F893" s="7" t="n"/>
      <c r="G893" s="7" t="n"/>
      <c r="H893" s="7">
        <f>IF($A893="","",IF(AND($E893="Pass",$F893="Pass",$G893="Pass"),"PROMOTE","NOT YET"))</f>
        <v/>
      </c>
      <c r="I893" s="7" t="n"/>
      <c r="J893" s="27">
        <f>IF(OR($A893="",$C893=""),"",IF(IFERROR(VLOOKUP($A893,Ledger!$A:$E,5,FALSE),0)&gt;=VLOOKUP($C893,RoleTitles!$A:$B,2,FALSE),"YES","NO"))</f>
        <v/>
      </c>
      <c r="K893" s="27">
        <f>IF($A893="","",IF(AND($H893="PROMOTE",$J893="YES"),"YES — PROMOTE","NO"))</f>
        <v/>
      </c>
    </row>
    <row r="894">
      <c r="A894" s="7" t="n"/>
      <c r="B894" s="7">
        <f>IF($A894="","",VLOOKUP($A894,CoachRoster!$A:$E,4,FALSE))</f>
        <v/>
      </c>
      <c r="C894" s="7" t="n"/>
      <c r="D894" s="7" t="n"/>
      <c r="E894" s="7" t="n"/>
      <c r="F894" s="7" t="n"/>
      <c r="G894" s="7" t="n"/>
      <c r="H894" s="7">
        <f>IF($A894="","",IF(AND($E894="Pass",$F894="Pass",$G894="Pass"),"PROMOTE","NOT YET"))</f>
        <v/>
      </c>
      <c r="I894" s="7" t="n"/>
      <c r="J894" s="27">
        <f>IF(OR($A894="",$C894=""),"",IF(IFERROR(VLOOKUP($A894,Ledger!$A:$E,5,FALSE),0)&gt;=VLOOKUP($C894,RoleTitles!$A:$B,2,FALSE),"YES","NO"))</f>
        <v/>
      </c>
      <c r="K894" s="27">
        <f>IF($A894="","",IF(AND($H894="PROMOTE",$J894="YES"),"YES — PROMOTE","NO"))</f>
        <v/>
      </c>
    </row>
    <row r="895">
      <c r="A895" s="7" t="n"/>
      <c r="B895" s="7">
        <f>IF($A895="","",VLOOKUP($A895,CoachRoster!$A:$E,4,FALSE))</f>
        <v/>
      </c>
      <c r="C895" s="7" t="n"/>
      <c r="D895" s="7" t="n"/>
      <c r="E895" s="7" t="n"/>
      <c r="F895" s="7" t="n"/>
      <c r="G895" s="7" t="n"/>
      <c r="H895" s="7">
        <f>IF($A895="","",IF(AND($E895="Pass",$F895="Pass",$G895="Pass"),"PROMOTE","NOT YET"))</f>
        <v/>
      </c>
      <c r="I895" s="7" t="n"/>
      <c r="J895" s="27">
        <f>IF(OR($A895="",$C895=""),"",IF(IFERROR(VLOOKUP($A895,Ledger!$A:$E,5,FALSE),0)&gt;=VLOOKUP($C895,RoleTitles!$A:$B,2,FALSE),"YES","NO"))</f>
        <v/>
      </c>
      <c r="K895" s="27">
        <f>IF($A895="","",IF(AND($H895="PROMOTE",$J895="YES"),"YES — PROMOTE","NO"))</f>
        <v/>
      </c>
    </row>
    <row r="896">
      <c r="A896" s="7" t="n"/>
      <c r="B896" s="7">
        <f>IF($A896="","",VLOOKUP($A896,CoachRoster!$A:$E,4,FALSE))</f>
        <v/>
      </c>
      <c r="C896" s="7" t="n"/>
      <c r="D896" s="7" t="n"/>
      <c r="E896" s="7" t="n"/>
      <c r="F896" s="7" t="n"/>
      <c r="G896" s="7" t="n"/>
      <c r="H896" s="7">
        <f>IF($A896="","",IF(AND($E896="Pass",$F896="Pass",$G896="Pass"),"PROMOTE","NOT YET"))</f>
        <v/>
      </c>
      <c r="I896" s="7" t="n"/>
      <c r="J896" s="27">
        <f>IF(OR($A896="",$C896=""),"",IF(IFERROR(VLOOKUP($A896,Ledger!$A:$E,5,FALSE),0)&gt;=VLOOKUP($C896,RoleTitles!$A:$B,2,FALSE),"YES","NO"))</f>
        <v/>
      </c>
      <c r="K896" s="27">
        <f>IF($A896="","",IF(AND($H896="PROMOTE",$J896="YES"),"YES — PROMOTE","NO"))</f>
        <v/>
      </c>
    </row>
    <row r="897">
      <c r="A897" s="7" t="n"/>
      <c r="B897" s="7">
        <f>IF($A897="","",VLOOKUP($A897,CoachRoster!$A:$E,4,FALSE))</f>
        <v/>
      </c>
      <c r="C897" s="7" t="n"/>
      <c r="D897" s="7" t="n"/>
      <c r="E897" s="7" t="n"/>
      <c r="F897" s="7" t="n"/>
      <c r="G897" s="7" t="n"/>
      <c r="H897" s="7">
        <f>IF($A897="","",IF(AND($E897="Pass",$F897="Pass",$G897="Pass"),"PROMOTE","NOT YET"))</f>
        <v/>
      </c>
      <c r="I897" s="7" t="n"/>
      <c r="J897" s="27">
        <f>IF(OR($A897="",$C897=""),"",IF(IFERROR(VLOOKUP($A897,Ledger!$A:$E,5,FALSE),0)&gt;=VLOOKUP($C897,RoleTitles!$A:$B,2,FALSE),"YES","NO"))</f>
        <v/>
      </c>
      <c r="K897" s="27">
        <f>IF($A897="","",IF(AND($H897="PROMOTE",$J897="YES"),"YES — PROMOTE","NO"))</f>
        <v/>
      </c>
    </row>
    <row r="898">
      <c r="A898" s="7" t="n"/>
      <c r="B898" s="7">
        <f>IF($A898="","",VLOOKUP($A898,CoachRoster!$A:$E,4,FALSE))</f>
        <v/>
      </c>
      <c r="C898" s="7" t="n"/>
      <c r="D898" s="7" t="n"/>
      <c r="E898" s="7" t="n"/>
      <c r="F898" s="7" t="n"/>
      <c r="G898" s="7" t="n"/>
      <c r="H898" s="7">
        <f>IF($A898="","",IF(AND($E898="Pass",$F898="Pass",$G898="Pass"),"PROMOTE","NOT YET"))</f>
        <v/>
      </c>
      <c r="I898" s="7" t="n"/>
      <c r="J898" s="27">
        <f>IF(OR($A898="",$C898=""),"",IF(IFERROR(VLOOKUP($A898,Ledger!$A:$E,5,FALSE),0)&gt;=VLOOKUP($C898,RoleTitles!$A:$B,2,FALSE),"YES","NO"))</f>
        <v/>
      </c>
      <c r="K898" s="27">
        <f>IF($A898="","",IF(AND($H898="PROMOTE",$J898="YES"),"YES — PROMOTE","NO"))</f>
        <v/>
      </c>
    </row>
    <row r="899">
      <c r="A899" s="7" t="n"/>
      <c r="B899" s="7">
        <f>IF($A899="","",VLOOKUP($A899,CoachRoster!$A:$E,4,FALSE))</f>
        <v/>
      </c>
      <c r="C899" s="7" t="n"/>
      <c r="D899" s="7" t="n"/>
      <c r="E899" s="7" t="n"/>
      <c r="F899" s="7" t="n"/>
      <c r="G899" s="7" t="n"/>
      <c r="H899" s="7">
        <f>IF($A899="","",IF(AND($E899="Pass",$F899="Pass",$G899="Pass"),"PROMOTE","NOT YET"))</f>
        <v/>
      </c>
      <c r="I899" s="7" t="n"/>
      <c r="J899" s="27">
        <f>IF(OR($A899="",$C899=""),"",IF(IFERROR(VLOOKUP($A899,Ledger!$A:$E,5,FALSE),0)&gt;=VLOOKUP($C899,RoleTitles!$A:$B,2,FALSE),"YES","NO"))</f>
        <v/>
      </c>
      <c r="K899" s="27">
        <f>IF($A899="","",IF(AND($H899="PROMOTE",$J899="YES"),"YES — PROMOTE","NO"))</f>
        <v/>
      </c>
    </row>
    <row r="900">
      <c r="A900" s="7" t="n"/>
      <c r="B900" s="7">
        <f>IF($A900="","",VLOOKUP($A900,CoachRoster!$A:$E,4,FALSE))</f>
        <v/>
      </c>
      <c r="C900" s="7" t="n"/>
      <c r="D900" s="7" t="n"/>
      <c r="E900" s="7" t="n"/>
      <c r="F900" s="7" t="n"/>
      <c r="G900" s="7" t="n"/>
      <c r="H900" s="7">
        <f>IF($A900="","",IF(AND($E900="Pass",$F900="Pass",$G900="Pass"),"PROMOTE","NOT YET"))</f>
        <v/>
      </c>
      <c r="I900" s="7" t="n"/>
      <c r="J900" s="27">
        <f>IF(OR($A900="",$C900=""),"",IF(IFERROR(VLOOKUP($A900,Ledger!$A:$E,5,FALSE),0)&gt;=VLOOKUP($C900,RoleTitles!$A:$B,2,FALSE),"YES","NO"))</f>
        <v/>
      </c>
      <c r="K900" s="27">
        <f>IF($A900="","",IF(AND($H900="PROMOTE",$J900="YES"),"YES — PROMOTE","NO"))</f>
        <v/>
      </c>
    </row>
    <row r="901">
      <c r="A901" s="7" t="n"/>
      <c r="B901" s="7">
        <f>IF($A901="","",VLOOKUP($A901,CoachRoster!$A:$E,4,FALSE))</f>
        <v/>
      </c>
      <c r="C901" s="7" t="n"/>
      <c r="D901" s="7" t="n"/>
      <c r="E901" s="7" t="n"/>
      <c r="F901" s="7" t="n"/>
      <c r="G901" s="7" t="n"/>
      <c r="H901" s="7">
        <f>IF($A901="","",IF(AND($E901="Pass",$F901="Pass",$G901="Pass"),"PROMOTE","NOT YET"))</f>
        <v/>
      </c>
      <c r="I901" s="7" t="n"/>
      <c r="J901" s="27">
        <f>IF(OR($A901="",$C901=""),"",IF(IFERROR(VLOOKUP($A901,Ledger!$A:$E,5,FALSE),0)&gt;=VLOOKUP($C901,RoleTitles!$A:$B,2,FALSE),"YES","NO"))</f>
        <v/>
      </c>
      <c r="K901" s="27">
        <f>IF($A901="","",IF(AND($H901="PROMOTE",$J901="YES"),"YES — PROMOTE","NO"))</f>
        <v/>
      </c>
    </row>
    <row r="902">
      <c r="A902" s="7" t="n"/>
      <c r="B902" s="7">
        <f>IF($A902="","",VLOOKUP($A902,CoachRoster!$A:$E,4,FALSE))</f>
        <v/>
      </c>
      <c r="C902" s="7" t="n"/>
      <c r="D902" s="7" t="n"/>
      <c r="E902" s="7" t="n"/>
      <c r="F902" s="7" t="n"/>
      <c r="G902" s="7" t="n"/>
      <c r="H902" s="7">
        <f>IF($A902="","",IF(AND($E902="Pass",$F902="Pass",$G902="Pass"),"PROMOTE","NOT YET"))</f>
        <v/>
      </c>
      <c r="I902" s="7" t="n"/>
      <c r="J902" s="27">
        <f>IF(OR($A902="",$C902=""),"",IF(IFERROR(VLOOKUP($A902,Ledger!$A:$E,5,FALSE),0)&gt;=VLOOKUP($C902,RoleTitles!$A:$B,2,FALSE),"YES","NO"))</f>
        <v/>
      </c>
      <c r="K902" s="27">
        <f>IF($A902="","",IF(AND($H902="PROMOTE",$J902="YES"),"YES — PROMOTE","NO"))</f>
        <v/>
      </c>
    </row>
    <row r="903">
      <c r="A903" s="7" t="n"/>
      <c r="B903" s="7">
        <f>IF($A903="","",VLOOKUP($A903,CoachRoster!$A:$E,4,FALSE))</f>
        <v/>
      </c>
      <c r="C903" s="7" t="n"/>
      <c r="D903" s="7" t="n"/>
      <c r="E903" s="7" t="n"/>
      <c r="F903" s="7" t="n"/>
      <c r="G903" s="7" t="n"/>
      <c r="H903" s="7">
        <f>IF($A903="","",IF(AND($E903="Pass",$F903="Pass",$G903="Pass"),"PROMOTE","NOT YET"))</f>
        <v/>
      </c>
      <c r="I903" s="7" t="n"/>
      <c r="J903" s="27">
        <f>IF(OR($A903="",$C903=""),"",IF(IFERROR(VLOOKUP($A903,Ledger!$A:$E,5,FALSE),0)&gt;=VLOOKUP($C903,RoleTitles!$A:$B,2,FALSE),"YES","NO"))</f>
        <v/>
      </c>
      <c r="K903" s="27">
        <f>IF($A903="","",IF(AND($H903="PROMOTE",$J903="YES"),"YES — PROMOTE","NO"))</f>
        <v/>
      </c>
    </row>
    <row r="904">
      <c r="A904" s="7" t="n"/>
      <c r="B904" s="7">
        <f>IF($A904="","",VLOOKUP($A904,CoachRoster!$A:$E,4,FALSE))</f>
        <v/>
      </c>
      <c r="C904" s="7" t="n"/>
      <c r="D904" s="7" t="n"/>
      <c r="E904" s="7" t="n"/>
      <c r="F904" s="7" t="n"/>
      <c r="G904" s="7" t="n"/>
      <c r="H904" s="7">
        <f>IF($A904="","",IF(AND($E904="Pass",$F904="Pass",$G904="Pass"),"PROMOTE","NOT YET"))</f>
        <v/>
      </c>
      <c r="I904" s="7" t="n"/>
      <c r="J904" s="27">
        <f>IF(OR($A904="",$C904=""),"",IF(IFERROR(VLOOKUP($A904,Ledger!$A:$E,5,FALSE),0)&gt;=VLOOKUP($C904,RoleTitles!$A:$B,2,FALSE),"YES","NO"))</f>
        <v/>
      </c>
      <c r="K904" s="27">
        <f>IF($A904="","",IF(AND($H904="PROMOTE",$J904="YES"),"YES — PROMOTE","NO"))</f>
        <v/>
      </c>
    </row>
    <row r="905">
      <c r="A905" s="7" t="n"/>
      <c r="B905" s="7">
        <f>IF($A905="","",VLOOKUP($A905,CoachRoster!$A:$E,4,FALSE))</f>
        <v/>
      </c>
      <c r="C905" s="7" t="n"/>
      <c r="D905" s="7" t="n"/>
      <c r="E905" s="7" t="n"/>
      <c r="F905" s="7" t="n"/>
      <c r="G905" s="7" t="n"/>
      <c r="H905" s="7">
        <f>IF($A905="","",IF(AND($E905="Pass",$F905="Pass",$G905="Pass"),"PROMOTE","NOT YET"))</f>
        <v/>
      </c>
      <c r="I905" s="7" t="n"/>
      <c r="J905" s="27">
        <f>IF(OR($A905="",$C905=""),"",IF(IFERROR(VLOOKUP($A905,Ledger!$A:$E,5,FALSE),0)&gt;=VLOOKUP($C905,RoleTitles!$A:$B,2,FALSE),"YES","NO"))</f>
        <v/>
      </c>
      <c r="K905" s="27">
        <f>IF($A905="","",IF(AND($H905="PROMOTE",$J905="YES"),"YES — PROMOTE","NO"))</f>
        <v/>
      </c>
    </row>
    <row r="906">
      <c r="A906" s="7" t="n"/>
      <c r="B906" s="7">
        <f>IF($A906="","",VLOOKUP($A906,CoachRoster!$A:$E,4,FALSE))</f>
        <v/>
      </c>
      <c r="C906" s="7" t="n"/>
      <c r="D906" s="7" t="n"/>
      <c r="E906" s="7" t="n"/>
      <c r="F906" s="7" t="n"/>
      <c r="G906" s="7" t="n"/>
      <c r="H906" s="7">
        <f>IF($A906="","",IF(AND($E906="Pass",$F906="Pass",$G906="Pass"),"PROMOTE","NOT YET"))</f>
        <v/>
      </c>
      <c r="I906" s="7" t="n"/>
      <c r="J906" s="27">
        <f>IF(OR($A906="",$C906=""),"",IF(IFERROR(VLOOKUP($A906,Ledger!$A:$E,5,FALSE),0)&gt;=VLOOKUP($C906,RoleTitles!$A:$B,2,FALSE),"YES","NO"))</f>
        <v/>
      </c>
      <c r="K906" s="27">
        <f>IF($A906="","",IF(AND($H906="PROMOTE",$J906="YES"),"YES — PROMOTE","NO"))</f>
        <v/>
      </c>
    </row>
    <row r="907">
      <c r="A907" s="7" t="n"/>
      <c r="B907" s="7">
        <f>IF($A907="","",VLOOKUP($A907,CoachRoster!$A:$E,4,FALSE))</f>
        <v/>
      </c>
      <c r="C907" s="7" t="n"/>
      <c r="D907" s="7" t="n"/>
      <c r="E907" s="7" t="n"/>
      <c r="F907" s="7" t="n"/>
      <c r="G907" s="7" t="n"/>
      <c r="H907" s="7">
        <f>IF($A907="","",IF(AND($E907="Pass",$F907="Pass",$G907="Pass"),"PROMOTE","NOT YET"))</f>
        <v/>
      </c>
      <c r="I907" s="7" t="n"/>
      <c r="J907" s="27">
        <f>IF(OR($A907="",$C907=""),"",IF(IFERROR(VLOOKUP($A907,Ledger!$A:$E,5,FALSE),0)&gt;=VLOOKUP($C907,RoleTitles!$A:$B,2,FALSE),"YES","NO"))</f>
        <v/>
      </c>
      <c r="K907" s="27">
        <f>IF($A907="","",IF(AND($H907="PROMOTE",$J907="YES"),"YES — PROMOTE","NO"))</f>
        <v/>
      </c>
    </row>
    <row r="908">
      <c r="A908" s="7" t="n"/>
      <c r="B908" s="7">
        <f>IF($A908="","",VLOOKUP($A908,CoachRoster!$A:$E,4,FALSE))</f>
        <v/>
      </c>
      <c r="C908" s="7" t="n"/>
      <c r="D908" s="7" t="n"/>
      <c r="E908" s="7" t="n"/>
      <c r="F908" s="7" t="n"/>
      <c r="G908" s="7" t="n"/>
      <c r="H908" s="7">
        <f>IF($A908="","",IF(AND($E908="Pass",$F908="Pass",$G908="Pass"),"PROMOTE","NOT YET"))</f>
        <v/>
      </c>
      <c r="I908" s="7" t="n"/>
      <c r="J908" s="27">
        <f>IF(OR($A908="",$C908=""),"",IF(IFERROR(VLOOKUP($A908,Ledger!$A:$E,5,FALSE),0)&gt;=VLOOKUP($C908,RoleTitles!$A:$B,2,FALSE),"YES","NO"))</f>
        <v/>
      </c>
      <c r="K908" s="27">
        <f>IF($A908="","",IF(AND($H908="PROMOTE",$J908="YES"),"YES — PROMOTE","NO"))</f>
        <v/>
      </c>
    </row>
    <row r="909">
      <c r="A909" s="7" t="n"/>
      <c r="B909" s="7">
        <f>IF($A909="","",VLOOKUP($A909,CoachRoster!$A:$E,4,FALSE))</f>
        <v/>
      </c>
      <c r="C909" s="7" t="n"/>
      <c r="D909" s="7" t="n"/>
      <c r="E909" s="7" t="n"/>
      <c r="F909" s="7" t="n"/>
      <c r="G909" s="7" t="n"/>
      <c r="H909" s="7">
        <f>IF($A909="","",IF(AND($E909="Pass",$F909="Pass",$G909="Pass"),"PROMOTE","NOT YET"))</f>
        <v/>
      </c>
      <c r="I909" s="7" t="n"/>
      <c r="J909" s="27">
        <f>IF(OR($A909="",$C909=""),"",IF(IFERROR(VLOOKUP($A909,Ledger!$A:$E,5,FALSE),0)&gt;=VLOOKUP($C909,RoleTitles!$A:$B,2,FALSE),"YES","NO"))</f>
        <v/>
      </c>
      <c r="K909" s="27">
        <f>IF($A909="","",IF(AND($H909="PROMOTE",$J909="YES"),"YES — PROMOTE","NO"))</f>
        <v/>
      </c>
    </row>
    <row r="910">
      <c r="A910" s="7" t="n"/>
      <c r="B910" s="7">
        <f>IF($A910="","",VLOOKUP($A910,CoachRoster!$A:$E,4,FALSE))</f>
        <v/>
      </c>
      <c r="C910" s="7" t="n"/>
      <c r="D910" s="7" t="n"/>
      <c r="E910" s="7" t="n"/>
      <c r="F910" s="7" t="n"/>
      <c r="G910" s="7" t="n"/>
      <c r="H910" s="7">
        <f>IF($A910="","",IF(AND($E910="Pass",$F910="Pass",$G910="Pass"),"PROMOTE","NOT YET"))</f>
        <v/>
      </c>
      <c r="I910" s="7" t="n"/>
      <c r="J910" s="27">
        <f>IF(OR($A910="",$C910=""),"",IF(IFERROR(VLOOKUP($A910,Ledger!$A:$E,5,FALSE),0)&gt;=VLOOKUP($C910,RoleTitles!$A:$B,2,FALSE),"YES","NO"))</f>
        <v/>
      </c>
      <c r="K910" s="27">
        <f>IF($A910="","",IF(AND($H910="PROMOTE",$J910="YES"),"YES — PROMOTE","NO"))</f>
        <v/>
      </c>
    </row>
    <row r="911">
      <c r="A911" s="7" t="n"/>
      <c r="B911" s="7">
        <f>IF($A911="","",VLOOKUP($A911,CoachRoster!$A:$E,4,FALSE))</f>
        <v/>
      </c>
      <c r="C911" s="7" t="n"/>
      <c r="D911" s="7" t="n"/>
      <c r="E911" s="7" t="n"/>
      <c r="F911" s="7" t="n"/>
      <c r="G911" s="7" t="n"/>
      <c r="H911" s="7">
        <f>IF($A911="","",IF(AND($E911="Pass",$F911="Pass",$G911="Pass"),"PROMOTE","NOT YET"))</f>
        <v/>
      </c>
      <c r="I911" s="7" t="n"/>
      <c r="J911" s="27">
        <f>IF(OR($A911="",$C911=""),"",IF(IFERROR(VLOOKUP($A911,Ledger!$A:$E,5,FALSE),0)&gt;=VLOOKUP($C911,RoleTitles!$A:$B,2,FALSE),"YES","NO"))</f>
        <v/>
      </c>
      <c r="K911" s="27">
        <f>IF($A911="","",IF(AND($H911="PROMOTE",$J911="YES"),"YES — PROMOTE","NO"))</f>
        <v/>
      </c>
    </row>
    <row r="912">
      <c r="A912" s="7" t="n"/>
      <c r="B912" s="7">
        <f>IF($A912="","",VLOOKUP($A912,CoachRoster!$A:$E,4,FALSE))</f>
        <v/>
      </c>
      <c r="C912" s="7" t="n"/>
      <c r="D912" s="7" t="n"/>
      <c r="E912" s="7" t="n"/>
      <c r="F912" s="7" t="n"/>
      <c r="G912" s="7" t="n"/>
      <c r="H912" s="7">
        <f>IF($A912="","",IF(AND($E912="Pass",$F912="Pass",$G912="Pass"),"PROMOTE","NOT YET"))</f>
        <v/>
      </c>
      <c r="I912" s="7" t="n"/>
      <c r="J912" s="27">
        <f>IF(OR($A912="",$C912=""),"",IF(IFERROR(VLOOKUP($A912,Ledger!$A:$E,5,FALSE),0)&gt;=VLOOKUP($C912,RoleTitles!$A:$B,2,FALSE),"YES","NO"))</f>
        <v/>
      </c>
      <c r="K912" s="27">
        <f>IF($A912="","",IF(AND($H912="PROMOTE",$J912="YES"),"YES — PROMOTE","NO"))</f>
        <v/>
      </c>
    </row>
    <row r="913">
      <c r="A913" s="7" t="n"/>
      <c r="B913" s="7">
        <f>IF($A913="","",VLOOKUP($A913,CoachRoster!$A:$E,4,FALSE))</f>
        <v/>
      </c>
      <c r="C913" s="7" t="n"/>
      <c r="D913" s="7" t="n"/>
      <c r="E913" s="7" t="n"/>
      <c r="F913" s="7" t="n"/>
      <c r="G913" s="7" t="n"/>
      <c r="H913" s="7">
        <f>IF($A913="","",IF(AND($E913="Pass",$F913="Pass",$G913="Pass"),"PROMOTE","NOT YET"))</f>
        <v/>
      </c>
      <c r="I913" s="7" t="n"/>
      <c r="J913" s="27">
        <f>IF(OR($A913="",$C913=""),"",IF(IFERROR(VLOOKUP($A913,Ledger!$A:$E,5,FALSE),0)&gt;=VLOOKUP($C913,RoleTitles!$A:$B,2,FALSE),"YES","NO"))</f>
        <v/>
      </c>
      <c r="K913" s="27">
        <f>IF($A913="","",IF(AND($H913="PROMOTE",$J913="YES"),"YES — PROMOTE","NO"))</f>
        <v/>
      </c>
    </row>
    <row r="914">
      <c r="A914" s="7" t="n"/>
      <c r="B914" s="7">
        <f>IF($A914="","",VLOOKUP($A914,CoachRoster!$A:$E,4,FALSE))</f>
        <v/>
      </c>
      <c r="C914" s="7" t="n"/>
      <c r="D914" s="7" t="n"/>
      <c r="E914" s="7" t="n"/>
      <c r="F914" s="7" t="n"/>
      <c r="G914" s="7" t="n"/>
      <c r="H914" s="7">
        <f>IF($A914="","",IF(AND($E914="Pass",$F914="Pass",$G914="Pass"),"PROMOTE","NOT YET"))</f>
        <v/>
      </c>
      <c r="I914" s="7" t="n"/>
      <c r="J914" s="27">
        <f>IF(OR($A914="",$C914=""),"",IF(IFERROR(VLOOKUP($A914,Ledger!$A:$E,5,FALSE),0)&gt;=VLOOKUP($C914,RoleTitles!$A:$B,2,FALSE),"YES","NO"))</f>
        <v/>
      </c>
      <c r="K914" s="27">
        <f>IF($A914="","",IF(AND($H914="PROMOTE",$J914="YES"),"YES — PROMOTE","NO"))</f>
        <v/>
      </c>
    </row>
    <row r="915">
      <c r="A915" s="7" t="n"/>
      <c r="B915" s="7">
        <f>IF($A915="","",VLOOKUP($A915,CoachRoster!$A:$E,4,FALSE))</f>
        <v/>
      </c>
      <c r="C915" s="7" t="n"/>
      <c r="D915" s="7" t="n"/>
      <c r="E915" s="7" t="n"/>
      <c r="F915" s="7" t="n"/>
      <c r="G915" s="7" t="n"/>
      <c r="H915" s="7">
        <f>IF($A915="","",IF(AND($E915="Pass",$F915="Pass",$G915="Pass"),"PROMOTE","NOT YET"))</f>
        <v/>
      </c>
      <c r="I915" s="7" t="n"/>
      <c r="J915" s="27">
        <f>IF(OR($A915="",$C915=""),"",IF(IFERROR(VLOOKUP($A915,Ledger!$A:$E,5,FALSE),0)&gt;=VLOOKUP($C915,RoleTitles!$A:$B,2,FALSE),"YES","NO"))</f>
        <v/>
      </c>
      <c r="K915" s="27">
        <f>IF($A915="","",IF(AND($H915="PROMOTE",$J915="YES"),"YES — PROMOTE","NO"))</f>
        <v/>
      </c>
    </row>
    <row r="916">
      <c r="A916" s="7" t="n"/>
      <c r="B916" s="7">
        <f>IF($A916="","",VLOOKUP($A916,CoachRoster!$A:$E,4,FALSE))</f>
        <v/>
      </c>
      <c r="C916" s="7" t="n"/>
      <c r="D916" s="7" t="n"/>
      <c r="E916" s="7" t="n"/>
      <c r="F916" s="7" t="n"/>
      <c r="G916" s="7" t="n"/>
      <c r="H916" s="7">
        <f>IF($A916="","",IF(AND($E916="Pass",$F916="Pass",$G916="Pass"),"PROMOTE","NOT YET"))</f>
        <v/>
      </c>
      <c r="I916" s="7" t="n"/>
      <c r="J916" s="27">
        <f>IF(OR($A916="",$C916=""),"",IF(IFERROR(VLOOKUP($A916,Ledger!$A:$E,5,FALSE),0)&gt;=VLOOKUP($C916,RoleTitles!$A:$B,2,FALSE),"YES","NO"))</f>
        <v/>
      </c>
      <c r="K916" s="27">
        <f>IF($A916="","",IF(AND($H916="PROMOTE",$J916="YES"),"YES — PROMOTE","NO"))</f>
        <v/>
      </c>
    </row>
    <row r="917">
      <c r="A917" s="7" t="n"/>
      <c r="B917" s="7">
        <f>IF($A917="","",VLOOKUP($A917,CoachRoster!$A:$E,4,FALSE))</f>
        <v/>
      </c>
      <c r="C917" s="7" t="n"/>
      <c r="D917" s="7" t="n"/>
      <c r="E917" s="7" t="n"/>
      <c r="F917" s="7" t="n"/>
      <c r="G917" s="7" t="n"/>
      <c r="H917" s="7">
        <f>IF($A917="","",IF(AND($E917="Pass",$F917="Pass",$G917="Pass"),"PROMOTE","NOT YET"))</f>
        <v/>
      </c>
      <c r="I917" s="7" t="n"/>
      <c r="J917" s="27">
        <f>IF(OR($A917="",$C917=""),"",IF(IFERROR(VLOOKUP($A917,Ledger!$A:$E,5,FALSE),0)&gt;=VLOOKUP($C917,RoleTitles!$A:$B,2,FALSE),"YES","NO"))</f>
        <v/>
      </c>
      <c r="K917" s="27">
        <f>IF($A917="","",IF(AND($H917="PROMOTE",$J917="YES"),"YES — PROMOTE","NO"))</f>
        <v/>
      </c>
    </row>
    <row r="918">
      <c r="A918" s="7" t="n"/>
      <c r="B918" s="7">
        <f>IF($A918="","",VLOOKUP($A918,CoachRoster!$A:$E,4,FALSE))</f>
        <v/>
      </c>
      <c r="C918" s="7" t="n"/>
      <c r="D918" s="7" t="n"/>
      <c r="E918" s="7" t="n"/>
      <c r="F918" s="7" t="n"/>
      <c r="G918" s="7" t="n"/>
      <c r="H918" s="7">
        <f>IF($A918="","",IF(AND($E918="Pass",$F918="Pass",$G918="Pass"),"PROMOTE","NOT YET"))</f>
        <v/>
      </c>
      <c r="I918" s="7" t="n"/>
      <c r="J918" s="27">
        <f>IF(OR($A918="",$C918=""),"",IF(IFERROR(VLOOKUP($A918,Ledger!$A:$E,5,FALSE),0)&gt;=VLOOKUP($C918,RoleTitles!$A:$B,2,FALSE),"YES","NO"))</f>
        <v/>
      </c>
      <c r="K918" s="27">
        <f>IF($A918="","",IF(AND($H918="PROMOTE",$J918="YES"),"YES — PROMOTE","NO"))</f>
        <v/>
      </c>
    </row>
    <row r="919">
      <c r="A919" s="7" t="n"/>
      <c r="B919" s="7">
        <f>IF($A919="","",VLOOKUP($A919,CoachRoster!$A:$E,4,FALSE))</f>
        <v/>
      </c>
      <c r="C919" s="7" t="n"/>
      <c r="D919" s="7" t="n"/>
      <c r="E919" s="7" t="n"/>
      <c r="F919" s="7" t="n"/>
      <c r="G919" s="7" t="n"/>
      <c r="H919" s="7">
        <f>IF($A919="","",IF(AND($E919="Pass",$F919="Pass",$G919="Pass"),"PROMOTE","NOT YET"))</f>
        <v/>
      </c>
      <c r="I919" s="7" t="n"/>
      <c r="J919" s="27">
        <f>IF(OR($A919="",$C919=""),"",IF(IFERROR(VLOOKUP($A919,Ledger!$A:$E,5,FALSE),0)&gt;=VLOOKUP($C919,RoleTitles!$A:$B,2,FALSE),"YES","NO"))</f>
        <v/>
      </c>
      <c r="K919" s="27">
        <f>IF($A919="","",IF(AND($H919="PROMOTE",$J919="YES"),"YES — PROMOTE","NO"))</f>
        <v/>
      </c>
    </row>
    <row r="920">
      <c r="A920" s="7" t="n"/>
      <c r="B920" s="7">
        <f>IF($A920="","",VLOOKUP($A920,CoachRoster!$A:$E,4,FALSE))</f>
        <v/>
      </c>
      <c r="C920" s="7" t="n"/>
      <c r="D920" s="7" t="n"/>
      <c r="E920" s="7" t="n"/>
      <c r="F920" s="7" t="n"/>
      <c r="G920" s="7" t="n"/>
      <c r="H920" s="7">
        <f>IF($A920="","",IF(AND($E920="Pass",$F920="Pass",$G920="Pass"),"PROMOTE","NOT YET"))</f>
        <v/>
      </c>
      <c r="I920" s="7" t="n"/>
      <c r="J920" s="27">
        <f>IF(OR($A920="",$C920=""),"",IF(IFERROR(VLOOKUP($A920,Ledger!$A:$E,5,FALSE),0)&gt;=VLOOKUP($C920,RoleTitles!$A:$B,2,FALSE),"YES","NO"))</f>
        <v/>
      </c>
      <c r="K920" s="27">
        <f>IF($A920="","",IF(AND($H920="PROMOTE",$J920="YES"),"YES — PROMOTE","NO"))</f>
        <v/>
      </c>
    </row>
    <row r="921">
      <c r="A921" s="7" t="n"/>
      <c r="B921" s="7">
        <f>IF($A921="","",VLOOKUP($A921,CoachRoster!$A:$E,4,FALSE))</f>
        <v/>
      </c>
      <c r="C921" s="7" t="n"/>
      <c r="D921" s="7" t="n"/>
      <c r="E921" s="7" t="n"/>
      <c r="F921" s="7" t="n"/>
      <c r="G921" s="7" t="n"/>
      <c r="H921" s="7">
        <f>IF($A921="","",IF(AND($E921="Pass",$F921="Pass",$G921="Pass"),"PROMOTE","NOT YET"))</f>
        <v/>
      </c>
      <c r="I921" s="7" t="n"/>
      <c r="J921" s="27">
        <f>IF(OR($A921="",$C921=""),"",IF(IFERROR(VLOOKUP($A921,Ledger!$A:$E,5,FALSE),0)&gt;=VLOOKUP($C921,RoleTitles!$A:$B,2,FALSE),"YES","NO"))</f>
        <v/>
      </c>
      <c r="K921" s="27">
        <f>IF($A921="","",IF(AND($H921="PROMOTE",$J921="YES"),"YES — PROMOTE","NO"))</f>
        <v/>
      </c>
    </row>
    <row r="922">
      <c r="A922" s="7" t="n"/>
      <c r="B922" s="7">
        <f>IF($A922="","",VLOOKUP($A922,CoachRoster!$A:$E,4,FALSE))</f>
        <v/>
      </c>
      <c r="C922" s="7" t="n"/>
      <c r="D922" s="7" t="n"/>
      <c r="E922" s="7" t="n"/>
      <c r="F922" s="7" t="n"/>
      <c r="G922" s="7" t="n"/>
      <c r="H922" s="7">
        <f>IF($A922="","",IF(AND($E922="Pass",$F922="Pass",$G922="Pass"),"PROMOTE","NOT YET"))</f>
        <v/>
      </c>
      <c r="I922" s="7" t="n"/>
      <c r="J922" s="27">
        <f>IF(OR($A922="",$C922=""),"",IF(IFERROR(VLOOKUP($A922,Ledger!$A:$E,5,FALSE),0)&gt;=VLOOKUP($C922,RoleTitles!$A:$B,2,FALSE),"YES","NO"))</f>
        <v/>
      </c>
      <c r="K922" s="27">
        <f>IF($A922="","",IF(AND($H922="PROMOTE",$J922="YES"),"YES — PROMOTE","NO"))</f>
        <v/>
      </c>
    </row>
    <row r="923">
      <c r="A923" s="7" t="n"/>
      <c r="B923" s="7">
        <f>IF($A923="","",VLOOKUP($A923,CoachRoster!$A:$E,4,FALSE))</f>
        <v/>
      </c>
      <c r="C923" s="7" t="n"/>
      <c r="D923" s="7" t="n"/>
      <c r="E923" s="7" t="n"/>
      <c r="F923" s="7" t="n"/>
      <c r="G923" s="7" t="n"/>
      <c r="H923" s="7">
        <f>IF($A923="","",IF(AND($E923="Pass",$F923="Pass",$G923="Pass"),"PROMOTE","NOT YET"))</f>
        <v/>
      </c>
      <c r="I923" s="7" t="n"/>
      <c r="J923" s="27">
        <f>IF(OR($A923="",$C923=""),"",IF(IFERROR(VLOOKUP($A923,Ledger!$A:$E,5,FALSE),0)&gt;=VLOOKUP($C923,RoleTitles!$A:$B,2,FALSE),"YES","NO"))</f>
        <v/>
      </c>
      <c r="K923" s="27">
        <f>IF($A923="","",IF(AND($H923="PROMOTE",$J923="YES"),"YES — PROMOTE","NO"))</f>
        <v/>
      </c>
    </row>
    <row r="924">
      <c r="A924" s="7" t="n"/>
      <c r="B924" s="7">
        <f>IF($A924="","",VLOOKUP($A924,CoachRoster!$A:$E,4,FALSE))</f>
        <v/>
      </c>
      <c r="C924" s="7" t="n"/>
      <c r="D924" s="7" t="n"/>
      <c r="E924" s="7" t="n"/>
      <c r="F924" s="7" t="n"/>
      <c r="G924" s="7" t="n"/>
      <c r="H924" s="7">
        <f>IF($A924="","",IF(AND($E924="Pass",$F924="Pass",$G924="Pass"),"PROMOTE","NOT YET"))</f>
        <v/>
      </c>
      <c r="I924" s="7" t="n"/>
      <c r="J924" s="27">
        <f>IF(OR($A924="",$C924=""),"",IF(IFERROR(VLOOKUP($A924,Ledger!$A:$E,5,FALSE),0)&gt;=VLOOKUP($C924,RoleTitles!$A:$B,2,FALSE),"YES","NO"))</f>
        <v/>
      </c>
      <c r="K924" s="27">
        <f>IF($A924="","",IF(AND($H924="PROMOTE",$J924="YES"),"YES — PROMOTE","NO"))</f>
        <v/>
      </c>
    </row>
    <row r="925">
      <c r="A925" s="7" t="n"/>
      <c r="B925" s="7">
        <f>IF($A925="","",VLOOKUP($A925,CoachRoster!$A:$E,4,FALSE))</f>
        <v/>
      </c>
      <c r="C925" s="7" t="n"/>
      <c r="D925" s="7" t="n"/>
      <c r="E925" s="7" t="n"/>
      <c r="F925" s="7" t="n"/>
      <c r="G925" s="7" t="n"/>
      <c r="H925" s="7">
        <f>IF($A925="","",IF(AND($E925="Pass",$F925="Pass",$G925="Pass"),"PROMOTE","NOT YET"))</f>
        <v/>
      </c>
      <c r="I925" s="7" t="n"/>
      <c r="J925" s="27">
        <f>IF(OR($A925="",$C925=""),"",IF(IFERROR(VLOOKUP($A925,Ledger!$A:$E,5,FALSE),0)&gt;=VLOOKUP($C925,RoleTitles!$A:$B,2,FALSE),"YES","NO"))</f>
        <v/>
      </c>
      <c r="K925" s="27">
        <f>IF($A925="","",IF(AND($H925="PROMOTE",$J925="YES"),"YES — PROMOTE","NO"))</f>
        <v/>
      </c>
    </row>
    <row r="926">
      <c r="A926" s="7" t="n"/>
      <c r="B926" s="7">
        <f>IF($A926="","",VLOOKUP($A926,CoachRoster!$A:$E,4,FALSE))</f>
        <v/>
      </c>
      <c r="C926" s="7" t="n"/>
      <c r="D926" s="7" t="n"/>
      <c r="E926" s="7" t="n"/>
      <c r="F926" s="7" t="n"/>
      <c r="G926" s="7" t="n"/>
      <c r="H926" s="7">
        <f>IF($A926="","",IF(AND($E926="Pass",$F926="Pass",$G926="Pass"),"PROMOTE","NOT YET"))</f>
        <v/>
      </c>
      <c r="I926" s="7" t="n"/>
      <c r="J926" s="27">
        <f>IF(OR($A926="",$C926=""),"",IF(IFERROR(VLOOKUP($A926,Ledger!$A:$E,5,FALSE),0)&gt;=VLOOKUP($C926,RoleTitles!$A:$B,2,FALSE),"YES","NO"))</f>
        <v/>
      </c>
      <c r="K926" s="27">
        <f>IF($A926="","",IF(AND($H926="PROMOTE",$J926="YES"),"YES — PROMOTE","NO"))</f>
        <v/>
      </c>
    </row>
    <row r="927">
      <c r="A927" s="7" t="n"/>
      <c r="B927" s="7">
        <f>IF($A927="","",VLOOKUP($A927,CoachRoster!$A:$E,4,FALSE))</f>
        <v/>
      </c>
      <c r="C927" s="7" t="n"/>
      <c r="D927" s="7" t="n"/>
      <c r="E927" s="7" t="n"/>
      <c r="F927" s="7" t="n"/>
      <c r="G927" s="7" t="n"/>
      <c r="H927" s="7">
        <f>IF($A927="","",IF(AND($E927="Pass",$F927="Pass",$G927="Pass"),"PROMOTE","NOT YET"))</f>
        <v/>
      </c>
      <c r="I927" s="7" t="n"/>
      <c r="J927" s="27">
        <f>IF(OR($A927="",$C927=""),"",IF(IFERROR(VLOOKUP($A927,Ledger!$A:$E,5,FALSE),0)&gt;=VLOOKUP($C927,RoleTitles!$A:$B,2,FALSE),"YES","NO"))</f>
        <v/>
      </c>
      <c r="K927" s="27">
        <f>IF($A927="","",IF(AND($H927="PROMOTE",$J927="YES"),"YES — PROMOTE","NO"))</f>
        <v/>
      </c>
    </row>
    <row r="928">
      <c r="A928" s="7" t="n"/>
      <c r="B928" s="7">
        <f>IF($A928="","",VLOOKUP($A928,CoachRoster!$A:$E,4,FALSE))</f>
        <v/>
      </c>
      <c r="C928" s="7" t="n"/>
      <c r="D928" s="7" t="n"/>
      <c r="E928" s="7" t="n"/>
      <c r="F928" s="7" t="n"/>
      <c r="G928" s="7" t="n"/>
      <c r="H928" s="7">
        <f>IF($A928="","",IF(AND($E928="Pass",$F928="Pass",$G928="Pass"),"PROMOTE","NOT YET"))</f>
        <v/>
      </c>
      <c r="I928" s="7" t="n"/>
      <c r="J928" s="27">
        <f>IF(OR($A928="",$C928=""),"",IF(IFERROR(VLOOKUP($A928,Ledger!$A:$E,5,FALSE),0)&gt;=VLOOKUP($C928,RoleTitles!$A:$B,2,FALSE),"YES","NO"))</f>
        <v/>
      </c>
      <c r="K928" s="27">
        <f>IF($A928="","",IF(AND($H928="PROMOTE",$J928="YES"),"YES — PROMOTE","NO"))</f>
        <v/>
      </c>
    </row>
    <row r="929">
      <c r="A929" s="7" t="n"/>
      <c r="B929" s="7">
        <f>IF($A929="","",VLOOKUP($A929,CoachRoster!$A:$E,4,FALSE))</f>
        <v/>
      </c>
      <c r="C929" s="7" t="n"/>
      <c r="D929" s="7" t="n"/>
      <c r="E929" s="7" t="n"/>
      <c r="F929" s="7" t="n"/>
      <c r="G929" s="7" t="n"/>
      <c r="H929" s="7">
        <f>IF($A929="","",IF(AND($E929="Pass",$F929="Pass",$G929="Pass"),"PROMOTE","NOT YET"))</f>
        <v/>
      </c>
      <c r="I929" s="7" t="n"/>
      <c r="J929" s="27">
        <f>IF(OR($A929="",$C929=""),"",IF(IFERROR(VLOOKUP($A929,Ledger!$A:$E,5,FALSE),0)&gt;=VLOOKUP($C929,RoleTitles!$A:$B,2,FALSE),"YES","NO"))</f>
        <v/>
      </c>
      <c r="K929" s="27">
        <f>IF($A929="","",IF(AND($H929="PROMOTE",$J929="YES"),"YES — PROMOTE","NO"))</f>
        <v/>
      </c>
    </row>
    <row r="930">
      <c r="A930" s="7" t="n"/>
      <c r="B930" s="7">
        <f>IF($A930="","",VLOOKUP($A930,CoachRoster!$A:$E,4,FALSE))</f>
        <v/>
      </c>
      <c r="C930" s="7" t="n"/>
      <c r="D930" s="7" t="n"/>
      <c r="E930" s="7" t="n"/>
      <c r="F930" s="7" t="n"/>
      <c r="G930" s="7" t="n"/>
      <c r="H930" s="7">
        <f>IF($A930="","",IF(AND($E930="Pass",$F930="Pass",$G930="Pass"),"PROMOTE","NOT YET"))</f>
        <v/>
      </c>
      <c r="I930" s="7" t="n"/>
      <c r="J930" s="27">
        <f>IF(OR($A930="",$C930=""),"",IF(IFERROR(VLOOKUP($A930,Ledger!$A:$E,5,FALSE),0)&gt;=VLOOKUP($C930,RoleTitles!$A:$B,2,FALSE),"YES","NO"))</f>
        <v/>
      </c>
      <c r="K930" s="27">
        <f>IF($A930="","",IF(AND($H930="PROMOTE",$J930="YES"),"YES — PROMOTE","NO"))</f>
        <v/>
      </c>
    </row>
    <row r="931">
      <c r="A931" s="7" t="n"/>
      <c r="B931" s="7">
        <f>IF($A931="","",VLOOKUP($A931,CoachRoster!$A:$E,4,FALSE))</f>
        <v/>
      </c>
      <c r="C931" s="7" t="n"/>
      <c r="D931" s="7" t="n"/>
      <c r="E931" s="7" t="n"/>
      <c r="F931" s="7" t="n"/>
      <c r="G931" s="7" t="n"/>
      <c r="H931" s="7">
        <f>IF($A931="","",IF(AND($E931="Pass",$F931="Pass",$G931="Pass"),"PROMOTE","NOT YET"))</f>
        <v/>
      </c>
      <c r="I931" s="7" t="n"/>
      <c r="J931" s="27">
        <f>IF(OR($A931="",$C931=""),"",IF(IFERROR(VLOOKUP($A931,Ledger!$A:$E,5,FALSE),0)&gt;=VLOOKUP($C931,RoleTitles!$A:$B,2,FALSE),"YES","NO"))</f>
        <v/>
      </c>
      <c r="K931" s="27">
        <f>IF($A931="","",IF(AND($H931="PROMOTE",$J931="YES"),"YES — PROMOTE","NO"))</f>
        <v/>
      </c>
    </row>
    <row r="932">
      <c r="A932" s="7" t="n"/>
      <c r="B932" s="7">
        <f>IF($A932="","",VLOOKUP($A932,CoachRoster!$A:$E,4,FALSE))</f>
        <v/>
      </c>
      <c r="C932" s="7" t="n"/>
      <c r="D932" s="7" t="n"/>
      <c r="E932" s="7" t="n"/>
      <c r="F932" s="7" t="n"/>
      <c r="G932" s="7" t="n"/>
      <c r="H932" s="7">
        <f>IF($A932="","",IF(AND($E932="Pass",$F932="Pass",$G932="Pass"),"PROMOTE","NOT YET"))</f>
        <v/>
      </c>
      <c r="I932" s="7" t="n"/>
      <c r="J932" s="27">
        <f>IF(OR($A932="",$C932=""),"",IF(IFERROR(VLOOKUP($A932,Ledger!$A:$E,5,FALSE),0)&gt;=VLOOKUP($C932,RoleTitles!$A:$B,2,FALSE),"YES","NO"))</f>
        <v/>
      </c>
      <c r="K932" s="27">
        <f>IF($A932="","",IF(AND($H932="PROMOTE",$J932="YES"),"YES — PROMOTE","NO"))</f>
        <v/>
      </c>
    </row>
    <row r="933">
      <c r="A933" s="7" t="n"/>
      <c r="B933" s="7">
        <f>IF($A933="","",VLOOKUP($A933,CoachRoster!$A:$E,4,FALSE))</f>
        <v/>
      </c>
      <c r="C933" s="7" t="n"/>
      <c r="D933" s="7" t="n"/>
      <c r="E933" s="7" t="n"/>
      <c r="F933" s="7" t="n"/>
      <c r="G933" s="7" t="n"/>
      <c r="H933" s="7">
        <f>IF($A933="","",IF(AND($E933="Pass",$F933="Pass",$G933="Pass"),"PROMOTE","NOT YET"))</f>
        <v/>
      </c>
      <c r="I933" s="7" t="n"/>
      <c r="J933" s="27">
        <f>IF(OR($A933="",$C933=""),"",IF(IFERROR(VLOOKUP($A933,Ledger!$A:$E,5,FALSE),0)&gt;=VLOOKUP($C933,RoleTitles!$A:$B,2,FALSE),"YES","NO"))</f>
        <v/>
      </c>
      <c r="K933" s="27">
        <f>IF($A933="","",IF(AND($H933="PROMOTE",$J933="YES"),"YES — PROMOTE","NO"))</f>
        <v/>
      </c>
    </row>
    <row r="934">
      <c r="A934" s="7" t="n"/>
      <c r="B934" s="7">
        <f>IF($A934="","",VLOOKUP($A934,CoachRoster!$A:$E,4,FALSE))</f>
        <v/>
      </c>
      <c r="C934" s="7" t="n"/>
      <c r="D934" s="7" t="n"/>
      <c r="E934" s="7" t="n"/>
      <c r="F934" s="7" t="n"/>
      <c r="G934" s="7" t="n"/>
      <c r="H934" s="7">
        <f>IF($A934="","",IF(AND($E934="Pass",$F934="Pass",$G934="Pass"),"PROMOTE","NOT YET"))</f>
        <v/>
      </c>
      <c r="I934" s="7" t="n"/>
      <c r="J934" s="27">
        <f>IF(OR($A934="",$C934=""),"",IF(IFERROR(VLOOKUP($A934,Ledger!$A:$E,5,FALSE),0)&gt;=VLOOKUP($C934,RoleTitles!$A:$B,2,FALSE),"YES","NO"))</f>
        <v/>
      </c>
      <c r="K934" s="27">
        <f>IF($A934="","",IF(AND($H934="PROMOTE",$J934="YES"),"YES — PROMOTE","NO"))</f>
        <v/>
      </c>
    </row>
    <row r="935">
      <c r="A935" s="7" t="n"/>
      <c r="B935" s="7">
        <f>IF($A935="","",VLOOKUP($A935,CoachRoster!$A:$E,4,FALSE))</f>
        <v/>
      </c>
      <c r="C935" s="7" t="n"/>
      <c r="D935" s="7" t="n"/>
      <c r="E935" s="7" t="n"/>
      <c r="F935" s="7" t="n"/>
      <c r="G935" s="7" t="n"/>
      <c r="H935" s="7">
        <f>IF($A935="","",IF(AND($E935="Pass",$F935="Pass",$G935="Pass"),"PROMOTE","NOT YET"))</f>
        <v/>
      </c>
      <c r="I935" s="7" t="n"/>
      <c r="J935" s="27">
        <f>IF(OR($A935="",$C935=""),"",IF(IFERROR(VLOOKUP($A935,Ledger!$A:$E,5,FALSE),0)&gt;=VLOOKUP($C935,RoleTitles!$A:$B,2,FALSE),"YES","NO"))</f>
        <v/>
      </c>
      <c r="K935" s="27">
        <f>IF($A935="","",IF(AND($H935="PROMOTE",$J935="YES"),"YES — PROMOTE","NO"))</f>
        <v/>
      </c>
    </row>
    <row r="936">
      <c r="A936" s="7" t="n"/>
      <c r="B936" s="7">
        <f>IF($A936="","",VLOOKUP($A936,CoachRoster!$A:$E,4,FALSE))</f>
        <v/>
      </c>
      <c r="C936" s="7" t="n"/>
      <c r="D936" s="7" t="n"/>
      <c r="E936" s="7" t="n"/>
      <c r="F936" s="7" t="n"/>
      <c r="G936" s="7" t="n"/>
      <c r="H936" s="7">
        <f>IF($A936="","",IF(AND($E936="Pass",$F936="Pass",$G936="Pass"),"PROMOTE","NOT YET"))</f>
        <v/>
      </c>
      <c r="I936" s="7" t="n"/>
      <c r="J936" s="27">
        <f>IF(OR($A936="",$C936=""),"",IF(IFERROR(VLOOKUP($A936,Ledger!$A:$E,5,FALSE),0)&gt;=VLOOKUP($C936,RoleTitles!$A:$B,2,FALSE),"YES","NO"))</f>
        <v/>
      </c>
      <c r="K936" s="27">
        <f>IF($A936="","",IF(AND($H936="PROMOTE",$J936="YES"),"YES — PROMOTE","NO"))</f>
        <v/>
      </c>
    </row>
    <row r="937">
      <c r="A937" s="7" t="n"/>
      <c r="B937" s="7">
        <f>IF($A937="","",VLOOKUP($A937,CoachRoster!$A:$E,4,FALSE))</f>
        <v/>
      </c>
      <c r="C937" s="7" t="n"/>
      <c r="D937" s="7" t="n"/>
      <c r="E937" s="7" t="n"/>
      <c r="F937" s="7" t="n"/>
      <c r="G937" s="7" t="n"/>
      <c r="H937" s="7">
        <f>IF($A937="","",IF(AND($E937="Pass",$F937="Pass",$G937="Pass"),"PROMOTE","NOT YET"))</f>
        <v/>
      </c>
      <c r="I937" s="7" t="n"/>
      <c r="J937" s="27">
        <f>IF(OR($A937="",$C937=""),"",IF(IFERROR(VLOOKUP($A937,Ledger!$A:$E,5,FALSE),0)&gt;=VLOOKUP($C937,RoleTitles!$A:$B,2,FALSE),"YES","NO"))</f>
        <v/>
      </c>
      <c r="K937" s="27">
        <f>IF($A937="","",IF(AND($H937="PROMOTE",$J937="YES"),"YES — PROMOTE","NO"))</f>
        <v/>
      </c>
    </row>
    <row r="938">
      <c r="A938" s="7" t="n"/>
      <c r="B938" s="7">
        <f>IF($A938="","",VLOOKUP($A938,CoachRoster!$A:$E,4,FALSE))</f>
        <v/>
      </c>
      <c r="C938" s="7" t="n"/>
      <c r="D938" s="7" t="n"/>
      <c r="E938" s="7" t="n"/>
      <c r="F938" s="7" t="n"/>
      <c r="G938" s="7" t="n"/>
      <c r="H938" s="7">
        <f>IF($A938="","",IF(AND($E938="Pass",$F938="Pass",$G938="Pass"),"PROMOTE","NOT YET"))</f>
        <v/>
      </c>
      <c r="I938" s="7" t="n"/>
      <c r="J938" s="27">
        <f>IF(OR($A938="",$C938=""),"",IF(IFERROR(VLOOKUP($A938,Ledger!$A:$E,5,FALSE),0)&gt;=VLOOKUP($C938,RoleTitles!$A:$B,2,FALSE),"YES","NO"))</f>
        <v/>
      </c>
      <c r="K938" s="27">
        <f>IF($A938="","",IF(AND($H938="PROMOTE",$J938="YES"),"YES — PROMOTE","NO"))</f>
        <v/>
      </c>
    </row>
    <row r="939">
      <c r="A939" s="7" t="n"/>
      <c r="B939" s="7">
        <f>IF($A939="","",VLOOKUP($A939,CoachRoster!$A:$E,4,FALSE))</f>
        <v/>
      </c>
      <c r="C939" s="7" t="n"/>
      <c r="D939" s="7" t="n"/>
      <c r="E939" s="7" t="n"/>
      <c r="F939" s="7" t="n"/>
      <c r="G939" s="7" t="n"/>
      <c r="H939" s="7">
        <f>IF($A939="","",IF(AND($E939="Pass",$F939="Pass",$G939="Pass"),"PROMOTE","NOT YET"))</f>
        <v/>
      </c>
      <c r="I939" s="7" t="n"/>
      <c r="J939" s="27">
        <f>IF(OR($A939="",$C939=""),"",IF(IFERROR(VLOOKUP($A939,Ledger!$A:$E,5,FALSE),0)&gt;=VLOOKUP($C939,RoleTitles!$A:$B,2,FALSE),"YES","NO"))</f>
        <v/>
      </c>
      <c r="K939" s="27">
        <f>IF($A939="","",IF(AND($H939="PROMOTE",$J939="YES"),"YES — PROMOTE","NO"))</f>
        <v/>
      </c>
    </row>
    <row r="940">
      <c r="A940" s="7" t="n"/>
      <c r="B940" s="7">
        <f>IF($A940="","",VLOOKUP($A940,CoachRoster!$A:$E,4,FALSE))</f>
        <v/>
      </c>
      <c r="C940" s="7" t="n"/>
      <c r="D940" s="7" t="n"/>
      <c r="E940" s="7" t="n"/>
      <c r="F940" s="7" t="n"/>
      <c r="G940" s="7" t="n"/>
      <c r="H940" s="7">
        <f>IF($A940="","",IF(AND($E940="Pass",$F940="Pass",$G940="Pass"),"PROMOTE","NOT YET"))</f>
        <v/>
      </c>
      <c r="I940" s="7" t="n"/>
      <c r="J940" s="27">
        <f>IF(OR($A940="",$C940=""),"",IF(IFERROR(VLOOKUP($A940,Ledger!$A:$E,5,FALSE),0)&gt;=VLOOKUP($C940,RoleTitles!$A:$B,2,FALSE),"YES","NO"))</f>
        <v/>
      </c>
      <c r="K940" s="27">
        <f>IF($A940="","",IF(AND($H940="PROMOTE",$J940="YES"),"YES — PROMOTE","NO"))</f>
        <v/>
      </c>
    </row>
    <row r="941">
      <c r="A941" s="7" t="n"/>
      <c r="B941" s="7">
        <f>IF($A941="","",VLOOKUP($A941,CoachRoster!$A:$E,4,FALSE))</f>
        <v/>
      </c>
      <c r="C941" s="7" t="n"/>
      <c r="D941" s="7" t="n"/>
      <c r="E941" s="7" t="n"/>
      <c r="F941" s="7" t="n"/>
      <c r="G941" s="7" t="n"/>
      <c r="H941" s="7">
        <f>IF($A941="","",IF(AND($E941="Pass",$F941="Pass",$G941="Pass"),"PROMOTE","NOT YET"))</f>
        <v/>
      </c>
      <c r="I941" s="7" t="n"/>
      <c r="J941" s="27">
        <f>IF(OR($A941="",$C941=""),"",IF(IFERROR(VLOOKUP($A941,Ledger!$A:$E,5,FALSE),0)&gt;=VLOOKUP($C941,RoleTitles!$A:$B,2,FALSE),"YES","NO"))</f>
        <v/>
      </c>
      <c r="K941" s="27">
        <f>IF($A941="","",IF(AND($H941="PROMOTE",$J941="YES"),"YES — PROMOTE","NO"))</f>
        <v/>
      </c>
    </row>
    <row r="942">
      <c r="A942" s="7" t="n"/>
      <c r="B942" s="7">
        <f>IF($A942="","",VLOOKUP($A942,CoachRoster!$A:$E,4,FALSE))</f>
        <v/>
      </c>
      <c r="C942" s="7" t="n"/>
      <c r="D942" s="7" t="n"/>
      <c r="E942" s="7" t="n"/>
      <c r="F942" s="7" t="n"/>
      <c r="G942" s="7" t="n"/>
      <c r="H942" s="7">
        <f>IF($A942="","",IF(AND($E942="Pass",$F942="Pass",$G942="Pass"),"PROMOTE","NOT YET"))</f>
        <v/>
      </c>
      <c r="I942" s="7" t="n"/>
      <c r="J942" s="27">
        <f>IF(OR($A942="",$C942=""),"",IF(IFERROR(VLOOKUP($A942,Ledger!$A:$E,5,FALSE),0)&gt;=VLOOKUP($C942,RoleTitles!$A:$B,2,FALSE),"YES","NO"))</f>
        <v/>
      </c>
      <c r="K942" s="27">
        <f>IF($A942="","",IF(AND($H942="PROMOTE",$J942="YES"),"YES — PROMOTE","NO"))</f>
        <v/>
      </c>
    </row>
    <row r="943">
      <c r="A943" s="7" t="n"/>
      <c r="B943" s="7">
        <f>IF($A943="","",VLOOKUP($A943,CoachRoster!$A:$E,4,FALSE))</f>
        <v/>
      </c>
      <c r="C943" s="7" t="n"/>
      <c r="D943" s="7" t="n"/>
      <c r="E943" s="7" t="n"/>
      <c r="F943" s="7" t="n"/>
      <c r="G943" s="7" t="n"/>
      <c r="H943" s="7">
        <f>IF($A943="","",IF(AND($E943="Pass",$F943="Pass",$G943="Pass"),"PROMOTE","NOT YET"))</f>
        <v/>
      </c>
      <c r="I943" s="7" t="n"/>
      <c r="J943" s="27">
        <f>IF(OR($A943="",$C943=""),"",IF(IFERROR(VLOOKUP($A943,Ledger!$A:$E,5,FALSE),0)&gt;=VLOOKUP($C943,RoleTitles!$A:$B,2,FALSE),"YES","NO"))</f>
        <v/>
      </c>
      <c r="K943" s="27">
        <f>IF($A943="","",IF(AND($H943="PROMOTE",$J943="YES"),"YES — PROMOTE","NO"))</f>
        <v/>
      </c>
    </row>
    <row r="944">
      <c r="A944" s="7" t="n"/>
      <c r="B944" s="7">
        <f>IF($A944="","",VLOOKUP($A944,CoachRoster!$A:$E,4,FALSE))</f>
        <v/>
      </c>
      <c r="C944" s="7" t="n"/>
      <c r="D944" s="7" t="n"/>
      <c r="E944" s="7" t="n"/>
      <c r="F944" s="7" t="n"/>
      <c r="G944" s="7" t="n"/>
      <c r="H944" s="7">
        <f>IF($A944="","",IF(AND($E944="Pass",$F944="Pass",$G944="Pass"),"PROMOTE","NOT YET"))</f>
        <v/>
      </c>
      <c r="I944" s="7" t="n"/>
      <c r="J944" s="27">
        <f>IF(OR($A944="",$C944=""),"",IF(IFERROR(VLOOKUP($A944,Ledger!$A:$E,5,FALSE),0)&gt;=VLOOKUP($C944,RoleTitles!$A:$B,2,FALSE),"YES","NO"))</f>
        <v/>
      </c>
      <c r="K944" s="27">
        <f>IF($A944="","",IF(AND($H944="PROMOTE",$J944="YES"),"YES — PROMOTE","NO"))</f>
        <v/>
      </c>
    </row>
    <row r="945">
      <c r="A945" s="7" t="n"/>
      <c r="B945" s="7">
        <f>IF($A945="","",VLOOKUP($A945,CoachRoster!$A:$E,4,FALSE))</f>
        <v/>
      </c>
      <c r="C945" s="7" t="n"/>
      <c r="D945" s="7" t="n"/>
      <c r="E945" s="7" t="n"/>
      <c r="F945" s="7" t="n"/>
      <c r="G945" s="7" t="n"/>
      <c r="H945" s="7">
        <f>IF($A945="","",IF(AND($E945="Pass",$F945="Pass",$G945="Pass"),"PROMOTE","NOT YET"))</f>
        <v/>
      </c>
      <c r="I945" s="7" t="n"/>
      <c r="J945" s="27">
        <f>IF(OR($A945="",$C945=""),"",IF(IFERROR(VLOOKUP($A945,Ledger!$A:$E,5,FALSE),0)&gt;=VLOOKUP($C945,RoleTitles!$A:$B,2,FALSE),"YES","NO"))</f>
        <v/>
      </c>
      <c r="K945" s="27">
        <f>IF($A945="","",IF(AND($H945="PROMOTE",$J945="YES"),"YES — PROMOTE","NO"))</f>
        <v/>
      </c>
    </row>
    <row r="946">
      <c r="A946" s="7" t="n"/>
      <c r="B946" s="7">
        <f>IF($A946="","",VLOOKUP($A946,CoachRoster!$A:$E,4,FALSE))</f>
        <v/>
      </c>
      <c r="C946" s="7" t="n"/>
      <c r="D946" s="7" t="n"/>
      <c r="E946" s="7" t="n"/>
      <c r="F946" s="7" t="n"/>
      <c r="G946" s="7" t="n"/>
      <c r="H946" s="7">
        <f>IF($A946="","",IF(AND($E946="Pass",$F946="Pass",$G946="Pass"),"PROMOTE","NOT YET"))</f>
        <v/>
      </c>
      <c r="I946" s="7" t="n"/>
      <c r="J946" s="27">
        <f>IF(OR($A946="",$C946=""),"",IF(IFERROR(VLOOKUP($A946,Ledger!$A:$E,5,FALSE),0)&gt;=VLOOKUP($C946,RoleTitles!$A:$B,2,FALSE),"YES","NO"))</f>
        <v/>
      </c>
      <c r="K946" s="27">
        <f>IF($A946="","",IF(AND($H946="PROMOTE",$J946="YES"),"YES — PROMOTE","NO"))</f>
        <v/>
      </c>
    </row>
    <row r="947">
      <c r="A947" s="7" t="n"/>
      <c r="B947" s="7">
        <f>IF($A947="","",VLOOKUP($A947,CoachRoster!$A:$E,4,FALSE))</f>
        <v/>
      </c>
      <c r="C947" s="7" t="n"/>
      <c r="D947" s="7" t="n"/>
      <c r="E947" s="7" t="n"/>
      <c r="F947" s="7" t="n"/>
      <c r="G947" s="7" t="n"/>
      <c r="H947" s="7">
        <f>IF($A947="","",IF(AND($E947="Pass",$F947="Pass",$G947="Pass"),"PROMOTE","NOT YET"))</f>
        <v/>
      </c>
      <c r="I947" s="7" t="n"/>
      <c r="J947" s="27">
        <f>IF(OR($A947="",$C947=""),"",IF(IFERROR(VLOOKUP($A947,Ledger!$A:$E,5,FALSE),0)&gt;=VLOOKUP($C947,RoleTitles!$A:$B,2,FALSE),"YES","NO"))</f>
        <v/>
      </c>
      <c r="K947" s="27">
        <f>IF($A947="","",IF(AND($H947="PROMOTE",$J947="YES"),"YES — PROMOTE","NO"))</f>
        <v/>
      </c>
    </row>
    <row r="948">
      <c r="A948" s="7" t="n"/>
      <c r="B948" s="7">
        <f>IF($A948="","",VLOOKUP($A948,CoachRoster!$A:$E,4,FALSE))</f>
        <v/>
      </c>
      <c r="C948" s="7" t="n"/>
      <c r="D948" s="7" t="n"/>
      <c r="E948" s="7" t="n"/>
      <c r="F948" s="7" t="n"/>
      <c r="G948" s="7" t="n"/>
      <c r="H948" s="7">
        <f>IF($A948="","",IF(AND($E948="Pass",$F948="Pass",$G948="Pass"),"PROMOTE","NOT YET"))</f>
        <v/>
      </c>
      <c r="I948" s="7" t="n"/>
      <c r="J948" s="27">
        <f>IF(OR($A948="",$C948=""),"",IF(IFERROR(VLOOKUP($A948,Ledger!$A:$E,5,FALSE),0)&gt;=VLOOKUP($C948,RoleTitles!$A:$B,2,FALSE),"YES","NO"))</f>
        <v/>
      </c>
      <c r="K948" s="27">
        <f>IF($A948="","",IF(AND($H948="PROMOTE",$J948="YES"),"YES — PROMOTE","NO"))</f>
        <v/>
      </c>
    </row>
    <row r="949">
      <c r="A949" s="7" t="n"/>
      <c r="B949" s="7">
        <f>IF($A949="","",VLOOKUP($A949,CoachRoster!$A:$E,4,FALSE))</f>
        <v/>
      </c>
      <c r="C949" s="7" t="n"/>
      <c r="D949" s="7" t="n"/>
      <c r="E949" s="7" t="n"/>
      <c r="F949" s="7" t="n"/>
      <c r="G949" s="7" t="n"/>
      <c r="H949" s="7">
        <f>IF($A949="","",IF(AND($E949="Pass",$F949="Pass",$G949="Pass"),"PROMOTE","NOT YET"))</f>
        <v/>
      </c>
      <c r="I949" s="7" t="n"/>
      <c r="J949" s="27">
        <f>IF(OR($A949="",$C949=""),"",IF(IFERROR(VLOOKUP($A949,Ledger!$A:$E,5,FALSE),0)&gt;=VLOOKUP($C949,RoleTitles!$A:$B,2,FALSE),"YES","NO"))</f>
        <v/>
      </c>
      <c r="K949" s="27">
        <f>IF($A949="","",IF(AND($H949="PROMOTE",$J949="YES"),"YES — PROMOTE","NO"))</f>
        <v/>
      </c>
    </row>
    <row r="950">
      <c r="A950" s="7" t="n"/>
      <c r="B950" s="7">
        <f>IF($A950="","",VLOOKUP($A950,CoachRoster!$A:$E,4,FALSE))</f>
        <v/>
      </c>
      <c r="C950" s="7" t="n"/>
      <c r="D950" s="7" t="n"/>
      <c r="E950" s="7" t="n"/>
      <c r="F950" s="7" t="n"/>
      <c r="G950" s="7" t="n"/>
      <c r="H950" s="7">
        <f>IF($A950="","",IF(AND($E950="Pass",$F950="Pass",$G950="Pass"),"PROMOTE","NOT YET"))</f>
        <v/>
      </c>
      <c r="I950" s="7" t="n"/>
      <c r="J950" s="27">
        <f>IF(OR($A950="",$C950=""),"",IF(IFERROR(VLOOKUP($A950,Ledger!$A:$E,5,FALSE),0)&gt;=VLOOKUP($C950,RoleTitles!$A:$B,2,FALSE),"YES","NO"))</f>
        <v/>
      </c>
      <c r="K950" s="27">
        <f>IF($A950="","",IF(AND($H950="PROMOTE",$J950="YES"),"YES — PROMOTE","NO"))</f>
        <v/>
      </c>
    </row>
    <row r="951">
      <c r="A951" s="7" t="n"/>
      <c r="B951" s="7">
        <f>IF($A951="","",VLOOKUP($A951,CoachRoster!$A:$E,4,FALSE))</f>
        <v/>
      </c>
      <c r="C951" s="7" t="n"/>
      <c r="D951" s="7" t="n"/>
      <c r="E951" s="7" t="n"/>
      <c r="F951" s="7" t="n"/>
      <c r="G951" s="7" t="n"/>
      <c r="H951" s="7">
        <f>IF($A951="","",IF(AND($E951="Pass",$F951="Pass",$G951="Pass"),"PROMOTE","NOT YET"))</f>
        <v/>
      </c>
      <c r="I951" s="7" t="n"/>
      <c r="J951" s="27">
        <f>IF(OR($A951="",$C951=""),"",IF(IFERROR(VLOOKUP($A951,Ledger!$A:$E,5,FALSE),0)&gt;=VLOOKUP($C951,RoleTitles!$A:$B,2,FALSE),"YES","NO"))</f>
        <v/>
      </c>
      <c r="K951" s="27">
        <f>IF($A951="","",IF(AND($H951="PROMOTE",$J951="YES"),"YES — PROMOTE","NO"))</f>
        <v/>
      </c>
    </row>
    <row r="952">
      <c r="A952" s="7" t="n"/>
      <c r="B952" s="7">
        <f>IF($A952="","",VLOOKUP($A952,CoachRoster!$A:$E,4,FALSE))</f>
        <v/>
      </c>
      <c r="C952" s="7" t="n"/>
      <c r="D952" s="7" t="n"/>
      <c r="E952" s="7" t="n"/>
      <c r="F952" s="7" t="n"/>
      <c r="G952" s="7" t="n"/>
      <c r="H952" s="7">
        <f>IF($A952="","",IF(AND($E952="Pass",$F952="Pass",$G952="Pass"),"PROMOTE","NOT YET"))</f>
        <v/>
      </c>
      <c r="I952" s="7" t="n"/>
      <c r="J952" s="27">
        <f>IF(OR($A952="",$C952=""),"",IF(IFERROR(VLOOKUP($A952,Ledger!$A:$E,5,FALSE),0)&gt;=VLOOKUP($C952,RoleTitles!$A:$B,2,FALSE),"YES","NO"))</f>
        <v/>
      </c>
      <c r="K952" s="27">
        <f>IF($A952="","",IF(AND($H952="PROMOTE",$J952="YES"),"YES — PROMOTE","NO"))</f>
        <v/>
      </c>
    </row>
    <row r="953">
      <c r="A953" s="7" t="n"/>
      <c r="B953" s="7">
        <f>IF($A953="","",VLOOKUP($A953,CoachRoster!$A:$E,4,FALSE))</f>
        <v/>
      </c>
      <c r="C953" s="7" t="n"/>
      <c r="D953" s="7" t="n"/>
      <c r="E953" s="7" t="n"/>
      <c r="F953" s="7" t="n"/>
      <c r="G953" s="7" t="n"/>
      <c r="H953" s="7">
        <f>IF($A953="","",IF(AND($E953="Pass",$F953="Pass",$G953="Pass"),"PROMOTE","NOT YET"))</f>
        <v/>
      </c>
      <c r="I953" s="7" t="n"/>
      <c r="J953" s="27">
        <f>IF(OR($A953="",$C953=""),"",IF(IFERROR(VLOOKUP($A953,Ledger!$A:$E,5,FALSE),0)&gt;=VLOOKUP($C953,RoleTitles!$A:$B,2,FALSE),"YES","NO"))</f>
        <v/>
      </c>
      <c r="K953" s="27">
        <f>IF($A953="","",IF(AND($H953="PROMOTE",$J953="YES"),"YES — PROMOTE","NO"))</f>
        <v/>
      </c>
    </row>
    <row r="954">
      <c r="A954" s="7" t="n"/>
      <c r="B954" s="7">
        <f>IF($A954="","",VLOOKUP($A954,CoachRoster!$A:$E,4,FALSE))</f>
        <v/>
      </c>
      <c r="C954" s="7" t="n"/>
      <c r="D954" s="7" t="n"/>
      <c r="E954" s="7" t="n"/>
      <c r="F954" s="7" t="n"/>
      <c r="G954" s="7" t="n"/>
      <c r="H954" s="7">
        <f>IF($A954="","",IF(AND($E954="Pass",$F954="Pass",$G954="Pass"),"PROMOTE","NOT YET"))</f>
        <v/>
      </c>
      <c r="I954" s="7" t="n"/>
      <c r="J954" s="27">
        <f>IF(OR($A954="",$C954=""),"",IF(IFERROR(VLOOKUP($A954,Ledger!$A:$E,5,FALSE),0)&gt;=VLOOKUP($C954,RoleTitles!$A:$B,2,FALSE),"YES","NO"))</f>
        <v/>
      </c>
      <c r="K954" s="27">
        <f>IF($A954="","",IF(AND($H954="PROMOTE",$J954="YES"),"YES — PROMOTE","NO"))</f>
        <v/>
      </c>
    </row>
    <row r="955">
      <c r="A955" s="7" t="n"/>
      <c r="B955" s="7">
        <f>IF($A955="","",VLOOKUP($A955,CoachRoster!$A:$E,4,FALSE))</f>
        <v/>
      </c>
      <c r="C955" s="7" t="n"/>
      <c r="D955" s="7" t="n"/>
      <c r="E955" s="7" t="n"/>
      <c r="F955" s="7" t="n"/>
      <c r="G955" s="7" t="n"/>
      <c r="H955" s="7">
        <f>IF($A955="","",IF(AND($E955="Pass",$F955="Pass",$G955="Pass"),"PROMOTE","NOT YET"))</f>
        <v/>
      </c>
      <c r="I955" s="7" t="n"/>
      <c r="J955" s="27">
        <f>IF(OR($A955="",$C955=""),"",IF(IFERROR(VLOOKUP($A955,Ledger!$A:$E,5,FALSE),0)&gt;=VLOOKUP($C955,RoleTitles!$A:$B,2,FALSE),"YES","NO"))</f>
        <v/>
      </c>
      <c r="K955" s="27">
        <f>IF($A955="","",IF(AND($H955="PROMOTE",$J955="YES"),"YES — PROMOTE","NO"))</f>
        <v/>
      </c>
    </row>
    <row r="956">
      <c r="A956" s="7" t="n"/>
      <c r="B956" s="7">
        <f>IF($A956="","",VLOOKUP($A956,CoachRoster!$A:$E,4,FALSE))</f>
        <v/>
      </c>
      <c r="C956" s="7" t="n"/>
      <c r="D956" s="7" t="n"/>
      <c r="E956" s="7" t="n"/>
      <c r="F956" s="7" t="n"/>
      <c r="G956" s="7" t="n"/>
      <c r="H956" s="7">
        <f>IF($A956="","",IF(AND($E956="Pass",$F956="Pass",$G956="Pass"),"PROMOTE","NOT YET"))</f>
        <v/>
      </c>
      <c r="I956" s="7" t="n"/>
      <c r="J956" s="27">
        <f>IF(OR($A956="",$C956=""),"",IF(IFERROR(VLOOKUP($A956,Ledger!$A:$E,5,FALSE),0)&gt;=VLOOKUP($C956,RoleTitles!$A:$B,2,FALSE),"YES","NO"))</f>
        <v/>
      </c>
      <c r="K956" s="27">
        <f>IF($A956="","",IF(AND($H956="PROMOTE",$J956="YES"),"YES — PROMOTE","NO"))</f>
        <v/>
      </c>
    </row>
    <row r="957">
      <c r="A957" s="7" t="n"/>
      <c r="B957" s="7">
        <f>IF($A957="","",VLOOKUP($A957,CoachRoster!$A:$E,4,FALSE))</f>
        <v/>
      </c>
      <c r="C957" s="7" t="n"/>
      <c r="D957" s="7" t="n"/>
      <c r="E957" s="7" t="n"/>
      <c r="F957" s="7" t="n"/>
      <c r="G957" s="7" t="n"/>
      <c r="H957" s="7">
        <f>IF($A957="","",IF(AND($E957="Pass",$F957="Pass",$G957="Pass"),"PROMOTE","NOT YET"))</f>
        <v/>
      </c>
      <c r="I957" s="7" t="n"/>
      <c r="J957" s="27">
        <f>IF(OR($A957="",$C957=""),"",IF(IFERROR(VLOOKUP($A957,Ledger!$A:$E,5,FALSE),0)&gt;=VLOOKUP($C957,RoleTitles!$A:$B,2,FALSE),"YES","NO"))</f>
        <v/>
      </c>
      <c r="K957" s="27">
        <f>IF($A957="","",IF(AND($H957="PROMOTE",$J957="YES"),"YES — PROMOTE","NO"))</f>
        <v/>
      </c>
    </row>
    <row r="958">
      <c r="A958" s="7" t="n"/>
      <c r="B958" s="7">
        <f>IF($A958="","",VLOOKUP($A958,CoachRoster!$A:$E,4,FALSE))</f>
        <v/>
      </c>
      <c r="C958" s="7" t="n"/>
      <c r="D958" s="7" t="n"/>
      <c r="E958" s="7" t="n"/>
      <c r="F958" s="7" t="n"/>
      <c r="G958" s="7" t="n"/>
      <c r="H958" s="7">
        <f>IF($A958="","",IF(AND($E958="Pass",$F958="Pass",$G958="Pass"),"PROMOTE","NOT YET"))</f>
        <v/>
      </c>
      <c r="I958" s="7" t="n"/>
      <c r="J958" s="27">
        <f>IF(OR($A958="",$C958=""),"",IF(IFERROR(VLOOKUP($A958,Ledger!$A:$E,5,FALSE),0)&gt;=VLOOKUP($C958,RoleTitles!$A:$B,2,FALSE),"YES","NO"))</f>
        <v/>
      </c>
      <c r="K958" s="27">
        <f>IF($A958="","",IF(AND($H958="PROMOTE",$J958="YES"),"YES — PROMOTE","NO"))</f>
        <v/>
      </c>
    </row>
    <row r="959">
      <c r="A959" s="7" t="n"/>
      <c r="B959" s="7">
        <f>IF($A959="","",VLOOKUP($A959,CoachRoster!$A:$E,4,FALSE))</f>
        <v/>
      </c>
      <c r="C959" s="7" t="n"/>
      <c r="D959" s="7" t="n"/>
      <c r="E959" s="7" t="n"/>
      <c r="F959" s="7" t="n"/>
      <c r="G959" s="7" t="n"/>
      <c r="H959" s="7">
        <f>IF($A959="","",IF(AND($E959="Pass",$F959="Pass",$G959="Pass"),"PROMOTE","NOT YET"))</f>
        <v/>
      </c>
      <c r="I959" s="7" t="n"/>
      <c r="J959" s="27">
        <f>IF(OR($A959="",$C959=""),"",IF(IFERROR(VLOOKUP($A959,Ledger!$A:$E,5,FALSE),0)&gt;=VLOOKUP($C959,RoleTitles!$A:$B,2,FALSE),"YES","NO"))</f>
        <v/>
      </c>
      <c r="K959" s="27">
        <f>IF($A959="","",IF(AND($H959="PROMOTE",$J959="YES"),"YES — PROMOTE","NO"))</f>
        <v/>
      </c>
    </row>
    <row r="960">
      <c r="A960" s="7" t="n"/>
      <c r="B960" s="7">
        <f>IF($A960="","",VLOOKUP($A960,CoachRoster!$A:$E,4,FALSE))</f>
        <v/>
      </c>
      <c r="C960" s="7" t="n"/>
      <c r="D960" s="7" t="n"/>
      <c r="E960" s="7" t="n"/>
      <c r="F960" s="7" t="n"/>
      <c r="G960" s="7" t="n"/>
      <c r="H960" s="7">
        <f>IF($A960="","",IF(AND($E960="Pass",$F960="Pass",$G960="Pass"),"PROMOTE","NOT YET"))</f>
        <v/>
      </c>
      <c r="I960" s="7" t="n"/>
      <c r="J960" s="27">
        <f>IF(OR($A960="",$C960=""),"",IF(IFERROR(VLOOKUP($A960,Ledger!$A:$E,5,FALSE),0)&gt;=VLOOKUP($C960,RoleTitles!$A:$B,2,FALSE),"YES","NO"))</f>
        <v/>
      </c>
      <c r="K960" s="27">
        <f>IF($A960="","",IF(AND($H960="PROMOTE",$J960="YES"),"YES — PROMOTE","NO"))</f>
        <v/>
      </c>
    </row>
    <row r="961">
      <c r="A961" s="7" t="n"/>
      <c r="B961" s="7">
        <f>IF($A961="","",VLOOKUP($A961,CoachRoster!$A:$E,4,FALSE))</f>
        <v/>
      </c>
      <c r="C961" s="7" t="n"/>
      <c r="D961" s="7" t="n"/>
      <c r="E961" s="7" t="n"/>
      <c r="F961" s="7" t="n"/>
      <c r="G961" s="7" t="n"/>
      <c r="H961" s="7">
        <f>IF($A961="","",IF(AND($E961="Pass",$F961="Pass",$G961="Pass"),"PROMOTE","NOT YET"))</f>
        <v/>
      </c>
      <c r="I961" s="7" t="n"/>
      <c r="J961" s="27">
        <f>IF(OR($A961="",$C961=""),"",IF(IFERROR(VLOOKUP($A961,Ledger!$A:$E,5,FALSE),0)&gt;=VLOOKUP($C961,RoleTitles!$A:$B,2,FALSE),"YES","NO"))</f>
        <v/>
      </c>
      <c r="K961" s="27">
        <f>IF($A961="","",IF(AND($H961="PROMOTE",$J961="YES"),"YES — PROMOTE","NO"))</f>
        <v/>
      </c>
    </row>
    <row r="962">
      <c r="A962" s="7" t="n"/>
      <c r="B962" s="7">
        <f>IF($A962="","",VLOOKUP($A962,CoachRoster!$A:$E,4,FALSE))</f>
        <v/>
      </c>
      <c r="C962" s="7" t="n"/>
      <c r="D962" s="7" t="n"/>
      <c r="E962" s="7" t="n"/>
      <c r="F962" s="7" t="n"/>
      <c r="G962" s="7" t="n"/>
      <c r="H962" s="7">
        <f>IF($A962="","",IF(AND($E962="Pass",$F962="Pass",$G962="Pass"),"PROMOTE","NOT YET"))</f>
        <v/>
      </c>
      <c r="I962" s="7" t="n"/>
      <c r="J962" s="27">
        <f>IF(OR($A962="",$C962=""),"",IF(IFERROR(VLOOKUP($A962,Ledger!$A:$E,5,FALSE),0)&gt;=VLOOKUP($C962,RoleTitles!$A:$B,2,FALSE),"YES","NO"))</f>
        <v/>
      </c>
      <c r="K962" s="27">
        <f>IF($A962="","",IF(AND($H962="PROMOTE",$J962="YES"),"YES — PROMOTE","NO"))</f>
        <v/>
      </c>
    </row>
    <row r="963">
      <c r="A963" s="7" t="n"/>
      <c r="B963" s="7">
        <f>IF($A963="","",VLOOKUP($A963,CoachRoster!$A:$E,4,FALSE))</f>
        <v/>
      </c>
      <c r="C963" s="7" t="n"/>
      <c r="D963" s="7" t="n"/>
      <c r="E963" s="7" t="n"/>
      <c r="F963" s="7" t="n"/>
      <c r="G963" s="7" t="n"/>
      <c r="H963" s="7">
        <f>IF($A963="","",IF(AND($E963="Pass",$F963="Pass",$G963="Pass"),"PROMOTE","NOT YET"))</f>
        <v/>
      </c>
      <c r="I963" s="7" t="n"/>
      <c r="J963" s="27">
        <f>IF(OR($A963="",$C963=""),"",IF(IFERROR(VLOOKUP($A963,Ledger!$A:$E,5,FALSE),0)&gt;=VLOOKUP($C963,RoleTitles!$A:$B,2,FALSE),"YES","NO"))</f>
        <v/>
      </c>
      <c r="K963" s="27">
        <f>IF($A963="","",IF(AND($H963="PROMOTE",$J963="YES"),"YES — PROMOTE","NO"))</f>
        <v/>
      </c>
    </row>
    <row r="964">
      <c r="A964" s="7" t="n"/>
      <c r="B964" s="7">
        <f>IF($A964="","",VLOOKUP($A964,CoachRoster!$A:$E,4,FALSE))</f>
        <v/>
      </c>
      <c r="C964" s="7" t="n"/>
      <c r="D964" s="7" t="n"/>
      <c r="E964" s="7" t="n"/>
      <c r="F964" s="7" t="n"/>
      <c r="G964" s="7" t="n"/>
      <c r="H964" s="7">
        <f>IF($A964="","",IF(AND($E964="Pass",$F964="Pass",$G964="Pass"),"PROMOTE","NOT YET"))</f>
        <v/>
      </c>
      <c r="I964" s="7" t="n"/>
      <c r="J964" s="27">
        <f>IF(OR($A964="",$C964=""),"",IF(IFERROR(VLOOKUP($A964,Ledger!$A:$E,5,FALSE),0)&gt;=VLOOKUP($C964,RoleTitles!$A:$B,2,FALSE),"YES","NO"))</f>
        <v/>
      </c>
      <c r="K964" s="27">
        <f>IF($A964="","",IF(AND($H964="PROMOTE",$J964="YES"),"YES — PROMOTE","NO"))</f>
        <v/>
      </c>
    </row>
    <row r="965">
      <c r="A965" s="7" t="n"/>
      <c r="B965" s="7">
        <f>IF($A965="","",VLOOKUP($A965,CoachRoster!$A:$E,4,FALSE))</f>
        <v/>
      </c>
      <c r="C965" s="7" t="n"/>
      <c r="D965" s="7" t="n"/>
      <c r="E965" s="7" t="n"/>
      <c r="F965" s="7" t="n"/>
      <c r="G965" s="7" t="n"/>
      <c r="H965" s="7">
        <f>IF($A965="","",IF(AND($E965="Pass",$F965="Pass",$G965="Pass"),"PROMOTE","NOT YET"))</f>
        <v/>
      </c>
      <c r="I965" s="7" t="n"/>
      <c r="J965" s="27">
        <f>IF(OR($A965="",$C965=""),"",IF(IFERROR(VLOOKUP($A965,Ledger!$A:$E,5,FALSE),0)&gt;=VLOOKUP($C965,RoleTitles!$A:$B,2,FALSE),"YES","NO"))</f>
        <v/>
      </c>
      <c r="K965" s="27">
        <f>IF($A965="","",IF(AND($H965="PROMOTE",$J965="YES"),"YES — PROMOTE","NO"))</f>
        <v/>
      </c>
    </row>
    <row r="966">
      <c r="A966" s="7" t="n"/>
      <c r="B966" s="7">
        <f>IF($A966="","",VLOOKUP($A966,CoachRoster!$A:$E,4,FALSE))</f>
        <v/>
      </c>
      <c r="C966" s="7" t="n"/>
      <c r="D966" s="7" t="n"/>
      <c r="E966" s="7" t="n"/>
      <c r="F966" s="7" t="n"/>
      <c r="G966" s="7" t="n"/>
      <c r="H966" s="7">
        <f>IF($A966="","",IF(AND($E966="Pass",$F966="Pass",$G966="Pass"),"PROMOTE","NOT YET"))</f>
        <v/>
      </c>
      <c r="I966" s="7" t="n"/>
      <c r="J966" s="27">
        <f>IF(OR($A966="",$C966=""),"",IF(IFERROR(VLOOKUP($A966,Ledger!$A:$E,5,FALSE),0)&gt;=VLOOKUP($C966,RoleTitles!$A:$B,2,FALSE),"YES","NO"))</f>
        <v/>
      </c>
      <c r="K966" s="27">
        <f>IF($A966="","",IF(AND($H966="PROMOTE",$J966="YES"),"YES — PROMOTE","NO"))</f>
        <v/>
      </c>
    </row>
    <row r="967">
      <c r="A967" s="7" t="n"/>
      <c r="B967" s="7">
        <f>IF($A967="","",VLOOKUP($A967,CoachRoster!$A:$E,4,FALSE))</f>
        <v/>
      </c>
      <c r="C967" s="7" t="n"/>
      <c r="D967" s="7" t="n"/>
      <c r="E967" s="7" t="n"/>
      <c r="F967" s="7" t="n"/>
      <c r="G967" s="7" t="n"/>
      <c r="H967" s="7">
        <f>IF($A967="","",IF(AND($E967="Pass",$F967="Pass",$G967="Pass"),"PROMOTE","NOT YET"))</f>
        <v/>
      </c>
      <c r="I967" s="7" t="n"/>
      <c r="J967" s="27">
        <f>IF(OR($A967="",$C967=""),"",IF(IFERROR(VLOOKUP($A967,Ledger!$A:$E,5,FALSE),0)&gt;=VLOOKUP($C967,RoleTitles!$A:$B,2,FALSE),"YES","NO"))</f>
        <v/>
      </c>
      <c r="K967" s="27">
        <f>IF($A967="","",IF(AND($H967="PROMOTE",$J967="YES"),"YES — PROMOTE","NO"))</f>
        <v/>
      </c>
    </row>
    <row r="968">
      <c r="A968" s="7" t="n"/>
      <c r="B968" s="7">
        <f>IF($A968="","",VLOOKUP($A968,CoachRoster!$A:$E,4,FALSE))</f>
        <v/>
      </c>
      <c r="C968" s="7" t="n"/>
      <c r="D968" s="7" t="n"/>
      <c r="E968" s="7" t="n"/>
      <c r="F968" s="7" t="n"/>
      <c r="G968" s="7" t="n"/>
      <c r="H968" s="7">
        <f>IF($A968="","",IF(AND($E968="Pass",$F968="Pass",$G968="Pass"),"PROMOTE","NOT YET"))</f>
        <v/>
      </c>
      <c r="I968" s="7" t="n"/>
      <c r="J968" s="27">
        <f>IF(OR($A968="",$C968=""),"",IF(IFERROR(VLOOKUP($A968,Ledger!$A:$E,5,FALSE),0)&gt;=VLOOKUP($C968,RoleTitles!$A:$B,2,FALSE),"YES","NO"))</f>
        <v/>
      </c>
      <c r="K968" s="27">
        <f>IF($A968="","",IF(AND($H968="PROMOTE",$J968="YES"),"YES — PROMOTE","NO"))</f>
        <v/>
      </c>
    </row>
    <row r="969">
      <c r="A969" s="7" t="n"/>
      <c r="B969" s="7">
        <f>IF($A969="","",VLOOKUP($A969,CoachRoster!$A:$E,4,FALSE))</f>
        <v/>
      </c>
      <c r="C969" s="7" t="n"/>
      <c r="D969" s="7" t="n"/>
      <c r="E969" s="7" t="n"/>
      <c r="F969" s="7" t="n"/>
      <c r="G969" s="7" t="n"/>
      <c r="H969" s="7">
        <f>IF($A969="","",IF(AND($E969="Pass",$F969="Pass",$G969="Pass"),"PROMOTE","NOT YET"))</f>
        <v/>
      </c>
      <c r="I969" s="7" t="n"/>
      <c r="J969" s="27">
        <f>IF(OR($A969="",$C969=""),"",IF(IFERROR(VLOOKUP($A969,Ledger!$A:$E,5,FALSE),0)&gt;=VLOOKUP($C969,RoleTitles!$A:$B,2,FALSE),"YES","NO"))</f>
        <v/>
      </c>
      <c r="K969" s="27">
        <f>IF($A969="","",IF(AND($H969="PROMOTE",$J969="YES"),"YES — PROMOTE","NO"))</f>
        <v/>
      </c>
    </row>
    <row r="970">
      <c r="A970" s="7" t="n"/>
      <c r="B970" s="7">
        <f>IF($A970="","",VLOOKUP($A970,CoachRoster!$A:$E,4,FALSE))</f>
        <v/>
      </c>
      <c r="C970" s="7" t="n"/>
      <c r="D970" s="7" t="n"/>
      <c r="E970" s="7" t="n"/>
      <c r="F970" s="7" t="n"/>
      <c r="G970" s="7" t="n"/>
      <c r="H970" s="7">
        <f>IF($A970="","",IF(AND($E970="Pass",$F970="Pass",$G970="Pass"),"PROMOTE","NOT YET"))</f>
        <v/>
      </c>
      <c r="I970" s="7" t="n"/>
      <c r="J970" s="27">
        <f>IF(OR($A970="",$C970=""),"",IF(IFERROR(VLOOKUP($A970,Ledger!$A:$E,5,FALSE),0)&gt;=VLOOKUP($C970,RoleTitles!$A:$B,2,FALSE),"YES","NO"))</f>
        <v/>
      </c>
      <c r="K970" s="27">
        <f>IF($A970="","",IF(AND($H970="PROMOTE",$J970="YES"),"YES — PROMOTE","NO"))</f>
        <v/>
      </c>
    </row>
    <row r="971">
      <c r="A971" s="7" t="n"/>
      <c r="B971" s="7">
        <f>IF($A971="","",VLOOKUP($A971,CoachRoster!$A:$E,4,FALSE))</f>
        <v/>
      </c>
      <c r="C971" s="7" t="n"/>
      <c r="D971" s="7" t="n"/>
      <c r="E971" s="7" t="n"/>
      <c r="F971" s="7" t="n"/>
      <c r="G971" s="7" t="n"/>
      <c r="H971" s="7">
        <f>IF($A971="","",IF(AND($E971="Pass",$F971="Pass",$G971="Pass"),"PROMOTE","NOT YET"))</f>
        <v/>
      </c>
      <c r="I971" s="7" t="n"/>
      <c r="J971" s="27">
        <f>IF(OR($A971="",$C971=""),"",IF(IFERROR(VLOOKUP($A971,Ledger!$A:$E,5,FALSE),0)&gt;=VLOOKUP($C971,RoleTitles!$A:$B,2,FALSE),"YES","NO"))</f>
        <v/>
      </c>
      <c r="K971" s="27">
        <f>IF($A971="","",IF(AND($H971="PROMOTE",$J971="YES"),"YES — PROMOTE","NO"))</f>
        <v/>
      </c>
    </row>
    <row r="972">
      <c r="A972" s="7" t="n"/>
      <c r="B972" s="7">
        <f>IF($A972="","",VLOOKUP($A972,CoachRoster!$A:$E,4,FALSE))</f>
        <v/>
      </c>
      <c r="C972" s="7" t="n"/>
      <c r="D972" s="7" t="n"/>
      <c r="E972" s="7" t="n"/>
      <c r="F972" s="7" t="n"/>
      <c r="G972" s="7" t="n"/>
      <c r="H972" s="7">
        <f>IF($A972="","",IF(AND($E972="Pass",$F972="Pass",$G972="Pass"),"PROMOTE","NOT YET"))</f>
        <v/>
      </c>
      <c r="I972" s="7" t="n"/>
      <c r="J972" s="27">
        <f>IF(OR($A972="",$C972=""),"",IF(IFERROR(VLOOKUP($A972,Ledger!$A:$E,5,FALSE),0)&gt;=VLOOKUP($C972,RoleTitles!$A:$B,2,FALSE),"YES","NO"))</f>
        <v/>
      </c>
      <c r="K972" s="27">
        <f>IF($A972="","",IF(AND($H972="PROMOTE",$J972="YES"),"YES — PROMOTE","NO"))</f>
        <v/>
      </c>
    </row>
    <row r="973">
      <c r="A973" s="7" t="n"/>
      <c r="B973" s="7">
        <f>IF($A973="","",VLOOKUP($A973,CoachRoster!$A:$E,4,FALSE))</f>
        <v/>
      </c>
      <c r="C973" s="7" t="n"/>
      <c r="D973" s="7" t="n"/>
      <c r="E973" s="7" t="n"/>
      <c r="F973" s="7" t="n"/>
      <c r="G973" s="7" t="n"/>
      <c r="H973" s="7">
        <f>IF($A973="","",IF(AND($E973="Pass",$F973="Pass",$G973="Pass"),"PROMOTE","NOT YET"))</f>
        <v/>
      </c>
      <c r="I973" s="7" t="n"/>
      <c r="J973" s="27">
        <f>IF(OR($A973="",$C973=""),"",IF(IFERROR(VLOOKUP($A973,Ledger!$A:$E,5,FALSE),0)&gt;=VLOOKUP($C973,RoleTitles!$A:$B,2,FALSE),"YES","NO"))</f>
        <v/>
      </c>
      <c r="K973" s="27">
        <f>IF($A973="","",IF(AND($H973="PROMOTE",$J973="YES"),"YES — PROMOTE","NO"))</f>
        <v/>
      </c>
    </row>
    <row r="974">
      <c r="A974" s="7" t="n"/>
      <c r="B974" s="7">
        <f>IF($A974="","",VLOOKUP($A974,CoachRoster!$A:$E,4,FALSE))</f>
        <v/>
      </c>
      <c r="C974" s="7" t="n"/>
      <c r="D974" s="7" t="n"/>
      <c r="E974" s="7" t="n"/>
      <c r="F974" s="7" t="n"/>
      <c r="G974" s="7" t="n"/>
      <c r="H974" s="7">
        <f>IF($A974="","",IF(AND($E974="Pass",$F974="Pass",$G974="Pass"),"PROMOTE","NOT YET"))</f>
        <v/>
      </c>
      <c r="I974" s="7" t="n"/>
      <c r="J974" s="27">
        <f>IF(OR($A974="",$C974=""),"",IF(IFERROR(VLOOKUP($A974,Ledger!$A:$E,5,FALSE),0)&gt;=VLOOKUP($C974,RoleTitles!$A:$B,2,FALSE),"YES","NO"))</f>
        <v/>
      </c>
      <c r="K974" s="27">
        <f>IF($A974="","",IF(AND($H974="PROMOTE",$J974="YES"),"YES — PROMOTE","NO"))</f>
        <v/>
      </c>
    </row>
    <row r="975">
      <c r="A975" s="7" t="n"/>
      <c r="B975" s="7">
        <f>IF($A975="","",VLOOKUP($A975,CoachRoster!$A:$E,4,FALSE))</f>
        <v/>
      </c>
      <c r="C975" s="7" t="n"/>
      <c r="D975" s="7" t="n"/>
      <c r="E975" s="7" t="n"/>
      <c r="F975" s="7" t="n"/>
      <c r="G975" s="7" t="n"/>
      <c r="H975" s="7">
        <f>IF($A975="","",IF(AND($E975="Pass",$F975="Pass",$G975="Pass"),"PROMOTE","NOT YET"))</f>
        <v/>
      </c>
      <c r="I975" s="7" t="n"/>
      <c r="J975" s="27">
        <f>IF(OR($A975="",$C975=""),"",IF(IFERROR(VLOOKUP($A975,Ledger!$A:$E,5,FALSE),0)&gt;=VLOOKUP($C975,RoleTitles!$A:$B,2,FALSE),"YES","NO"))</f>
        <v/>
      </c>
      <c r="K975" s="27">
        <f>IF($A975="","",IF(AND($H975="PROMOTE",$J975="YES"),"YES — PROMOTE","NO"))</f>
        <v/>
      </c>
    </row>
    <row r="976">
      <c r="A976" s="7" t="n"/>
      <c r="B976" s="7">
        <f>IF($A976="","",VLOOKUP($A976,CoachRoster!$A:$E,4,FALSE))</f>
        <v/>
      </c>
      <c r="C976" s="7" t="n"/>
      <c r="D976" s="7" t="n"/>
      <c r="E976" s="7" t="n"/>
      <c r="F976" s="7" t="n"/>
      <c r="G976" s="7" t="n"/>
      <c r="H976" s="7">
        <f>IF($A976="","",IF(AND($E976="Pass",$F976="Pass",$G976="Pass"),"PROMOTE","NOT YET"))</f>
        <v/>
      </c>
      <c r="I976" s="7" t="n"/>
      <c r="J976" s="27">
        <f>IF(OR($A976="",$C976=""),"",IF(IFERROR(VLOOKUP($A976,Ledger!$A:$E,5,FALSE),0)&gt;=VLOOKUP($C976,RoleTitles!$A:$B,2,FALSE),"YES","NO"))</f>
        <v/>
      </c>
      <c r="K976" s="27">
        <f>IF($A976="","",IF(AND($H976="PROMOTE",$J976="YES"),"YES — PROMOTE","NO"))</f>
        <v/>
      </c>
    </row>
    <row r="977">
      <c r="A977" s="7" t="n"/>
      <c r="B977" s="7">
        <f>IF($A977="","",VLOOKUP($A977,CoachRoster!$A:$E,4,FALSE))</f>
        <v/>
      </c>
      <c r="C977" s="7" t="n"/>
      <c r="D977" s="7" t="n"/>
      <c r="E977" s="7" t="n"/>
      <c r="F977" s="7" t="n"/>
      <c r="G977" s="7" t="n"/>
      <c r="H977" s="7">
        <f>IF($A977="","",IF(AND($E977="Pass",$F977="Pass",$G977="Pass"),"PROMOTE","NOT YET"))</f>
        <v/>
      </c>
      <c r="I977" s="7" t="n"/>
      <c r="J977" s="27">
        <f>IF(OR($A977="",$C977=""),"",IF(IFERROR(VLOOKUP($A977,Ledger!$A:$E,5,FALSE),0)&gt;=VLOOKUP($C977,RoleTitles!$A:$B,2,FALSE),"YES","NO"))</f>
        <v/>
      </c>
      <c r="K977" s="27">
        <f>IF($A977="","",IF(AND($H977="PROMOTE",$J977="YES"),"YES — PROMOTE","NO"))</f>
        <v/>
      </c>
    </row>
    <row r="978">
      <c r="A978" s="7" t="n"/>
      <c r="B978" s="7">
        <f>IF($A978="","",VLOOKUP($A978,CoachRoster!$A:$E,4,FALSE))</f>
        <v/>
      </c>
      <c r="C978" s="7" t="n"/>
      <c r="D978" s="7" t="n"/>
      <c r="E978" s="7" t="n"/>
      <c r="F978" s="7" t="n"/>
      <c r="G978" s="7" t="n"/>
      <c r="H978" s="7">
        <f>IF($A978="","",IF(AND($E978="Pass",$F978="Pass",$G978="Pass"),"PROMOTE","NOT YET"))</f>
        <v/>
      </c>
      <c r="I978" s="7" t="n"/>
      <c r="J978" s="27">
        <f>IF(OR($A978="",$C978=""),"",IF(IFERROR(VLOOKUP($A978,Ledger!$A:$E,5,FALSE),0)&gt;=VLOOKUP($C978,RoleTitles!$A:$B,2,FALSE),"YES","NO"))</f>
        <v/>
      </c>
      <c r="K978" s="27">
        <f>IF($A978="","",IF(AND($H978="PROMOTE",$J978="YES"),"YES — PROMOTE","NO"))</f>
        <v/>
      </c>
    </row>
    <row r="979">
      <c r="A979" s="7" t="n"/>
      <c r="B979" s="7">
        <f>IF($A979="","",VLOOKUP($A979,CoachRoster!$A:$E,4,FALSE))</f>
        <v/>
      </c>
      <c r="C979" s="7" t="n"/>
      <c r="D979" s="7" t="n"/>
      <c r="E979" s="7" t="n"/>
      <c r="F979" s="7" t="n"/>
      <c r="G979" s="7" t="n"/>
      <c r="H979" s="7">
        <f>IF($A979="","",IF(AND($E979="Pass",$F979="Pass",$G979="Pass"),"PROMOTE","NOT YET"))</f>
        <v/>
      </c>
      <c r="I979" s="7" t="n"/>
      <c r="J979" s="27">
        <f>IF(OR($A979="",$C979=""),"",IF(IFERROR(VLOOKUP($A979,Ledger!$A:$E,5,FALSE),0)&gt;=VLOOKUP($C979,RoleTitles!$A:$B,2,FALSE),"YES","NO"))</f>
        <v/>
      </c>
      <c r="K979" s="27">
        <f>IF($A979="","",IF(AND($H979="PROMOTE",$J979="YES"),"YES — PROMOTE","NO"))</f>
        <v/>
      </c>
    </row>
    <row r="980">
      <c r="A980" s="7" t="n"/>
      <c r="B980" s="7">
        <f>IF($A980="","",VLOOKUP($A980,CoachRoster!$A:$E,4,FALSE))</f>
        <v/>
      </c>
      <c r="C980" s="7" t="n"/>
      <c r="D980" s="7" t="n"/>
      <c r="E980" s="7" t="n"/>
      <c r="F980" s="7" t="n"/>
      <c r="G980" s="7" t="n"/>
      <c r="H980" s="7">
        <f>IF($A980="","",IF(AND($E980="Pass",$F980="Pass",$G980="Pass"),"PROMOTE","NOT YET"))</f>
        <v/>
      </c>
      <c r="I980" s="7" t="n"/>
      <c r="J980" s="27">
        <f>IF(OR($A980="",$C980=""),"",IF(IFERROR(VLOOKUP($A980,Ledger!$A:$E,5,FALSE),0)&gt;=VLOOKUP($C980,RoleTitles!$A:$B,2,FALSE),"YES","NO"))</f>
        <v/>
      </c>
      <c r="K980" s="27">
        <f>IF($A980="","",IF(AND($H980="PROMOTE",$J980="YES"),"YES — PROMOTE","NO"))</f>
        <v/>
      </c>
    </row>
    <row r="981">
      <c r="A981" s="7" t="n"/>
      <c r="B981" s="7">
        <f>IF($A981="","",VLOOKUP($A981,CoachRoster!$A:$E,4,FALSE))</f>
        <v/>
      </c>
      <c r="C981" s="7" t="n"/>
      <c r="D981" s="7" t="n"/>
      <c r="E981" s="7" t="n"/>
      <c r="F981" s="7" t="n"/>
      <c r="G981" s="7" t="n"/>
      <c r="H981" s="7">
        <f>IF($A981="","",IF(AND($E981="Pass",$F981="Pass",$G981="Pass"),"PROMOTE","NOT YET"))</f>
        <v/>
      </c>
      <c r="I981" s="7" t="n"/>
      <c r="J981" s="27">
        <f>IF(OR($A981="",$C981=""),"",IF(IFERROR(VLOOKUP($A981,Ledger!$A:$E,5,FALSE),0)&gt;=VLOOKUP($C981,RoleTitles!$A:$B,2,FALSE),"YES","NO"))</f>
        <v/>
      </c>
      <c r="K981" s="27">
        <f>IF($A981="","",IF(AND($H981="PROMOTE",$J981="YES"),"YES — PROMOTE","NO"))</f>
        <v/>
      </c>
    </row>
    <row r="982">
      <c r="A982" s="7" t="n"/>
      <c r="B982" s="7">
        <f>IF($A982="","",VLOOKUP($A982,CoachRoster!$A:$E,4,FALSE))</f>
        <v/>
      </c>
      <c r="C982" s="7" t="n"/>
      <c r="D982" s="7" t="n"/>
      <c r="E982" s="7" t="n"/>
      <c r="F982" s="7" t="n"/>
      <c r="G982" s="7" t="n"/>
      <c r="H982" s="7">
        <f>IF($A982="","",IF(AND($E982="Pass",$F982="Pass",$G982="Pass"),"PROMOTE","NOT YET"))</f>
        <v/>
      </c>
      <c r="I982" s="7" t="n"/>
      <c r="J982" s="27">
        <f>IF(OR($A982="",$C982=""),"",IF(IFERROR(VLOOKUP($A982,Ledger!$A:$E,5,FALSE),0)&gt;=VLOOKUP($C982,RoleTitles!$A:$B,2,FALSE),"YES","NO"))</f>
        <v/>
      </c>
      <c r="K982" s="27">
        <f>IF($A982="","",IF(AND($H982="PROMOTE",$J982="YES"),"YES — PROMOTE","NO"))</f>
        <v/>
      </c>
    </row>
    <row r="983">
      <c r="A983" s="7" t="n"/>
      <c r="B983" s="7">
        <f>IF($A983="","",VLOOKUP($A983,CoachRoster!$A:$E,4,FALSE))</f>
        <v/>
      </c>
      <c r="C983" s="7" t="n"/>
      <c r="D983" s="7" t="n"/>
      <c r="E983" s="7" t="n"/>
      <c r="F983" s="7" t="n"/>
      <c r="G983" s="7" t="n"/>
      <c r="H983" s="7">
        <f>IF($A983="","",IF(AND($E983="Pass",$F983="Pass",$G983="Pass"),"PROMOTE","NOT YET"))</f>
        <v/>
      </c>
      <c r="I983" s="7" t="n"/>
      <c r="J983" s="27">
        <f>IF(OR($A983="",$C983=""),"",IF(IFERROR(VLOOKUP($A983,Ledger!$A:$E,5,FALSE),0)&gt;=VLOOKUP($C983,RoleTitles!$A:$B,2,FALSE),"YES","NO"))</f>
        <v/>
      </c>
      <c r="K983" s="27">
        <f>IF($A983="","",IF(AND($H983="PROMOTE",$J983="YES"),"YES — PROMOTE","NO"))</f>
        <v/>
      </c>
    </row>
    <row r="984">
      <c r="A984" s="7" t="n"/>
      <c r="B984" s="7">
        <f>IF($A984="","",VLOOKUP($A984,CoachRoster!$A:$E,4,FALSE))</f>
        <v/>
      </c>
      <c r="C984" s="7" t="n"/>
      <c r="D984" s="7" t="n"/>
      <c r="E984" s="7" t="n"/>
      <c r="F984" s="7" t="n"/>
      <c r="G984" s="7" t="n"/>
      <c r="H984" s="7">
        <f>IF($A984="","",IF(AND($E984="Pass",$F984="Pass",$G984="Pass"),"PROMOTE","NOT YET"))</f>
        <v/>
      </c>
      <c r="I984" s="7" t="n"/>
      <c r="J984" s="27">
        <f>IF(OR($A984="",$C984=""),"",IF(IFERROR(VLOOKUP($A984,Ledger!$A:$E,5,FALSE),0)&gt;=VLOOKUP($C984,RoleTitles!$A:$B,2,FALSE),"YES","NO"))</f>
        <v/>
      </c>
      <c r="K984" s="27">
        <f>IF($A984="","",IF(AND($H984="PROMOTE",$J984="YES"),"YES — PROMOTE","NO"))</f>
        <v/>
      </c>
    </row>
    <row r="985">
      <c r="A985" s="7" t="n"/>
      <c r="B985" s="7">
        <f>IF($A985="","",VLOOKUP($A985,CoachRoster!$A:$E,4,FALSE))</f>
        <v/>
      </c>
      <c r="C985" s="7" t="n"/>
      <c r="D985" s="7" t="n"/>
      <c r="E985" s="7" t="n"/>
      <c r="F985" s="7" t="n"/>
      <c r="G985" s="7" t="n"/>
      <c r="H985" s="7">
        <f>IF($A985="","",IF(AND($E985="Pass",$F985="Pass",$G985="Pass"),"PROMOTE","NOT YET"))</f>
        <v/>
      </c>
      <c r="I985" s="7" t="n"/>
      <c r="J985" s="27">
        <f>IF(OR($A985="",$C985=""),"",IF(IFERROR(VLOOKUP($A985,Ledger!$A:$E,5,FALSE),0)&gt;=VLOOKUP($C985,RoleTitles!$A:$B,2,FALSE),"YES","NO"))</f>
        <v/>
      </c>
      <c r="K985" s="27">
        <f>IF($A985="","",IF(AND($H985="PROMOTE",$J985="YES"),"YES — PROMOTE","NO"))</f>
        <v/>
      </c>
    </row>
    <row r="986">
      <c r="A986" s="7" t="n"/>
      <c r="B986" s="7">
        <f>IF($A986="","",VLOOKUP($A986,CoachRoster!$A:$E,4,FALSE))</f>
        <v/>
      </c>
      <c r="C986" s="7" t="n"/>
      <c r="D986" s="7" t="n"/>
      <c r="E986" s="7" t="n"/>
      <c r="F986" s="7" t="n"/>
      <c r="G986" s="7" t="n"/>
      <c r="H986" s="7">
        <f>IF($A986="","",IF(AND($E986="Pass",$F986="Pass",$G986="Pass"),"PROMOTE","NOT YET"))</f>
        <v/>
      </c>
      <c r="I986" s="7" t="n"/>
      <c r="J986" s="27">
        <f>IF(OR($A986="",$C986=""),"",IF(IFERROR(VLOOKUP($A986,Ledger!$A:$E,5,FALSE),0)&gt;=VLOOKUP($C986,RoleTitles!$A:$B,2,FALSE),"YES","NO"))</f>
        <v/>
      </c>
      <c r="K986" s="27">
        <f>IF($A986="","",IF(AND($H986="PROMOTE",$J986="YES"),"YES — PROMOTE","NO"))</f>
        <v/>
      </c>
    </row>
    <row r="987">
      <c r="A987" s="7" t="n"/>
      <c r="B987" s="7">
        <f>IF($A987="","",VLOOKUP($A987,CoachRoster!$A:$E,4,FALSE))</f>
        <v/>
      </c>
      <c r="C987" s="7" t="n"/>
      <c r="D987" s="7" t="n"/>
      <c r="E987" s="7" t="n"/>
      <c r="F987" s="7" t="n"/>
      <c r="G987" s="7" t="n"/>
      <c r="H987" s="7">
        <f>IF($A987="","",IF(AND($E987="Pass",$F987="Pass",$G987="Pass"),"PROMOTE","NOT YET"))</f>
        <v/>
      </c>
      <c r="I987" s="7" t="n"/>
      <c r="J987" s="27">
        <f>IF(OR($A987="",$C987=""),"",IF(IFERROR(VLOOKUP($A987,Ledger!$A:$E,5,FALSE),0)&gt;=VLOOKUP($C987,RoleTitles!$A:$B,2,FALSE),"YES","NO"))</f>
        <v/>
      </c>
      <c r="K987" s="27">
        <f>IF($A987="","",IF(AND($H987="PROMOTE",$J987="YES"),"YES — PROMOTE","NO"))</f>
        <v/>
      </c>
    </row>
    <row r="988">
      <c r="A988" s="7" t="n"/>
      <c r="B988" s="7">
        <f>IF($A988="","",VLOOKUP($A988,CoachRoster!$A:$E,4,FALSE))</f>
        <v/>
      </c>
      <c r="C988" s="7" t="n"/>
      <c r="D988" s="7" t="n"/>
      <c r="E988" s="7" t="n"/>
      <c r="F988" s="7" t="n"/>
      <c r="G988" s="7" t="n"/>
      <c r="H988" s="7">
        <f>IF($A988="","",IF(AND($E988="Pass",$F988="Pass",$G988="Pass"),"PROMOTE","NOT YET"))</f>
        <v/>
      </c>
      <c r="I988" s="7" t="n"/>
      <c r="J988" s="27">
        <f>IF(OR($A988="",$C988=""),"",IF(IFERROR(VLOOKUP($A988,Ledger!$A:$E,5,FALSE),0)&gt;=VLOOKUP($C988,RoleTitles!$A:$B,2,FALSE),"YES","NO"))</f>
        <v/>
      </c>
      <c r="K988" s="27">
        <f>IF($A988="","",IF(AND($H988="PROMOTE",$J988="YES"),"YES — PROMOTE","NO"))</f>
        <v/>
      </c>
    </row>
    <row r="989">
      <c r="A989" s="7" t="n"/>
      <c r="B989" s="7">
        <f>IF($A989="","",VLOOKUP($A989,CoachRoster!$A:$E,4,FALSE))</f>
        <v/>
      </c>
      <c r="C989" s="7" t="n"/>
      <c r="D989" s="7" t="n"/>
      <c r="E989" s="7" t="n"/>
      <c r="F989" s="7" t="n"/>
      <c r="G989" s="7" t="n"/>
      <c r="H989" s="7">
        <f>IF($A989="","",IF(AND($E989="Pass",$F989="Pass",$G989="Pass"),"PROMOTE","NOT YET"))</f>
        <v/>
      </c>
      <c r="I989" s="7" t="n"/>
      <c r="J989" s="27">
        <f>IF(OR($A989="",$C989=""),"",IF(IFERROR(VLOOKUP($A989,Ledger!$A:$E,5,FALSE),0)&gt;=VLOOKUP($C989,RoleTitles!$A:$B,2,FALSE),"YES","NO"))</f>
        <v/>
      </c>
      <c r="K989" s="27">
        <f>IF($A989="","",IF(AND($H989="PROMOTE",$J989="YES"),"YES — PROMOTE","NO"))</f>
        <v/>
      </c>
    </row>
    <row r="990">
      <c r="A990" s="7" t="n"/>
      <c r="B990" s="7">
        <f>IF($A990="","",VLOOKUP($A990,CoachRoster!$A:$E,4,FALSE))</f>
        <v/>
      </c>
      <c r="C990" s="7" t="n"/>
      <c r="D990" s="7" t="n"/>
      <c r="E990" s="7" t="n"/>
      <c r="F990" s="7" t="n"/>
      <c r="G990" s="7" t="n"/>
      <c r="H990" s="7">
        <f>IF($A990="","",IF(AND($E990="Pass",$F990="Pass",$G990="Pass"),"PROMOTE","NOT YET"))</f>
        <v/>
      </c>
      <c r="I990" s="7" t="n"/>
      <c r="J990" s="27">
        <f>IF(OR($A990="",$C990=""),"",IF(IFERROR(VLOOKUP($A990,Ledger!$A:$E,5,FALSE),0)&gt;=VLOOKUP($C990,RoleTitles!$A:$B,2,FALSE),"YES","NO"))</f>
        <v/>
      </c>
      <c r="K990" s="27">
        <f>IF($A990="","",IF(AND($H990="PROMOTE",$J990="YES"),"YES — PROMOTE","NO"))</f>
        <v/>
      </c>
    </row>
    <row r="991">
      <c r="A991" s="7" t="n"/>
      <c r="B991" s="7">
        <f>IF($A991="","",VLOOKUP($A991,CoachRoster!$A:$E,4,FALSE))</f>
        <v/>
      </c>
      <c r="C991" s="7" t="n"/>
      <c r="D991" s="7" t="n"/>
      <c r="E991" s="7" t="n"/>
      <c r="F991" s="7" t="n"/>
      <c r="G991" s="7" t="n"/>
      <c r="H991" s="7">
        <f>IF($A991="","",IF(AND($E991="Pass",$F991="Pass",$G991="Pass"),"PROMOTE","NOT YET"))</f>
        <v/>
      </c>
      <c r="I991" s="7" t="n"/>
      <c r="J991" s="27">
        <f>IF(OR($A991="",$C991=""),"",IF(IFERROR(VLOOKUP($A991,Ledger!$A:$E,5,FALSE),0)&gt;=VLOOKUP($C991,RoleTitles!$A:$B,2,FALSE),"YES","NO"))</f>
        <v/>
      </c>
      <c r="K991" s="27">
        <f>IF($A991="","",IF(AND($H991="PROMOTE",$J991="YES"),"YES — PROMOTE","NO"))</f>
        <v/>
      </c>
    </row>
    <row r="992">
      <c r="A992" s="7" t="n"/>
      <c r="B992" s="7">
        <f>IF($A992="","",VLOOKUP($A992,CoachRoster!$A:$E,4,FALSE))</f>
        <v/>
      </c>
      <c r="C992" s="7" t="n"/>
      <c r="D992" s="7" t="n"/>
      <c r="E992" s="7" t="n"/>
      <c r="F992" s="7" t="n"/>
      <c r="G992" s="7" t="n"/>
      <c r="H992" s="7">
        <f>IF($A992="","",IF(AND($E992="Pass",$F992="Pass",$G992="Pass"),"PROMOTE","NOT YET"))</f>
        <v/>
      </c>
      <c r="I992" s="7" t="n"/>
      <c r="J992" s="27">
        <f>IF(OR($A992="",$C992=""),"",IF(IFERROR(VLOOKUP($A992,Ledger!$A:$E,5,FALSE),0)&gt;=VLOOKUP($C992,RoleTitles!$A:$B,2,FALSE),"YES","NO"))</f>
        <v/>
      </c>
      <c r="K992" s="27">
        <f>IF($A992="","",IF(AND($H992="PROMOTE",$J992="YES"),"YES — PROMOTE","NO"))</f>
        <v/>
      </c>
    </row>
    <row r="993">
      <c r="A993" s="7" t="n"/>
      <c r="B993" s="7">
        <f>IF($A993="","",VLOOKUP($A993,CoachRoster!$A:$E,4,FALSE))</f>
        <v/>
      </c>
      <c r="C993" s="7" t="n"/>
      <c r="D993" s="7" t="n"/>
      <c r="E993" s="7" t="n"/>
      <c r="F993" s="7" t="n"/>
      <c r="G993" s="7" t="n"/>
      <c r="H993" s="7">
        <f>IF($A993="","",IF(AND($E993="Pass",$F993="Pass",$G993="Pass"),"PROMOTE","NOT YET"))</f>
        <v/>
      </c>
      <c r="I993" s="7" t="n"/>
      <c r="J993" s="27">
        <f>IF(OR($A993="",$C993=""),"",IF(IFERROR(VLOOKUP($A993,Ledger!$A:$E,5,FALSE),0)&gt;=VLOOKUP($C993,RoleTitles!$A:$B,2,FALSE),"YES","NO"))</f>
        <v/>
      </c>
      <c r="K993" s="27">
        <f>IF($A993="","",IF(AND($H993="PROMOTE",$J993="YES"),"YES — PROMOTE","NO"))</f>
        <v/>
      </c>
    </row>
    <row r="994">
      <c r="A994" s="7" t="n"/>
      <c r="B994" s="7">
        <f>IF($A994="","",VLOOKUP($A994,CoachRoster!$A:$E,4,FALSE))</f>
        <v/>
      </c>
      <c r="C994" s="7" t="n"/>
      <c r="D994" s="7" t="n"/>
      <c r="E994" s="7" t="n"/>
      <c r="F994" s="7" t="n"/>
      <c r="G994" s="7" t="n"/>
      <c r="H994" s="7">
        <f>IF($A994="","",IF(AND($E994="Pass",$F994="Pass",$G994="Pass"),"PROMOTE","NOT YET"))</f>
        <v/>
      </c>
      <c r="I994" s="7" t="n"/>
      <c r="J994" s="27">
        <f>IF(OR($A994="",$C994=""),"",IF(IFERROR(VLOOKUP($A994,Ledger!$A:$E,5,FALSE),0)&gt;=VLOOKUP($C994,RoleTitles!$A:$B,2,FALSE),"YES","NO"))</f>
        <v/>
      </c>
      <c r="K994" s="27">
        <f>IF($A994="","",IF(AND($H994="PROMOTE",$J994="YES"),"YES — PROMOTE","NO"))</f>
        <v/>
      </c>
    </row>
    <row r="995">
      <c r="A995" s="7" t="n"/>
      <c r="B995" s="7">
        <f>IF($A995="","",VLOOKUP($A995,CoachRoster!$A:$E,4,FALSE))</f>
        <v/>
      </c>
      <c r="C995" s="7" t="n"/>
      <c r="D995" s="7" t="n"/>
      <c r="E995" s="7" t="n"/>
      <c r="F995" s="7" t="n"/>
      <c r="G995" s="7" t="n"/>
      <c r="H995" s="7">
        <f>IF($A995="","",IF(AND($E995="Pass",$F995="Pass",$G995="Pass"),"PROMOTE","NOT YET"))</f>
        <v/>
      </c>
      <c r="I995" s="7" t="n"/>
      <c r="J995" s="27">
        <f>IF(OR($A995="",$C995=""),"",IF(IFERROR(VLOOKUP($A995,Ledger!$A:$E,5,FALSE),0)&gt;=VLOOKUP($C995,RoleTitles!$A:$B,2,FALSE),"YES","NO"))</f>
        <v/>
      </c>
      <c r="K995" s="27">
        <f>IF($A995="","",IF(AND($H995="PROMOTE",$J995="YES"),"YES — PROMOTE","NO"))</f>
        <v/>
      </c>
    </row>
    <row r="996">
      <c r="A996" s="7" t="n"/>
      <c r="B996" s="7">
        <f>IF($A996="","",VLOOKUP($A996,CoachRoster!$A:$E,4,FALSE))</f>
        <v/>
      </c>
      <c r="C996" s="7" t="n"/>
      <c r="D996" s="7" t="n"/>
      <c r="E996" s="7" t="n"/>
      <c r="F996" s="7" t="n"/>
      <c r="G996" s="7" t="n"/>
      <c r="H996" s="7">
        <f>IF($A996="","",IF(AND($E996="Pass",$F996="Pass",$G996="Pass"),"PROMOTE","NOT YET"))</f>
        <v/>
      </c>
      <c r="I996" s="7" t="n"/>
      <c r="J996" s="27">
        <f>IF(OR($A996="",$C996=""),"",IF(IFERROR(VLOOKUP($A996,Ledger!$A:$E,5,FALSE),0)&gt;=VLOOKUP($C996,RoleTitles!$A:$B,2,FALSE),"YES","NO"))</f>
        <v/>
      </c>
      <c r="K996" s="27">
        <f>IF($A996="","",IF(AND($H996="PROMOTE",$J996="YES"),"YES — PROMOTE","NO"))</f>
        <v/>
      </c>
    </row>
    <row r="997">
      <c r="A997" s="7" t="n"/>
      <c r="B997" s="7">
        <f>IF($A997="","",VLOOKUP($A997,CoachRoster!$A:$E,4,FALSE))</f>
        <v/>
      </c>
      <c r="C997" s="7" t="n"/>
      <c r="D997" s="7" t="n"/>
      <c r="E997" s="7" t="n"/>
      <c r="F997" s="7" t="n"/>
      <c r="G997" s="7" t="n"/>
      <c r="H997" s="7">
        <f>IF($A997="","",IF(AND($E997="Pass",$F997="Pass",$G997="Pass"),"PROMOTE","NOT YET"))</f>
        <v/>
      </c>
      <c r="I997" s="7" t="n"/>
      <c r="J997" s="27">
        <f>IF(OR($A997="",$C997=""),"",IF(IFERROR(VLOOKUP($A997,Ledger!$A:$E,5,FALSE),0)&gt;=VLOOKUP($C997,RoleTitles!$A:$B,2,FALSE),"YES","NO"))</f>
        <v/>
      </c>
      <c r="K997" s="27">
        <f>IF($A997="","",IF(AND($H997="PROMOTE",$J997="YES"),"YES — PROMOTE","NO"))</f>
        <v/>
      </c>
    </row>
    <row r="998">
      <c r="A998" s="7" t="n"/>
      <c r="B998" s="7">
        <f>IF($A998="","",VLOOKUP($A998,CoachRoster!$A:$E,4,FALSE))</f>
        <v/>
      </c>
      <c r="C998" s="7" t="n"/>
      <c r="D998" s="7" t="n"/>
      <c r="E998" s="7" t="n"/>
      <c r="F998" s="7" t="n"/>
      <c r="G998" s="7" t="n"/>
      <c r="H998" s="7">
        <f>IF($A998="","",IF(AND($E998="Pass",$F998="Pass",$G998="Pass"),"PROMOTE","NOT YET"))</f>
        <v/>
      </c>
      <c r="I998" s="7" t="n"/>
      <c r="J998" s="27">
        <f>IF(OR($A998="",$C998=""),"",IF(IFERROR(VLOOKUP($A998,Ledger!$A:$E,5,FALSE),0)&gt;=VLOOKUP($C998,RoleTitles!$A:$B,2,FALSE),"YES","NO"))</f>
        <v/>
      </c>
      <c r="K998" s="27">
        <f>IF($A998="","",IF(AND($H998="PROMOTE",$J998="YES"),"YES — PROMOTE","NO"))</f>
        <v/>
      </c>
    </row>
    <row r="999">
      <c r="A999" s="7" t="n"/>
      <c r="B999" s="7">
        <f>IF($A999="","",VLOOKUP($A999,CoachRoster!$A:$E,4,FALSE))</f>
        <v/>
      </c>
      <c r="C999" s="7" t="n"/>
      <c r="D999" s="7" t="n"/>
      <c r="E999" s="7" t="n"/>
      <c r="F999" s="7" t="n"/>
      <c r="G999" s="7" t="n"/>
      <c r="H999" s="7">
        <f>IF($A999="","",IF(AND($E999="Pass",$F999="Pass",$G999="Pass"),"PROMOTE","NOT YET"))</f>
        <v/>
      </c>
      <c r="I999" s="7" t="n"/>
      <c r="J999" s="27">
        <f>IF(OR($A999="",$C999=""),"",IF(IFERROR(VLOOKUP($A999,Ledger!$A:$E,5,FALSE),0)&gt;=VLOOKUP($C999,RoleTitles!$A:$B,2,FALSE),"YES","NO"))</f>
        <v/>
      </c>
      <c r="K999" s="27">
        <f>IF($A999="","",IF(AND($H999="PROMOTE",$J999="YES"),"YES — PROMOTE","NO"))</f>
        <v/>
      </c>
    </row>
    <row r="1000">
      <c r="A1000" s="8" t="n"/>
      <c r="B1000" s="8">
        <f>IF($A1000="","",VLOOKUP($A1000,CoachRoster!$A:$E,4,FALSE))</f>
        <v/>
      </c>
      <c r="C1000" s="8" t="n"/>
      <c r="D1000" s="8" t="n"/>
      <c r="E1000" s="8" t="n"/>
      <c r="F1000" s="8" t="n"/>
      <c r="G1000" s="8" t="n"/>
      <c r="H1000" s="8">
        <f>IF($A1000="","",IF(AND($E1000="Pass",$F1000="Pass",$G1000="Pass"),"PROMOTE","NOT YET"))</f>
        <v/>
      </c>
      <c r="I1000" s="8" t="n"/>
      <c r="J1000" s="30">
        <f>IF(OR($A1000="",$C1000=""),"",IF(IFERROR(VLOOKUP($A1000,Ledger!$A:$E,5,FALSE),0)&gt;=VLOOKUP($C1000,RoleTitles!$A:$B,2,FALSE),"YES","NO"))</f>
        <v/>
      </c>
      <c r="K1000" s="30">
        <f>IF($A1000="","",IF(AND($H1000="PROMOTE",$J1000="YES"),"YES — PROMOTE","NO"))</f>
        <v/>
      </c>
    </row>
  </sheetData>
  <dataValidations count="3">
    <dataValidation sqref="A2:A1000" showDropDown="0" showInputMessage="0" showErrorMessage="0" allowBlank="1" type="list">
      <formula1>CoachRoster!$A$2:$A$1000</formula1>
    </dataValidation>
    <dataValidation sqref="C2:C1000" showDropDown="0" showInputMessage="0" showErrorMessage="0" allowBlank="1" type="list">
      <formula1>RoleTitles!$A$2:$A$10</formula1>
    </dataValidation>
    <dataValidation sqref="E2:G1000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38" min="1" max="1"/>
    <col width="17" customWidth="1" style="38" min="2" max="2"/>
    <col width="18" customWidth="1" style="38" min="3" max="3"/>
    <col width="21" customWidth="1" style="38" min="4" max="4"/>
    <col width="17" customWidth="1" style="38" min="5" max="5"/>
    <col width="19" customWidth="1" style="38" min="6" max="6"/>
    <col width="21" customWidth="1" style="38" min="7" max="7"/>
    <col width="17" customWidth="1" style="38" min="8" max="8"/>
    <col width="21" customWidth="1" style="38" min="9" max="9"/>
    <col width="13" customWidth="1" style="38" min="10" max="10"/>
    <col width="16" customWidth="1" style="38" min="11" max="11"/>
    <col width="40" customWidth="1" style="38" min="12" max="12"/>
    <col width="40" customWidth="1" style="38" min="13" max="13"/>
    <col width="12" customWidth="1" style="38" min="14" max="14"/>
    <col width="12" customWidth="1" style="38" min="15" max="15"/>
    <col width="12" customWidth="1" style="38" min="16" max="16"/>
  </cols>
  <sheetData>
    <row r="1">
      <c r="A1" s="40" t="inlineStr">
        <is>
          <t>CoachID</t>
        </is>
      </c>
      <c r="B1" s="40" t="inlineStr">
        <is>
          <t>CoachingQuality</t>
        </is>
      </c>
      <c r="C1" s="40" t="inlineStr">
        <is>
          <t>MovementLiteracy</t>
        </is>
      </c>
      <c r="D1" s="40" t="inlineStr">
        <is>
          <t>ProgrammingThinking</t>
        </is>
      </c>
      <c r="E1" s="40" t="inlineStr">
        <is>
          <t>Professionalism</t>
        </is>
      </c>
      <c r="F1" s="40" t="inlineStr">
        <is>
          <t>SystemsDiscipline</t>
        </is>
      </c>
      <c r="G1" s="40" t="inlineStr">
        <is>
          <t>ClientCommunication</t>
        </is>
      </c>
      <c r="H1" s="40" t="inlineStr">
        <is>
          <t>EthicalJudgment</t>
        </is>
      </c>
      <c r="I1" s="40" t="inlineStr">
        <is>
          <t>TrackingConsistency</t>
        </is>
      </c>
      <c r="J1" s="40" t="inlineStr">
        <is>
          <t>SelfMastery</t>
        </is>
      </c>
      <c r="K1" s="40" t="inlineStr">
        <is>
          <t>KnowledgeLevel</t>
        </is>
      </c>
      <c r="L1" s="40" t="inlineStr">
        <is>
          <t>SeedXP</t>
        </is>
      </c>
      <c r="M1" s="40" t="inlineStr">
        <is>
          <t>SeedLevel</t>
        </is>
      </c>
      <c r="N1" s="40" t="inlineStr">
        <is>
          <t>Approved</t>
        </is>
      </c>
      <c r="O1" s="40" t="inlineStr">
        <is>
          <t>Notes</t>
        </is>
      </c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>
      <c r="A2" s="32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>
        <f>IF(COUNTA(B2:K2)&lt;10,"",MAX(300,ROUND(((((B2*1.4)+(C2*1.1)+(D2*1.1)+(E2*1)+(F2*1.1)+(G2*1)+(H2*1.6)+(I2*0.9)+(J2*1)+(K2*0.8))/11-1)/4)*20000,0)))</f>
        <v/>
      </c>
      <c r="M2" s="34">
        <f>IF(L2="","",MIN(100,ROUND(L2/200,0)))</f>
        <v/>
      </c>
      <c r="N2" s="34" t="n"/>
      <c r="O2" s="34" t="n"/>
    </row>
    <row r="3">
      <c r="A3" s="32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>
        <f>IF(COUNTA(B3:K3)&lt;10,"",MAX(300,ROUND(((((B3*1.4)+(C3*1.1)+(D3*1.1)+(E3*1)+(F3*1.1)+(G3*1)+(H3*1.6)+(I3*0.9)+(J3*1)+(K3*0.8))/11-1)/4)*20000,0)))</f>
        <v/>
      </c>
      <c r="M3" s="36">
        <f>IF(L3="","",MIN(100,ROUND(L3/200,0)))</f>
        <v/>
      </c>
      <c r="N3" s="36" t="n"/>
      <c r="O3" s="36" t="n"/>
    </row>
    <row r="4">
      <c r="A4" s="32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>
        <f>IF(COUNTA(B4:K4)&lt;10,"",MAX(300,ROUND(((((B4*1.4)+(C4*1.1)+(D4*1.1)+(E4*1)+(F4*1.1)+(G4*1)+(H4*1.6)+(I4*0.9)+(J4*1)+(K4*0.8))/11-1)/4)*20000,0)))</f>
        <v/>
      </c>
      <c r="M4" s="36">
        <f>IF(L4="","",MIN(100,ROUND(L4/200,0)))</f>
        <v/>
      </c>
      <c r="N4" s="36" t="n"/>
      <c r="O4" s="36" t="n"/>
    </row>
    <row r="5">
      <c r="A5" s="32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>
        <f>IF(COUNTA(B5:K5)&lt;10,"",MAX(300,ROUND(((((B5*1.4)+(C5*1.1)+(D5*1.1)+(E5*1)+(F5*1.1)+(G5*1)+(H5*1.6)+(I5*0.9)+(J5*1)+(K5*0.8))/11-1)/4)*20000,0)))</f>
        <v/>
      </c>
      <c r="M5" s="36">
        <f>IF(L5="","",MIN(100,ROUND(L5/200,0)))</f>
        <v/>
      </c>
      <c r="N5" s="36" t="n"/>
      <c r="O5" s="36" t="n"/>
    </row>
    <row r="6">
      <c r="A6" s="32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>
        <f>IF(COUNTA(B6:K6)&lt;10,"",MAX(300,ROUND(((((B6*1.4)+(C6*1.1)+(D6*1.1)+(E6*1)+(F6*1.1)+(G6*1)+(H6*1.6)+(I6*0.9)+(J6*1)+(K6*0.8))/11-1)/4)*20000,0)))</f>
        <v/>
      </c>
      <c r="M6" s="36">
        <f>IF(L6="","",MIN(100,ROUND(L6/200,0)))</f>
        <v/>
      </c>
      <c r="N6" s="36" t="n"/>
      <c r="O6" s="36" t="n"/>
    </row>
    <row r="7">
      <c r="A7" s="32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>
        <f>IF(COUNTA(B7:K7)&lt;10,"",MAX(300,ROUND(((((B7*1.4)+(C7*1.1)+(D7*1.1)+(E7*1)+(F7*1.1)+(G7*1)+(H7*1.6)+(I7*0.9)+(J7*1)+(K7*0.8))/11-1)/4)*20000,0)))</f>
        <v/>
      </c>
      <c r="M7" s="36">
        <f>IF(L7="","",MIN(100,ROUND(L7/200,0)))</f>
        <v/>
      </c>
      <c r="N7" s="36" t="n"/>
      <c r="O7" s="36" t="n"/>
    </row>
    <row r="8">
      <c r="A8" s="32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>
        <f>IF(COUNTA(B8:K8)&lt;10,"",MAX(300,ROUND(((((B8*1.4)+(C8*1.1)+(D8*1.1)+(E8*1)+(F8*1.1)+(G8*1)+(H8*1.6)+(I8*0.9)+(J8*1)+(K8*0.8))/11-1)/4)*20000,0)))</f>
        <v/>
      </c>
      <c r="M8" s="36">
        <f>IF(L8="","",MIN(100,ROUND(L8/200,0)))</f>
        <v/>
      </c>
      <c r="N8" s="36" t="n"/>
      <c r="O8" s="36" t="n"/>
    </row>
    <row r="9">
      <c r="A9" s="32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>
        <f>IF(COUNTA(B9:K9)&lt;10,"",MAX(300,ROUND(((((B9*1.4)+(C9*1.1)+(D9*1.1)+(E9*1)+(F9*1.1)+(G9*1)+(H9*1.6)+(I9*0.9)+(J9*1)+(K9*0.8))/11-1)/4)*20000,0)))</f>
        <v/>
      </c>
      <c r="M9" s="36">
        <f>IF(L9="","",MIN(100,ROUND(L9/200,0)))</f>
        <v/>
      </c>
      <c r="N9" s="36" t="n"/>
      <c r="O9" s="36" t="n"/>
    </row>
    <row r="10">
      <c r="A10" s="32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>
        <f>IF(COUNTA(B10:K10)&lt;10,"",MAX(300,ROUND(((((B10*1.4)+(C10*1.1)+(D10*1.1)+(E10*1)+(F10*1.1)+(G10*1)+(H10*1.6)+(I10*0.9)+(J10*1)+(K10*0.8))/11-1)/4)*20000,0)))</f>
        <v/>
      </c>
      <c r="M10" s="36">
        <f>IF(L10="","",MIN(100,ROUND(L10/200,0)))</f>
        <v/>
      </c>
      <c r="N10" s="36" t="n"/>
      <c r="O10" s="36" t="n"/>
    </row>
    <row r="11">
      <c r="A11" s="32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>
        <f>IF(COUNTA(B11:K11)&lt;10,"",MAX(300,ROUND(((((B11*1.4)+(C11*1.1)+(D11*1.1)+(E11*1)+(F11*1.1)+(G11*1)+(H11*1.6)+(I11*0.9)+(J11*1)+(K11*0.8))/11-1)/4)*20000,0)))</f>
        <v/>
      </c>
      <c r="M11" s="36">
        <f>IF(L11="","",MIN(100,ROUND(L11/200,0)))</f>
        <v/>
      </c>
      <c r="N11" s="36" t="n"/>
      <c r="O11" s="36" t="n"/>
    </row>
    <row r="12">
      <c r="A12" s="32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>
        <f>IF(COUNTA(B12:K12)&lt;10,"",MAX(300,ROUND(((((B12*1.4)+(C12*1.1)+(D12*1.1)+(E12*1)+(F12*1.1)+(G12*1)+(H12*1.6)+(I12*0.9)+(J12*1)+(K12*0.8))/11-1)/4)*20000,0)))</f>
        <v/>
      </c>
      <c r="M12" s="36">
        <f>IF(L12="","",MIN(100,ROUND(L12/200,0)))</f>
        <v/>
      </c>
      <c r="N12" s="36" t="n"/>
      <c r="O12" s="36" t="n"/>
    </row>
    <row r="13">
      <c r="A13" s="32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>
        <f>IF(COUNTA(B13:K13)&lt;10,"",MAX(300,ROUND(((((B13*1.4)+(C13*1.1)+(D13*1.1)+(E13*1)+(F13*1.1)+(G13*1)+(H13*1.6)+(I13*0.9)+(J13*1)+(K13*0.8))/11-1)/4)*20000,0)))</f>
        <v/>
      </c>
      <c r="M13" s="36">
        <f>IF(L13="","",MIN(100,ROUND(L13/200,0)))</f>
        <v/>
      </c>
      <c r="N13" s="36" t="n"/>
      <c r="O13" s="36" t="n"/>
    </row>
    <row r="14">
      <c r="A14" s="32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>
        <f>IF(COUNTA(B14:K14)&lt;10,"",MAX(300,ROUND(((((B14*1.4)+(C14*1.1)+(D14*1.1)+(E14*1)+(F14*1.1)+(G14*1)+(H14*1.6)+(I14*0.9)+(J14*1)+(K14*0.8))/11-1)/4)*20000,0)))</f>
        <v/>
      </c>
      <c r="M14" s="36">
        <f>IF(L14="","",MIN(100,ROUND(L14/200,0)))</f>
        <v/>
      </c>
      <c r="N14" s="36" t="n"/>
      <c r="O14" s="36" t="n"/>
    </row>
    <row r="15">
      <c r="A15" s="32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>
        <f>IF(COUNTA(B15:K15)&lt;10,"",MAX(300,ROUND(((((B15*1.4)+(C15*1.1)+(D15*1.1)+(E15*1)+(F15*1.1)+(G15*1)+(H15*1.6)+(I15*0.9)+(J15*1)+(K15*0.8))/11-1)/4)*20000,0)))</f>
        <v/>
      </c>
      <c r="M15" s="36">
        <f>IF(L15="","",MIN(100,ROUND(L15/200,0)))</f>
        <v/>
      </c>
      <c r="N15" s="36" t="n"/>
      <c r="O15" s="36" t="n"/>
    </row>
    <row r="16">
      <c r="A16" s="32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>
        <f>IF(COUNTA(B16:K16)&lt;10,"",MAX(300,ROUND(((((B16*1.4)+(C16*1.1)+(D16*1.1)+(E16*1)+(F16*1.1)+(G16*1)+(H16*1.6)+(I16*0.9)+(J16*1)+(K16*0.8))/11-1)/4)*20000,0)))</f>
        <v/>
      </c>
      <c r="M16" s="36">
        <f>IF(L16="","",MIN(100,ROUND(L16/200,0)))</f>
        <v/>
      </c>
      <c r="N16" s="36" t="n"/>
      <c r="O16" s="36" t="n"/>
    </row>
    <row r="17">
      <c r="A17" s="32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>
        <f>IF(COUNTA(B17:K17)&lt;10,"",MAX(300,ROUND(((((B17*1.4)+(C17*1.1)+(D17*1.1)+(E17*1)+(F17*1.1)+(G17*1)+(H17*1.6)+(I17*0.9)+(J17*1)+(K17*0.8))/11-1)/4)*20000,0)))</f>
        <v/>
      </c>
      <c r="M17" s="36">
        <f>IF(L17="","",MIN(100,ROUND(L17/200,0)))</f>
        <v/>
      </c>
      <c r="N17" s="36" t="n"/>
      <c r="O17" s="36" t="n"/>
    </row>
    <row r="18">
      <c r="A18" s="32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>
        <f>IF(COUNTA(B18:K18)&lt;10,"",MAX(300,ROUND(((((B18*1.4)+(C18*1.1)+(D18*1.1)+(E18*1)+(F18*1.1)+(G18*1)+(H18*1.6)+(I18*0.9)+(J18*1)+(K18*0.8))/11-1)/4)*20000,0)))</f>
        <v/>
      </c>
      <c r="M18" s="36">
        <f>IF(L18="","",MIN(100,ROUND(L18/200,0)))</f>
        <v/>
      </c>
      <c r="N18" s="36" t="n"/>
      <c r="O18" s="36" t="n"/>
    </row>
    <row r="19">
      <c r="A19" s="32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>
        <f>IF(COUNTA(B19:K19)&lt;10,"",MAX(300,ROUND(((((B19*1.4)+(C19*1.1)+(D19*1.1)+(E19*1)+(F19*1.1)+(G19*1)+(H19*1.6)+(I19*0.9)+(J19*1)+(K19*0.8))/11-1)/4)*20000,0)))</f>
        <v/>
      </c>
      <c r="M19" s="36">
        <f>IF(L19="","",MIN(100,ROUND(L19/200,0)))</f>
        <v/>
      </c>
      <c r="N19" s="36" t="n"/>
      <c r="O19" s="36" t="n"/>
    </row>
    <row r="20">
      <c r="A20" s="32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>
        <f>IF(COUNTA(B20:K20)&lt;10,"",MAX(300,ROUND(((((B20*1.4)+(C20*1.1)+(D20*1.1)+(E20*1)+(F20*1.1)+(G20*1)+(H20*1.6)+(I20*0.9)+(J20*1)+(K20*0.8))/11-1)/4)*20000,0)))</f>
        <v/>
      </c>
      <c r="M20" s="36">
        <f>IF(L20="","",MIN(100,ROUND(L20/200,0)))</f>
        <v/>
      </c>
      <c r="N20" s="36" t="n"/>
      <c r="O20" s="36" t="n"/>
    </row>
    <row r="21">
      <c r="A21" s="32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>
        <f>IF(COUNTA(B21:K21)&lt;10,"",MAX(300,ROUND(((((B21*1.4)+(C21*1.1)+(D21*1.1)+(E21*1)+(F21*1.1)+(G21*1)+(H21*1.6)+(I21*0.9)+(J21*1)+(K21*0.8))/11-1)/4)*20000,0)))</f>
        <v/>
      </c>
      <c r="M21" s="36">
        <f>IF(L21="","",MIN(100,ROUND(L21/200,0)))</f>
        <v/>
      </c>
      <c r="N21" s="36" t="n"/>
      <c r="O21" s="36" t="n"/>
    </row>
    <row r="22">
      <c r="A22" s="32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>
        <f>IF(COUNTA(B22:K22)&lt;10,"",MAX(300,ROUND(((((B22*1.4)+(C22*1.1)+(D22*1.1)+(E22*1)+(F22*1.1)+(G22*1)+(H22*1.6)+(I22*0.9)+(J22*1)+(K22*0.8))/11-1)/4)*20000,0)))</f>
        <v/>
      </c>
      <c r="M22" s="36">
        <f>IF(L22="","",MIN(100,ROUND(L22/200,0)))</f>
        <v/>
      </c>
      <c r="N22" s="36" t="n"/>
      <c r="O22" s="36" t="n"/>
    </row>
    <row r="23">
      <c r="A23" s="32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>
        <f>IF(COUNTA(B23:K23)&lt;10,"",MAX(300,ROUND(((((B23*1.4)+(C23*1.1)+(D23*1.1)+(E23*1)+(F23*1.1)+(G23*1)+(H23*1.6)+(I23*0.9)+(J23*1)+(K23*0.8))/11-1)/4)*20000,0)))</f>
        <v/>
      </c>
      <c r="M23" s="36">
        <f>IF(L23="","",MIN(100,ROUND(L23/200,0)))</f>
        <v/>
      </c>
      <c r="N23" s="36" t="n"/>
      <c r="O23" s="36" t="n"/>
    </row>
    <row r="24">
      <c r="A24" s="32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>
        <f>IF(COUNTA(B24:K24)&lt;10,"",MAX(300,ROUND(((((B24*1.4)+(C24*1.1)+(D24*1.1)+(E24*1)+(F24*1.1)+(G24*1)+(H24*1.6)+(I24*0.9)+(J24*1)+(K24*0.8))/11-1)/4)*20000,0)))</f>
        <v/>
      </c>
      <c r="M24" s="36">
        <f>IF(L24="","",MIN(100,ROUND(L24/200,0)))</f>
        <v/>
      </c>
      <c r="N24" s="36" t="n"/>
      <c r="O24" s="36" t="n"/>
    </row>
    <row r="25">
      <c r="A25" s="32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>
        <f>IF(COUNTA(B25:K25)&lt;10,"",MAX(300,ROUND(((((B25*1.4)+(C25*1.1)+(D25*1.1)+(E25*1)+(F25*1.1)+(G25*1)+(H25*1.6)+(I25*0.9)+(J25*1)+(K25*0.8))/11-1)/4)*20000,0)))</f>
        <v/>
      </c>
      <c r="M25" s="36">
        <f>IF(L25="","",MIN(100,ROUND(L25/200,0)))</f>
        <v/>
      </c>
      <c r="N25" s="36" t="n"/>
      <c r="O25" s="36" t="n"/>
    </row>
    <row r="26">
      <c r="A26" s="32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>
        <f>IF(COUNTA(B26:K26)&lt;10,"",MAX(300,ROUND(((((B26*1.4)+(C26*1.1)+(D26*1.1)+(E26*1)+(F26*1.1)+(G26*1)+(H26*1.6)+(I26*0.9)+(J26*1)+(K26*0.8))/11-1)/4)*20000,0)))</f>
        <v/>
      </c>
      <c r="M26" s="36">
        <f>IF(L26="","",MIN(100,ROUND(L26/200,0)))</f>
        <v/>
      </c>
      <c r="N26" s="36" t="n"/>
      <c r="O26" s="36" t="n"/>
    </row>
    <row r="27">
      <c r="A27" s="32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>
        <f>IF(COUNTA(B27:K27)&lt;10,"",MAX(300,ROUND(((((B27*1.4)+(C27*1.1)+(D27*1.1)+(E27*1)+(F27*1.1)+(G27*1)+(H27*1.6)+(I27*0.9)+(J27*1)+(K27*0.8))/11-1)/4)*20000,0)))</f>
        <v/>
      </c>
      <c r="M27" s="36">
        <f>IF(L27="","",MIN(100,ROUND(L27/200,0)))</f>
        <v/>
      </c>
      <c r="N27" s="36" t="n"/>
      <c r="O27" s="36" t="n"/>
    </row>
    <row r="28">
      <c r="A28" s="32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>
        <f>IF(COUNTA(B28:K28)&lt;10,"",MAX(300,ROUND(((((B28*1.4)+(C28*1.1)+(D28*1.1)+(E28*1)+(F28*1.1)+(G28*1)+(H28*1.6)+(I28*0.9)+(J28*1)+(K28*0.8))/11-1)/4)*20000,0)))</f>
        <v/>
      </c>
      <c r="M28" s="36">
        <f>IF(L28="","",MIN(100,ROUND(L28/200,0)))</f>
        <v/>
      </c>
      <c r="N28" s="36" t="n"/>
      <c r="O28" s="36" t="n"/>
    </row>
    <row r="29">
      <c r="A29" s="32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>
        <f>IF(COUNTA(B29:K29)&lt;10,"",MAX(300,ROUND(((((B29*1.4)+(C29*1.1)+(D29*1.1)+(E29*1)+(F29*1.1)+(G29*1)+(H29*1.6)+(I29*0.9)+(J29*1)+(K29*0.8))/11-1)/4)*20000,0)))</f>
        <v/>
      </c>
      <c r="M29" s="36">
        <f>IF(L29="","",MIN(100,ROUND(L29/200,0)))</f>
        <v/>
      </c>
      <c r="N29" s="36" t="n"/>
      <c r="O29" s="36" t="n"/>
    </row>
    <row r="30">
      <c r="A30" s="32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>
        <f>IF(COUNTA(B30:K30)&lt;10,"",MAX(300,ROUND(((((B30*1.4)+(C30*1.1)+(D30*1.1)+(E30*1)+(F30*1.1)+(G30*1)+(H30*1.6)+(I30*0.9)+(J30*1)+(K30*0.8))/11-1)/4)*20000,0)))</f>
        <v/>
      </c>
      <c r="M30" s="36">
        <f>IF(L30="","",MIN(100,ROUND(L30/200,0)))</f>
        <v/>
      </c>
      <c r="N30" s="36" t="n"/>
      <c r="O30" s="36" t="n"/>
    </row>
    <row r="31">
      <c r="A31" s="32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>
        <f>IF(COUNTA(B31:K31)&lt;10,"",MAX(300,ROUND(((((B31*1.4)+(C31*1.1)+(D31*1.1)+(E31*1)+(F31*1.1)+(G31*1)+(H31*1.6)+(I31*0.9)+(J31*1)+(K31*0.8))/11-1)/4)*20000,0)))</f>
        <v/>
      </c>
      <c r="M31" s="36">
        <f>IF(L31="","",MIN(100,ROUND(L31/200,0)))</f>
        <v/>
      </c>
      <c r="N31" s="36" t="n"/>
      <c r="O31" s="36" t="n"/>
    </row>
    <row r="32">
      <c r="A32" s="32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>
        <f>IF(COUNTA(B32:K32)&lt;10,"",MAX(300,ROUND(((((B32*1.4)+(C32*1.1)+(D32*1.1)+(E32*1)+(F32*1.1)+(G32*1)+(H32*1.6)+(I32*0.9)+(J32*1)+(K32*0.8))/11-1)/4)*20000,0)))</f>
        <v/>
      </c>
      <c r="M32" s="36">
        <f>IF(L32="","",MIN(100,ROUND(L32/200,0)))</f>
        <v/>
      </c>
      <c r="N32" s="36" t="n"/>
      <c r="O32" s="36" t="n"/>
    </row>
    <row r="33">
      <c r="A33" s="32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>
        <f>IF(COUNTA(B33:K33)&lt;10,"",MAX(300,ROUND(((((B33*1.4)+(C33*1.1)+(D33*1.1)+(E33*1)+(F33*1.1)+(G33*1)+(H33*1.6)+(I33*0.9)+(J33*1)+(K33*0.8))/11-1)/4)*20000,0)))</f>
        <v/>
      </c>
      <c r="M33" s="36">
        <f>IF(L33="","",MIN(100,ROUND(L33/200,0)))</f>
        <v/>
      </c>
      <c r="N33" s="36" t="n"/>
      <c r="O33" s="36" t="n"/>
    </row>
    <row r="34">
      <c r="A34" s="32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>
        <f>IF(COUNTA(B34:K34)&lt;10,"",MAX(300,ROUND(((((B34*1.4)+(C34*1.1)+(D34*1.1)+(E34*1)+(F34*1.1)+(G34*1)+(H34*1.6)+(I34*0.9)+(J34*1)+(K34*0.8))/11-1)/4)*20000,0)))</f>
        <v/>
      </c>
      <c r="M34" s="36">
        <f>IF(L34="","",MIN(100,ROUND(L34/200,0)))</f>
        <v/>
      </c>
      <c r="N34" s="36" t="n"/>
      <c r="O34" s="36" t="n"/>
    </row>
    <row r="35">
      <c r="A35" s="32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>
        <f>IF(COUNTA(B35:K35)&lt;10,"",MAX(300,ROUND(((((B35*1.4)+(C35*1.1)+(D35*1.1)+(E35*1)+(F35*1.1)+(G35*1)+(H35*1.6)+(I35*0.9)+(J35*1)+(K35*0.8))/11-1)/4)*20000,0)))</f>
        <v/>
      </c>
      <c r="M35" s="36">
        <f>IF(L35="","",MIN(100,ROUND(L35/200,0)))</f>
        <v/>
      </c>
      <c r="N35" s="36" t="n"/>
      <c r="O35" s="36" t="n"/>
    </row>
    <row r="36">
      <c r="A36" s="32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>
        <f>IF(COUNTA(B36:K36)&lt;10,"",MAX(300,ROUND(((((B36*1.4)+(C36*1.1)+(D36*1.1)+(E36*1)+(F36*1.1)+(G36*1)+(H36*1.6)+(I36*0.9)+(J36*1)+(K36*0.8))/11-1)/4)*20000,0)))</f>
        <v/>
      </c>
      <c r="M36" s="36">
        <f>IF(L36="","",MIN(100,ROUND(L36/200,0)))</f>
        <v/>
      </c>
      <c r="N36" s="36" t="n"/>
      <c r="O36" s="36" t="n"/>
    </row>
    <row r="37">
      <c r="A37" s="32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>
        <f>IF(COUNTA(B37:K37)&lt;10,"",MAX(300,ROUND(((((B37*1.4)+(C37*1.1)+(D37*1.1)+(E37*1)+(F37*1.1)+(G37*1)+(H37*1.6)+(I37*0.9)+(J37*1)+(K37*0.8))/11-1)/4)*20000,0)))</f>
        <v/>
      </c>
      <c r="M37" s="36">
        <f>IF(L37="","",MIN(100,ROUND(L37/200,0)))</f>
        <v/>
      </c>
      <c r="N37" s="36" t="n"/>
      <c r="O37" s="36" t="n"/>
    </row>
    <row r="38">
      <c r="A38" s="32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>
        <f>IF(COUNTA(B38:K38)&lt;10,"",MAX(300,ROUND(((((B38*1.4)+(C38*1.1)+(D38*1.1)+(E38*1)+(F38*1.1)+(G38*1)+(H38*1.6)+(I38*0.9)+(J38*1)+(K38*0.8))/11-1)/4)*20000,0)))</f>
        <v/>
      </c>
      <c r="M38" s="36">
        <f>IF(L38="","",MIN(100,ROUND(L38/200,0)))</f>
        <v/>
      </c>
      <c r="N38" s="36" t="n"/>
      <c r="O38" s="36" t="n"/>
    </row>
    <row r="39">
      <c r="A39" s="3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>
        <f>IF(COUNTA(B39:K39)&lt;10,"",MAX(300,ROUND(((((B39*1.4)+(C39*1.1)+(D39*1.1)+(E39*1)+(F39*1.1)+(G39*1)+(H39*1.6)+(I39*0.9)+(J39*1)+(K39*0.8))/11-1)/4)*20000,0)))</f>
        <v/>
      </c>
      <c r="M39" s="36">
        <f>IF(L39="","",MIN(100,ROUND(L39/200,0)))</f>
        <v/>
      </c>
      <c r="N39" s="36" t="n"/>
      <c r="O39" s="36" t="n"/>
    </row>
    <row r="40">
      <c r="A40" s="32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>
        <f>IF(COUNTA(B40:K40)&lt;10,"",MAX(300,ROUND(((((B40*1.4)+(C40*1.1)+(D40*1.1)+(E40*1)+(F40*1.1)+(G40*1)+(H40*1.6)+(I40*0.9)+(J40*1)+(K40*0.8))/11-1)/4)*20000,0)))</f>
        <v/>
      </c>
      <c r="M40" s="36">
        <f>IF(L40="","",MIN(100,ROUND(L40/200,0)))</f>
        <v/>
      </c>
      <c r="N40" s="36" t="n"/>
      <c r="O40" s="36" t="n"/>
    </row>
    <row r="41">
      <c r="A41" s="32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>
        <f>IF(COUNTA(B41:K41)&lt;10,"",MAX(300,ROUND(((((B41*1.4)+(C41*1.1)+(D41*1.1)+(E41*1)+(F41*1.1)+(G41*1)+(H41*1.6)+(I41*0.9)+(J41*1)+(K41*0.8))/11-1)/4)*20000,0)))</f>
        <v/>
      </c>
      <c r="M41" s="36">
        <f>IF(L41="","",MIN(100,ROUND(L41/200,0)))</f>
        <v/>
      </c>
      <c r="N41" s="36" t="n"/>
      <c r="O41" s="36" t="n"/>
    </row>
    <row r="42">
      <c r="A42" s="32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>
        <f>IF(COUNTA(B42:K42)&lt;10,"",MAX(300,ROUND(((((B42*1.4)+(C42*1.1)+(D42*1.1)+(E42*1)+(F42*1.1)+(G42*1)+(H42*1.6)+(I42*0.9)+(J42*1)+(K42*0.8))/11-1)/4)*20000,0)))</f>
        <v/>
      </c>
      <c r="M42" s="36">
        <f>IF(L42="","",MIN(100,ROUND(L42/200,0)))</f>
        <v/>
      </c>
      <c r="N42" s="36" t="n"/>
      <c r="O42" s="36" t="n"/>
    </row>
    <row r="43">
      <c r="A43" s="32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>
        <f>IF(COUNTA(B43:K43)&lt;10,"",MAX(300,ROUND(((((B43*1.4)+(C43*1.1)+(D43*1.1)+(E43*1)+(F43*1.1)+(G43*1)+(H43*1.6)+(I43*0.9)+(J43*1)+(K43*0.8))/11-1)/4)*20000,0)))</f>
        <v/>
      </c>
      <c r="M43" s="36">
        <f>IF(L43="","",MIN(100,ROUND(L43/200,0)))</f>
        <v/>
      </c>
      <c r="N43" s="36" t="n"/>
      <c r="O43" s="36" t="n"/>
    </row>
    <row r="44">
      <c r="A44" s="32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>
        <f>IF(COUNTA(B44:K44)&lt;10,"",MAX(300,ROUND(((((B44*1.4)+(C44*1.1)+(D44*1.1)+(E44*1)+(F44*1.1)+(G44*1)+(H44*1.6)+(I44*0.9)+(J44*1)+(K44*0.8))/11-1)/4)*20000,0)))</f>
        <v/>
      </c>
      <c r="M44" s="36">
        <f>IF(L44="","",MIN(100,ROUND(L44/200,0)))</f>
        <v/>
      </c>
      <c r="N44" s="36" t="n"/>
      <c r="O44" s="36" t="n"/>
    </row>
    <row r="45">
      <c r="A45" s="32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>
        <f>IF(COUNTA(B45:K45)&lt;10,"",MAX(300,ROUND(((((B45*1.4)+(C45*1.1)+(D45*1.1)+(E45*1)+(F45*1.1)+(G45*1)+(H45*1.6)+(I45*0.9)+(J45*1)+(K45*0.8))/11-1)/4)*20000,0)))</f>
        <v/>
      </c>
      <c r="M45" s="36">
        <f>IF(L45="","",MIN(100,ROUND(L45/200,0)))</f>
        <v/>
      </c>
      <c r="N45" s="36" t="n"/>
      <c r="O45" s="36" t="n"/>
    </row>
    <row r="46">
      <c r="A46" s="32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>
        <f>IF(COUNTA(B46:K46)&lt;10,"",MAX(300,ROUND(((((B46*1.4)+(C46*1.1)+(D46*1.1)+(E46*1)+(F46*1.1)+(G46*1)+(H46*1.6)+(I46*0.9)+(J46*1)+(K46*0.8))/11-1)/4)*20000,0)))</f>
        <v/>
      </c>
      <c r="M46" s="36">
        <f>IF(L46="","",MIN(100,ROUND(L46/200,0)))</f>
        <v/>
      </c>
      <c r="N46" s="36" t="n"/>
      <c r="O46" s="36" t="n"/>
    </row>
    <row r="47">
      <c r="A47" s="32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>
        <f>IF(COUNTA(B47:K47)&lt;10,"",MAX(300,ROUND(((((B47*1.4)+(C47*1.1)+(D47*1.1)+(E47*1)+(F47*1.1)+(G47*1)+(H47*1.6)+(I47*0.9)+(J47*1)+(K47*0.8))/11-1)/4)*20000,0)))</f>
        <v/>
      </c>
      <c r="M47" s="36">
        <f>IF(L47="","",MIN(100,ROUND(L47/200,0)))</f>
        <v/>
      </c>
      <c r="N47" s="36" t="n"/>
      <c r="O47" s="36" t="n"/>
    </row>
    <row r="48">
      <c r="A48" s="32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>
        <f>IF(COUNTA(B48:K48)&lt;10,"",MAX(300,ROUND(((((B48*1.4)+(C48*1.1)+(D48*1.1)+(E48*1)+(F48*1.1)+(G48*1)+(H48*1.6)+(I48*0.9)+(J48*1)+(K48*0.8))/11-1)/4)*20000,0)))</f>
        <v/>
      </c>
      <c r="M48" s="36">
        <f>IF(L48="","",MIN(100,ROUND(L48/200,0)))</f>
        <v/>
      </c>
      <c r="N48" s="36" t="n"/>
      <c r="O48" s="36" t="n"/>
    </row>
    <row r="49">
      <c r="A49" s="32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>
        <f>IF(COUNTA(B49:K49)&lt;10,"",MAX(300,ROUND(((((B49*1.4)+(C49*1.1)+(D49*1.1)+(E49*1)+(F49*1.1)+(G49*1)+(H49*1.6)+(I49*0.9)+(J49*1)+(K49*0.8))/11-1)/4)*20000,0)))</f>
        <v/>
      </c>
      <c r="M49" s="36">
        <f>IF(L49="","",MIN(100,ROUND(L49/200,0)))</f>
        <v/>
      </c>
      <c r="N49" s="36" t="n"/>
      <c r="O49" s="36" t="n"/>
    </row>
    <row r="50">
      <c r="A50" s="32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>
        <f>IF(COUNTA(B50:K50)&lt;10,"",MAX(300,ROUND(((((B50*1.4)+(C50*1.1)+(D50*1.1)+(E50*1)+(F50*1.1)+(G50*1)+(H50*1.6)+(I50*0.9)+(J50*1)+(K50*0.8))/11-1)/4)*20000,0)))</f>
        <v/>
      </c>
      <c r="M50" s="36">
        <f>IF(L50="","",MIN(100,ROUND(L50/200,0)))</f>
        <v/>
      </c>
      <c r="N50" s="36" t="n"/>
      <c r="O50" s="36" t="n"/>
    </row>
    <row r="51">
      <c r="A51" s="32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>
        <f>IF(COUNTA(B51:K51)&lt;10,"",MAX(300,ROUND(((((B51*1.4)+(C51*1.1)+(D51*1.1)+(E51*1)+(F51*1.1)+(G51*1)+(H51*1.6)+(I51*0.9)+(J51*1)+(K51*0.8))/11-1)/4)*20000,0)))</f>
        <v/>
      </c>
      <c r="M51" s="36">
        <f>IF(L51="","",MIN(100,ROUND(L51/200,0)))</f>
        <v/>
      </c>
      <c r="N51" s="36" t="n"/>
      <c r="O51" s="36" t="n"/>
    </row>
    <row r="52">
      <c r="A52" s="32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>
        <f>IF(COUNTA(B52:K52)&lt;10,"",MAX(300,ROUND(((((B52*1.4)+(C52*1.1)+(D52*1.1)+(E52*1)+(F52*1.1)+(G52*1)+(H52*1.6)+(I52*0.9)+(J52*1)+(K52*0.8))/11-1)/4)*20000,0)))</f>
        <v/>
      </c>
      <c r="M52" s="36">
        <f>IF(L52="","",MIN(100,ROUND(L52/200,0)))</f>
        <v/>
      </c>
      <c r="N52" s="36" t="n"/>
      <c r="O52" s="36" t="n"/>
    </row>
    <row r="53">
      <c r="A53" s="32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>
        <f>IF(COUNTA(B53:K53)&lt;10,"",MAX(300,ROUND(((((B53*1.4)+(C53*1.1)+(D53*1.1)+(E53*1)+(F53*1.1)+(G53*1)+(H53*1.6)+(I53*0.9)+(J53*1)+(K53*0.8))/11-1)/4)*20000,0)))</f>
        <v/>
      </c>
      <c r="M53" s="36">
        <f>IF(L53="","",MIN(100,ROUND(L53/200,0)))</f>
        <v/>
      </c>
      <c r="N53" s="36" t="n"/>
      <c r="O53" s="36" t="n"/>
    </row>
    <row r="54">
      <c r="A54" s="32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>
        <f>IF(COUNTA(B54:K54)&lt;10,"",MAX(300,ROUND(((((B54*1.4)+(C54*1.1)+(D54*1.1)+(E54*1)+(F54*1.1)+(G54*1)+(H54*1.6)+(I54*0.9)+(J54*1)+(K54*0.8))/11-1)/4)*20000,0)))</f>
        <v/>
      </c>
      <c r="M54" s="36">
        <f>IF(L54="","",MIN(100,ROUND(L54/200,0)))</f>
        <v/>
      </c>
      <c r="N54" s="36" t="n"/>
      <c r="O54" s="36" t="n"/>
    </row>
    <row r="55">
      <c r="A55" s="32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>
        <f>IF(COUNTA(B55:K55)&lt;10,"",MAX(300,ROUND(((((B55*1.4)+(C55*1.1)+(D55*1.1)+(E55*1)+(F55*1.1)+(G55*1)+(H55*1.6)+(I55*0.9)+(J55*1)+(K55*0.8))/11-1)/4)*20000,0)))</f>
        <v/>
      </c>
      <c r="M55" s="36">
        <f>IF(L55="","",MIN(100,ROUND(L55/200,0)))</f>
        <v/>
      </c>
      <c r="N55" s="36" t="n"/>
      <c r="O55" s="36" t="n"/>
    </row>
    <row r="56">
      <c r="A56" s="32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>
        <f>IF(COUNTA(B56:K56)&lt;10,"",MAX(300,ROUND(((((B56*1.4)+(C56*1.1)+(D56*1.1)+(E56*1)+(F56*1.1)+(G56*1)+(H56*1.6)+(I56*0.9)+(J56*1)+(K56*0.8))/11-1)/4)*20000,0)))</f>
        <v/>
      </c>
      <c r="M56" s="36">
        <f>IF(L56="","",MIN(100,ROUND(L56/200,0)))</f>
        <v/>
      </c>
      <c r="N56" s="36" t="n"/>
      <c r="O56" s="36" t="n"/>
    </row>
    <row r="57">
      <c r="A57" s="32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>
        <f>IF(COUNTA(B57:K57)&lt;10,"",MAX(300,ROUND(((((B57*1.4)+(C57*1.1)+(D57*1.1)+(E57*1)+(F57*1.1)+(G57*1)+(H57*1.6)+(I57*0.9)+(J57*1)+(K57*0.8))/11-1)/4)*20000,0)))</f>
        <v/>
      </c>
      <c r="M57" s="36">
        <f>IF(L57="","",MIN(100,ROUND(L57/200,0)))</f>
        <v/>
      </c>
      <c r="N57" s="36" t="n"/>
      <c r="O57" s="36" t="n"/>
    </row>
    <row r="58">
      <c r="A58" s="32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>
        <f>IF(COUNTA(B58:K58)&lt;10,"",MAX(300,ROUND(((((B58*1.4)+(C58*1.1)+(D58*1.1)+(E58*1)+(F58*1.1)+(G58*1)+(H58*1.6)+(I58*0.9)+(J58*1)+(K58*0.8))/11-1)/4)*20000,0)))</f>
        <v/>
      </c>
      <c r="M58" s="36">
        <f>IF(L58="","",MIN(100,ROUND(L58/200,0)))</f>
        <v/>
      </c>
      <c r="N58" s="36" t="n"/>
      <c r="O58" s="36" t="n"/>
    </row>
    <row r="59">
      <c r="A59" s="32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>
        <f>IF(COUNTA(B59:K59)&lt;10,"",MAX(300,ROUND(((((B59*1.4)+(C59*1.1)+(D59*1.1)+(E59*1)+(F59*1.1)+(G59*1)+(H59*1.6)+(I59*0.9)+(J59*1)+(K59*0.8))/11-1)/4)*20000,0)))</f>
        <v/>
      </c>
      <c r="M59" s="36">
        <f>IF(L59="","",MIN(100,ROUND(L59/200,0)))</f>
        <v/>
      </c>
      <c r="N59" s="36" t="n"/>
      <c r="O59" s="36" t="n"/>
    </row>
    <row r="60">
      <c r="A60" s="32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>
        <f>IF(COUNTA(B60:K60)&lt;10,"",MAX(300,ROUND(((((B60*1.4)+(C60*1.1)+(D60*1.1)+(E60*1)+(F60*1.1)+(G60*1)+(H60*1.6)+(I60*0.9)+(J60*1)+(K60*0.8))/11-1)/4)*20000,0)))</f>
        <v/>
      </c>
      <c r="M60" s="36">
        <f>IF(L60="","",MIN(100,ROUND(L60/200,0)))</f>
        <v/>
      </c>
      <c r="N60" s="36" t="n"/>
      <c r="O60" s="36" t="n"/>
    </row>
    <row r="61">
      <c r="A61" s="32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>
        <f>IF(COUNTA(B61:K61)&lt;10,"",MAX(300,ROUND(((((B61*1.4)+(C61*1.1)+(D61*1.1)+(E61*1)+(F61*1.1)+(G61*1)+(H61*1.6)+(I61*0.9)+(J61*1)+(K61*0.8))/11-1)/4)*20000,0)))</f>
        <v/>
      </c>
      <c r="M61" s="36">
        <f>IF(L61="","",MIN(100,ROUND(L61/200,0)))</f>
        <v/>
      </c>
      <c r="N61" s="36" t="n"/>
      <c r="O61" s="36" t="n"/>
    </row>
    <row r="62">
      <c r="A62" s="32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>
        <f>IF(COUNTA(B62:K62)&lt;10,"",MAX(300,ROUND(((((B62*1.4)+(C62*1.1)+(D62*1.1)+(E62*1)+(F62*1.1)+(G62*1)+(H62*1.6)+(I62*0.9)+(J62*1)+(K62*0.8))/11-1)/4)*20000,0)))</f>
        <v/>
      </c>
      <c r="M62" s="36">
        <f>IF(L62="","",MIN(100,ROUND(L62/200,0)))</f>
        <v/>
      </c>
      <c r="N62" s="36" t="n"/>
      <c r="O62" s="36" t="n"/>
    </row>
    <row r="63">
      <c r="A63" s="32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>
        <f>IF(COUNTA(B63:K63)&lt;10,"",MAX(300,ROUND(((((B63*1.4)+(C63*1.1)+(D63*1.1)+(E63*1)+(F63*1.1)+(G63*1)+(H63*1.6)+(I63*0.9)+(J63*1)+(K63*0.8))/11-1)/4)*20000,0)))</f>
        <v/>
      </c>
      <c r="M63" s="36">
        <f>IF(L63="","",MIN(100,ROUND(L63/200,0)))</f>
        <v/>
      </c>
      <c r="N63" s="36" t="n"/>
      <c r="O63" s="36" t="n"/>
    </row>
    <row r="64">
      <c r="A64" s="32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>
        <f>IF(COUNTA(B64:K64)&lt;10,"",MAX(300,ROUND(((((B64*1.4)+(C64*1.1)+(D64*1.1)+(E64*1)+(F64*1.1)+(G64*1)+(H64*1.6)+(I64*0.9)+(J64*1)+(K64*0.8))/11-1)/4)*20000,0)))</f>
        <v/>
      </c>
      <c r="M64" s="36">
        <f>IF(L64="","",MIN(100,ROUND(L64/200,0)))</f>
        <v/>
      </c>
      <c r="N64" s="36" t="n"/>
      <c r="O64" s="36" t="n"/>
    </row>
    <row r="65">
      <c r="A65" s="32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>
        <f>IF(COUNTA(B65:K65)&lt;10,"",MAX(300,ROUND(((((B65*1.4)+(C65*1.1)+(D65*1.1)+(E65*1)+(F65*1.1)+(G65*1)+(H65*1.6)+(I65*0.9)+(J65*1)+(K65*0.8))/11-1)/4)*20000,0)))</f>
        <v/>
      </c>
      <c r="M65" s="36">
        <f>IF(L65="","",MIN(100,ROUND(L65/200,0)))</f>
        <v/>
      </c>
      <c r="N65" s="36" t="n"/>
      <c r="O65" s="36" t="n"/>
    </row>
    <row r="66">
      <c r="A66" s="32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>
        <f>IF(COUNTA(B66:K66)&lt;10,"",MAX(300,ROUND(((((B66*1.4)+(C66*1.1)+(D66*1.1)+(E66*1)+(F66*1.1)+(G66*1)+(H66*1.6)+(I66*0.9)+(J66*1)+(K66*0.8))/11-1)/4)*20000,0)))</f>
        <v/>
      </c>
      <c r="M66" s="36">
        <f>IF(L66="","",MIN(100,ROUND(L66/200,0)))</f>
        <v/>
      </c>
      <c r="N66" s="36" t="n"/>
      <c r="O66" s="36" t="n"/>
    </row>
    <row r="67">
      <c r="A67" s="32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>
        <f>IF(COUNTA(B67:K67)&lt;10,"",MAX(300,ROUND(((((B67*1.4)+(C67*1.1)+(D67*1.1)+(E67*1)+(F67*1.1)+(G67*1)+(H67*1.6)+(I67*0.9)+(J67*1)+(K67*0.8))/11-1)/4)*20000,0)))</f>
        <v/>
      </c>
      <c r="M67" s="36">
        <f>IF(L67="","",MIN(100,ROUND(L67/200,0)))</f>
        <v/>
      </c>
      <c r="N67" s="36" t="n"/>
      <c r="O67" s="36" t="n"/>
    </row>
    <row r="68">
      <c r="A68" s="32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>
        <f>IF(COUNTA(B68:K68)&lt;10,"",MAX(300,ROUND(((((B68*1.4)+(C68*1.1)+(D68*1.1)+(E68*1)+(F68*1.1)+(G68*1)+(H68*1.6)+(I68*0.9)+(J68*1)+(K68*0.8))/11-1)/4)*20000,0)))</f>
        <v/>
      </c>
      <c r="M68" s="36">
        <f>IF(L68="","",MIN(100,ROUND(L68/200,0)))</f>
        <v/>
      </c>
      <c r="N68" s="36" t="n"/>
      <c r="O68" s="36" t="n"/>
    </row>
    <row r="69">
      <c r="A69" s="32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>
        <f>IF(COUNTA(B69:K69)&lt;10,"",MAX(300,ROUND(((((B69*1.4)+(C69*1.1)+(D69*1.1)+(E69*1)+(F69*1.1)+(G69*1)+(H69*1.6)+(I69*0.9)+(J69*1)+(K69*0.8))/11-1)/4)*20000,0)))</f>
        <v/>
      </c>
      <c r="M69" s="36">
        <f>IF(L69="","",MIN(100,ROUND(L69/200,0)))</f>
        <v/>
      </c>
      <c r="N69" s="36" t="n"/>
      <c r="O69" s="36" t="n"/>
    </row>
    <row r="70">
      <c r="A70" s="32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>
        <f>IF(COUNTA(B70:K70)&lt;10,"",MAX(300,ROUND(((((B70*1.4)+(C70*1.1)+(D70*1.1)+(E70*1)+(F70*1.1)+(G70*1)+(H70*1.6)+(I70*0.9)+(J70*1)+(K70*0.8))/11-1)/4)*20000,0)))</f>
        <v/>
      </c>
      <c r="M70" s="36">
        <f>IF(L70="","",MIN(100,ROUND(L70/200,0)))</f>
        <v/>
      </c>
      <c r="N70" s="36" t="n"/>
      <c r="O70" s="36" t="n"/>
    </row>
    <row r="71">
      <c r="A71" s="32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>
        <f>IF(COUNTA(B71:K71)&lt;10,"",MAX(300,ROUND(((((B71*1.4)+(C71*1.1)+(D71*1.1)+(E71*1)+(F71*1.1)+(G71*1)+(H71*1.6)+(I71*0.9)+(J71*1)+(K71*0.8))/11-1)/4)*20000,0)))</f>
        <v/>
      </c>
      <c r="M71" s="36">
        <f>IF(L71="","",MIN(100,ROUND(L71/200,0)))</f>
        <v/>
      </c>
      <c r="N71" s="36" t="n"/>
      <c r="O71" s="36" t="n"/>
    </row>
    <row r="72">
      <c r="A72" s="32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>
        <f>IF(COUNTA(B72:K72)&lt;10,"",MAX(300,ROUND(((((B72*1.4)+(C72*1.1)+(D72*1.1)+(E72*1)+(F72*1.1)+(G72*1)+(H72*1.6)+(I72*0.9)+(J72*1)+(K72*0.8))/11-1)/4)*20000,0)))</f>
        <v/>
      </c>
      <c r="M72" s="36">
        <f>IF(L72="","",MIN(100,ROUND(L72/200,0)))</f>
        <v/>
      </c>
      <c r="N72" s="36" t="n"/>
      <c r="O72" s="36" t="n"/>
    </row>
    <row r="73">
      <c r="A73" s="32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>
        <f>IF(COUNTA(B73:K73)&lt;10,"",MAX(300,ROUND(((((B73*1.4)+(C73*1.1)+(D73*1.1)+(E73*1)+(F73*1.1)+(G73*1)+(H73*1.6)+(I73*0.9)+(J73*1)+(K73*0.8))/11-1)/4)*20000,0)))</f>
        <v/>
      </c>
      <c r="M73" s="36">
        <f>IF(L73="","",MIN(100,ROUND(L73/200,0)))</f>
        <v/>
      </c>
      <c r="N73" s="36" t="n"/>
      <c r="O73" s="36" t="n"/>
    </row>
    <row r="74">
      <c r="A74" s="32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>
        <f>IF(COUNTA(B74:K74)&lt;10,"",MAX(300,ROUND(((((B74*1.4)+(C74*1.1)+(D74*1.1)+(E74*1)+(F74*1.1)+(G74*1)+(H74*1.6)+(I74*0.9)+(J74*1)+(K74*0.8))/11-1)/4)*20000,0)))</f>
        <v/>
      </c>
      <c r="M74" s="36">
        <f>IF(L74="","",MIN(100,ROUND(L74/200,0)))</f>
        <v/>
      </c>
      <c r="N74" s="36" t="n"/>
      <c r="O74" s="36" t="n"/>
    </row>
    <row r="75">
      <c r="A75" s="32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>
        <f>IF(COUNTA(B75:K75)&lt;10,"",MAX(300,ROUND(((((B75*1.4)+(C75*1.1)+(D75*1.1)+(E75*1)+(F75*1.1)+(G75*1)+(H75*1.6)+(I75*0.9)+(J75*1)+(K75*0.8))/11-1)/4)*20000,0)))</f>
        <v/>
      </c>
      <c r="M75" s="36">
        <f>IF(L75="","",MIN(100,ROUND(L75/200,0)))</f>
        <v/>
      </c>
      <c r="N75" s="36" t="n"/>
      <c r="O75" s="36" t="n"/>
    </row>
    <row r="76">
      <c r="A76" s="32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>
        <f>IF(COUNTA(B76:K76)&lt;10,"",MAX(300,ROUND(((((B76*1.4)+(C76*1.1)+(D76*1.1)+(E76*1)+(F76*1.1)+(G76*1)+(H76*1.6)+(I76*0.9)+(J76*1)+(K76*0.8))/11-1)/4)*20000,0)))</f>
        <v/>
      </c>
      <c r="M76" s="36">
        <f>IF(L76="","",MIN(100,ROUND(L76/200,0)))</f>
        <v/>
      </c>
      <c r="N76" s="36" t="n"/>
      <c r="O76" s="36" t="n"/>
    </row>
    <row r="77">
      <c r="A77" s="32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>
        <f>IF(COUNTA(B77:K77)&lt;10,"",MAX(300,ROUND(((((B77*1.4)+(C77*1.1)+(D77*1.1)+(E77*1)+(F77*1.1)+(G77*1)+(H77*1.6)+(I77*0.9)+(J77*1)+(K77*0.8))/11-1)/4)*20000,0)))</f>
        <v/>
      </c>
      <c r="M77" s="36">
        <f>IF(L77="","",MIN(100,ROUND(L77/200,0)))</f>
        <v/>
      </c>
      <c r="N77" s="36" t="n"/>
      <c r="O77" s="36" t="n"/>
    </row>
    <row r="78">
      <c r="A78" s="32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>
        <f>IF(COUNTA(B78:K78)&lt;10,"",MAX(300,ROUND(((((B78*1.4)+(C78*1.1)+(D78*1.1)+(E78*1)+(F78*1.1)+(G78*1)+(H78*1.6)+(I78*0.9)+(J78*1)+(K78*0.8))/11-1)/4)*20000,0)))</f>
        <v/>
      </c>
      <c r="M78" s="36">
        <f>IF(L78="","",MIN(100,ROUND(L78/200,0)))</f>
        <v/>
      </c>
      <c r="N78" s="36" t="n"/>
      <c r="O78" s="36" t="n"/>
    </row>
    <row r="79">
      <c r="A79" s="32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>
        <f>IF(COUNTA(B79:K79)&lt;10,"",MAX(300,ROUND(((((B79*1.4)+(C79*1.1)+(D79*1.1)+(E79*1)+(F79*1.1)+(G79*1)+(H79*1.6)+(I79*0.9)+(J79*1)+(K79*0.8))/11-1)/4)*20000,0)))</f>
        <v/>
      </c>
      <c r="M79" s="36">
        <f>IF(L79="","",MIN(100,ROUND(L79/200,0)))</f>
        <v/>
      </c>
      <c r="N79" s="36" t="n"/>
      <c r="O79" s="36" t="n"/>
    </row>
    <row r="80">
      <c r="A80" s="32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>
        <f>IF(COUNTA(B80:K80)&lt;10,"",MAX(300,ROUND(((((B80*1.4)+(C80*1.1)+(D80*1.1)+(E80*1)+(F80*1.1)+(G80*1)+(H80*1.6)+(I80*0.9)+(J80*1)+(K80*0.8))/11-1)/4)*20000,0)))</f>
        <v/>
      </c>
      <c r="M80" s="36">
        <f>IF(L80="","",MIN(100,ROUND(L80/200,0)))</f>
        <v/>
      </c>
      <c r="N80" s="36" t="n"/>
      <c r="O80" s="36" t="n"/>
    </row>
    <row r="81">
      <c r="A81" s="32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>
        <f>IF(COUNTA(B81:K81)&lt;10,"",MAX(300,ROUND(((((B81*1.4)+(C81*1.1)+(D81*1.1)+(E81*1)+(F81*1.1)+(G81*1)+(H81*1.6)+(I81*0.9)+(J81*1)+(K81*0.8))/11-1)/4)*20000,0)))</f>
        <v/>
      </c>
      <c r="M81" s="36">
        <f>IF(L81="","",MIN(100,ROUND(L81/200,0)))</f>
        <v/>
      </c>
      <c r="N81" s="36" t="n"/>
      <c r="O81" s="36" t="n"/>
    </row>
    <row r="82">
      <c r="A82" s="32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>
        <f>IF(COUNTA(B82:K82)&lt;10,"",MAX(300,ROUND(((((B82*1.4)+(C82*1.1)+(D82*1.1)+(E82*1)+(F82*1.1)+(G82*1)+(H82*1.6)+(I82*0.9)+(J82*1)+(K82*0.8))/11-1)/4)*20000,0)))</f>
        <v/>
      </c>
      <c r="M82" s="36">
        <f>IF(L82="","",MIN(100,ROUND(L82/200,0)))</f>
        <v/>
      </c>
      <c r="N82" s="36" t="n"/>
      <c r="O82" s="36" t="n"/>
    </row>
    <row r="83">
      <c r="A83" s="32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>
        <f>IF(COUNTA(B83:K83)&lt;10,"",MAX(300,ROUND(((((B83*1.4)+(C83*1.1)+(D83*1.1)+(E83*1)+(F83*1.1)+(G83*1)+(H83*1.6)+(I83*0.9)+(J83*1)+(K83*0.8))/11-1)/4)*20000,0)))</f>
        <v/>
      </c>
      <c r="M83" s="36">
        <f>IF(L83="","",MIN(100,ROUND(L83/200,0)))</f>
        <v/>
      </c>
      <c r="N83" s="36" t="n"/>
      <c r="O83" s="36" t="n"/>
    </row>
    <row r="84">
      <c r="A84" s="32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>
        <f>IF(COUNTA(B84:K84)&lt;10,"",MAX(300,ROUND(((((B84*1.4)+(C84*1.1)+(D84*1.1)+(E84*1)+(F84*1.1)+(G84*1)+(H84*1.6)+(I84*0.9)+(J84*1)+(K84*0.8))/11-1)/4)*20000,0)))</f>
        <v/>
      </c>
      <c r="M84" s="36">
        <f>IF(L84="","",MIN(100,ROUND(L84/200,0)))</f>
        <v/>
      </c>
      <c r="N84" s="36" t="n"/>
      <c r="O84" s="36" t="n"/>
    </row>
    <row r="85">
      <c r="A85" s="32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>
        <f>IF(COUNTA(B85:K85)&lt;10,"",MAX(300,ROUND(((((B85*1.4)+(C85*1.1)+(D85*1.1)+(E85*1)+(F85*1.1)+(G85*1)+(H85*1.6)+(I85*0.9)+(J85*1)+(K85*0.8))/11-1)/4)*20000,0)))</f>
        <v/>
      </c>
      <c r="M85" s="36">
        <f>IF(L85="","",MIN(100,ROUND(L85/200,0)))</f>
        <v/>
      </c>
      <c r="N85" s="36" t="n"/>
      <c r="O85" s="36" t="n"/>
    </row>
    <row r="86">
      <c r="A86" s="32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>
        <f>IF(COUNTA(B86:K86)&lt;10,"",MAX(300,ROUND(((((B86*1.4)+(C86*1.1)+(D86*1.1)+(E86*1)+(F86*1.1)+(G86*1)+(H86*1.6)+(I86*0.9)+(J86*1)+(K86*0.8))/11-1)/4)*20000,0)))</f>
        <v/>
      </c>
      <c r="M86" s="36">
        <f>IF(L86="","",MIN(100,ROUND(L86/200,0)))</f>
        <v/>
      </c>
      <c r="N86" s="36" t="n"/>
      <c r="O86" s="36" t="n"/>
    </row>
    <row r="87">
      <c r="A87" s="32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>
        <f>IF(COUNTA(B87:K87)&lt;10,"",MAX(300,ROUND(((((B87*1.4)+(C87*1.1)+(D87*1.1)+(E87*1)+(F87*1.1)+(G87*1)+(H87*1.6)+(I87*0.9)+(J87*1)+(K87*0.8))/11-1)/4)*20000,0)))</f>
        <v/>
      </c>
      <c r="M87" s="36">
        <f>IF(L87="","",MIN(100,ROUND(L87/200,0)))</f>
        <v/>
      </c>
      <c r="N87" s="36" t="n"/>
      <c r="O87" s="36" t="n"/>
    </row>
    <row r="88">
      <c r="A88" s="32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>
        <f>IF(COUNTA(B88:K88)&lt;10,"",MAX(300,ROUND(((((B88*1.4)+(C88*1.1)+(D88*1.1)+(E88*1)+(F88*1.1)+(G88*1)+(H88*1.6)+(I88*0.9)+(J88*1)+(K88*0.8))/11-1)/4)*20000,0)))</f>
        <v/>
      </c>
      <c r="M88" s="36">
        <f>IF(L88="","",MIN(100,ROUND(L88/200,0)))</f>
        <v/>
      </c>
      <c r="N88" s="36" t="n"/>
      <c r="O88" s="36" t="n"/>
    </row>
    <row r="89">
      <c r="A89" s="32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>
        <f>IF(COUNTA(B89:K89)&lt;10,"",MAX(300,ROUND(((((B89*1.4)+(C89*1.1)+(D89*1.1)+(E89*1)+(F89*1.1)+(G89*1)+(H89*1.6)+(I89*0.9)+(J89*1)+(K89*0.8))/11-1)/4)*20000,0)))</f>
        <v/>
      </c>
      <c r="M89" s="36">
        <f>IF(L89="","",MIN(100,ROUND(L89/200,0)))</f>
        <v/>
      </c>
      <c r="N89" s="36" t="n"/>
      <c r="O89" s="36" t="n"/>
    </row>
    <row r="90">
      <c r="A90" s="32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>
        <f>IF(COUNTA(B90:K90)&lt;10,"",MAX(300,ROUND(((((B90*1.4)+(C90*1.1)+(D90*1.1)+(E90*1)+(F90*1.1)+(G90*1)+(H90*1.6)+(I90*0.9)+(J90*1)+(K90*0.8))/11-1)/4)*20000,0)))</f>
        <v/>
      </c>
      <c r="M90" s="36">
        <f>IF(L90="","",MIN(100,ROUND(L90/200,0)))</f>
        <v/>
      </c>
      <c r="N90" s="36" t="n"/>
      <c r="O90" s="36" t="n"/>
    </row>
    <row r="91">
      <c r="A91" s="32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>
        <f>IF(COUNTA(B91:K91)&lt;10,"",MAX(300,ROUND(((((B91*1.4)+(C91*1.1)+(D91*1.1)+(E91*1)+(F91*1.1)+(G91*1)+(H91*1.6)+(I91*0.9)+(J91*1)+(K91*0.8))/11-1)/4)*20000,0)))</f>
        <v/>
      </c>
      <c r="M91" s="36">
        <f>IF(L91="","",MIN(100,ROUND(L91/200,0)))</f>
        <v/>
      </c>
      <c r="N91" s="36" t="n"/>
      <c r="O91" s="36" t="n"/>
    </row>
    <row r="92">
      <c r="A92" s="32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>
        <f>IF(COUNTA(B92:K92)&lt;10,"",MAX(300,ROUND(((((B92*1.4)+(C92*1.1)+(D92*1.1)+(E92*1)+(F92*1.1)+(G92*1)+(H92*1.6)+(I92*0.9)+(J92*1)+(K92*0.8))/11-1)/4)*20000,0)))</f>
        <v/>
      </c>
      <c r="M92" s="36">
        <f>IF(L92="","",MIN(100,ROUND(L92/200,0)))</f>
        <v/>
      </c>
      <c r="N92" s="36" t="n"/>
      <c r="O92" s="36" t="n"/>
    </row>
    <row r="93">
      <c r="A93" s="32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>
        <f>IF(COUNTA(B93:K93)&lt;10,"",MAX(300,ROUND(((((B93*1.4)+(C93*1.1)+(D93*1.1)+(E93*1)+(F93*1.1)+(G93*1)+(H93*1.6)+(I93*0.9)+(J93*1)+(K93*0.8))/11-1)/4)*20000,0)))</f>
        <v/>
      </c>
      <c r="M93" s="36">
        <f>IF(L93="","",MIN(100,ROUND(L93/200,0)))</f>
        <v/>
      </c>
      <c r="N93" s="36" t="n"/>
      <c r="O93" s="36" t="n"/>
    </row>
    <row r="94">
      <c r="A94" s="32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>
        <f>IF(COUNTA(B94:K94)&lt;10,"",MAX(300,ROUND(((((B94*1.4)+(C94*1.1)+(D94*1.1)+(E94*1)+(F94*1.1)+(G94*1)+(H94*1.6)+(I94*0.9)+(J94*1)+(K94*0.8))/11-1)/4)*20000,0)))</f>
        <v/>
      </c>
      <c r="M94" s="36">
        <f>IF(L94="","",MIN(100,ROUND(L94/200,0)))</f>
        <v/>
      </c>
      <c r="N94" s="36" t="n"/>
      <c r="O94" s="36" t="n"/>
    </row>
    <row r="95">
      <c r="A95" s="32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>
        <f>IF(COUNTA(B95:K95)&lt;10,"",MAX(300,ROUND(((((B95*1.4)+(C95*1.1)+(D95*1.1)+(E95*1)+(F95*1.1)+(G95*1)+(H95*1.6)+(I95*0.9)+(J95*1)+(K95*0.8))/11-1)/4)*20000,0)))</f>
        <v/>
      </c>
      <c r="M95" s="36">
        <f>IF(L95="","",MIN(100,ROUND(L95/200,0)))</f>
        <v/>
      </c>
      <c r="N95" s="36" t="n"/>
      <c r="O95" s="36" t="n"/>
    </row>
    <row r="96">
      <c r="A96" s="32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>
        <f>IF(COUNTA(B96:K96)&lt;10,"",MAX(300,ROUND(((((B96*1.4)+(C96*1.1)+(D96*1.1)+(E96*1)+(F96*1.1)+(G96*1)+(H96*1.6)+(I96*0.9)+(J96*1)+(K96*0.8))/11-1)/4)*20000,0)))</f>
        <v/>
      </c>
      <c r="M96" s="36">
        <f>IF(L96="","",MIN(100,ROUND(L96/200,0)))</f>
        <v/>
      </c>
      <c r="N96" s="36" t="n"/>
      <c r="O96" s="36" t="n"/>
    </row>
    <row r="97">
      <c r="A97" s="3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>
        <f>IF(COUNTA(B97:K97)&lt;10,"",MAX(300,ROUND(((((B97*1.4)+(C97*1.1)+(D97*1.1)+(E97*1)+(F97*1.1)+(G97*1)+(H97*1.6)+(I97*0.9)+(J97*1)+(K97*0.8))/11-1)/4)*20000,0)))</f>
        <v/>
      </c>
      <c r="M97" s="36">
        <f>IF(L97="","",MIN(100,ROUND(L97/200,0)))</f>
        <v/>
      </c>
      <c r="N97" s="36" t="n"/>
      <c r="O97" s="36" t="n"/>
    </row>
    <row r="98">
      <c r="A98" s="32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>
        <f>IF(COUNTA(B98:K98)&lt;10,"",MAX(300,ROUND(((((B98*1.4)+(C98*1.1)+(D98*1.1)+(E98*1)+(F98*1.1)+(G98*1)+(H98*1.6)+(I98*0.9)+(J98*1)+(K98*0.8))/11-1)/4)*20000,0)))</f>
        <v/>
      </c>
      <c r="M98" s="36">
        <f>IF(L98="","",MIN(100,ROUND(L98/200,0)))</f>
        <v/>
      </c>
      <c r="N98" s="36" t="n"/>
      <c r="O98" s="36" t="n"/>
    </row>
    <row r="99">
      <c r="A99" s="32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>
        <f>IF(COUNTA(B99:K99)&lt;10,"",MAX(300,ROUND(((((B99*1.4)+(C99*1.1)+(D99*1.1)+(E99*1)+(F99*1.1)+(G99*1)+(H99*1.6)+(I99*0.9)+(J99*1)+(K99*0.8))/11-1)/4)*20000,0)))</f>
        <v/>
      </c>
      <c r="M99" s="36">
        <f>IF(L99="","",MIN(100,ROUND(L99/200,0)))</f>
        <v/>
      </c>
      <c r="N99" s="36" t="n"/>
      <c r="O99" s="36" t="n"/>
    </row>
    <row r="100">
      <c r="A100" s="32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>
        <f>IF(COUNTA(B100:K100)&lt;10,"",MAX(300,ROUND(((((B100*1.4)+(C100*1.1)+(D100*1.1)+(E100*1)+(F100*1.1)+(G100*1)+(H100*1.6)+(I100*0.9)+(J100*1)+(K100*0.8))/11-1)/4)*20000,0)))</f>
        <v/>
      </c>
      <c r="M100" s="36">
        <f>IF(L100="","",MIN(100,ROUND(L100/200,0)))</f>
        <v/>
      </c>
      <c r="N100" s="36" t="n"/>
      <c r="O100" s="36" t="n"/>
    </row>
    <row r="101">
      <c r="A101" s="32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>
        <f>IF(COUNTA(B101:K101)&lt;10,"",MAX(300,ROUND(((((B101*1.4)+(C101*1.1)+(D101*1.1)+(E101*1)+(F101*1.1)+(G101*1)+(H101*1.6)+(I101*0.9)+(J101*1)+(K101*0.8))/11-1)/4)*20000,0)))</f>
        <v/>
      </c>
      <c r="M101" s="36">
        <f>IF(L101="","",MIN(100,ROUND(L101/200,0)))</f>
        <v/>
      </c>
      <c r="N101" s="36" t="n"/>
      <c r="O101" s="36" t="n"/>
    </row>
    <row r="102">
      <c r="A102" s="32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>
        <f>IF(COUNTA(B102:K102)&lt;10,"",MAX(300,ROUND(((((B102*1.4)+(C102*1.1)+(D102*1.1)+(E102*1)+(F102*1.1)+(G102*1)+(H102*1.6)+(I102*0.9)+(J102*1)+(K102*0.8))/11-1)/4)*20000,0)))</f>
        <v/>
      </c>
      <c r="M102" s="36">
        <f>IF(L102="","",MIN(100,ROUND(L102/200,0)))</f>
        <v/>
      </c>
      <c r="N102" s="36" t="n"/>
      <c r="O102" s="36" t="n"/>
    </row>
    <row r="103">
      <c r="A103" s="32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>
        <f>IF(COUNTA(B103:K103)&lt;10,"",MAX(300,ROUND(((((B103*1.4)+(C103*1.1)+(D103*1.1)+(E103*1)+(F103*1.1)+(G103*1)+(H103*1.6)+(I103*0.9)+(J103*1)+(K103*0.8))/11-1)/4)*20000,0)))</f>
        <v/>
      </c>
      <c r="M103" s="36">
        <f>IF(L103="","",MIN(100,ROUND(L103/200,0)))</f>
        <v/>
      </c>
      <c r="N103" s="36" t="n"/>
      <c r="O103" s="36" t="n"/>
    </row>
    <row r="104">
      <c r="A104" s="32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>
        <f>IF(COUNTA(B104:K104)&lt;10,"",MAX(300,ROUND(((((B104*1.4)+(C104*1.1)+(D104*1.1)+(E104*1)+(F104*1.1)+(G104*1)+(H104*1.6)+(I104*0.9)+(J104*1)+(K104*0.8))/11-1)/4)*20000,0)))</f>
        <v/>
      </c>
      <c r="M104" s="36">
        <f>IF(L104="","",MIN(100,ROUND(L104/200,0)))</f>
        <v/>
      </c>
      <c r="N104" s="36" t="n"/>
      <c r="O104" s="36" t="n"/>
    </row>
    <row r="105">
      <c r="A105" s="32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>
        <f>IF(COUNTA(B105:K105)&lt;10,"",MAX(300,ROUND(((((B105*1.4)+(C105*1.1)+(D105*1.1)+(E105*1)+(F105*1.1)+(G105*1)+(H105*1.6)+(I105*0.9)+(J105*1)+(K105*0.8))/11-1)/4)*20000,0)))</f>
        <v/>
      </c>
      <c r="M105" s="36">
        <f>IF(L105="","",MIN(100,ROUND(L105/200,0)))</f>
        <v/>
      </c>
      <c r="N105" s="36" t="n"/>
      <c r="O105" s="36" t="n"/>
    </row>
    <row r="106">
      <c r="A106" s="32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>
        <f>IF(COUNTA(B106:K106)&lt;10,"",MAX(300,ROUND(((((B106*1.4)+(C106*1.1)+(D106*1.1)+(E106*1)+(F106*1.1)+(G106*1)+(H106*1.6)+(I106*0.9)+(J106*1)+(K106*0.8))/11-1)/4)*20000,0)))</f>
        <v/>
      </c>
      <c r="M106" s="36">
        <f>IF(L106="","",MIN(100,ROUND(L106/200,0)))</f>
        <v/>
      </c>
      <c r="N106" s="36" t="n"/>
      <c r="O106" s="36" t="n"/>
    </row>
    <row r="107">
      <c r="A107" s="32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>
        <f>IF(COUNTA(B107:K107)&lt;10,"",MAX(300,ROUND(((((B107*1.4)+(C107*1.1)+(D107*1.1)+(E107*1)+(F107*1.1)+(G107*1)+(H107*1.6)+(I107*0.9)+(J107*1)+(K107*0.8))/11-1)/4)*20000,0)))</f>
        <v/>
      </c>
      <c r="M107" s="36">
        <f>IF(L107="","",MIN(100,ROUND(L107/200,0)))</f>
        <v/>
      </c>
      <c r="N107" s="36" t="n"/>
      <c r="O107" s="36" t="n"/>
    </row>
    <row r="108">
      <c r="A108" s="32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>
        <f>IF(COUNTA(B108:K108)&lt;10,"",MAX(300,ROUND(((((B108*1.4)+(C108*1.1)+(D108*1.1)+(E108*1)+(F108*1.1)+(G108*1)+(H108*1.6)+(I108*0.9)+(J108*1)+(K108*0.8))/11-1)/4)*20000,0)))</f>
        <v/>
      </c>
      <c r="M108" s="36">
        <f>IF(L108="","",MIN(100,ROUND(L108/200,0)))</f>
        <v/>
      </c>
      <c r="N108" s="36" t="n"/>
      <c r="O108" s="36" t="n"/>
    </row>
    <row r="109">
      <c r="A109" s="32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>
        <f>IF(COUNTA(B109:K109)&lt;10,"",MAX(300,ROUND(((((B109*1.4)+(C109*1.1)+(D109*1.1)+(E109*1)+(F109*1.1)+(G109*1)+(H109*1.6)+(I109*0.9)+(J109*1)+(K109*0.8))/11-1)/4)*20000,0)))</f>
        <v/>
      </c>
      <c r="M109" s="36">
        <f>IF(L109="","",MIN(100,ROUND(L109/200,0)))</f>
        <v/>
      </c>
      <c r="N109" s="36" t="n"/>
      <c r="O109" s="36" t="n"/>
    </row>
    <row r="110">
      <c r="A110" s="32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>
        <f>IF(COUNTA(B110:K110)&lt;10,"",MAX(300,ROUND(((((B110*1.4)+(C110*1.1)+(D110*1.1)+(E110*1)+(F110*1.1)+(G110*1)+(H110*1.6)+(I110*0.9)+(J110*1)+(K110*0.8))/11-1)/4)*20000,0)))</f>
        <v/>
      </c>
      <c r="M110" s="36">
        <f>IF(L110="","",MIN(100,ROUND(L110/200,0)))</f>
        <v/>
      </c>
      <c r="N110" s="36" t="n"/>
      <c r="O110" s="36" t="n"/>
    </row>
    <row r="111">
      <c r="A111" s="32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>
        <f>IF(COUNTA(B111:K111)&lt;10,"",MAX(300,ROUND(((((B111*1.4)+(C111*1.1)+(D111*1.1)+(E111*1)+(F111*1.1)+(G111*1)+(H111*1.6)+(I111*0.9)+(J111*1)+(K111*0.8))/11-1)/4)*20000,0)))</f>
        <v/>
      </c>
      <c r="M111" s="36">
        <f>IF(L111="","",MIN(100,ROUND(L111/200,0)))</f>
        <v/>
      </c>
      <c r="N111" s="36" t="n"/>
      <c r="O111" s="36" t="n"/>
    </row>
    <row r="112">
      <c r="A112" s="32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>
        <f>IF(COUNTA(B112:K112)&lt;10,"",MAX(300,ROUND(((((B112*1.4)+(C112*1.1)+(D112*1.1)+(E112*1)+(F112*1.1)+(G112*1)+(H112*1.6)+(I112*0.9)+(J112*1)+(K112*0.8))/11-1)/4)*20000,0)))</f>
        <v/>
      </c>
      <c r="M112" s="36">
        <f>IF(L112="","",MIN(100,ROUND(L112/200,0)))</f>
        <v/>
      </c>
      <c r="N112" s="36" t="n"/>
      <c r="O112" s="36" t="n"/>
    </row>
    <row r="113">
      <c r="A113" s="32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>
        <f>IF(COUNTA(B113:K113)&lt;10,"",MAX(300,ROUND(((((B113*1.4)+(C113*1.1)+(D113*1.1)+(E113*1)+(F113*1.1)+(G113*1)+(H113*1.6)+(I113*0.9)+(J113*1)+(K113*0.8))/11-1)/4)*20000,0)))</f>
        <v/>
      </c>
      <c r="M113" s="36">
        <f>IF(L113="","",MIN(100,ROUND(L113/200,0)))</f>
        <v/>
      </c>
      <c r="N113" s="36" t="n"/>
      <c r="O113" s="36" t="n"/>
    </row>
    <row r="114">
      <c r="A114" s="32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>
        <f>IF(COUNTA(B114:K114)&lt;10,"",MAX(300,ROUND(((((B114*1.4)+(C114*1.1)+(D114*1.1)+(E114*1)+(F114*1.1)+(G114*1)+(H114*1.6)+(I114*0.9)+(J114*1)+(K114*0.8))/11-1)/4)*20000,0)))</f>
        <v/>
      </c>
      <c r="M114" s="36">
        <f>IF(L114="","",MIN(100,ROUND(L114/200,0)))</f>
        <v/>
      </c>
      <c r="N114" s="36" t="n"/>
      <c r="O114" s="36" t="n"/>
    </row>
    <row r="115">
      <c r="A115" s="32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>
        <f>IF(COUNTA(B115:K115)&lt;10,"",MAX(300,ROUND(((((B115*1.4)+(C115*1.1)+(D115*1.1)+(E115*1)+(F115*1.1)+(G115*1)+(H115*1.6)+(I115*0.9)+(J115*1)+(K115*0.8))/11-1)/4)*20000,0)))</f>
        <v/>
      </c>
      <c r="M115" s="36">
        <f>IF(L115="","",MIN(100,ROUND(L115/200,0)))</f>
        <v/>
      </c>
      <c r="N115" s="36" t="n"/>
      <c r="O115" s="36" t="n"/>
    </row>
    <row r="116">
      <c r="A116" s="32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>
        <f>IF(COUNTA(B116:K116)&lt;10,"",MAX(300,ROUND(((((B116*1.4)+(C116*1.1)+(D116*1.1)+(E116*1)+(F116*1.1)+(G116*1)+(H116*1.6)+(I116*0.9)+(J116*1)+(K116*0.8))/11-1)/4)*20000,0)))</f>
        <v/>
      </c>
      <c r="M116" s="36">
        <f>IF(L116="","",MIN(100,ROUND(L116/200,0)))</f>
        <v/>
      </c>
      <c r="N116" s="36" t="n"/>
      <c r="O116" s="36" t="n"/>
    </row>
    <row r="117">
      <c r="A117" s="32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>
        <f>IF(COUNTA(B117:K117)&lt;10,"",MAX(300,ROUND(((((B117*1.4)+(C117*1.1)+(D117*1.1)+(E117*1)+(F117*1.1)+(G117*1)+(H117*1.6)+(I117*0.9)+(J117*1)+(K117*0.8))/11-1)/4)*20000,0)))</f>
        <v/>
      </c>
      <c r="M117" s="36">
        <f>IF(L117="","",MIN(100,ROUND(L117/200,0)))</f>
        <v/>
      </c>
      <c r="N117" s="36" t="n"/>
      <c r="O117" s="36" t="n"/>
    </row>
    <row r="118">
      <c r="A118" s="32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>
        <f>IF(COUNTA(B118:K118)&lt;10,"",MAX(300,ROUND(((((B118*1.4)+(C118*1.1)+(D118*1.1)+(E118*1)+(F118*1.1)+(G118*1)+(H118*1.6)+(I118*0.9)+(J118*1)+(K118*0.8))/11-1)/4)*20000,0)))</f>
        <v/>
      </c>
      <c r="M118" s="36">
        <f>IF(L118="","",MIN(100,ROUND(L118/200,0)))</f>
        <v/>
      </c>
      <c r="N118" s="36" t="n"/>
      <c r="O118" s="36" t="n"/>
    </row>
    <row r="119">
      <c r="A119" s="3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>
        <f>IF(COUNTA(B119:K119)&lt;10,"",MAX(300,ROUND(((((B119*1.4)+(C119*1.1)+(D119*1.1)+(E119*1)+(F119*1.1)+(G119*1)+(H119*1.6)+(I119*0.9)+(J119*1)+(K119*0.8))/11-1)/4)*20000,0)))</f>
        <v/>
      </c>
      <c r="M119" s="36">
        <f>IF(L119="","",MIN(100,ROUND(L119/200,0)))</f>
        <v/>
      </c>
      <c r="N119" s="36" t="n"/>
      <c r="O119" s="36" t="n"/>
    </row>
    <row r="120">
      <c r="A120" s="32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>
        <f>IF(COUNTA(B120:K120)&lt;10,"",MAX(300,ROUND(((((B120*1.4)+(C120*1.1)+(D120*1.1)+(E120*1)+(F120*1.1)+(G120*1)+(H120*1.6)+(I120*0.9)+(J120*1)+(K120*0.8))/11-1)/4)*20000,0)))</f>
        <v/>
      </c>
      <c r="M120" s="36">
        <f>IF(L120="","",MIN(100,ROUND(L120/200,0)))</f>
        <v/>
      </c>
      <c r="N120" s="36" t="n"/>
      <c r="O120" s="36" t="n"/>
    </row>
    <row r="121">
      <c r="A121" s="32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>
        <f>IF(COUNTA(B121:K121)&lt;10,"",MAX(300,ROUND(((((B121*1.4)+(C121*1.1)+(D121*1.1)+(E121*1)+(F121*1.1)+(G121*1)+(H121*1.6)+(I121*0.9)+(J121*1)+(K121*0.8))/11-1)/4)*20000,0)))</f>
        <v/>
      </c>
      <c r="M121" s="36">
        <f>IF(L121="","",MIN(100,ROUND(L121/200,0)))</f>
        <v/>
      </c>
      <c r="N121" s="36" t="n"/>
      <c r="O121" s="36" t="n"/>
    </row>
    <row r="122">
      <c r="A122" s="32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>
        <f>IF(COUNTA(B122:K122)&lt;10,"",MAX(300,ROUND(((((B122*1.4)+(C122*1.1)+(D122*1.1)+(E122*1)+(F122*1.1)+(G122*1)+(H122*1.6)+(I122*0.9)+(J122*1)+(K122*0.8))/11-1)/4)*20000,0)))</f>
        <v/>
      </c>
      <c r="M122" s="36">
        <f>IF(L122="","",MIN(100,ROUND(L122/200,0)))</f>
        <v/>
      </c>
      <c r="N122" s="36" t="n"/>
      <c r="O122" s="36" t="n"/>
    </row>
    <row r="123">
      <c r="A123" s="32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>
        <f>IF(COUNTA(B123:K123)&lt;10,"",MAX(300,ROUND(((((B123*1.4)+(C123*1.1)+(D123*1.1)+(E123*1)+(F123*1.1)+(G123*1)+(H123*1.6)+(I123*0.9)+(J123*1)+(K123*0.8))/11-1)/4)*20000,0)))</f>
        <v/>
      </c>
      <c r="M123" s="36">
        <f>IF(L123="","",MIN(100,ROUND(L123/200,0)))</f>
        <v/>
      </c>
      <c r="N123" s="36" t="n"/>
      <c r="O123" s="36" t="n"/>
    </row>
    <row r="124">
      <c r="A124" s="32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>
        <f>IF(COUNTA(B124:K124)&lt;10,"",MAX(300,ROUND(((((B124*1.4)+(C124*1.1)+(D124*1.1)+(E124*1)+(F124*1.1)+(G124*1)+(H124*1.6)+(I124*0.9)+(J124*1)+(K124*0.8))/11-1)/4)*20000,0)))</f>
        <v/>
      </c>
      <c r="M124" s="36">
        <f>IF(L124="","",MIN(100,ROUND(L124/200,0)))</f>
        <v/>
      </c>
      <c r="N124" s="36" t="n"/>
      <c r="O124" s="36" t="n"/>
    </row>
    <row r="125">
      <c r="A125" s="32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>
        <f>IF(COUNTA(B125:K125)&lt;10,"",MAX(300,ROUND(((((B125*1.4)+(C125*1.1)+(D125*1.1)+(E125*1)+(F125*1.1)+(G125*1)+(H125*1.6)+(I125*0.9)+(J125*1)+(K125*0.8))/11-1)/4)*20000,0)))</f>
        <v/>
      </c>
      <c r="M125" s="36">
        <f>IF(L125="","",MIN(100,ROUND(L125/200,0)))</f>
        <v/>
      </c>
      <c r="N125" s="36" t="n"/>
      <c r="O125" s="36" t="n"/>
    </row>
    <row r="126">
      <c r="A126" s="32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>
        <f>IF(COUNTA(B126:K126)&lt;10,"",MAX(300,ROUND(((((B126*1.4)+(C126*1.1)+(D126*1.1)+(E126*1)+(F126*1.1)+(G126*1)+(H126*1.6)+(I126*0.9)+(J126*1)+(K126*0.8))/11-1)/4)*20000,0)))</f>
        <v/>
      </c>
      <c r="M126" s="36">
        <f>IF(L126="","",MIN(100,ROUND(L126/200,0)))</f>
        <v/>
      </c>
      <c r="N126" s="36" t="n"/>
      <c r="O126" s="36" t="n"/>
    </row>
    <row r="127">
      <c r="A127" s="32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>
        <f>IF(COUNTA(B127:K127)&lt;10,"",MAX(300,ROUND(((((B127*1.4)+(C127*1.1)+(D127*1.1)+(E127*1)+(F127*1.1)+(G127*1)+(H127*1.6)+(I127*0.9)+(J127*1)+(K127*0.8))/11-1)/4)*20000,0)))</f>
        <v/>
      </c>
      <c r="M127" s="36">
        <f>IF(L127="","",MIN(100,ROUND(L127/200,0)))</f>
        <v/>
      </c>
      <c r="N127" s="36" t="n"/>
      <c r="O127" s="36" t="n"/>
    </row>
    <row r="128">
      <c r="A128" s="32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>
        <f>IF(COUNTA(B128:K128)&lt;10,"",MAX(300,ROUND(((((B128*1.4)+(C128*1.1)+(D128*1.1)+(E128*1)+(F128*1.1)+(G128*1)+(H128*1.6)+(I128*0.9)+(J128*1)+(K128*0.8))/11-1)/4)*20000,0)))</f>
        <v/>
      </c>
      <c r="M128" s="36">
        <f>IF(L128="","",MIN(100,ROUND(L128/200,0)))</f>
        <v/>
      </c>
      <c r="N128" s="36" t="n"/>
      <c r="O128" s="36" t="n"/>
    </row>
    <row r="129">
      <c r="A129" s="32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>
        <f>IF(COUNTA(B129:K129)&lt;10,"",MAX(300,ROUND(((((B129*1.4)+(C129*1.1)+(D129*1.1)+(E129*1)+(F129*1.1)+(G129*1)+(H129*1.6)+(I129*0.9)+(J129*1)+(K129*0.8))/11-1)/4)*20000,0)))</f>
        <v/>
      </c>
      <c r="M129" s="36">
        <f>IF(L129="","",MIN(100,ROUND(L129/200,0)))</f>
        <v/>
      </c>
      <c r="N129" s="36" t="n"/>
      <c r="O129" s="36" t="n"/>
    </row>
    <row r="130">
      <c r="A130" s="32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>
        <f>IF(COUNTA(B130:K130)&lt;10,"",MAX(300,ROUND(((((B130*1.4)+(C130*1.1)+(D130*1.1)+(E130*1)+(F130*1.1)+(G130*1)+(H130*1.6)+(I130*0.9)+(J130*1)+(K130*0.8))/11-1)/4)*20000,0)))</f>
        <v/>
      </c>
      <c r="M130" s="36">
        <f>IF(L130="","",MIN(100,ROUND(L130/200,0)))</f>
        <v/>
      </c>
      <c r="N130" s="36" t="n"/>
      <c r="O130" s="36" t="n"/>
    </row>
    <row r="131">
      <c r="A131" s="32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>
        <f>IF(COUNTA(B131:K131)&lt;10,"",MAX(300,ROUND(((((B131*1.4)+(C131*1.1)+(D131*1.1)+(E131*1)+(F131*1.1)+(G131*1)+(H131*1.6)+(I131*0.9)+(J131*1)+(K131*0.8))/11-1)/4)*20000,0)))</f>
        <v/>
      </c>
      <c r="M131" s="36">
        <f>IF(L131="","",MIN(100,ROUND(L131/200,0)))</f>
        <v/>
      </c>
      <c r="N131" s="36" t="n"/>
      <c r="O131" s="36" t="n"/>
    </row>
    <row r="132">
      <c r="A132" s="32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>
        <f>IF(COUNTA(B132:K132)&lt;10,"",MAX(300,ROUND(((((B132*1.4)+(C132*1.1)+(D132*1.1)+(E132*1)+(F132*1.1)+(G132*1)+(H132*1.6)+(I132*0.9)+(J132*1)+(K132*0.8))/11-1)/4)*20000,0)))</f>
        <v/>
      </c>
      <c r="M132" s="36">
        <f>IF(L132="","",MIN(100,ROUND(L132/200,0)))</f>
        <v/>
      </c>
      <c r="N132" s="36" t="n"/>
      <c r="O132" s="36" t="n"/>
    </row>
    <row r="133">
      <c r="A133" s="32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>
        <f>IF(COUNTA(B133:K133)&lt;10,"",MAX(300,ROUND(((((B133*1.4)+(C133*1.1)+(D133*1.1)+(E133*1)+(F133*1.1)+(G133*1)+(H133*1.6)+(I133*0.9)+(J133*1)+(K133*0.8))/11-1)/4)*20000,0)))</f>
        <v/>
      </c>
      <c r="M133" s="36">
        <f>IF(L133="","",MIN(100,ROUND(L133/200,0)))</f>
        <v/>
      </c>
      <c r="N133" s="36" t="n"/>
      <c r="O133" s="36" t="n"/>
    </row>
    <row r="134">
      <c r="A134" s="32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>
        <f>IF(COUNTA(B134:K134)&lt;10,"",MAX(300,ROUND(((((B134*1.4)+(C134*1.1)+(D134*1.1)+(E134*1)+(F134*1.1)+(G134*1)+(H134*1.6)+(I134*0.9)+(J134*1)+(K134*0.8))/11-1)/4)*20000,0)))</f>
        <v/>
      </c>
      <c r="M134" s="36">
        <f>IF(L134="","",MIN(100,ROUND(L134/200,0)))</f>
        <v/>
      </c>
      <c r="N134" s="36" t="n"/>
      <c r="O134" s="36" t="n"/>
    </row>
    <row r="135">
      <c r="A135" s="32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>
        <f>IF(COUNTA(B135:K135)&lt;10,"",MAX(300,ROUND(((((B135*1.4)+(C135*1.1)+(D135*1.1)+(E135*1)+(F135*1.1)+(G135*1)+(H135*1.6)+(I135*0.9)+(J135*1)+(K135*0.8))/11-1)/4)*20000,0)))</f>
        <v/>
      </c>
      <c r="M135" s="36">
        <f>IF(L135="","",MIN(100,ROUND(L135/200,0)))</f>
        <v/>
      </c>
      <c r="N135" s="36" t="n"/>
      <c r="O135" s="36" t="n"/>
    </row>
    <row r="136">
      <c r="A136" s="32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>
        <f>IF(COUNTA(B136:K136)&lt;10,"",MAX(300,ROUND(((((B136*1.4)+(C136*1.1)+(D136*1.1)+(E136*1)+(F136*1.1)+(G136*1)+(H136*1.6)+(I136*0.9)+(J136*1)+(K136*0.8))/11-1)/4)*20000,0)))</f>
        <v/>
      </c>
      <c r="M136" s="36">
        <f>IF(L136="","",MIN(100,ROUND(L136/200,0)))</f>
        <v/>
      </c>
      <c r="N136" s="36" t="n"/>
      <c r="O136" s="36" t="n"/>
    </row>
    <row r="137">
      <c r="A137" s="32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>
        <f>IF(COUNTA(B137:K137)&lt;10,"",MAX(300,ROUND(((((B137*1.4)+(C137*1.1)+(D137*1.1)+(E137*1)+(F137*1.1)+(G137*1)+(H137*1.6)+(I137*0.9)+(J137*1)+(K137*0.8))/11-1)/4)*20000,0)))</f>
        <v/>
      </c>
      <c r="M137" s="36">
        <f>IF(L137="","",MIN(100,ROUND(L137/200,0)))</f>
        <v/>
      </c>
      <c r="N137" s="36" t="n"/>
      <c r="O137" s="36" t="n"/>
    </row>
    <row r="138">
      <c r="A138" s="32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>
        <f>IF(COUNTA(B138:K138)&lt;10,"",MAX(300,ROUND(((((B138*1.4)+(C138*1.1)+(D138*1.1)+(E138*1)+(F138*1.1)+(G138*1)+(H138*1.6)+(I138*0.9)+(J138*1)+(K138*0.8))/11-1)/4)*20000,0)))</f>
        <v/>
      </c>
      <c r="M138" s="36">
        <f>IF(L138="","",MIN(100,ROUND(L138/200,0)))</f>
        <v/>
      </c>
      <c r="N138" s="36" t="n"/>
      <c r="O138" s="36" t="n"/>
    </row>
    <row r="139">
      <c r="A139" s="32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>
        <f>IF(COUNTA(B139:K139)&lt;10,"",MAX(300,ROUND(((((B139*1.4)+(C139*1.1)+(D139*1.1)+(E139*1)+(F139*1.1)+(G139*1)+(H139*1.6)+(I139*0.9)+(J139*1)+(K139*0.8))/11-1)/4)*20000,0)))</f>
        <v/>
      </c>
      <c r="M139" s="36">
        <f>IF(L139="","",MIN(100,ROUND(L139/200,0)))</f>
        <v/>
      </c>
      <c r="N139" s="36" t="n"/>
      <c r="O139" s="36" t="n"/>
    </row>
    <row r="140">
      <c r="A140" s="32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>
        <f>IF(COUNTA(B140:K140)&lt;10,"",MAX(300,ROUND(((((B140*1.4)+(C140*1.1)+(D140*1.1)+(E140*1)+(F140*1.1)+(G140*1)+(H140*1.6)+(I140*0.9)+(J140*1)+(K140*0.8))/11-1)/4)*20000,0)))</f>
        <v/>
      </c>
      <c r="M140" s="36">
        <f>IF(L140="","",MIN(100,ROUND(L140/200,0)))</f>
        <v/>
      </c>
      <c r="N140" s="36" t="n"/>
      <c r="O140" s="36" t="n"/>
    </row>
    <row r="141">
      <c r="A141" s="32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>
        <f>IF(COUNTA(B141:K141)&lt;10,"",MAX(300,ROUND(((((B141*1.4)+(C141*1.1)+(D141*1.1)+(E141*1)+(F141*1.1)+(G141*1)+(H141*1.6)+(I141*0.9)+(J141*1)+(K141*0.8))/11-1)/4)*20000,0)))</f>
        <v/>
      </c>
      <c r="M141" s="36">
        <f>IF(L141="","",MIN(100,ROUND(L141/200,0)))</f>
        <v/>
      </c>
      <c r="N141" s="36" t="n"/>
      <c r="O141" s="36" t="n"/>
    </row>
    <row r="142">
      <c r="A142" s="32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>
        <f>IF(COUNTA(B142:K142)&lt;10,"",MAX(300,ROUND(((((B142*1.4)+(C142*1.1)+(D142*1.1)+(E142*1)+(F142*1.1)+(G142*1)+(H142*1.6)+(I142*0.9)+(J142*1)+(K142*0.8))/11-1)/4)*20000,0)))</f>
        <v/>
      </c>
      <c r="M142" s="36">
        <f>IF(L142="","",MIN(100,ROUND(L142/200,0)))</f>
        <v/>
      </c>
      <c r="N142" s="36" t="n"/>
      <c r="O142" s="36" t="n"/>
    </row>
    <row r="143">
      <c r="A143" s="32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>
        <f>IF(COUNTA(B143:K143)&lt;10,"",MAX(300,ROUND(((((B143*1.4)+(C143*1.1)+(D143*1.1)+(E143*1)+(F143*1.1)+(G143*1)+(H143*1.6)+(I143*0.9)+(J143*1)+(K143*0.8))/11-1)/4)*20000,0)))</f>
        <v/>
      </c>
      <c r="M143" s="36">
        <f>IF(L143="","",MIN(100,ROUND(L143/200,0)))</f>
        <v/>
      </c>
      <c r="N143" s="36" t="n"/>
      <c r="O143" s="36" t="n"/>
    </row>
    <row r="144">
      <c r="A144" s="32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>
        <f>IF(COUNTA(B144:K144)&lt;10,"",MAX(300,ROUND(((((B144*1.4)+(C144*1.1)+(D144*1.1)+(E144*1)+(F144*1.1)+(G144*1)+(H144*1.6)+(I144*0.9)+(J144*1)+(K144*0.8))/11-1)/4)*20000,0)))</f>
        <v/>
      </c>
      <c r="M144" s="36">
        <f>IF(L144="","",MIN(100,ROUND(L144/200,0)))</f>
        <v/>
      </c>
      <c r="N144" s="36" t="n"/>
      <c r="O144" s="36" t="n"/>
    </row>
    <row r="145">
      <c r="A145" s="32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>
        <f>IF(COUNTA(B145:K145)&lt;10,"",MAX(300,ROUND(((((B145*1.4)+(C145*1.1)+(D145*1.1)+(E145*1)+(F145*1.1)+(G145*1)+(H145*1.6)+(I145*0.9)+(J145*1)+(K145*0.8))/11-1)/4)*20000,0)))</f>
        <v/>
      </c>
      <c r="M145" s="36">
        <f>IF(L145="","",MIN(100,ROUND(L145/200,0)))</f>
        <v/>
      </c>
      <c r="N145" s="36" t="n"/>
      <c r="O145" s="36" t="n"/>
    </row>
    <row r="146">
      <c r="A146" s="32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>
        <f>IF(COUNTA(B146:K146)&lt;10,"",MAX(300,ROUND(((((B146*1.4)+(C146*1.1)+(D146*1.1)+(E146*1)+(F146*1.1)+(G146*1)+(H146*1.6)+(I146*0.9)+(J146*1)+(K146*0.8))/11-1)/4)*20000,0)))</f>
        <v/>
      </c>
      <c r="M146" s="36">
        <f>IF(L146="","",MIN(100,ROUND(L146/200,0)))</f>
        <v/>
      </c>
      <c r="N146" s="36" t="n"/>
      <c r="O146" s="36" t="n"/>
    </row>
    <row r="147">
      <c r="A147" s="32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>
        <f>IF(COUNTA(B147:K147)&lt;10,"",MAX(300,ROUND(((((B147*1.4)+(C147*1.1)+(D147*1.1)+(E147*1)+(F147*1.1)+(G147*1)+(H147*1.6)+(I147*0.9)+(J147*1)+(K147*0.8))/11-1)/4)*20000,0)))</f>
        <v/>
      </c>
      <c r="M147" s="36">
        <f>IF(L147="","",MIN(100,ROUND(L147/200,0)))</f>
        <v/>
      </c>
      <c r="N147" s="36" t="n"/>
      <c r="O147" s="36" t="n"/>
    </row>
    <row r="148">
      <c r="A148" s="32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>
        <f>IF(COUNTA(B148:K148)&lt;10,"",MAX(300,ROUND(((((B148*1.4)+(C148*1.1)+(D148*1.1)+(E148*1)+(F148*1.1)+(G148*1)+(H148*1.6)+(I148*0.9)+(J148*1)+(K148*0.8))/11-1)/4)*20000,0)))</f>
        <v/>
      </c>
      <c r="M148" s="36">
        <f>IF(L148="","",MIN(100,ROUND(L148/200,0)))</f>
        <v/>
      </c>
      <c r="N148" s="36" t="n"/>
      <c r="O148" s="36" t="n"/>
    </row>
    <row r="149">
      <c r="A149" s="32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>
        <f>IF(COUNTA(B149:K149)&lt;10,"",MAX(300,ROUND(((((B149*1.4)+(C149*1.1)+(D149*1.1)+(E149*1)+(F149*1.1)+(G149*1)+(H149*1.6)+(I149*0.9)+(J149*1)+(K149*0.8))/11-1)/4)*20000,0)))</f>
        <v/>
      </c>
      <c r="M149" s="36">
        <f>IF(L149="","",MIN(100,ROUND(L149/200,0)))</f>
        <v/>
      </c>
      <c r="N149" s="36" t="n"/>
      <c r="O149" s="36" t="n"/>
    </row>
    <row r="150">
      <c r="A150" s="32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>
        <f>IF(COUNTA(B150:K150)&lt;10,"",MAX(300,ROUND(((((B150*1.4)+(C150*1.1)+(D150*1.1)+(E150*1)+(F150*1.1)+(G150*1)+(H150*1.6)+(I150*0.9)+(J150*1)+(K150*0.8))/11-1)/4)*20000,0)))</f>
        <v/>
      </c>
      <c r="M150" s="36">
        <f>IF(L150="","",MIN(100,ROUND(L150/200,0)))</f>
        <v/>
      </c>
      <c r="N150" s="36" t="n"/>
      <c r="O150" s="36" t="n"/>
    </row>
    <row r="151">
      <c r="A151" s="32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>
        <f>IF(COUNTA(B151:K151)&lt;10,"",MAX(300,ROUND(((((B151*1.4)+(C151*1.1)+(D151*1.1)+(E151*1)+(F151*1.1)+(G151*1)+(H151*1.6)+(I151*0.9)+(J151*1)+(K151*0.8))/11-1)/4)*20000,0)))</f>
        <v/>
      </c>
      <c r="M151" s="36">
        <f>IF(L151="","",MIN(100,ROUND(L151/200,0)))</f>
        <v/>
      </c>
      <c r="N151" s="36" t="n"/>
      <c r="O151" s="36" t="n"/>
    </row>
    <row r="152">
      <c r="A152" s="32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>
        <f>IF(COUNTA(B152:K152)&lt;10,"",MAX(300,ROUND(((((B152*1.4)+(C152*1.1)+(D152*1.1)+(E152*1)+(F152*1.1)+(G152*1)+(H152*1.6)+(I152*0.9)+(J152*1)+(K152*0.8))/11-1)/4)*20000,0)))</f>
        <v/>
      </c>
      <c r="M152" s="36">
        <f>IF(L152="","",MIN(100,ROUND(L152/200,0)))</f>
        <v/>
      </c>
      <c r="N152" s="36" t="n"/>
      <c r="O152" s="36" t="n"/>
    </row>
    <row r="153">
      <c r="A153" s="32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>
        <f>IF(COUNTA(B153:K153)&lt;10,"",MAX(300,ROUND(((((B153*1.4)+(C153*1.1)+(D153*1.1)+(E153*1)+(F153*1.1)+(G153*1)+(H153*1.6)+(I153*0.9)+(J153*1)+(K153*0.8))/11-1)/4)*20000,0)))</f>
        <v/>
      </c>
      <c r="M153" s="36">
        <f>IF(L153="","",MIN(100,ROUND(L153/200,0)))</f>
        <v/>
      </c>
      <c r="N153" s="36" t="n"/>
      <c r="O153" s="36" t="n"/>
    </row>
    <row r="154">
      <c r="A154" s="32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>
        <f>IF(COUNTA(B154:K154)&lt;10,"",MAX(300,ROUND(((((B154*1.4)+(C154*1.1)+(D154*1.1)+(E154*1)+(F154*1.1)+(G154*1)+(H154*1.6)+(I154*0.9)+(J154*1)+(K154*0.8))/11-1)/4)*20000,0)))</f>
        <v/>
      </c>
      <c r="M154" s="36">
        <f>IF(L154="","",MIN(100,ROUND(L154/200,0)))</f>
        <v/>
      </c>
      <c r="N154" s="36" t="n"/>
      <c r="O154" s="36" t="n"/>
    </row>
    <row r="155">
      <c r="A155" s="32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>
        <f>IF(COUNTA(B155:K155)&lt;10,"",MAX(300,ROUND(((((B155*1.4)+(C155*1.1)+(D155*1.1)+(E155*1)+(F155*1.1)+(G155*1)+(H155*1.6)+(I155*0.9)+(J155*1)+(K155*0.8))/11-1)/4)*20000,0)))</f>
        <v/>
      </c>
      <c r="M155" s="36">
        <f>IF(L155="","",MIN(100,ROUND(L155/200,0)))</f>
        <v/>
      </c>
      <c r="N155" s="36" t="n"/>
      <c r="O155" s="36" t="n"/>
    </row>
    <row r="156">
      <c r="A156" s="32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>
        <f>IF(COUNTA(B156:K156)&lt;10,"",MAX(300,ROUND(((((B156*1.4)+(C156*1.1)+(D156*1.1)+(E156*1)+(F156*1.1)+(G156*1)+(H156*1.6)+(I156*0.9)+(J156*1)+(K156*0.8))/11-1)/4)*20000,0)))</f>
        <v/>
      </c>
      <c r="M156" s="36">
        <f>IF(L156="","",MIN(100,ROUND(L156/200,0)))</f>
        <v/>
      </c>
      <c r="N156" s="36" t="n"/>
      <c r="O156" s="36" t="n"/>
    </row>
    <row r="157">
      <c r="A157" s="32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>
        <f>IF(COUNTA(B157:K157)&lt;10,"",MAX(300,ROUND(((((B157*1.4)+(C157*1.1)+(D157*1.1)+(E157*1)+(F157*1.1)+(G157*1)+(H157*1.6)+(I157*0.9)+(J157*1)+(K157*0.8))/11-1)/4)*20000,0)))</f>
        <v/>
      </c>
      <c r="M157" s="36">
        <f>IF(L157="","",MIN(100,ROUND(L157/200,0)))</f>
        <v/>
      </c>
      <c r="N157" s="36" t="n"/>
      <c r="O157" s="36" t="n"/>
    </row>
    <row r="158">
      <c r="A158" s="32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>
        <f>IF(COUNTA(B158:K158)&lt;10,"",MAX(300,ROUND(((((B158*1.4)+(C158*1.1)+(D158*1.1)+(E158*1)+(F158*1.1)+(G158*1)+(H158*1.6)+(I158*0.9)+(J158*1)+(K158*0.8))/11-1)/4)*20000,0)))</f>
        <v/>
      </c>
      <c r="M158" s="36">
        <f>IF(L158="","",MIN(100,ROUND(L158/200,0)))</f>
        <v/>
      </c>
      <c r="N158" s="36" t="n"/>
      <c r="O158" s="36" t="n"/>
    </row>
    <row r="159">
      <c r="A159" s="32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>
        <f>IF(COUNTA(B159:K159)&lt;10,"",MAX(300,ROUND(((((B159*1.4)+(C159*1.1)+(D159*1.1)+(E159*1)+(F159*1.1)+(G159*1)+(H159*1.6)+(I159*0.9)+(J159*1)+(K159*0.8))/11-1)/4)*20000,0)))</f>
        <v/>
      </c>
      <c r="M159" s="36">
        <f>IF(L159="","",MIN(100,ROUND(L159/200,0)))</f>
        <v/>
      </c>
      <c r="N159" s="36" t="n"/>
      <c r="O159" s="36" t="n"/>
    </row>
    <row r="160">
      <c r="A160" s="32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>
        <f>IF(COUNTA(B160:K160)&lt;10,"",MAX(300,ROUND(((((B160*1.4)+(C160*1.1)+(D160*1.1)+(E160*1)+(F160*1.1)+(G160*1)+(H160*1.6)+(I160*0.9)+(J160*1)+(K160*0.8))/11-1)/4)*20000,0)))</f>
        <v/>
      </c>
      <c r="M160" s="36">
        <f>IF(L160="","",MIN(100,ROUND(L160/200,0)))</f>
        <v/>
      </c>
      <c r="N160" s="36" t="n"/>
      <c r="O160" s="36" t="n"/>
    </row>
    <row r="161">
      <c r="A161" s="32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>
        <f>IF(COUNTA(B161:K161)&lt;10,"",MAX(300,ROUND(((((B161*1.4)+(C161*1.1)+(D161*1.1)+(E161*1)+(F161*1.1)+(G161*1)+(H161*1.6)+(I161*0.9)+(J161*1)+(K161*0.8))/11-1)/4)*20000,0)))</f>
        <v/>
      </c>
      <c r="M161" s="36">
        <f>IF(L161="","",MIN(100,ROUND(L161/200,0)))</f>
        <v/>
      </c>
      <c r="N161" s="36" t="n"/>
      <c r="O161" s="36" t="n"/>
    </row>
    <row r="162">
      <c r="A162" s="32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>
        <f>IF(COUNTA(B162:K162)&lt;10,"",MAX(300,ROUND(((((B162*1.4)+(C162*1.1)+(D162*1.1)+(E162*1)+(F162*1.1)+(G162*1)+(H162*1.6)+(I162*0.9)+(J162*1)+(K162*0.8))/11-1)/4)*20000,0)))</f>
        <v/>
      </c>
      <c r="M162" s="36">
        <f>IF(L162="","",MIN(100,ROUND(L162/200,0)))</f>
        <v/>
      </c>
      <c r="N162" s="36" t="n"/>
      <c r="O162" s="36" t="n"/>
    </row>
    <row r="163">
      <c r="A163" s="32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>
        <f>IF(COUNTA(B163:K163)&lt;10,"",MAX(300,ROUND(((((B163*1.4)+(C163*1.1)+(D163*1.1)+(E163*1)+(F163*1.1)+(G163*1)+(H163*1.6)+(I163*0.9)+(J163*1)+(K163*0.8))/11-1)/4)*20000,0)))</f>
        <v/>
      </c>
      <c r="M163" s="36">
        <f>IF(L163="","",MIN(100,ROUND(L163/200,0)))</f>
        <v/>
      </c>
      <c r="N163" s="36" t="n"/>
      <c r="O163" s="36" t="n"/>
    </row>
    <row r="164">
      <c r="A164" s="32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>
        <f>IF(COUNTA(B164:K164)&lt;10,"",MAX(300,ROUND(((((B164*1.4)+(C164*1.1)+(D164*1.1)+(E164*1)+(F164*1.1)+(G164*1)+(H164*1.6)+(I164*0.9)+(J164*1)+(K164*0.8))/11-1)/4)*20000,0)))</f>
        <v/>
      </c>
      <c r="M164" s="36">
        <f>IF(L164="","",MIN(100,ROUND(L164/200,0)))</f>
        <v/>
      </c>
      <c r="N164" s="36" t="n"/>
      <c r="O164" s="36" t="n"/>
    </row>
    <row r="165">
      <c r="A165" s="32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>
        <f>IF(COUNTA(B165:K165)&lt;10,"",MAX(300,ROUND(((((B165*1.4)+(C165*1.1)+(D165*1.1)+(E165*1)+(F165*1.1)+(G165*1)+(H165*1.6)+(I165*0.9)+(J165*1)+(K165*0.8))/11-1)/4)*20000,0)))</f>
        <v/>
      </c>
      <c r="M165" s="36">
        <f>IF(L165="","",MIN(100,ROUND(L165/200,0)))</f>
        <v/>
      </c>
      <c r="N165" s="36" t="n"/>
      <c r="O165" s="36" t="n"/>
    </row>
    <row r="166">
      <c r="A166" s="32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>
        <f>IF(COUNTA(B166:K166)&lt;10,"",MAX(300,ROUND(((((B166*1.4)+(C166*1.1)+(D166*1.1)+(E166*1)+(F166*1.1)+(G166*1)+(H166*1.6)+(I166*0.9)+(J166*1)+(K166*0.8))/11-1)/4)*20000,0)))</f>
        <v/>
      </c>
      <c r="M166" s="36">
        <f>IF(L166="","",MIN(100,ROUND(L166/200,0)))</f>
        <v/>
      </c>
      <c r="N166" s="36" t="n"/>
      <c r="O166" s="36" t="n"/>
    </row>
    <row r="167">
      <c r="A167" s="32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>
        <f>IF(COUNTA(B167:K167)&lt;10,"",MAX(300,ROUND(((((B167*1.4)+(C167*1.1)+(D167*1.1)+(E167*1)+(F167*1.1)+(G167*1)+(H167*1.6)+(I167*0.9)+(J167*1)+(K167*0.8))/11-1)/4)*20000,0)))</f>
        <v/>
      </c>
      <c r="M167" s="36">
        <f>IF(L167="","",MIN(100,ROUND(L167/200,0)))</f>
        <v/>
      </c>
      <c r="N167" s="36" t="n"/>
      <c r="O167" s="36" t="n"/>
    </row>
    <row r="168">
      <c r="A168" s="32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>
        <f>IF(COUNTA(B168:K168)&lt;10,"",MAX(300,ROUND(((((B168*1.4)+(C168*1.1)+(D168*1.1)+(E168*1)+(F168*1.1)+(G168*1)+(H168*1.6)+(I168*0.9)+(J168*1)+(K168*0.8))/11-1)/4)*20000,0)))</f>
        <v/>
      </c>
      <c r="M168" s="36">
        <f>IF(L168="","",MIN(100,ROUND(L168/200,0)))</f>
        <v/>
      </c>
      <c r="N168" s="36" t="n"/>
      <c r="O168" s="36" t="n"/>
    </row>
    <row r="169">
      <c r="A169" s="32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>
        <f>IF(COUNTA(B169:K169)&lt;10,"",MAX(300,ROUND(((((B169*1.4)+(C169*1.1)+(D169*1.1)+(E169*1)+(F169*1.1)+(G169*1)+(H169*1.6)+(I169*0.9)+(J169*1)+(K169*0.8))/11-1)/4)*20000,0)))</f>
        <v/>
      </c>
      <c r="M169" s="36">
        <f>IF(L169="","",MIN(100,ROUND(L169/200,0)))</f>
        <v/>
      </c>
      <c r="N169" s="36" t="n"/>
      <c r="O169" s="36" t="n"/>
    </row>
    <row r="170">
      <c r="A170" s="32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>
        <f>IF(COUNTA(B170:K170)&lt;10,"",MAX(300,ROUND(((((B170*1.4)+(C170*1.1)+(D170*1.1)+(E170*1)+(F170*1.1)+(G170*1)+(H170*1.6)+(I170*0.9)+(J170*1)+(K170*0.8))/11-1)/4)*20000,0)))</f>
        <v/>
      </c>
      <c r="M170" s="36">
        <f>IF(L170="","",MIN(100,ROUND(L170/200,0)))</f>
        <v/>
      </c>
      <c r="N170" s="36" t="n"/>
      <c r="O170" s="36" t="n"/>
    </row>
    <row r="171">
      <c r="A171" s="32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>
        <f>IF(COUNTA(B171:K171)&lt;10,"",MAX(300,ROUND(((((B171*1.4)+(C171*1.1)+(D171*1.1)+(E171*1)+(F171*1.1)+(G171*1)+(H171*1.6)+(I171*0.9)+(J171*1)+(K171*0.8))/11-1)/4)*20000,0)))</f>
        <v/>
      </c>
      <c r="M171" s="36">
        <f>IF(L171="","",MIN(100,ROUND(L171/200,0)))</f>
        <v/>
      </c>
      <c r="N171" s="36" t="n"/>
      <c r="O171" s="36" t="n"/>
    </row>
    <row r="172">
      <c r="A172" s="32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>
        <f>IF(COUNTA(B172:K172)&lt;10,"",MAX(300,ROUND(((((B172*1.4)+(C172*1.1)+(D172*1.1)+(E172*1)+(F172*1.1)+(G172*1)+(H172*1.6)+(I172*0.9)+(J172*1)+(K172*0.8))/11-1)/4)*20000,0)))</f>
        <v/>
      </c>
      <c r="M172" s="36">
        <f>IF(L172="","",MIN(100,ROUND(L172/200,0)))</f>
        <v/>
      </c>
      <c r="N172" s="36" t="n"/>
      <c r="O172" s="36" t="n"/>
    </row>
    <row r="173">
      <c r="A173" s="32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>
        <f>IF(COUNTA(B173:K173)&lt;10,"",MAX(300,ROUND(((((B173*1.4)+(C173*1.1)+(D173*1.1)+(E173*1)+(F173*1.1)+(G173*1)+(H173*1.6)+(I173*0.9)+(J173*1)+(K173*0.8))/11-1)/4)*20000,0)))</f>
        <v/>
      </c>
      <c r="M173" s="36">
        <f>IF(L173="","",MIN(100,ROUND(L173/200,0)))</f>
        <v/>
      </c>
      <c r="N173" s="36" t="n"/>
      <c r="O173" s="36" t="n"/>
    </row>
    <row r="174">
      <c r="A174" s="32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>
        <f>IF(COUNTA(B174:K174)&lt;10,"",MAX(300,ROUND(((((B174*1.4)+(C174*1.1)+(D174*1.1)+(E174*1)+(F174*1.1)+(G174*1)+(H174*1.6)+(I174*0.9)+(J174*1)+(K174*0.8))/11-1)/4)*20000,0)))</f>
        <v/>
      </c>
      <c r="M174" s="36">
        <f>IF(L174="","",MIN(100,ROUND(L174/200,0)))</f>
        <v/>
      </c>
      <c r="N174" s="36" t="n"/>
      <c r="O174" s="36" t="n"/>
    </row>
    <row r="175">
      <c r="A175" s="32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>
        <f>IF(COUNTA(B175:K175)&lt;10,"",MAX(300,ROUND(((((B175*1.4)+(C175*1.1)+(D175*1.1)+(E175*1)+(F175*1.1)+(G175*1)+(H175*1.6)+(I175*0.9)+(J175*1)+(K175*0.8))/11-1)/4)*20000,0)))</f>
        <v/>
      </c>
      <c r="M175" s="36">
        <f>IF(L175="","",MIN(100,ROUND(L175/200,0)))</f>
        <v/>
      </c>
      <c r="N175" s="36" t="n"/>
      <c r="O175" s="36" t="n"/>
    </row>
    <row r="176">
      <c r="A176" s="32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>
        <f>IF(COUNTA(B176:K176)&lt;10,"",MAX(300,ROUND(((((B176*1.4)+(C176*1.1)+(D176*1.1)+(E176*1)+(F176*1.1)+(G176*1)+(H176*1.6)+(I176*0.9)+(J176*1)+(K176*0.8))/11-1)/4)*20000,0)))</f>
        <v/>
      </c>
      <c r="M176" s="36">
        <f>IF(L176="","",MIN(100,ROUND(L176/200,0)))</f>
        <v/>
      </c>
      <c r="N176" s="36" t="n"/>
      <c r="O176" s="36" t="n"/>
    </row>
    <row r="177">
      <c r="A177" s="32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>
        <f>IF(COUNTA(B177:K177)&lt;10,"",MAX(300,ROUND(((((B177*1.4)+(C177*1.1)+(D177*1.1)+(E177*1)+(F177*1.1)+(G177*1)+(H177*1.6)+(I177*0.9)+(J177*1)+(K177*0.8))/11-1)/4)*20000,0)))</f>
        <v/>
      </c>
      <c r="M177" s="36">
        <f>IF(L177="","",MIN(100,ROUND(L177/200,0)))</f>
        <v/>
      </c>
      <c r="N177" s="36" t="n"/>
      <c r="O177" s="36" t="n"/>
    </row>
    <row r="178">
      <c r="A178" s="32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>
        <f>IF(COUNTA(B178:K178)&lt;10,"",MAX(300,ROUND(((((B178*1.4)+(C178*1.1)+(D178*1.1)+(E178*1)+(F178*1.1)+(G178*1)+(H178*1.6)+(I178*0.9)+(J178*1)+(K178*0.8))/11-1)/4)*20000,0)))</f>
        <v/>
      </c>
      <c r="M178" s="36">
        <f>IF(L178="","",MIN(100,ROUND(L178/200,0)))</f>
        <v/>
      </c>
      <c r="N178" s="36" t="n"/>
      <c r="O178" s="36" t="n"/>
    </row>
    <row r="179">
      <c r="A179" s="32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>
        <f>IF(COUNTA(B179:K179)&lt;10,"",MAX(300,ROUND(((((B179*1.4)+(C179*1.1)+(D179*1.1)+(E179*1)+(F179*1.1)+(G179*1)+(H179*1.6)+(I179*0.9)+(J179*1)+(K179*0.8))/11-1)/4)*20000,0)))</f>
        <v/>
      </c>
      <c r="M179" s="36">
        <f>IF(L179="","",MIN(100,ROUND(L179/200,0)))</f>
        <v/>
      </c>
      <c r="N179" s="36" t="n"/>
      <c r="O179" s="36" t="n"/>
    </row>
    <row r="180">
      <c r="A180" s="32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>
        <f>IF(COUNTA(B180:K180)&lt;10,"",MAX(300,ROUND(((((B180*1.4)+(C180*1.1)+(D180*1.1)+(E180*1)+(F180*1.1)+(G180*1)+(H180*1.6)+(I180*0.9)+(J180*1)+(K180*0.8))/11-1)/4)*20000,0)))</f>
        <v/>
      </c>
      <c r="M180" s="36">
        <f>IF(L180="","",MIN(100,ROUND(L180/200,0)))</f>
        <v/>
      </c>
      <c r="N180" s="36" t="n"/>
      <c r="O180" s="36" t="n"/>
    </row>
    <row r="181">
      <c r="A181" s="32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>
        <f>IF(COUNTA(B181:K181)&lt;10,"",MAX(300,ROUND(((((B181*1.4)+(C181*1.1)+(D181*1.1)+(E181*1)+(F181*1.1)+(G181*1)+(H181*1.6)+(I181*0.9)+(J181*1)+(K181*0.8))/11-1)/4)*20000,0)))</f>
        <v/>
      </c>
      <c r="M181" s="36">
        <f>IF(L181="","",MIN(100,ROUND(L181/200,0)))</f>
        <v/>
      </c>
      <c r="N181" s="36" t="n"/>
      <c r="O181" s="36" t="n"/>
    </row>
    <row r="182">
      <c r="A182" s="32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>
        <f>IF(COUNTA(B182:K182)&lt;10,"",MAX(300,ROUND(((((B182*1.4)+(C182*1.1)+(D182*1.1)+(E182*1)+(F182*1.1)+(G182*1)+(H182*1.6)+(I182*0.9)+(J182*1)+(K182*0.8))/11-1)/4)*20000,0)))</f>
        <v/>
      </c>
      <c r="M182" s="36">
        <f>IF(L182="","",MIN(100,ROUND(L182/200,0)))</f>
        <v/>
      </c>
      <c r="N182" s="36" t="n"/>
      <c r="O182" s="36" t="n"/>
    </row>
    <row r="183">
      <c r="A183" s="32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>
        <f>IF(COUNTA(B183:K183)&lt;10,"",MAX(300,ROUND(((((B183*1.4)+(C183*1.1)+(D183*1.1)+(E183*1)+(F183*1.1)+(G183*1)+(H183*1.6)+(I183*0.9)+(J183*1)+(K183*0.8))/11-1)/4)*20000,0)))</f>
        <v/>
      </c>
      <c r="M183" s="36">
        <f>IF(L183="","",MIN(100,ROUND(L183/200,0)))</f>
        <v/>
      </c>
      <c r="N183" s="36" t="n"/>
      <c r="O183" s="36" t="n"/>
    </row>
    <row r="184">
      <c r="A184" s="32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>
        <f>IF(COUNTA(B184:K184)&lt;10,"",MAX(300,ROUND(((((B184*1.4)+(C184*1.1)+(D184*1.1)+(E184*1)+(F184*1.1)+(G184*1)+(H184*1.6)+(I184*0.9)+(J184*1)+(K184*0.8))/11-1)/4)*20000,0)))</f>
        <v/>
      </c>
      <c r="M184" s="36">
        <f>IF(L184="","",MIN(100,ROUND(L184/200,0)))</f>
        <v/>
      </c>
      <c r="N184" s="36" t="n"/>
      <c r="O184" s="36" t="n"/>
    </row>
    <row r="185">
      <c r="A185" s="32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>
        <f>IF(COUNTA(B185:K185)&lt;10,"",MAX(300,ROUND(((((B185*1.4)+(C185*1.1)+(D185*1.1)+(E185*1)+(F185*1.1)+(G185*1)+(H185*1.6)+(I185*0.9)+(J185*1)+(K185*0.8))/11-1)/4)*20000,0)))</f>
        <v/>
      </c>
      <c r="M185" s="36">
        <f>IF(L185="","",MIN(100,ROUND(L185/200,0)))</f>
        <v/>
      </c>
      <c r="N185" s="36" t="n"/>
      <c r="O185" s="36" t="n"/>
    </row>
    <row r="186">
      <c r="A186" s="32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>
        <f>IF(COUNTA(B186:K186)&lt;10,"",MAX(300,ROUND(((((B186*1.4)+(C186*1.1)+(D186*1.1)+(E186*1)+(F186*1.1)+(G186*1)+(H186*1.6)+(I186*0.9)+(J186*1)+(K186*0.8))/11-1)/4)*20000,0)))</f>
        <v/>
      </c>
      <c r="M186" s="36">
        <f>IF(L186="","",MIN(100,ROUND(L186/200,0)))</f>
        <v/>
      </c>
      <c r="N186" s="36" t="n"/>
      <c r="O186" s="36" t="n"/>
    </row>
    <row r="187">
      <c r="A187" s="32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>
        <f>IF(COUNTA(B187:K187)&lt;10,"",MAX(300,ROUND(((((B187*1.4)+(C187*1.1)+(D187*1.1)+(E187*1)+(F187*1.1)+(G187*1)+(H187*1.6)+(I187*0.9)+(J187*1)+(K187*0.8))/11-1)/4)*20000,0)))</f>
        <v/>
      </c>
      <c r="M187" s="36">
        <f>IF(L187="","",MIN(100,ROUND(L187/200,0)))</f>
        <v/>
      </c>
      <c r="N187" s="36" t="n"/>
      <c r="O187" s="36" t="n"/>
    </row>
    <row r="188">
      <c r="A188" s="32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>
        <f>IF(COUNTA(B188:K188)&lt;10,"",MAX(300,ROUND(((((B188*1.4)+(C188*1.1)+(D188*1.1)+(E188*1)+(F188*1.1)+(G188*1)+(H188*1.6)+(I188*0.9)+(J188*1)+(K188*0.8))/11-1)/4)*20000,0)))</f>
        <v/>
      </c>
      <c r="M188" s="36">
        <f>IF(L188="","",MIN(100,ROUND(L188/200,0)))</f>
        <v/>
      </c>
      <c r="N188" s="36" t="n"/>
      <c r="O188" s="36" t="n"/>
    </row>
    <row r="189">
      <c r="A189" s="32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>
        <f>IF(COUNTA(B189:K189)&lt;10,"",MAX(300,ROUND(((((B189*1.4)+(C189*1.1)+(D189*1.1)+(E189*1)+(F189*1.1)+(G189*1)+(H189*1.6)+(I189*0.9)+(J189*1)+(K189*0.8))/11-1)/4)*20000,0)))</f>
        <v/>
      </c>
      <c r="M189" s="36">
        <f>IF(L189="","",MIN(100,ROUND(L189/200,0)))</f>
        <v/>
      </c>
      <c r="N189" s="36" t="n"/>
      <c r="O189" s="36" t="n"/>
    </row>
    <row r="190">
      <c r="A190" s="32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>
        <f>IF(COUNTA(B190:K190)&lt;10,"",MAX(300,ROUND(((((B190*1.4)+(C190*1.1)+(D190*1.1)+(E190*1)+(F190*1.1)+(G190*1)+(H190*1.6)+(I190*0.9)+(J190*1)+(K190*0.8))/11-1)/4)*20000,0)))</f>
        <v/>
      </c>
      <c r="M190" s="36">
        <f>IF(L190="","",MIN(100,ROUND(L190/200,0)))</f>
        <v/>
      </c>
      <c r="N190" s="36" t="n"/>
      <c r="O190" s="36" t="n"/>
    </row>
    <row r="191">
      <c r="A191" s="32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>
        <f>IF(COUNTA(B191:K191)&lt;10,"",MAX(300,ROUND(((((B191*1.4)+(C191*1.1)+(D191*1.1)+(E191*1)+(F191*1.1)+(G191*1)+(H191*1.6)+(I191*0.9)+(J191*1)+(K191*0.8))/11-1)/4)*20000,0)))</f>
        <v/>
      </c>
      <c r="M191" s="36">
        <f>IF(L191="","",MIN(100,ROUND(L191/200,0)))</f>
        <v/>
      </c>
      <c r="N191" s="36" t="n"/>
      <c r="O191" s="36" t="n"/>
    </row>
    <row r="192">
      <c r="A192" s="32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>
        <f>IF(COUNTA(B192:K192)&lt;10,"",MAX(300,ROUND(((((B192*1.4)+(C192*1.1)+(D192*1.1)+(E192*1)+(F192*1.1)+(G192*1)+(H192*1.6)+(I192*0.9)+(J192*1)+(K192*0.8))/11-1)/4)*20000,0)))</f>
        <v/>
      </c>
      <c r="M192" s="36">
        <f>IF(L192="","",MIN(100,ROUND(L192/200,0)))</f>
        <v/>
      </c>
      <c r="N192" s="36" t="n"/>
      <c r="O192" s="36" t="n"/>
    </row>
    <row r="193">
      <c r="A193" s="32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>
        <f>IF(COUNTA(B193:K193)&lt;10,"",MAX(300,ROUND(((((B193*1.4)+(C193*1.1)+(D193*1.1)+(E193*1)+(F193*1.1)+(G193*1)+(H193*1.6)+(I193*0.9)+(J193*1)+(K193*0.8))/11-1)/4)*20000,0)))</f>
        <v/>
      </c>
      <c r="M193" s="36">
        <f>IF(L193="","",MIN(100,ROUND(L193/200,0)))</f>
        <v/>
      </c>
      <c r="N193" s="36" t="n"/>
      <c r="O193" s="36" t="n"/>
    </row>
    <row r="194">
      <c r="A194" s="32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>
        <f>IF(COUNTA(B194:K194)&lt;10,"",MAX(300,ROUND(((((B194*1.4)+(C194*1.1)+(D194*1.1)+(E194*1)+(F194*1.1)+(G194*1)+(H194*1.6)+(I194*0.9)+(J194*1)+(K194*0.8))/11-1)/4)*20000,0)))</f>
        <v/>
      </c>
      <c r="M194" s="36">
        <f>IF(L194="","",MIN(100,ROUND(L194/200,0)))</f>
        <v/>
      </c>
      <c r="N194" s="36" t="n"/>
      <c r="O194" s="36" t="n"/>
    </row>
    <row r="195">
      <c r="A195" s="32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>
        <f>IF(COUNTA(B195:K195)&lt;10,"",MAX(300,ROUND(((((B195*1.4)+(C195*1.1)+(D195*1.1)+(E195*1)+(F195*1.1)+(G195*1)+(H195*1.6)+(I195*0.9)+(J195*1)+(K195*0.8))/11-1)/4)*20000,0)))</f>
        <v/>
      </c>
      <c r="M195" s="36">
        <f>IF(L195="","",MIN(100,ROUND(L195/200,0)))</f>
        <v/>
      </c>
      <c r="N195" s="36" t="n"/>
      <c r="O195" s="36" t="n"/>
    </row>
    <row r="196">
      <c r="A196" s="32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>
        <f>IF(COUNTA(B196:K196)&lt;10,"",MAX(300,ROUND(((((B196*1.4)+(C196*1.1)+(D196*1.1)+(E196*1)+(F196*1.1)+(G196*1)+(H196*1.6)+(I196*0.9)+(J196*1)+(K196*0.8))/11-1)/4)*20000,0)))</f>
        <v/>
      </c>
      <c r="M196" s="36">
        <f>IF(L196="","",MIN(100,ROUND(L196/200,0)))</f>
        <v/>
      </c>
      <c r="N196" s="36" t="n"/>
      <c r="O196" s="36" t="n"/>
    </row>
    <row r="197">
      <c r="A197" s="32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>
        <f>IF(COUNTA(B197:K197)&lt;10,"",MAX(300,ROUND(((((B197*1.4)+(C197*1.1)+(D197*1.1)+(E197*1)+(F197*1.1)+(G197*1)+(H197*1.6)+(I197*0.9)+(J197*1)+(K197*0.8))/11-1)/4)*20000,0)))</f>
        <v/>
      </c>
      <c r="M197" s="36">
        <f>IF(L197="","",MIN(100,ROUND(L197/200,0)))</f>
        <v/>
      </c>
      <c r="N197" s="36" t="n"/>
      <c r="O197" s="36" t="n"/>
    </row>
    <row r="198">
      <c r="A198" s="32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>
        <f>IF(COUNTA(B198:K198)&lt;10,"",MAX(300,ROUND(((((B198*1.4)+(C198*1.1)+(D198*1.1)+(E198*1)+(F198*1.1)+(G198*1)+(H198*1.6)+(I198*0.9)+(J198*1)+(K198*0.8))/11-1)/4)*20000,0)))</f>
        <v/>
      </c>
      <c r="M198" s="36">
        <f>IF(L198="","",MIN(100,ROUND(L198/200,0)))</f>
        <v/>
      </c>
      <c r="N198" s="36" t="n"/>
      <c r="O198" s="36" t="n"/>
    </row>
    <row r="199">
      <c r="A199" s="32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>
        <f>IF(COUNTA(B199:K199)&lt;10,"",MAX(300,ROUND(((((B199*1.4)+(C199*1.1)+(D199*1.1)+(E199*1)+(F199*1.1)+(G199*1)+(H199*1.6)+(I199*0.9)+(J199*1)+(K199*0.8))/11-1)/4)*20000,0)))</f>
        <v/>
      </c>
      <c r="M199" s="36">
        <f>IF(L199="","",MIN(100,ROUND(L199/200,0)))</f>
        <v/>
      </c>
      <c r="N199" s="36" t="n"/>
      <c r="O199" s="36" t="n"/>
    </row>
    <row r="200">
      <c r="A200" s="32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>
        <f>IF(COUNTA(B200:K200)&lt;10,"",MAX(300,ROUND(((((B200*1.4)+(C200*1.1)+(D200*1.1)+(E200*1)+(F200*1.1)+(G200*1)+(H200*1.6)+(I200*0.9)+(J200*1)+(K200*0.8))/11-1)/4)*20000,0)))</f>
        <v/>
      </c>
      <c r="M200" s="36">
        <f>IF(L200="","",MIN(100,ROUND(L200/200,0)))</f>
        <v/>
      </c>
      <c r="N200" s="36" t="n"/>
      <c r="O200" s="36" t="n"/>
    </row>
    <row r="201">
      <c r="A201" s="32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>
        <f>IF(COUNTA(B201:K201)&lt;10,"",MAX(300,ROUND(((((B201*1.4)+(C201*1.1)+(D201*1.1)+(E201*1)+(F201*1.1)+(G201*1)+(H201*1.6)+(I201*0.9)+(J201*1)+(K201*0.8))/11-1)/4)*20000,0)))</f>
        <v/>
      </c>
      <c r="M201" s="36">
        <f>IF(L201="","",MIN(100,ROUND(L201/200,0)))</f>
        <v/>
      </c>
      <c r="N201" s="36" t="n"/>
      <c r="O201" s="36" t="n"/>
    </row>
    <row r="202">
      <c r="A202" s="32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>
        <f>IF(COUNTA(B202:K202)&lt;10,"",MAX(300,ROUND(((((B202*1.4)+(C202*1.1)+(D202*1.1)+(E202*1)+(F202*1.1)+(G202*1)+(H202*1.6)+(I202*0.9)+(J202*1)+(K202*0.8))/11-1)/4)*20000,0)))</f>
        <v/>
      </c>
      <c r="M202" s="36">
        <f>IF(L202="","",MIN(100,ROUND(L202/200,0)))</f>
        <v/>
      </c>
      <c r="N202" s="36" t="n"/>
      <c r="O202" s="36" t="n"/>
    </row>
    <row r="203">
      <c r="A203" s="32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>
        <f>IF(COUNTA(B203:K203)&lt;10,"",MAX(300,ROUND(((((B203*1.4)+(C203*1.1)+(D203*1.1)+(E203*1)+(F203*1.1)+(G203*1)+(H203*1.6)+(I203*0.9)+(J203*1)+(K203*0.8))/11-1)/4)*20000,0)))</f>
        <v/>
      </c>
      <c r="M203" s="36">
        <f>IF(L203="","",MIN(100,ROUND(L203/200,0)))</f>
        <v/>
      </c>
      <c r="N203" s="36" t="n"/>
      <c r="O203" s="36" t="n"/>
    </row>
    <row r="204">
      <c r="A204" s="32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>
        <f>IF(COUNTA(B204:K204)&lt;10,"",MAX(300,ROUND(((((B204*1.4)+(C204*1.1)+(D204*1.1)+(E204*1)+(F204*1.1)+(G204*1)+(H204*1.6)+(I204*0.9)+(J204*1)+(K204*0.8))/11-1)/4)*20000,0)))</f>
        <v/>
      </c>
      <c r="M204" s="36">
        <f>IF(L204="","",MIN(100,ROUND(L204/200,0)))</f>
        <v/>
      </c>
      <c r="N204" s="36" t="n"/>
      <c r="O204" s="36" t="n"/>
    </row>
    <row r="205">
      <c r="A205" s="32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>
        <f>IF(COUNTA(B205:K205)&lt;10,"",MAX(300,ROUND(((((B205*1.4)+(C205*1.1)+(D205*1.1)+(E205*1)+(F205*1.1)+(G205*1)+(H205*1.6)+(I205*0.9)+(J205*1)+(K205*0.8))/11-1)/4)*20000,0)))</f>
        <v/>
      </c>
      <c r="M205" s="36">
        <f>IF(L205="","",MIN(100,ROUND(L205/200,0)))</f>
        <v/>
      </c>
      <c r="N205" s="36" t="n"/>
      <c r="O205" s="36" t="n"/>
    </row>
    <row r="206">
      <c r="A206" s="32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>
        <f>IF(COUNTA(B206:K206)&lt;10,"",MAX(300,ROUND(((((B206*1.4)+(C206*1.1)+(D206*1.1)+(E206*1)+(F206*1.1)+(G206*1)+(H206*1.6)+(I206*0.9)+(J206*1)+(K206*0.8))/11-1)/4)*20000,0)))</f>
        <v/>
      </c>
      <c r="M206" s="36">
        <f>IF(L206="","",MIN(100,ROUND(L206/200,0)))</f>
        <v/>
      </c>
      <c r="N206" s="36" t="n"/>
      <c r="O206" s="36" t="n"/>
    </row>
    <row r="207">
      <c r="A207" s="32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>
        <f>IF(COUNTA(B207:K207)&lt;10,"",MAX(300,ROUND(((((B207*1.4)+(C207*1.1)+(D207*1.1)+(E207*1)+(F207*1.1)+(G207*1)+(H207*1.6)+(I207*0.9)+(J207*1)+(K207*0.8))/11-1)/4)*20000,0)))</f>
        <v/>
      </c>
      <c r="M207" s="36">
        <f>IF(L207="","",MIN(100,ROUND(L207/200,0)))</f>
        <v/>
      </c>
      <c r="N207" s="36" t="n"/>
      <c r="O207" s="36" t="n"/>
    </row>
    <row r="208">
      <c r="A208" s="32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>
        <f>IF(COUNTA(B208:K208)&lt;10,"",MAX(300,ROUND(((((B208*1.4)+(C208*1.1)+(D208*1.1)+(E208*1)+(F208*1.1)+(G208*1)+(H208*1.6)+(I208*0.9)+(J208*1)+(K208*0.8))/11-1)/4)*20000,0)))</f>
        <v/>
      </c>
      <c r="M208" s="36">
        <f>IF(L208="","",MIN(100,ROUND(L208/200,0)))</f>
        <v/>
      </c>
      <c r="N208" s="36" t="n"/>
      <c r="O208" s="36" t="n"/>
    </row>
    <row r="209">
      <c r="A209" s="32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>
        <f>IF(COUNTA(B209:K209)&lt;10,"",MAX(300,ROUND(((((B209*1.4)+(C209*1.1)+(D209*1.1)+(E209*1)+(F209*1.1)+(G209*1)+(H209*1.6)+(I209*0.9)+(J209*1)+(K209*0.8))/11-1)/4)*20000,0)))</f>
        <v/>
      </c>
      <c r="M209" s="36">
        <f>IF(L209="","",MIN(100,ROUND(L209/200,0)))</f>
        <v/>
      </c>
      <c r="N209" s="36" t="n"/>
      <c r="O209" s="36" t="n"/>
    </row>
    <row r="210">
      <c r="A210" s="32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>
        <f>IF(COUNTA(B210:K210)&lt;10,"",MAX(300,ROUND(((((B210*1.4)+(C210*1.1)+(D210*1.1)+(E210*1)+(F210*1.1)+(G210*1)+(H210*1.6)+(I210*0.9)+(J210*1)+(K210*0.8))/11-1)/4)*20000,0)))</f>
        <v/>
      </c>
      <c r="M210" s="36">
        <f>IF(L210="","",MIN(100,ROUND(L210/200,0)))</f>
        <v/>
      </c>
      <c r="N210" s="36" t="n"/>
      <c r="O210" s="36" t="n"/>
    </row>
    <row r="211">
      <c r="A211" s="32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>
        <f>IF(COUNTA(B211:K211)&lt;10,"",MAX(300,ROUND(((((B211*1.4)+(C211*1.1)+(D211*1.1)+(E211*1)+(F211*1.1)+(G211*1)+(H211*1.6)+(I211*0.9)+(J211*1)+(K211*0.8))/11-1)/4)*20000,0)))</f>
        <v/>
      </c>
      <c r="M211" s="36">
        <f>IF(L211="","",MIN(100,ROUND(L211/200,0)))</f>
        <v/>
      </c>
      <c r="N211" s="36" t="n"/>
      <c r="O211" s="36" t="n"/>
    </row>
    <row r="212">
      <c r="A212" s="32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>
        <f>IF(COUNTA(B212:K212)&lt;10,"",MAX(300,ROUND(((((B212*1.4)+(C212*1.1)+(D212*1.1)+(E212*1)+(F212*1.1)+(G212*1)+(H212*1.6)+(I212*0.9)+(J212*1)+(K212*0.8))/11-1)/4)*20000,0)))</f>
        <v/>
      </c>
      <c r="M212" s="36">
        <f>IF(L212="","",MIN(100,ROUND(L212/200,0)))</f>
        <v/>
      </c>
      <c r="N212" s="36" t="n"/>
      <c r="O212" s="36" t="n"/>
    </row>
    <row r="213">
      <c r="A213" s="32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>
        <f>IF(COUNTA(B213:K213)&lt;10,"",MAX(300,ROUND(((((B213*1.4)+(C213*1.1)+(D213*1.1)+(E213*1)+(F213*1.1)+(G213*1)+(H213*1.6)+(I213*0.9)+(J213*1)+(K213*0.8))/11-1)/4)*20000,0)))</f>
        <v/>
      </c>
      <c r="M213" s="36">
        <f>IF(L213="","",MIN(100,ROUND(L213/200,0)))</f>
        <v/>
      </c>
      <c r="N213" s="36" t="n"/>
      <c r="O213" s="36" t="n"/>
    </row>
    <row r="214">
      <c r="A214" s="32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>
        <f>IF(COUNTA(B214:K214)&lt;10,"",MAX(300,ROUND(((((B214*1.4)+(C214*1.1)+(D214*1.1)+(E214*1)+(F214*1.1)+(G214*1)+(H214*1.6)+(I214*0.9)+(J214*1)+(K214*0.8))/11-1)/4)*20000,0)))</f>
        <v/>
      </c>
      <c r="M214" s="36">
        <f>IF(L214="","",MIN(100,ROUND(L214/200,0)))</f>
        <v/>
      </c>
      <c r="N214" s="36" t="n"/>
      <c r="O214" s="36" t="n"/>
    </row>
    <row r="215">
      <c r="A215" s="32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>
        <f>IF(COUNTA(B215:K215)&lt;10,"",MAX(300,ROUND(((((B215*1.4)+(C215*1.1)+(D215*1.1)+(E215*1)+(F215*1.1)+(G215*1)+(H215*1.6)+(I215*0.9)+(J215*1)+(K215*0.8))/11-1)/4)*20000,0)))</f>
        <v/>
      </c>
      <c r="M215" s="36">
        <f>IF(L215="","",MIN(100,ROUND(L215/200,0)))</f>
        <v/>
      </c>
      <c r="N215" s="36" t="n"/>
      <c r="O215" s="36" t="n"/>
    </row>
    <row r="216">
      <c r="A216" s="32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>
        <f>IF(COUNTA(B216:K216)&lt;10,"",MAX(300,ROUND(((((B216*1.4)+(C216*1.1)+(D216*1.1)+(E216*1)+(F216*1.1)+(G216*1)+(H216*1.6)+(I216*0.9)+(J216*1)+(K216*0.8))/11-1)/4)*20000,0)))</f>
        <v/>
      </c>
      <c r="M216" s="36">
        <f>IF(L216="","",MIN(100,ROUND(L216/200,0)))</f>
        <v/>
      </c>
      <c r="N216" s="36" t="n"/>
      <c r="O216" s="36" t="n"/>
    </row>
    <row r="217">
      <c r="A217" s="32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>
        <f>IF(COUNTA(B217:K217)&lt;10,"",MAX(300,ROUND(((((B217*1.4)+(C217*1.1)+(D217*1.1)+(E217*1)+(F217*1.1)+(G217*1)+(H217*1.6)+(I217*0.9)+(J217*1)+(K217*0.8))/11-1)/4)*20000,0)))</f>
        <v/>
      </c>
      <c r="M217" s="36">
        <f>IF(L217="","",MIN(100,ROUND(L217/200,0)))</f>
        <v/>
      </c>
      <c r="N217" s="36" t="n"/>
      <c r="O217" s="36" t="n"/>
    </row>
    <row r="218">
      <c r="A218" s="32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>
        <f>IF(COUNTA(B218:K218)&lt;10,"",MAX(300,ROUND(((((B218*1.4)+(C218*1.1)+(D218*1.1)+(E218*1)+(F218*1.1)+(G218*1)+(H218*1.6)+(I218*0.9)+(J218*1)+(K218*0.8))/11-1)/4)*20000,0)))</f>
        <v/>
      </c>
      <c r="M218" s="36">
        <f>IF(L218="","",MIN(100,ROUND(L218/200,0)))</f>
        <v/>
      </c>
      <c r="N218" s="36" t="n"/>
      <c r="O218" s="36" t="n"/>
    </row>
    <row r="219">
      <c r="A219" s="32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>
        <f>IF(COUNTA(B219:K219)&lt;10,"",MAX(300,ROUND(((((B219*1.4)+(C219*1.1)+(D219*1.1)+(E219*1)+(F219*1.1)+(G219*1)+(H219*1.6)+(I219*0.9)+(J219*1)+(K219*0.8))/11-1)/4)*20000,0)))</f>
        <v/>
      </c>
      <c r="M219" s="36">
        <f>IF(L219="","",MIN(100,ROUND(L219/200,0)))</f>
        <v/>
      </c>
      <c r="N219" s="36" t="n"/>
      <c r="O219" s="36" t="n"/>
    </row>
    <row r="220">
      <c r="A220" s="32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>
        <f>IF(COUNTA(B220:K220)&lt;10,"",MAX(300,ROUND(((((B220*1.4)+(C220*1.1)+(D220*1.1)+(E220*1)+(F220*1.1)+(G220*1)+(H220*1.6)+(I220*0.9)+(J220*1)+(K220*0.8))/11-1)/4)*20000,0)))</f>
        <v/>
      </c>
      <c r="M220" s="36">
        <f>IF(L220="","",MIN(100,ROUND(L220/200,0)))</f>
        <v/>
      </c>
      <c r="N220" s="36" t="n"/>
      <c r="O220" s="36" t="n"/>
    </row>
    <row r="221">
      <c r="A221" s="32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>
        <f>IF(COUNTA(B221:K221)&lt;10,"",MAX(300,ROUND(((((B221*1.4)+(C221*1.1)+(D221*1.1)+(E221*1)+(F221*1.1)+(G221*1)+(H221*1.6)+(I221*0.9)+(J221*1)+(K221*0.8))/11-1)/4)*20000,0)))</f>
        <v/>
      </c>
      <c r="M221" s="36">
        <f>IF(L221="","",MIN(100,ROUND(L221/200,0)))</f>
        <v/>
      </c>
      <c r="N221" s="36" t="n"/>
      <c r="O221" s="36" t="n"/>
    </row>
    <row r="222">
      <c r="A222" s="32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>
        <f>IF(COUNTA(B222:K222)&lt;10,"",MAX(300,ROUND(((((B222*1.4)+(C222*1.1)+(D222*1.1)+(E222*1)+(F222*1.1)+(G222*1)+(H222*1.6)+(I222*0.9)+(J222*1)+(K222*0.8))/11-1)/4)*20000,0)))</f>
        <v/>
      </c>
      <c r="M222" s="36">
        <f>IF(L222="","",MIN(100,ROUND(L222/200,0)))</f>
        <v/>
      </c>
      <c r="N222" s="36" t="n"/>
      <c r="O222" s="36" t="n"/>
    </row>
    <row r="223">
      <c r="A223" s="32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>
        <f>IF(COUNTA(B223:K223)&lt;10,"",MAX(300,ROUND(((((B223*1.4)+(C223*1.1)+(D223*1.1)+(E223*1)+(F223*1.1)+(G223*1)+(H223*1.6)+(I223*0.9)+(J223*1)+(K223*0.8))/11-1)/4)*20000,0)))</f>
        <v/>
      </c>
      <c r="M223" s="36">
        <f>IF(L223="","",MIN(100,ROUND(L223/200,0)))</f>
        <v/>
      </c>
      <c r="N223" s="36" t="n"/>
      <c r="O223" s="36" t="n"/>
    </row>
    <row r="224">
      <c r="A224" s="32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>
        <f>IF(COUNTA(B224:K224)&lt;10,"",MAX(300,ROUND(((((B224*1.4)+(C224*1.1)+(D224*1.1)+(E224*1)+(F224*1.1)+(G224*1)+(H224*1.6)+(I224*0.9)+(J224*1)+(K224*0.8))/11-1)/4)*20000,0)))</f>
        <v/>
      </c>
      <c r="M224" s="36">
        <f>IF(L224="","",MIN(100,ROUND(L224/200,0)))</f>
        <v/>
      </c>
      <c r="N224" s="36" t="n"/>
      <c r="O224" s="36" t="n"/>
    </row>
    <row r="225">
      <c r="A225" s="32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>
        <f>IF(COUNTA(B225:K225)&lt;10,"",MAX(300,ROUND(((((B225*1.4)+(C225*1.1)+(D225*1.1)+(E225*1)+(F225*1.1)+(G225*1)+(H225*1.6)+(I225*0.9)+(J225*1)+(K225*0.8))/11-1)/4)*20000,0)))</f>
        <v/>
      </c>
      <c r="M225" s="36">
        <f>IF(L225="","",MIN(100,ROUND(L225/200,0)))</f>
        <v/>
      </c>
      <c r="N225" s="36" t="n"/>
      <c r="O225" s="36" t="n"/>
    </row>
    <row r="226">
      <c r="A226" s="32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>
        <f>IF(COUNTA(B226:K226)&lt;10,"",MAX(300,ROUND(((((B226*1.4)+(C226*1.1)+(D226*1.1)+(E226*1)+(F226*1.1)+(G226*1)+(H226*1.6)+(I226*0.9)+(J226*1)+(K226*0.8))/11-1)/4)*20000,0)))</f>
        <v/>
      </c>
      <c r="M226" s="36">
        <f>IF(L226="","",MIN(100,ROUND(L226/200,0)))</f>
        <v/>
      </c>
      <c r="N226" s="36" t="n"/>
      <c r="O226" s="36" t="n"/>
    </row>
    <row r="227">
      <c r="A227" s="32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>
        <f>IF(COUNTA(B227:K227)&lt;10,"",MAX(300,ROUND(((((B227*1.4)+(C227*1.1)+(D227*1.1)+(E227*1)+(F227*1.1)+(G227*1)+(H227*1.6)+(I227*0.9)+(J227*1)+(K227*0.8))/11-1)/4)*20000,0)))</f>
        <v/>
      </c>
      <c r="M227" s="36">
        <f>IF(L227="","",MIN(100,ROUND(L227/200,0)))</f>
        <v/>
      </c>
      <c r="N227" s="36" t="n"/>
      <c r="O227" s="36" t="n"/>
    </row>
    <row r="228">
      <c r="A228" s="32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>
        <f>IF(COUNTA(B228:K228)&lt;10,"",MAX(300,ROUND(((((B228*1.4)+(C228*1.1)+(D228*1.1)+(E228*1)+(F228*1.1)+(G228*1)+(H228*1.6)+(I228*0.9)+(J228*1)+(K228*0.8))/11-1)/4)*20000,0)))</f>
        <v/>
      </c>
      <c r="M228" s="36">
        <f>IF(L228="","",MIN(100,ROUND(L228/200,0)))</f>
        <v/>
      </c>
      <c r="N228" s="36" t="n"/>
      <c r="O228" s="36" t="n"/>
    </row>
    <row r="229">
      <c r="A229" s="32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>
        <f>IF(COUNTA(B229:K229)&lt;10,"",MAX(300,ROUND(((((B229*1.4)+(C229*1.1)+(D229*1.1)+(E229*1)+(F229*1.1)+(G229*1)+(H229*1.6)+(I229*0.9)+(J229*1)+(K229*0.8))/11-1)/4)*20000,0)))</f>
        <v/>
      </c>
      <c r="M229" s="36">
        <f>IF(L229="","",MIN(100,ROUND(L229/200,0)))</f>
        <v/>
      </c>
      <c r="N229" s="36" t="n"/>
      <c r="O229" s="36" t="n"/>
    </row>
    <row r="230">
      <c r="A230" s="32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>
        <f>IF(COUNTA(B230:K230)&lt;10,"",MAX(300,ROUND(((((B230*1.4)+(C230*1.1)+(D230*1.1)+(E230*1)+(F230*1.1)+(G230*1)+(H230*1.6)+(I230*0.9)+(J230*1)+(K230*0.8))/11-1)/4)*20000,0)))</f>
        <v/>
      </c>
      <c r="M230" s="36">
        <f>IF(L230="","",MIN(100,ROUND(L230/200,0)))</f>
        <v/>
      </c>
      <c r="N230" s="36" t="n"/>
      <c r="O230" s="36" t="n"/>
    </row>
    <row r="231">
      <c r="A231" s="32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>
        <f>IF(COUNTA(B231:K231)&lt;10,"",MAX(300,ROUND(((((B231*1.4)+(C231*1.1)+(D231*1.1)+(E231*1)+(F231*1.1)+(G231*1)+(H231*1.6)+(I231*0.9)+(J231*1)+(K231*0.8))/11-1)/4)*20000,0)))</f>
        <v/>
      </c>
      <c r="M231" s="36">
        <f>IF(L231="","",MIN(100,ROUND(L231/200,0)))</f>
        <v/>
      </c>
      <c r="N231" s="36" t="n"/>
      <c r="O231" s="36" t="n"/>
    </row>
    <row r="232">
      <c r="A232" s="32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>
        <f>IF(COUNTA(B232:K232)&lt;10,"",MAX(300,ROUND(((((B232*1.4)+(C232*1.1)+(D232*1.1)+(E232*1)+(F232*1.1)+(G232*1)+(H232*1.6)+(I232*0.9)+(J232*1)+(K232*0.8))/11-1)/4)*20000,0)))</f>
        <v/>
      </c>
      <c r="M232" s="36">
        <f>IF(L232="","",MIN(100,ROUND(L232/200,0)))</f>
        <v/>
      </c>
      <c r="N232" s="36" t="n"/>
      <c r="O232" s="36" t="n"/>
    </row>
    <row r="233">
      <c r="A233" s="32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>
        <f>IF(COUNTA(B233:K233)&lt;10,"",MAX(300,ROUND(((((B233*1.4)+(C233*1.1)+(D233*1.1)+(E233*1)+(F233*1.1)+(G233*1)+(H233*1.6)+(I233*0.9)+(J233*1)+(K233*0.8))/11-1)/4)*20000,0)))</f>
        <v/>
      </c>
      <c r="M233" s="36">
        <f>IF(L233="","",MIN(100,ROUND(L233/200,0)))</f>
        <v/>
      </c>
      <c r="N233" s="36" t="n"/>
      <c r="O233" s="36" t="n"/>
    </row>
    <row r="234">
      <c r="A234" s="32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>
        <f>IF(COUNTA(B234:K234)&lt;10,"",MAX(300,ROUND(((((B234*1.4)+(C234*1.1)+(D234*1.1)+(E234*1)+(F234*1.1)+(G234*1)+(H234*1.6)+(I234*0.9)+(J234*1)+(K234*0.8))/11-1)/4)*20000,0)))</f>
        <v/>
      </c>
      <c r="M234" s="36">
        <f>IF(L234="","",MIN(100,ROUND(L234/200,0)))</f>
        <v/>
      </c>
      <c r="N234" s="36" t="n"/>
      <c r="O234" s="36" t="n"/>
    </row>
    <row r="235">
      <c r="A235" s="32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>
        <f>IF(COUNTA(B235:K235)&lt;10,"",MAX(300,ROUND(((((B235*1.4)+(C235*1.1)+(D235*1.1)+(E235*1)+(F235*1.1)+(G235*1)+(H235*1.6)+(I235*0.9)+(J235*1)+(K235*0.8))/11-1)/4)*20000,0)))</f>
        <v/>
      </c>
      <c r="M235" s="36">
        <f>IF(L235="","",MIN(100,ROUND(L235/200,0)))</f>
        <v/>
      </c>
      <c r="N235" s="36" t="n"/>
      <c r="O235" s="36" t="n"/>
    </row>
    <row r="236">
      <c r="A236" s="32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>
        <f>IF(COUNTA(B236:K236)&lt;10,"",MAX(300,ROUND(((((B236*1.4)+(C236*1.1)+(D236*1.1)+(E236*1)+(F236*1.1)+(G236*1)+(H236*1.6)+(I236*0.9)+(J236*1)+(K236*0.8))/11-1)/4)*20000,0)))</f>
        <v/>
      </c>
      <c r="M236" s="36">
        <f>IF(L236="","",MIN(100,ROUND(L236/200,0)))</f>
        <v/>
      </c>
      <c r="N236" s="36" t="n"/>
      <c r="O236" s="36" t="n"/>
    </row>
    <row r="237">
      <c r="A237" s="32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>
        <f>IF(COUNTA(B237:K237)&lt;10,"",MAX(300,ROUND(((((B237*1.4)+(C237*1.1)+(D237*1.1)+(E237*1)+(F237*1.1)+(G237*1)+(H237*1.6)+(I237*0.9)+(J237*1)+(K237*0.8))/11-1)/4)*20000,0)))</f>
        <v/>
      </c>
      <c r="M237" s="36">
        <f>IF(L237="","",MIN(100,ROUND(L237/200,0)))</f>
        <v/>
      </c>
      <c r="N237" s="36" t="n"/>
      <c r="O237" s="36" t="n"/>
    </row>
    <row r="238">
      <c r="A238" s="32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>
        <f>IF(COUNTA(B238:K238)&lt;10,"",MAX(300,ROUND(((((B238*1.4)+(C238*1.1)+(D238*1.1)+(E238*1)+(F238*1.1)+(G238*1)+(H238*1.6)+(I238*0.9)+(J238*1)+(K238*0.8))/11-1)/4)*20000,0)))</f>
        <v/>
      </c>
      <c r="M238" s="36">
        <f>IF(L238="","",MIN(100,ROUND(L238/200,0)))</f>
        <v/>
      </c>
      <c r="N238" s="36" t="n"/>
      <c r="O238" s="36" t="n"/>
    </row>
    <row r="239">
      <c r="A239" s="32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>
        <f>IF(COUNTA(B239:K239)&lt;10,"",MAX(300,ROUND(((((B239*1.4)+(C239*1.1)+(D239*1.1)+(E239*1)+(F239*1.1)+(G239*1)+(H239*1.6)+(I239*0.9)+(J239*1)+(K239*0.8))/11-1)/4)*20000,0)))</f>
        <v/>
      </c>
      <c r="M239" s="36">
        <f>IF(L239="","",MIN(100,ROUND(L239/200,0)))</f>
        <v/>
      </c>
      <c r="N239" s="36" t="n"/>
      <c r="O239" s="36" t="n"/>
    </row>
    <row r="240">
      <c r="A240" s="32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>
        <f>IF(COUNTA(B240:K240)&lt;10,"",MAX(300,ROUND(((((B240*1.4)+(C240*1.1)+(D240*1.1)+(E240*1)+(F240*1.1)+(G240*1)+(H240*1.6)+(I240*0.9)+(J240*1)+(K240*0.8))/11-1)/4)*20000,0)))</f>
        <v/>
      </c>
      <c r="M240" s="36">
        <f>IF(L240="","",MIN(100,ROUND(L240/200,0)))</f>
        <v/>
      </c>
      <c r="N240" s="36" t="n"/>
      <c r="O240" s="36" t="n"/>
    </row>
    <row r="241">
      <c r="A241" s="32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>
        <f>IF(COUNTA(B241:K241)&lt;10,"",MAX(300,ROUND(((((B241*1.4)+(C241*1.1)+(D241*1.1)+(E241*1)+(F241*1.1)+(G241*1)+(H241*1.6)+(I241*0.9)+(J241*1)+(K241*0.8))/11-1)/4)*20000,0)))</f>
        <v/>
      </c>
      <c r="M241" s="36">
        <f>IF(L241="","",MIN(100,ROUND(L241/200,0)))</f>
        <v/>
      </c>
      <c r="N241" s="36" t="n"/>
      <c r="O241" s="36" t="n"/>
    </row>
    <row r="242">
      <c r="A242" s="32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>
        <f>IF(COUNTA(B242:K242)&lt;10,"",MAX(300,ROUND(((((B242*1.4)+(C242*1.1)+(D242*1.1)+(E242*1)+(F242*1.1)+(G242*1)+(H242*1.6)+(I242*0.9)+(J242*1)+(K242*0.8))/11-1)/4)*20000,0)))</f>
        <v/>
      </c>
      <c r="M242" s="36">
        <f>IF(L242="","",MIN(100,ROUND(L242/200,0)))</f>
        <v/>
      </c>
      <c r="N242" s="36" t="n"/>
      <c r="O242" s="36" t="n"/>
    </row>
    <row r="243">
      <c r="A243" s="32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>
        <f>IF(COUNTA(B243:K243)&lt;10,"",MAX(300,ROUND(((((B243*1.4)+(C243*1.1)+(D243*1.1)+(E243*1)+(F243*1.1)+(G243*1)+(H243*1.6)+(I243*0.9)+(J243*1)+(K243*0.8))/11-1)/4)*20000,0)))</f>
        <v/>
      </c>
      <c r="M243" s="36">
        <f>IF(L243="","",MIN(100,ROUND(L243/200,0)))</f>
        <v/>
      </c>
      <c r="N243" s="36" t="n"/>
      <c r="O243" s="36" t="n"/>
    </row>
    <row r="244">
      <c r="A244" s="32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>
        <f>IF(COUNTA(B244:K244)&lt;10,"",MAX(300,ROUND(((((B244*1.4)+(C244*1.1)+(D244*1.1)+(E244*1)+(F244*1.1)+(G244*1)+(H244*1.6)+(I244*0.9)+(J244*1)+(K244*0.8))/11-1)/4)*20000,0)))</f>
        <v/>
      </c>
      <c r="M244" s="36">
        <f>IF(L244="","",MIN(100,ROUND(L244/200,0)))</f>
        <v/>
      </c>
      <c r="N244" s="36" t="n"/>
      <c r="O244" s="36" t="n"/>
    </row>
    <row r="245">
      <c r="A245" s="32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>
        <f>IF(COUNTA(B245:K245)&lt;10,"",MAX(300,ROUND(((((B245*1.4)+(C245*1.1)+(D245*1.1)+(E245*1)+(F245*1.1)+(G245*1)+(H245*1.6)+(I245*0.9)+(J245*1)+(K245*0.8))/11-1)/4)*20000,0)))</f>
        <v/>
      </c>
      <c r="M245" s="36">
        <f>IF(L245="","",MIN(100,ROUND(L245/200,0)))</f>
        <v/>
      </c>
      <c r="N245" s="36" t="n"/>
      <c r="O245" s="36" t="n"/>
    </row>
    <row r="246">
      <c r="A246" s="32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>
        <f>IF(COUNTA(B246:K246)&lt;10,"",MAX(300,ROUND(((((B246*1.4)+(C246*1.1)+(D246*1.1)+(E246*1)+(F246*1.1)+(G246*1)+(H246*1.6)+(I246*0.9)+(J246*1)+(K246*0.8))/11-1)/4)*20000,0)))</f>
        <v/>
      </c>
      <c r="M246" s="36">
        <f>IF(L246="","",MIN(100,ROUND(L246/200,0)))</f>
        <v/>
      </c>
      <c r="N246" s="36" t="n"/>
      <c r="O246" s="36" t="n"/>
    </row>
    <row r="247">
      <c r="A247" s="32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>
        <f>IF(COUNTA(B247:K247)&lt;10,"",MAX(300,ROUND(((((B247*1.4)+(C247*1.1)+(D247*1.1)+(E247*1)+(F247*1.1)+(G247*1)+(H247*1.6)+(I247*0.9)+(J247*1)+(K247*0.8))/11-1)/4)*20000,0)))</f>
        <v/>
      </c>
      <c r="M247" s="36">
        <f>IF(L247="","",MIN(100,ROUND(L247/200,0)))</f>
        <v/>
      </c>
      <c r="N247" s="36" t="n"/>
      <c r="O247" s="36" t="n"/>
    </row>
    <row r="248">
      <c r="A248" s="32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>
        <f>IF(COUNTA(B248:K248)&lt;10,"",MAX(300,ROUND(((((B248*1.4)+(C248*1.1)+(D248*1.1)+(E248*1)+(F248*1.1)+(G248*1)+(H248*1.6)+(I248*0.9)+(J248*1)+(K248*0.8))/11-1)/4)*20000,0)))</f>
        <v/>
      </c>
      <c r="M248" s="36">
        <f>IF(L248="","",MIN(100,ROUND(L248/200,0)))</f>
        <v/>
      </c>
      <c r="N248" s="36" t="n"/>
      <c r="O248" s="36" t="n"/>
    </row>
    <row r="249">
      <c r="A249" s="32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>
        <f>IF(COUNTA(B249:K249)&lt;10,"",MAX(300,ROUND(((((B249*1.4)+(C249*1.1)+(D249*1.1)+(E249*1)+(F249*1.1)+(G249*1)+(H249*1.6)+(I249*0.9)+(J249*1)+(K249*0.8))/11-1)/4)*20000,0)))</f>
        <v/>
      </c>
      <c r="M249" s="36">
        <f>IF(L249="","",MIN(100,ROUND(L249/200,0)))</f>
        <v/>
      </c>
      <c r="N249" s="36" t="n"/>
      <c r="O249" s="36" t="n"/>
    </row>
    <row r="250">
      <c r="A250" s="32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>
        <f>IF(COUNTA(B250:K250)&lt;10,"",MAX(300,ROUND(((((B250*1.4)+(C250*1.1)+(D250*1.1)+(E250*1)+(F250*1.1)+(G250*1)+(H250*1.6)+(I250*0.9)+(J250*1)+(K250*0.8))/11-1)/4)*20000,0)))</f>
        <v/>
      </c>
      <c r="M250" s="36">
        <f>IF(L250="","",MIN(100,ROUND(L250/200,0)))</f>
        <v/>
      </c>
      <c r="N250" s="36" t="n"/>
      <c r="O250" s="36" t="n"/>
    </row>
    <row r="251">
      <c r="A251" s="32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>
        <f>IF(COUNTA(B251:K251)&lt;10,"",MAX(300,ROUND(((((B251*1.4)+(C251*1.1)+(D251*1.1)+(E251*1)+(F251*1.1)+(G251*1)+(H251*1.6)+(I251*0.9)+(J251*1)+(K251*0.8))/11-1)/4)*20000,0)))</f>
        <v/>
      </c>
      <c r="M251" s="36">
        <f>IF(L251="","",MIN(100,ROUND(L251/200,0)))</f>
        <v/>
      </c>
      <c r="N251" s="36" t="n"/>
      <c r="O251" s="36" t="n"/>
    </row>
    <row r="252">
      <c r="A252" s="32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>
        <f>IF(COUNTA(B252:K252)&lt;10,"",MAX(300,ROUND(((((B252*1.4)+(C252*1.1)+(D252*1.1)+(E252*1)+(F252*1.1)+(G252*1)+(H252*1.6)+(I252*0.9)+(J252*1)+(K252*0.8))/11-1)/4)*20000,0)))</f>
        <v/>
      </c>
      <c r="M252" s="36">
        <f>IF(L252="","",MIN(100,ROUND(L252/200,0)))</f>
        <v/>
      </c>
      <c r="N252" s="36" t="n"/>
      <c r="O252" s="36" t="n"/>
    </row>
    <row r="253">
      <c r="A253" s="32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>
        <f>IF(COUNTA(B253:K253)&lt;10,"",MAX(300,ROUND(((((B253*1.4)+(C253*1.1)+(D253*1.1)+(E253*1)+(F253*1.1)+(G253*1)+(H253*1.6)+(I253*0.9)+(J253*1)+(K253*0.8))/11-1)/4)*20000,0)))</f>
        <v/>
      </c>
      <c r="M253" s="36">
        <f>IF(L253="","",MIN(100,ROUND(L253/200,0)))</f>
        <v/>
      </c>
      <c r="N253" s="36" t="n"/>
      <c r="O253" s="36" t="n"/>
    </row>
    <row r="254">
      <c r="A254" s="32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>
        <f>IF(COUNTA(B254:K254)&lt;10,"",MAX(300,ROUND(((((B254*1.4)+(C254*1.1)+(D254*1.1)+(E254*1)+(F254*1.1)+(G254*1)+(H254*1.6)+(I254*0.9)+(J254*1)+(K254*0.8))/11-1)/4)*20000,0)))</f>
        <v/>
      </c>
      <c r="M254" s="36">
        <f>IF(L254="","",MIN(100,ROUND(L254/200,0)))</f>
        <v/>
      </c>
      <c r="N254" s="36" t="n"/>
      <c r="O254" s="36" t="n"/>
    </row>
    <row r="255">
      <c r="A255" s="32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>
        <f>IF(COUNTA(B255:K255)&lt;10,"",MAX(300,ROUND(((((B255*1.4)+(C255*1.1)+(D255*1.1)+(E255*1)+(F255*1.1)+(G255*1)+(H255*1.6)+(I255*0.9)+(J255*1)+(K255*0.8))/11-1)/4)*20000,0)))</f>
        <v/>
      </c>
      <c r="M255" s="36">
        <f>IF(L255="","",MIN(100,ROUND(L255/200,0)))</f>
        <v/>
      </c>
      <c r="N255" s="36" t="n"/>
      <c r="O255" s="36" t="n"/>
    </row>
    <row r="256">
      <c r="A256" s="32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>
        <f>IF(COUNTA(B256:K256)&lt;10,"",MAX(300,ROUND(((((B256*1.4)+(C256*1.1)+(D256*1.1)+(E256*1)+(F256*1.1)+(G256*1)+(H256*1.6)+(I256*0.9)+(J256*1)+(K256*0.8))/11-1)/4)*20000,0)))</f>
        <v/>
      </c>
      <c r="M256" s="36">
        <f>IF(L256="","",MIN(100,ROUND(L256/200,0)))</f>
        <v/>
      </c>
      <c r="N256" s="36" t="n"/>
      <c r="O256" s="36" t="n"/>
    </row>
    <row r="257">
      <c r="A257" s="32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>
        <f>IF(COUNTA(B257:K257)&lt;10,"",MAX(300,ROUND(((((B257*1.4)+(C257*1.1)+(D257*1.1)+(E257*1)+(F257*1.1)+(G257*1)+(H257*1.6)+(I257*0.9)+(J257*1)+(K257*0.8))/11-1)/4)*20000,0)))</f>
        <v/>
      </c>
      <c r="M257" s="36">
        <f>IF(L257="","",MIN(100,ROUND(L257/200,0)))</f>
        <v/>
      </c>
      <c r="N257" s="36" t="n"/>
      <c r="O257" s="36" t="n"/>
    </row>
    <row r="258">
      <c r="A258" s="32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>
        <f>IF(COUNTA(B258:K258)&lt;10,"",MAX(300,ROUND(((((B258*1.4)+(C258*1.1)+(D258*1.1)+(E258*1)+(F258*1.1)+(G258*1)+(H258*1.6)+(I258*0.9)+(J258*1)+(K258*0.8))/11-1)/4)*20000,0)))</f>
        <v/>
      </c>
      <c r="M258" s="36">
        <f>IF(L258="","",MIN(100,ROUND(L258/200,0)))</f>
        <v/>
      </c>
      <c r="N258" s="36" t="n"/>
      <c r="O258" s="36" t="n"/>
    </row>
    <row r="259">
      <c r="A259" s="32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>
        <f>IF(COUNTA(B259:K259)&lt;10,"",MAX(300,ROUND(((((B259*1.4)+(C259*1.1)+(D259*1.1)+(E259*1)+(F259*1.1)+(G259*1)+(H259*1.6)+(I259*0.9)+(J259*1)+(K259*0.8))/11-1)/4)*20000,0)))</f>
        <v/>
      </c>
      <c r="M259" s="36">
        <f>IF(L259="","",MIN(100,ROUND(L259/200,0)))</f>
        <v/>
      </c>
      <c r="N259" s="36" t="n"/>
      <c r="O259" s="36" t="n"/>
    </row>
    <row r="260">
      <c r="A260" s="32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>
        <f>IF(COUNTA(B260:K260)&lt;10,"",MAX(300,ROUND(((((B260*1.4)+(C260*1.1)+(D260*1.1)+(E260*1)+(F260*1.1)+(G260*1)+(H260*1.6)+(I260*0.9)+(J260*1)+(K260*0.8))/11-1)/4)*20000,0)))</f>
        <v/>
      </c>
      <c r="M260" s="36">
        <f>IF(L260="","",MIN(100,ROUND(L260/200,0)))</f>
        <v/>
      </c>
      <c r="N260" s="36" t="n"/>
      <c r="O260" s="36" t="n"/>
    </row>
    <row r="261">
      <c r="A261" s="32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>
        <f>IF(COUNTA(B261:K261)&lt;10,"",MAX(300,ROUND(((((B261*1.4)+(C261*1.1)+(D261*1.1)+(E261*1)+(F261*1.1)+(G261*1)+(H261*1.6)+(I261*0.9)+(J261*1)+(K261*0.8))/11-1)/4)*20000,0)))</f>
        <v/>
      </c>
      <c r="M261" s="36">
        <f>IF(L261="","",MIN(100,ROUND(L261/200,0)))</f>
        <v/>
      </c>
      <c r="N261" s="36" t="n"/>
      <c r="O261" s="36" t="n"/>
    </row>
    <row r="262">
      <c r="A262" s="32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>
        <f>IF(COUNTA(B262:K262)&lt;10,"",MAX(300,ROUND(((((B262*1.4)+(C262*1.1)+(D262*1.1)+(E262*1)+(F262*1.1)+(G262*1)+(H262*1.6)+(I262*0.9)+(J262*1)+(K262*0.8))/11-1)/4)*20000,0)))</f>
        <v/>
      </c>
      <c r="M262" s="36">
        <f>IF(L262="","",MIN(100,ROUND(L262/200,0)))</f>
        <v/>
      </c>
      <c r="N262" s="36" t="n"/>
      <c r="O262" s="36" t="n"/>
    </row>
    <row r="263">
      <c r="A263" s="32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>
        <f>IF(COUNTA(B263:K263)&lt;10,"",MAX(300,ROUND(((((B263*1.4)+(C263*1.1)+(D263*1.1)+(E263*1)+(F263*1.1)+(G263*1)+(H263*1.6)+(I263*0.9)+(J263*1)+(K263*0.8))/11-1)/4)*20000,0)))</f>
        <v/>
      </c>
      <c r="M263" s="36">
        <f>IF(L263="","",MIN(100,ROUND(L263/200,0)))</f>
        <v/>
      </c>
      <c r="N263" s="36" t="n"/>
      <c r="O263" s="36" t="n"/>
    </row>
    <row r="264">
      <c r="A264" s="32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>
        <f>IF(COUNTA(B264:K264)&lt;10,"",MAX(300,ROUND(((((B264*1.4)+(C264*1.1)+(D264*1.1)+(E264*1)+(F264*1.1)+(G264*1)+(H264*1.6)+(I264*0.9)+(J264*1)+(K264*0.8))/11-1)/4)*20000,0)))</f>
        <v/>
      </c>
      <c r="M264" s="36">
        <f>IF(L264="","",MIN(100,ROUND(L264/200,0)))</f>
        <v/>
      </c>
      <c r="N264" s="36" t="n"/>
      <c r="O264" s="36" t="n"/>
    </row>
    <row r="265">
      <c r="A265" s="32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>
        <f>IF(COUNTA(B265:K265)&lt;10,"",MAX(300,ROUND(((((B265*1.4)+(C265*1.1)+(D265*1.1)+(E265*1)+(F265*1.1)+(G265*1)+(H265*1.6)+(I265*0.9)+(J265*1)+(K265*0.8))/11-1)/4)*20000,0)))</f>
        <v/>
      </c>
      <c r="M265" s="36">
        <f>IF(L265="","",MIN(100,ROUND(L265/200,0)))</f>
        <v/>
      </c>
      <c r="N265" s="36" t="n"/>
      <c r="O265" s="36" t="n"/>
    </row>
    <row r="266">
      <c r="A266" s="32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>
        <f>IF(COUNTA(B266:K266)&lt;10,"",MAX(300,ROUND(((((B266*1.4)+(C266*1.1)+(D266*1.1)+(E266*1)+(F266*1.1)+(G266*1)+(H266*1.6)+(I266*0.9)+(J266*1)+(K266*0.8))/11-1)/4)*20000,0)))</f>
        <v/>
      </c>
      <c r="M266" s="36">
        <f>IF(L266="","",MIN(100,ROUND(L266/200,0)))</f>
        <v/>
      </c>
      <c r="N266" s="36" t="n"/>
      <c r="O266" s="36" t="n"/>
    </row>
    <row r="267">
      <c r="A267" s="32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>
        <f>IF(COUNTA(B267:K267)&lt;10,"",MAX(300,ROUND(((((B267*1.4)+(C267*1.1)+(D267*1.1)+(E267*1)+(F267*1.1)+(G267*1)+(H267*1.6)+(I267*0.9)+(J267*1)+(K267*0.8))/11-1)/4)*20000,0)))</f>
        <v/>
      </c>
      <c r="M267" s="36">
        <f>IF(L267="","",MIN(100,ROUND(L267/200,0)))</f>
        <v/>
      </c>
      <c r="N267" s="36" t="n"/>
      <c r="O267" s="36" t="n"/>
    </row>
    <row r="268">
      <c r="A268" s="32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>
        <f>IF(COUNTA(B268:K268)&lt;10,"",MAX(300,ROUND(((((B268*1.4)+(C268*1.1)+(D268*1.1)+(E268*1)+(F268*1.1)+(G268*1)+(H268*1.6)+(I268*0.9)+(J268*1)+(K268*0.8))/11-1)/4)*20000,0)))</f>
        <v/>
      </c>
      <c r="M268" s="36">
        <f>IF(L268="","",MIN(100,ROUND(L268/200,0)))</f>
        <v/>
      </c>
      <c r="N268" s="36" t="n"/>
      <c r="O268" s="36" t="n"/>
    </row>
    <row r="269">
      <c r="A269" s="32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>
        <f>IF(COUNTA(B269:K269)&lt;10,"",MAX(300,ROUND(((((B269*1.4)+(C269*1.1)+(D269*1.1)+(E269*1)+(F269*1.1)+(G269*1)+(H269*1.6)+(I269*0.9)+(J269*1)+(K269*0.8))/11-1)/4)*20000,0)))</f>
        <v/>
      </c>
      <c r="M269" s="36">
        <f>IF(L269="","",MIN(100,ROUND(L269/200,0)))</f>
        <v/>
      </c>
      <c r="N269" s="36" t="n"/>
      <c r="O269" s="36" t="n"/>
    </row>
    <row r="270">
      <c r="A270" s="32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>
        <f>IF(COUNTA(B270:K270)&lt;10,"",MAX(300,ROUND(((((B270*1.4)+(C270*1.1)+(D270*1.1)+(E270*1)+(F270*1.1)+(G270*1)+(H270*1.6)+(I270*0.9)+(J270*1)+(K270*0.8))/11-1)/4)*20000,0)))</f>
        <v/>
      </c>
      <c r="M270" s="36">
        <f>IF(L270="","",MIN(100,ROUND(L270/200,0)))</f>
        <v/>
      </c>
      <c r="N270" s="36" t="n"/>
      <c r="O270" s="36" t="n"/>
    </row>
    <row r="271">
      <c r="A271" s="32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>
        <f>IF(COUNTA(B271:K271)&lt;10,"",MAX(300,ROUND(((((B271*1.4)+(C271*1.1)+(D271*1.1)+(E271*1)+(F271*1.1)+(G271*1)+(H271*1.6)+(I271*0.9)+(J271*1)+(K271*0.8))/11-1)/4)*20000,0)))</f>
        <v/>
      </c>
      <c r="M271" s="36">
        <f>IF(L271="","",MIN(100,ROUND(L271/200,0)))</f>
        <v/>
      </c>
      <c r="N271" s="36" t="n"/>
      <c r="O271" s="36" t="n"/>
    </row>
    <row r="272">
      <c r="A272" s="32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>
        <f>IF(COUNTA(B272:K272)&lt;10,"",MAX(300,ROUND(((((B272*1.4)+(C272*1.1)+(D272*1.1)+(E272*1)+(F272*1.1)+(G272*1)+(H272*1.6)+(I272*0.9)+(J272*1)+(K272*0.8))/11-1)/4)*20000,0)))</f>
        <v/>
      </c>
      <c r="M272" s="36">
        <f>IF(L272="","",MIN(100,ROUND(L272/200,0)))</f>
        <v/>
      </c>
      <c r="N272" s="36" t="n"/>
      <c r="O272" s="36" t="n"/>
    </row>
    <row r="273">
      <c r="A273" s="32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>
        <f>IF(COUNTA(B273:K273)&lt;10,"",MAX(300,ROUND(((((B273*1.4)+(C273*1.1)+(D273*1.1)+(E273*1)+(F273*1.1)+(G273*1)+(H273*1.6)+(I273*0.9)+(J273*1)+(K273*0.8))/11-1)/4)*20000,0)))</f>
        <v/>
      </c>
      <c r="M273" s="36">
        <f>IF(L273="","",MIN(100,ROUND(L273/200,0)))</f>
        <v/>
      </c>
      <c r="N273" s="36" t="n"/>
      <c r="O273" s="36" t="n"/>
    </row>
    <row r="274">
      <c r="A274" s="32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>
        <f>IF(COUNTA(B274:K274)&lt;10,"",MAX(300,ROUND(((((B274*1.4)+(C274*1.1)+(D274*1.1)+(E274*1)+(F274*1.1)+(G274*1)+(H274*1.6)+(I274*0.9)+(J274*1)+(K274*0.8))/11-1)/4)*20000,0)))</f>
        <v/>
      </c>
      <c r="M274" s="36">
        <f>IF(L274="","",MIN(100,ROUND(L274/200,0)))</f>
        <v/>
      </c>
      <c r="N274" s="36" t="n"/>
      <c r="O274" s="36" t="n"/>
    </row>
    <row r="275">
      <c r="A275" s="32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>
        <f>IF(COUNTA(B275:K275)&lt;10,"",MAX(300,ROUND(((((B275*1.4)+(C275*1.1)+(D275*1.1)+(E275*1)+(F275*1.1)+(G275*1)+(H275*1.6)+(I275*0.9)+(J275*1)+(K275*0.8))/11-1)/4)*20000,0)))</f>
        <v/>
      </c>
      <c r="M275" s="36">
        <f>IF(L275="","",MIN(100,ROUND(L275/200,0)))</f>
        <v/>
      </c>
      <c r="N275" s="36" t="n"/>
      <c r="O275" s="36" t="n"/>
    </row>
    <row r="276">
      <c r="A276" s="32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>
        <f>IF(COUNTA(B276:K276)&lt;10,"",MAX(300,ROUND(((((B276*1.4)+(C276*1.1)+(D276*1.1)+(E276*1)+(F276*1.1)+(G276*1)+(H276*1.6)+(I276*0.9)+(J276*1)+(K276*0.8))/11-1)/4)*20000,0)))</f>
        <v/>
      </c>
      <c r="M276" s="36">
        <f>IF(L276="","",MIN(100,ROUND(L276/200,0)))</f>
        <v/>
      </c>
      <c r="N276" s="36" t="n"/>
      <c r="O276" s="36" t="n"/>
    </row>
    <row r="277">
      <c r="A277" s="32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>
        <f>IF(COUNTA(B277:K277)&lt;10,"",MAX(300,ROUND(((((B277*1.4)+(C277*1.1)+(D277*1.1)+(E277*1)+(F277*1.1)+(G277*1)+(H277*1.6)+(I277*0.9)+(J277*1)+(K277*0.8))/11-1)/4)*20000,0)))</f>
        <v/>
      </c>
      <c r="M277" s="36">
        <f>IF(L277="","",MIN(100,ROUND(L277/200,0)))</f>
        <v/>
      </c>
      <c r="N277" s="36" t="n"/>
      <c r="O277" s="36" t="n"/>
    </row>
    <row r="278">
      <c r="A278" s="32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>
        <f>IF(COUNTA(B278:K278)&lt;10,"",MAX(300,ROUND(((((B278*1.4)+(C278*1.1)+(D278*1.1)+(E278*1)+(F278*1.1)+(G278*1)+(H278*1.6)+(I278*0.9)+(J278*1)+(K278*0.8))/11-1)/4)*20000,0)))</f>
        <v/>
      </c>
      <c r="M278" s="36">
        <f>IF(L278="","",MIN(100,ROUND(L278/200,0)))</f>
        <v/>
      </c>
      <c r="N278" s="36" t="n"/>
      <c r="O278" s="36" t="n"/>
    </row>
    <row r="279">
      <c r="A279" s="32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>
        <f>IF(COUNTA(B279:K279)&lt;10,"",MAX(300,ROUND(((((B279*1.4)+(C279*1.1)+(D279*1.1)+(E279*1)+(F279*1.1)+(G279*1)+(H279*1.6)+(I279*0.9)+(J279*1)+(K279*0.8))/11-1)/4)*20000,0)))</f>
        <v/>
      </c>
      <c r="M279" s="36">
        <f>IF(L279="","",MIN(100,ROUND(L279/200,0)))</f>
        <v/>
      </c>
      <c r="N279" s="36" t="n"/>
      <c r="O279" s="36" t="n"/>
    </row>
    <row r="280">
      <c r="A280" s="32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>
        <f>IF(COUNTA(B280:K280)&lt;10,"",MAX(300,ROUND(((((B280*1.4)+(C280*1.1)+(D280*1.1)+(E280*1)+(F280*1.1)+(G280*1)+(H280*1.6)+(I280*0.9)+(J280*1)+(K280*0.8))/11-1)/4)*20000,0)))</f>
        <v/>
      </c>
      <c r="M280" s="36">
        <f>IF(L280="","",MIN(100,ROUND(L280/200,0)))</f>
        <v/>
      </c>
      <c r="N280" s="36" t="n"/>
      <c r="O280" s="36" t="n"/>
    </row>
    <row r="281">
      <c r="A281" s="32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>
        <f>IF(COUNTA(B281:K281)&lt;10,"",MAX(300,ROUND(((((B281*1.4)+(C281*1.1)+(D281*1.1)+(E281*1)+(F281*1.1)+(G281*1)+(H281*1.6)+(I281*0.9)+(J281*1)+(K281*0.8))/11-1)/4)*20000,0)))</f>
        <v/>
      </c>
      <c r="M281" s="36">
        <f>IF(L281="","",MIN(100,ROUND(L281/200,0)))</f>
        <v/>
      </c>
      <c r="N281" s="36" t="n"/>
      <c r="O281" s="36" t="n"/>
    </row>
    <row r="282">
      <c r="A282" s="32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>
        <f>IF(COUNTA(B282:K282)&lt;10,"",MAX(300,ROUND(((((B282*1.4)+(C282*1.1)+(D282*1.1)+(E282*1)+(F282*1.1)+(G282*1)+(H282*1.6)+(I282*0.9)+(J282*1)+(K282*0.8))/11-1)/4)*20000,0)))</f>
        <v/>
      </c>
      <c r="M282" s="36">
        <f>IF(L282="","",MIN(100,ROUND(L282/200,0)))</f>
        <v/>
      </c>
      <c r="N282" s="36" t="n"/>
      <c r="O282" s="36" t="n"/>
    </row>
    <row r="283">
      <c r="A283" s="32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>
        <f>IF(COUNTA(B283:K283)&lt;10,"",MAX(300,ROUND(((((B283*1.4)+(C283*1.1)+(D283*1.1)+(E283*1)+(F283*1.1)+(G283*1)+(H283*1.6)+(I283*0.9)+(J283*1)+(K283*0.8))/11-1)/4)*20000,0)))</f>
        <v/>
      </c>
      <c r="M283" s="36">
        <f>IF(L283="","",MIN(100,ROUND(L283/200,0)))</f>
        <v/>
      </c>
      <c r="N283" s="36" t="n"/>
      <c r="O283" s="36" t="n"/>
    </row>
    <row r="284">
      <c r="A284" s="32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>
        <f>IF(COUNTA(B284:K284)&lt;10,"",MAX(300,ROUND(((((B284*1.4)+(C284*1.1)+(D284*1.1)+(E284*1)+(F284*1.1)+(G284*1)+(H284*1.6)+(I284*0.9)+(J284*1)+(K284*0.8))/11-1)/4)*20000,0)))</f>
        <v/>
      </c>
      <c r="M284" s="36">
        <f>IF(L284="","",MIN(100,ROUND(L284/200,0)))</f>
        <v/>
      </c>
      <c r="N284" s="36" t="n"/>
      <c r="O284" s="36" t="n"/>
    </row>
    <row r="285">
      <c r="A285" s="32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>
        <f>IF(COUNTA(B285:K285)&lt;10,"",MAX(300,ROUND(((((B285*1.4)+(C285*1.1)+(D285*1.1)+(E285*1)+(F285*1.1)+(G285*1)+(H285*1.6)+(I285*0.9)+(J285*1)+(K285*0.8))/11-1)/4)*20000,0)))</f>
        <v/>
      </c>
      <c r="M285" s="36">
        <f>IF(L285="","",MIN(100,ROUND(L285/200,0)))</f>
        <v/>
      </c>
      <c r="N285" s="36" t="n"/>
      <c r="O285" s="36" t="n"/>
    </row>
    <row r="286">
      <c r="A286" s="32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>
        <f>IF(COUNTA(B286:K286)&lt;10,"",MAX(300,ROUND(((((B286*1.4)+(C286*1.1)+(D286*1.1)+(E286*1)+(F286*1.1)+(G286*1)+(H286*1.6)+(I286*0.9)+(J286*1)+(K286*0.8))/11-1)/4)*20000,0)))</f>
        <v/>
      </c>
      <c r="M286" s="36">
        <f>IF(L286="","",MIN(100,ROUND(L286/200,0)))</f>
        <v/>
      </c>
      <c r="N286" s="36" t="n"/>
      <c r="O286" s="36" t="n"/>
    </row>
    <row r="287">
      <c r="A287" s="32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>
        <f>IF(COUNTA(B287:K287)&lt;10,"",MAX(300,ROUND(((((B287*1.4)+(C287*1.1)+(D287*1.1)+(E287*1)+(F287*1.1)+(G287*1)+(H287*1.6)+(I287*0.9)+(J287*1)+(K287*0.8))/11-1)/4)*20000,0)))</f>
        <v/>
      </c>
      <c r="M287" s="36">
        <f>IF(L287="","",MIN(100,ROUND(L287/200,0)))</f>
        <v/>
      </c>
      <c r="N287" s="36" t="n"/>
      <c r="O287" s="36" t="n"/>
    </row>
    <row r="288">
      <c r="A288" s="32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>
        <f>IF(COUNTA(B288:K288)&lt;10,"",MAX(300,ROUND(((((B288*1.4)+(C288*1.1)+(D288*1.1)+(E288*1)+(F288*1.1)+(G288*1)+(H288*1.6)+(I288*0.9)+(J288*1)+(K288*0.8))/11-1)/4)*20000,0)))</f>
        <v/>
      </c>
      <c r="M288" s="36">
        <f>IF(L288="","",MIN(100,ROUND(L288/200,0)))</f>
        <v/>
      </c>
      <c r="N288" s="36" t="n"/>
      <c r="O288" s="36" t="n"/>
    </row>
    <row r="289">
      <c r="A289" s="32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>
        <f>IF(COUNTA(B289:K289)&lt;10,"",MAX(300,ROUND(((((B289*1.4)+(C289*1.1)+(D289*1.1)+(E289*1)+(F289*1.1)+(G289*1)+(H289*1.6)+(I289*0.9)+(J289*1)+(K289*0.8))/11-1)/4)*20000,0)))</f>
        <v/>
      </c>
      <c r="M289" s="36">
        <f>IF(L289="","",MIN(100,ROUND(L289/200,0)))</f>
        <v/>
      </c>
      <c r="N289" s="36" t="n"/>
      <c r="O289" s="36" t="n"/>
    </row>
    <row r="290">
      <c r="A290" s="32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>
        <f>IF(COUNTA(B290:K290)&lt;10,"",MAX(300,ROUND(((((B290*1.4)+(C290*1.1)+(D290*1.1)+(E290*1)+(F290*1.1)+(G290*1)+(H290*1.6)+(I290*0.9)+(J290*1)+(K290*0.8))/11-1)/4)*20000,0)))</f>
        <v/>
      </c>
      <c r="M290" s="36">
        <f>IF(L290="","",MIN(100,ROUND(L290/200,0)))</f>
        <v/>
      </c>
      <c r="N290" s="36" t="n"/>
      <c r="O290" s="36" t="n"/>
    </row>
    <row r="291">
      <c r="A291" s="32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>
        <f>IF(COUNTA(B291:K291)&lt;10,"",MAX(300,ROUND(((((B291*1.4)+(C291*1.1)+(D291*1.1)+(E291*1)+(F291*1.1)+(G291*1)+(H291*1.6)+(I291*0.9)+(J291*1)+(K291*0.8))/11-1)/4)*20000,0)))</f>
        <v/>
      </c>
      <c r="M291" s="36">
        <f>IF(L291="","",MIN(100,ROUND(L291/200,0)))</f>
        <v/>
      </c>
      <c r="N291" s="36" t="n"/>
      <c r="O291" s="36" t="n"/>
    </row>
    <row r="292">
      <c r="A292" s="32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>
        <f>IF(COUNTA(B292:K292)&lt;10,"",MAX(300,ROUND(((((B292*1.4)+(C292*1.1)+(D292*1.1)+(E292*1)+(F292*1.1)+(G292*1)+(H292*1.6)+(I292*0.9)+(J292*1)+(K292*0.8))/11-1)/4)*20000,0)))</f>
        <v/>
      </c>
      <c r="M292" s="36">
        <f>IF(L292="","",MIN(100,ROUND(L292/200,0)))</f>
        <v/>
      </c>
      <c r="N292" s="36" t="n"/>
      <c r="O292" s="36" t="n"/>
    </row>
    <row r="293">
      <c r="A293" s="32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>
        <f>IF(COUNTA(B293:K293)&lt;10,"",MAX(300,ROUND(((((B293*1.4)+(C293*1.1)+(D293*1.1)+(E293*1)+(F293*1.1)+(G293*1)+(H293*1.6)+(I293*0.9)+(J293*1)+(K293*0.8))/11-1)/4)*20000,0)))</f>
        <v/>
      </c>
      <c r="M293" s="36">
        <f>IF(L293="","",MIN(100,ROUND(L293/200,0)))</f>
        <v/>
      </c>
      <c r="N293" s="36" t="n"/>
      <c r="O293" s="36" t="n"/>
    </row>
    <row r="294">
      <c r="A294" s="32" t="n"/>
      <c r="B294" s="36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>
        <f>IF(COUNTA(B294:K294)&lt;10,"",MAX(300,ROUND(((((B294*1.4)+(C294*1.1)+(D294*1.1)+(E294*1)+(F294*1.1)+(G294*1)+(H294*1.6)+(I294*0.9)+(J294*1)+(K294*0.8))/11-1)/4)*20000,0)))</f>
        <v/>
      </c>
      <c r="M294" s="36">
        <f>IF(L294="","",MIN(100,ROUND(L294/200,0)))</f>
        <v/>
      </c>
      <c r="N294" s="36" t="n"/>
      <c r="O294" s="36" t="n"/>
    </row>
    <row r="295">
      <c r="A295" s="32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>
        <f>IF(COUNTA(B295:K295)&lt;10,"",MAX(300,ROUND(((((B295*1.4)+(C295*1.1)+(D295*1.1)+(E295*1)+(F295*1.1)+(G295*1)+(H295*1.6)+(I295*0.9)+(J295*1)+(K295*0.8))/11-1)/4)*20000,0)))</f>
        <v/>
      </c>
      <c r="M295" s="36">
        <f>IF(L295="","",MIN(100,ROUND(L295/200,0)))</f>
        <v/>
      </c>
      <c r="N295" s="36" t="n"/>
      <c r="O295" s="36" t="n"/>
    </row>
    <row r="296">
      <c r="A296" s="32" t="n"/>
      <c r="B296" s="36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>
        <f>IF(COUNTA(B296:K296)&lt;10,"",MAX(300,ROUND(((((B296*1.4)+(C296*1.1)+(D296*1.1)+(E296*1)+(F296*1.1)+(G296*1)+(H296*1.6)+(I296*0.9)+(J296*1)+(K296*0.8))/11-1)/4)*20000,0)))</f>
        <v/>
      </c>
      <c r="M296" s="36">
        <f>IF(L296="","",MIN(100,ROUND(L296/200,0)))</f>
        <v/>
      </c>
      <c r="N296" s="36" t="n"/>
      <c r="O296" s="36" t="n"/>
    </row>
    <row r="297">
      <c r="A297" s="32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>
        <f>IF(COUNTA(B297:K297)&lt;10,"",MAX(300,ROUND(((((B297*1.4)+(C297*1.1)+(D297*1.1)+(E297*1)+(F297*1.1)+(G297*1)+(H297*1.6)+(I297*0.9)+(J297*1)+(K297*0.8))/11-1)/4)*20000,0)))</f>
        <v/>
      </c>
      <c r="M297" s="36">
        <f>IF(L297="","",MIN(100,ROUND(L297/200,0)))</f>
        <v/>
      </c>
      <c r="N297" s="36" t="n"/>
      <c r="O297" s="36" t="n"/>
    </row>
    <row r="298">
      <c r="A298" s="32" t="n"/>
      <c r="B298" s="36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>
        <f>IF(COUNTA(B298:K298)&lt;10,"",MAX(300,ROUND(((((B298*1.4)+(C298*1.1)+(D298*1.1)+(E298*1)+(F298*1.1)+(G298*1)+(H298*1.6)+(I298*0.9)+(J298*1)+(K298*0.8))/11-1)/4)*20000,0)))</f>
        <v/>
      </c>
      <c r="M298" s="36">
        <f>IF(L298="","",MIN(100,ROUND(L298/200,0)))</f>
        <v/>
      </c>
      <c r="N298" s="36" t="n"/>
      <c r="O298" s="36" t="n"/>
    </row>
    <row r="299">
      <c r="A299" s="32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>
        <f>IF(COUNTA(B299:K299)&lt;10,"",MAX(300,ROUND(((((B299*1.4)+(C299*1.1)+(D299*1.1)+(E299*1)+(F299*1.1)+(G299*1)+(H299*1.6)+(I299*0.9)+(J299*1)+(K299*0.8))/11-1)/4)*20000,0)))</f>
        <v/>
      </c>
      <c r="M299" s="36">
        <f>IF(L299="","",MIN(100,ROUND(L299/200,0)))</f>
        <v/>
      </c>
      <c r="N299" s="36" t="n"/>
      <c r="O299" s="36" t="n"/>
    </row>
    <row r="300">
      <c r="A300" s="32" t="n"/>
      <c r="B300" s="36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>
        <f>IF(COUNTA(B300:K300)&lt;10,"",MAX(300,ROUND(((((B300*1.4)+(C300*1.1)+(D300*1.1)+(E300*1)+(F300*1.1)+(G300*1)+(H300*1.6)+(I300*0.9)+(J300*1)+(K300*0.8))/11-1)/4)*20000,0)))</f>
        <v/>
      </c>
      <c r="M300" s="36">
        <f>IF(L300="","",MIN(100,ROUND(L300/200,0)))</f>
        <v/>
      </c>
      <c r="N300" s="36" t="n"/>
      <c r="O300" s="36" t="n"/>
    </row>
    <row r="301">
      <c r="A301" s="32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>
        <f>IF(COUNTA(B301:K301)&lt;10,"",MAX(300,ROUND(((((B301*1.4)+(C301*1.1)+(D301*1.1)+(E301*1)+(F301*1.1)+(G301*1)+(H301*1.6)+(I301*0.9)+(J301*1)+(K301*0.8))/11-1)/4)*20000,0)))</f>
        <v/>
      </c>
      <c r="M301" s="36">
        <f>IF(L301="","",MIN(100,ROUND(L301/200,0)))</f>
        <v/>
      </c>
      <c r="N301" s="36" t="n"/>
      <c r="O301" s="36" t="n"/>
    </row>
    <row r="302">
      <c r="A302" s="32" t="n"/>
      <c r="B302" s="36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>
        <f>IF(COUNTA(B302:K302)&lt;10,"",MAX(300,ROUND(((((B302*1.4)+(C302*1.1)+(D302*1.1)+(E302*1)+(F302*1.1)+(G302*1)+(H302*1.6)+(I302*0.9)+(J302*1)+(K302*0.8))/11-1)/4)*20000,0)))</f>
        <v/>
      </c>
      <c r="M302" s="36">
        <f>IF(L302="","",MIN(100,ROUND(L302/200,0)))</f>
        <v/>
      </c>
      <c r="N302" s="36" t="n"/>
      <c r="O302" s="36" t="n"/>
    </row>
    <row r="303">
      <c r="A303" s="32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>
        <f>IF(COUNTA(B303:K303)&lt;10,"",MAX(300,ROUND(((((B303*1.4)+(C303*1.1)+(D303*1.1)+(E303*1)+(F303*1.1)+(G303*1)+(H303*1.6)+(I303*0.9)+(J303*1)+(K303*0.8))/11-1)/4)*20000,0)))</f>
        <v/>
      </c>
      <c r="M303" s="36">
        <f>IF(L303="","",MIN(100,ROUND(L303/200,0)))</f>
        <v/>
      </c>
      <c r="N303" s="36" t="n"/>
      <c r="O303" s="36" t="n"/>
    </row>
    <row r="304">
      <c r="A304" s="32" t="n"/>
      <c r="B304" s="36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>
        <f>IF(COUNTA(B304:K304)&lt;10,"",MAX(300,ROUND(((((B304*1.4)+(C304*1.1)+(D304*1.1)+(E304*1)+(F304*1.1)+(G304*1)+(H304*1.6)+(I304*0.9)+(J304*1)+(K304*0.8))/11-1)/4)*20000,0)))</f>
        <v/>
      </c>
      <c r="M304" s="36">
        <f>IF(L304="","",MIN(100,ROUND(L304/200,0)))</f>
        <v/>
      </c>
      <c r="N304" s="36" t="n"/>
      <c r="O304" s="36" t="n"/>
    </row>
    <row r="305">
      <c r="A305" s="32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>
        <f>IF(COUNTA(B305:K305)&lt;10,"",MAX(300,ROUND(((((B305*1.4)+(C305*1.1)+(D305*1.1)+(E305*1)+(F305*1.1)+(G305*1)+(H305*1.6)+(I305*0.9)+(J305*1)+(K305*0.8))/11-1)/4)*20000,0)))</f>
        <v/>
      </c>
      <c r="M305" s="36">
        <f>IF(L305="","",MIN(100,ROUND(L305/200,0)))</f>
        <v/>
      </c>
      <c r="N305" s="36" t="n"/>
      <c r="O305" s="36" t="n"/>
    </row>
    <row r="306">
      <c r="A306" s="32" t="n"/>
      <c r="B306" s="36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>
        <f>IF(COUNTA(B306:K306)&lt;10,"",MAX(300,ROUND(((((B306*1.4)+(C306*1.1)+(D306*1.1)+(E306*1)+(F306*1.1)+(G306*1)+(H306*1.6)+(I306*0.9)+(J306*1)+(K306*0.8))/11-1)/4)*20000,0)))</f>
        <v/>
      </c>
      <c r="M306" s="36">
        <f>IF(L306="","",MIN(100,ROUND(L306/200,0)))</f>
        <v/>
      </c>
      <c r="N306" s="36" t="n"/>
      <c r="O306" s="36" t="n"/>
    </row>
    <row r="307">
      <c r="A307" s="32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>
        <f>IF(COUNTA(B307:K307)&lt;10,"",MAX(300,ROUND(((((B307*1.4)+(C307*1.1)+(D307*1.1)+(E307*1)+(F307*1.1)+(G307*1)+(H307*1.6)+(I307*0.9)+(J307*1)+(K307*0.8))/11-1)/4)*20000,0)))</f>
        <v/>
      </c>
      <c r="M307" s="36">
        <f>IF(L307="","",MIN(100,ROUND(L307/200,0)))</f>
        <v/>
      </c>
      <c r="N307" s="36" t="n"/>
      <c r="O307" s="36" t="n"/>
    </row>
    <row r="308">
      <c r="A308" s="32" t="n"/>
      <c r="B308" s="36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>
        <f>IF(COUNTA(B308:K308)&lt;10,"",MAX(300,ROUND(((((B308*1.4)+(C308*1.1)+(D308*1.1)+(E308*1)+(F308*1.1)+(G308*1)+(H308*1.6)+(I308*0.9)+(J308*1)+(K308*0.8))/11-1)/4)*20000,0)))</f>
        <v/>
      </c>
      <c r="M308" s="36">
        <f>IF(L308="","",MIN(100,ROUND(L308/200,0)))</f>
        <v/>
      </c>
      <c r="N308" s="36" t="n"/>
      <c r="O308" s="36" t="n"/>
    </row>
    <row r="309">
      <c r="A309" s="32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>
        <f>IF(COUNTA(B309:K309)&lt;10,"",MAX(300,ROUND(((((B309*1.4)+(C309*1.1)+(D309*1.1)+(E309*1)+(F309*1.1)+(G309*1)+(H309*1.6)+(I309*0.9)+(J309*1)+(K309*0.8))/11-1)/4)*20000,0)))</f>
        <v/>
      </c>
      <c r="M309" s="36">
        <f>IF(L309="","",MIN(100,ROUND(L309/200,0)))</f>
        <v/>
      </c>
      <c r="N309" s="36" t="n"/>
      <c r="O309" s="36" t="n"/>
    </row>
    <row r="310">
      <c r="A310" s="32" t="n"/>
      <c r="B310" s="36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>
        <f>IF(COUNTA(B310:K310)&lt;10,"",MAX(300,ROUND(((((B310*1.4)+(C310*1.1)+(D310*1.1)+(E310*1)+(F310*1.1)+(G310*1)+(H310*1.6)+(I310*0.9)+(J310*1)+(K310*0.8))/11-1)/4)*20000,0)))</f>
        <v/>
      </c>
      <c r="M310" s="36">
        <f>IF(L310="","",MIN(100,ROUND(L310/200,0)))</f>
        <v/>
      </c>
      <c r="N310" s="36" t="n"/>
      <c r="O310" s="36" t="n"/>
    </row>
    <row r="311">
      <c r="A311" s="32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>
        <f>IF(COUNTA(B311:K311)&lt;10,"",MAX(300,ROUND(((((B311*1.4)+(C311*1.1)+(D311*1.1)+(E311*1)+(F311*1.1)+(G311*1)+(H311*1.6)+(I311*0.9)+(J311*1)+(K311*0.8))/11-1)/4)*20000,0)))</f>
        <v/>
      </c>
      <c r="M311" s="36">
        <f>IF(L311="","",MIN(100,ROUND(L311/200,0)))</f>
        <v/>
      </c>
      <c r="N311" s="36" t="n"/>
      <c r="O311" s="36" t="n"/>
    </row>
    <row r="312">
      <c r="A312" s="32" t="n"/>
      <c r="B312" s="36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>
        <f>IF(COUNTA(B312:K312)&lt;10,"",MAX(300,ROUND(((((B312*1.4)+(C312*1.1)+(D312*1.1)+(E312*1)+(F312*1.1)+(G312*1)+(H312*1.6)+(I312*0.9)+(J312*1)+(K312*0.8))/11-1)/4)*20000,0)))</f>
        <v/>
      </c>
      <c r="M312" s="36">
        <f>IF(L312="","",MIN(100,ROUND(L312/200,0)))</f>
        <v/>
      </c>
      <c r="N312" s="36" t="n"/>
      <c r="O312" s="36" t="n"/>
    </row>
    <row r="313">
      <c r="A313" s="32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>
        <f>IF(COUNTA(B313:K313)&lt;10,"",MAX(300,ROUND(((((B313*1.4)+(C313*1.1)+(D313*1.1)+(E313*1)+(F313*1.1)+(G313*1)+(H313*1.6)+(I313*0.9)+(J313*1)+(K313*0.8))/11-1)/4)*20000,0)))</f>
        <v/>
      </c>
      <c r="M313" s="36">
        <f>IF(L313="","",MIN(100,ROUND(L313/200,0)))</f>
        <v/>
      </c>
      <c r="N313" s="36" t="n"/>
      <c r="O313" s="36" t="n"/>
    </row>
    <row r="314">
      <c r="A314" s="32" t="n"/>
      <c r="B314" s="36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>
        <f>IF(COUNTA(B314:K314)&lt;10,"",MAX(300,ROUND(((((B314*1.4)+(C314*1.1)+(D314*1.1)+(E314*1)+(F314*1.1)+(G314*1)+(H314*1.6)+(I314*0.9)+(J314*1)+(K314*0.8))/11-1)/4)*20000,0)))</f>
        <v/>
      </c>
      <c r="M314" s="36">
        <f>IF(L314="","",MIN(100,ROUND(L314/200,0)))</f>
        <v/>
      </c>
      <c r="N314" s="36" t="n"/>
      <c r="O314" s="36" t="n"/>
    </row>
    <row r="315">
      <c r="A315" s="32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>
        <f>IF(COUNTA(B315:K315)&lt;10,"",MAX(300,ROUND(((((B315*1.4)+(C315*1.1)+(D315*1.1)+(E315*1)+(F315*1.1)+(G315*1)+(H315*1.6)+(I315*0.9)+(J315*1)+(K315*0.8))/11-1)/4)*20000,0)))</f>
        <v/>
      </c>
      <c r="M315" s="36">
        <f>IF(L315="","",MIN(100,ROUND(L315/200,0)))</f>
        <v/>
      </c>
      <c r="N315" s="36" t="n"/>
      <c r="O315" s="36" t="n"/>
    </row>
    <row r="316">
      <c r="A316" s="32" t="n"/>
      <c r="B316" s="36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>
        <f>IF(COUNTA(B316:K316)&lt;10,"",MAX(300,ROUND(((((B316*1.4)+(C316*1.1)+(D316*1.1)+(E316*1)+(F316*1.1)+(G316*1)+(H316*1.6)+(I316*0.9)+(J316*1)+(K316*0.8))/11-1)/4)*20000,0)))</f>
        <v/>
      </c>
      <c r="M316" s="36">
        <f>IF(L316="","",MIN(100,ROUND(L316/200,0)))</f>
        <v/>
      </c>
      <c r="N316" s="36" t="n"/>
      <c r="O316" s="36" t="n"/>
    </row>
    <row r="317">
      <c r="A317" s="32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>
        <f>IF(COUNTA(B317:K317)&lt;10,"",MAX(300,ROUND(((((B317*1.4)+(C317*1.1)+(D317*1.1)+(E317*1)+(F317*1.1)+(G317*1)+(H317*1.6)+(I317*0.9)+(J317*1)+(K317*0.8))/11-1)/4)*20000,0)))</f>
        <v/>
      </c>
      <c r="M317" s="36">
        <f>IF(L317="","",MIN(100,ROUND(L317/200,0)))</f>
        <v/>
      </c>
      <c r="N317" s="36" t="n"/>
      <c r="O317" s="36" t="n"/>
    </row>
    <row r="318">
      <c r="A318" s="32" t="n"/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>
        <f>IF(COUNTA(B318:K318)&lt;10,"",MAX(300,ROUND(((((B318*1.4)+(C318*1.1)+(D318*1.1)+(E318*1)+(F318*1.1)+(G318*1)+(H318*1.6)+(I318*0.9)+(J318*1)+(K318*0.8))/11-1)/4)*20000,0)))</f>
        <v/>
      </c>
      <c r="M318" s="36">
        <f>IF(L318="","",MIN(100,ROUND(L318/200,0)))</f>
        <v/>
      </c>
      <c r="N318" s="36" t="n"/>
      <c r="O318" s="36" t="n"/>
    </row>
    <row r="319">
      <c r="A319" s="32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>
        <f>IF(COUNTA(B319:K319)&lt;10,"",MAX(300,ROUND(((((B319*1.4)+(C319*1.1)+(D319*1.1)+(E319*1)+(F319*1.1)+(G319*1)+(H319*1.6)+(I319*0.9)+(J319*1)+(K319*0.8))/11-1)/4)*20000,0)))</f>
        <v/>
      </c>
      <c r="M319" s="36">
        <f>IF(L319="","",MIN(100,ROUND(L319/200,0)))</f>
        <v/>
      </c>
      <c r="N319" s="36" t="n"/>
      <c r="O319" s="36" t="n"/>
    </row>
    <row r="320">
      <c r="A320" s="32" t="n"/>
      <c r="B320" s="36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>
        <f>IF(COUNTA(B320:K320)&lt;10,"",MAX(300,ROUND(((((B320*1.4)+(C320*1.1)+(D320*1.1)+(E320*1)+(F320*1.1)+(G320*1)+(H320*1.6)+(I320*0.9)+(J320*1)+(K320*0.8))/11-1)/4)*20000,0)))</f>
        <v/>
      </c>
      <c r="M320" s="36">
        <f>IF(L320="","",MIN(100,ROUND(L320/200,0)))</f>
        <v/>
      </c>
      <c r="N320" s="36" t="n"/>
      <c r="O320" s="36" t="n"/>
    </row>
    <row r="321">
      <c r="A321" s="32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>
        <f>IF(COUNTA(B321:K321)&lt;10,"",MAX(300,ROUND(((((B321*1.4)+(C321*1.1)+(D321*1.1)+(E321*1)+(F321*1.1)+(G321*1)+(H321*1.6)+(I321*0.9)+(J321*1)+(K321*0.8))/11-1)/4)*20000,0)))</f>
        <v/>
      </c>
      <c r="M321" s="36">
        <f>IF(L321="","",MIN(100,ROUND(L321/200,0)))</f>
        <v/>
      </c>
      <c r="N321" s="36" t="n"/>
      <c r="O321" s="36" t="n"/>
    </row>
    <row r="322">
      <c r="A322" s="32" t="n"/>
      <c r="B322" s="36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>
        <f>IF(COUNTA(B322:K322)&lt;10,"",MAX(300,ROUND(((((B322*1.4)+(C322*1.1)+(D322*1.1)+(E322*1)+(F322*1.1)+(G322*1)+(H322*1.6)+(I322*0.9)+(J322*1)+(K322*0.8))/11-1)/4)*20000,0)))</f>
        <v/>
      </c>
      <c r="M322" s="36">
        <f>IF(L322="","",MIN(100,ROUND(L322/200,0)))</f>
        <v/>
      </c>
      <c r="N322" s="36" t="n"/>
      <c r="O322" s="36" t="n"/>
    </row>
    <row r="323">
      <c r="A323" s="32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>
        <f>IF(COUNTA(B323:K323)&lt;10,"",MAX(300,ROUND(((((B323*1.4)+(C323*1.1)+(D323*1.1)+(E323*1)+(F323*1.1)+(G323*1)+(H323*1.6)+(I323*0.9)+(J323*1)+(K323*0.8))/11-1)/4)*20000,0)))</f>
        <v/>
      </c>
      <c r="M323" s="36">
        <f>IF(L323="","",MIN(100,ROUND(L323/200,0)))</f>
        <v/>
      </c>
      <c r="N323" s="36" t="n"/>
      <c r="O323" s="36" t="n"/>
    </row>
    <row r="324">
      <c r="A324" s="32" t="n"/>
      <c r="B324" s="36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>
        <f>IF(COUNTA(B324:K324)&lt;10,"",MAX(300,ROUND(((((B324*1.4)+(C324*1.1)+(D324*1.1)+(E324*1)+(F324*1.1)+(G324*1)+(H324*1.6)+(I324*0.9)+(J324*1)+(K324*0.8))/11-1)/4)*20000,0)))</f>
        <v/>
      </c>
      <c r="M324" s="36">
        <f>IF(L324="","",MIN(100,ROUND(L324/200,0)))</f>
        <v/>
      </c>
      <c r="N324" s="36" t="n"/>
      <c r="O324" s="36" t="n"/>
    </row>
    <row r="325">
      <c r="A325" s="32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>
        <f>IF(COUNTA(B325:K325)&lt;10,"",MAX(300,ROUND(((((B325*1.4)+(C325*1.1)+(D325*1.1)+(E325*1)+(F325*1.1)+(G325*1)+(H325*1.6)+(I325*0.9)+(J325*1)+(K325*0.8))/11-1)/4)*20000,0)))</f>
        <v/>
      </c>
      <c r="M325" s="36">
        <f>IF(L325="","",MIN(100,ROUND(L325/200,0)))</f>
        <v/>
      </c>
      <c r="N325" s="36" t="n"/>
      <c r="O325" s="36" t="n"/>
    </row>
    <row r="326">
      <c r="A326" s="32" t="n"/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>
        <f>IF(COUNTA(B326:K326)&lt;10,"",MAX(300,ROUND(((((B326*1.4)+(C326*1.1)+(D326*1.1)+(E326*1)+(F326*1.1)+(G326*1)+(H326*1.6)+(I326*0.9)+(J326*1)+(K326*0.8))/11-1)/4)*20000,0)))</f>
        <v/>
      </c>
      <c r="M326" s="36">
        <f>IF(L326="","",MIN(100,ROUND(L326/200,0)))</f>
        <v/>
      </c>
      <c r="N326" s="36" t="n"/>
      <c r="O326" s="36" t="n"/>
    </row>
    <row r="327">
      <c r="A327" s="32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>
        <f>IF(COUNTA(B327:K327)&lt;10,"",MAX(300,ROUND(((((B327*1.4)+(C327*1.1)+(D327*1.1)+(E327*1)+(F327*1.1)+(G327*1)+(H327*1.6)+(I327*0.9)+(J327*1)+(K327*0.8))/11-1)/4)*20000,0)))</f>
        <v/>
      </c>
      <c r="M327" s="36">
        <f>IF(L327="","",MIN(100,ROUND(L327/200,0)))</f>
        <v/>
      </c>
      <c r="N327" s="36" t="n"/>
      <c r="O327" s="36" t="n"/>
    </row>
    <row r="328">
      <c r="A328" s="32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>
        <f>IF(COUNTA(B328:K328)&lt;10,"",MAX(300,ROUND(((((B328*1.4)+(C328*1.1)+(D328*1.1)+(E328*1)+(F328*1.1)+(G328*1)+(H328*1.6)+(I328*0.9)+(J328*1)+(K328*0.8))/11-1)/4)*20000,0)))</f>
        <v/>
      </c>
      <c r="M328" s="36">
        <f>IF(L328="","",MIN(100,ROUND(L328/200,0)))</f>
        <v/>
      </c>
      <c r="N328" s="36" t="n"/>
      <c r="O328" s="36" t="n"/>
    </row>
    <row r="329">
      <c r="A329" s="32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>
        <f>IF(COUNTA(B329:K329)&lt;10,"",MAX(300,ROUND(((((B329*1.4)+(C329*1.1)+(D329*1.1)+(E329*1)+(F329*1.1)+(G329*1)+(H329*1.6)+(I329*0.9)+(J329*1)+(K329*0.8))/11-1)/4)*20000,0)))</f>
        <v/>
      </c>
      <c r="M329" s="36">
        <f>IF(L329="","",MIN(100,ROUND(L329/200,0)))</f>
        <v/>
      </c>
      <c r="N329" s="36" t="n"/>
      <c r="O329" s="36" t="n"/>
    </row>
    <row r="330">
      <c r="A330" s="32" t="n"/>
      <c r="B330" s="36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>
        <f>IF(COUNTA(B330:K330)&lt;10,"",MAX(300,ROUND(((((B330*1.4)+(C330*1.1)+(D330*1.1)+(E330*1)+(F330*1.1)+(G330*1)+(H330*1.6)+(I330*0.9)+(J330*1)+(K330*0.8))/11-1)/4)*20000,0)))</f>
        <v/>
      </c>
      <c r="M330" s="36">
        <f>IF(L330="","",MIN(100,ROUND(L330/200,0)))</f>
        <v/>
      </c>
      <c r="N330" s="36" t="n"/>
      <c r="O330" s="36" t="n"/>
    </row>
    <row r="331">
      <c r="A331" s="32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>
        <f>IF(COUNTA(B331:K331)&lt;10,"",MAX(300,ROUND(((((B331*1.4)+(C331*1.1)+(D331*1.1)+(E331*1)+(F331*1.1)+(G331*1)+(H331*1.6)+(I331*0.9)+(J331*1)+(K331*0.8))/11-1)/4)*20000,0)))</f>
        <v/>
      </c>
      <c r="M331" s="36">
        <f>IF(L331="","",MIN(100,ROUND(L331/200,0)))</f>
        <v/>
      </c>
      <c r="N331" s="36" t="n"/>
      <c r="O331" s="36" t="n"/>
    </row>
    <row r="332">
      <c r="A332" s="32" t="n"/>
      <c r="B332" s="36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>
        <f>IF(COUNTA(B332:K332)&lt;10,"",MAX(300,ROUND(((((B332*1.4)+(C332*1.1)+(D332*1.1)+(E332*1)+(F332*1.1)+(G332*1)+(H332*1.6)+(I332*0.9)+(J332*1)+(K332*0.8))/11-1)/4)*20000,0)))</f>
        <v/>
      </c>
      <c r="M332" s="36">
        <f>IF(L332="","",MIN(100,ROUND(L332/200,0)))</f>
        <v/>
      </c>
      <c r="N332" s="36" t="n"/>
      <c r="O332" s="36" t="n"/>
    </row>
    <row r="333">
      <c r="A333" s="32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>
        <f>IF(COUNTA(B333:K333)&lt;10,"",MAX(300,ROUND(((((B333*1.4)+(C333*1.1)+(D333*1.1)+(E333*1)+(F333*1.1)+(G333*1)+(H333*1.6)+(I333*0.9)+(J333*1)+(K333*0.8))/11-1)/4)*20000,0)))</f>
        <v/>
      </c>
      <c r="M333" s="36">
        <f>IF(L333="","",MIN(100,ROUND(L333/200,0)))</f>
        <v/>
      </c>
      <c r="N333" s="36" t="n"/>
      <c r="O333" s="36" t="n"/>
    </row>
    <row r="334">
      <c r="A334" s="32" t="n"/>
      <c r="B334" s="36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>
        <f>IF(COUNTA(B334:K334)&lt;10,"",MAX(300,ROUND(((((B334*1.4)+(C334*1.1)+(D334*1.1)+(E334*1)+(F334*1.1)+(G334*1)+(H334*1.6)+(I334*0.9)+(J334*1)+(K334*0.8))/11-1)/4)*20000,0)))</f>
        <v/>
      </c>
      <c r="M334" s="36">
        <f>IF(L334="","",MIN(100,ROUND(L334/200,0)))</f>
        <v/>
      </c>
      <c r="N334" s="36" t="n"/>
      <c r="O334" s="36" t="n"/>
    </row>
    <row r="335">
      <c r="A335" s="32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>
        <f>IF(COUNTA(B335:K335)&lt;10,"",MAX(300,ROUND(((((B335*1.4)+(C335*1.1)+(D335*1.1)+(E335*1)+(F335*1.1)+(G335*1)+(H335*1.6)+(I335*0.9)+(J335*1)+(K335*0.8))/11-1)/4)*20000,0)))</f>
        <v/>
      </c>
      <c r="M335" s="36">
        <f>IF(L335="","",MIN(100,ROUND(L335/200,0)))</f>
        <v/>
      </c>
      <c r="N335" s="36" t="n"/>
      <c r="O335" s="36" t="n"/>
    </row>
    <row r="336">
      <c r="A336" s="32" t="n"/>
      <c r="B336" s="36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>
        <f>IF(COUNTA(B336:K336)&lt;10,"",MAX(300,ROUND(((((B336*1.4)+(C336*1.1)+(D336*1.1)+(E336*1)+(F336*1.1)+(G336*1)+(H336*1.6)+(I336*0.9)+(J336*1)+(K336*0.8))/11-1)/4)*20000,0)))</f>
        <v/>
      </c>
      <c r="M336" s="36">
        <f>IF(L336="","",MIN(100,ROUND(L336/200,0)))</f>
        <v/>
      </c>
      <c r="N336" s="36" t="n"/>
      <c r="O336" s="36" t="n"/>
    </row>
    <row r="337">
      <c r="A337" s="32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>
        <f>IF(COUNTA(B337:K337)&lt;10,"",MAX(300,ROUND(((((B337*1.4)+(C337*1.1)+(D337*1.1)+(E337*1)+(F337*1.1)+(G337*1)+(H337*1.6)+(I337*0.9)+(J337*1)+(K337*0.8))/11-1)/4)*20000,0)))</f>
        <v/>
      </c>
      <c r="M337" s="36">
        <f>IF(L337="","",MIN(100,ROUND(L337/200,0)))</f>
        <v/>
      </c>
      <c r="N337" s="36" t="n"/>
      <c r="O337" s="36" t="n"/>
    </row>
    <row r="338">
      <c r="A338" s="32" t="n"/>
      <c r="B338" s="36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>
        <f>IF(COUNTA(B338:K338)&lt;10,"",MAX(300,ROUND(((((B338*1.4)+(C338*1.1)+(D338*1.1)+(E338*1)+(F338*1.1)+(G338*1)+(H338*1.6)+(I338*0.9)+(J338*1)+(K338*0.8))/11-1)/4)*20000,0)))</f>
        <v/>
      </c>
      <c r="M338" s="36">
        <f>IF(L338="","",MIN(100,ROUND(L338/200,0)))</f>
        <v/>
      </c>
      <c r="N338" s="36" t="n"/>
      <c r="O338" s="36" t="n"/>
    </row>
    <row r="339">
      <c r="A339" s="32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>
        <f>IF(COUNTA(B339:K339)&lt;10,"",MAX(300,ROUND(((((B339*1.4)+(C339*1.1)+(D339*1.1)+(E339*1)+(F339*1.1)+(G339*1)+(H339*1.6)+(I339*0.9)+(J339*1)+(K339*0.8))/11-1)/4)*20000,0)))</f>
        <v/>
      </c>
      <c r="M339" s="36">
        <f>IF(L339="","",MIN(100,ROUND(L339/200,0)))</f>
        <v/>
      </c>
      <c r="N339" s="36" t="n"/>
      <c r="O339" s="36" t="n"/>
    </row>
    <row r="340">
      <c r="A340" s="32" t="n"/>
      <c r="B340" s="36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>
        <f>IF(COUNTA(B340:K340)&lt;10,"",MAX(300,ROUND(((((B340*1.4)+(C340*1.1)+(D340*1.1)+(E340*1)+(F340*1.1)+(G340*1)+(H340*1.6)+(I340*0.9)+(J340*1)+(K340*0.8))/11-1)/4)*20000,0)))</f>
        <v/>
      </c>
      <c r="M340" s="36">
        <f>IF(L340="","",MIN(100,ROUND(L340/200,0)))</f>
        <v/>
      </c>
      <c r="N340" s="36" t="n"/>
      <c r="O340" s="36" t="n"/>
    </row>
    <row r="341">
      <c r="A341" s="32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>
        <f>IF(COUNTA(B341:K341)&lt;10,"",MAX(300,ROUND(((((B341*1.4)+(C341*1.1)+(D341*1.1)+(E341*1)+(F341*1.1)+(G341*1)+(H341*1.6)+(I341*0.9)+(J341*1)+(K341*0.8))/11-1)/4)*20000,0)))</f>
        <v/>
      </c>
      <c r="M341" s="36">
        <f>IF(L341="","",MIN(100,ROUND(L341/200,0)))</f>
        <v/>
      </c>
      <c r="N341" s="36" t="n"/>
      <c r="O341" s="36" t="n"/>
    </row>
    <row r="342">
      <c r="A342" s="32" t="n"/>
      <c r="B342" s="36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>
        <f>IF(COUNTA(B342:K342)&lt;10,"",MAX(300,ROUND(((((B342*1.4)+(C342*1.1)+(D342*1.1)+(E342*1)+(F342*1.1)+(G342*1)+(H342*1.6)+(I342*0.9)+(J342*1)+(K342*0.8))/11-1)/4)*20000,0)))</f>
        <v/>
      </c>
      <c r="M342" s="36">
        <f>IF(L342="","",MIN(100,ROUND(L342/200,0)))</f>
        <v/>
      </c>
      <c r="N342" s="36" t="n"/>
      <c r="O342" s="36" t="n"/>
    </row>
    <row r="343">
      <c r="A343" s="32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>
        <f>IF(COUNTA(B343:K343)&lt;10,"",MAX(300,ROUND(((((B343*1.4)+(C343*1.1)+(D343*1.1)+(E343*1)+(F343*1.1)+(G343*1)+(H343*1.6)+(I343*0.9)+(J343*1)+(K343*0.8))/11-1)/4)*20000,0)))</f>
        <v/>
      </c>
      <c r="M343" s="36">
        <f>IF(L343="","",MIN(100,ROUND(L343/200,0)))</f>
        <v/>
      </c>
      <c r="N343" s="36" t="n"/>
      <c r="O343" s="36" t="n"/>
    </row>
    <row r="344">
      <c r="A344" s="32" t="n"/>
      <c r="B344" s="36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>
        <f>IF(COUNTA(B344:K344)&lt;10,"",MAX(300,ROUND(((((B344*1.4)+(C344*1.1)+(D344*1.1)+(E344*1)+(F344*1.1)+(G344*1)+(H344*1.6)+(I344*0.9)+(J344*1)+(K344*0.8))/11-1)/4)*20000,0)))</f>
        <v/>
      </c>
      <c r="M344" s="36">
        <f>IF(L344="","",MIN(100,ROUND(L344/200,0)))</f>
        <v/>
      </c>
      <c r="N344" s="36" t="n"/>
      <c r="O344" s="36" t="n"/>
    </row>
    <row r="345">
      <c r="A345" s="32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>
        <f>IF(COUNTA(B345:K345)&lt;10,"",MAX(300,ROUND(((((B345*1.4)+(C345*1.1)+(D345*1.1)+(E345*1)+(F345*1.1)+(G345*1)+(H345*1.6)+(I345*0.9)+(J345*1)+(K345*0.8))/11-1)/4)*20000,0)))</f>
        <v/>
      </c>
      <c r="M345" s="36">
        <f>IF(L345="","",MIN(100,ROUND(L345/200,0)))</f>
        <v/>
      </c>
      <c r="N345" s="36" t="n"/>
      <c r="O345" s="36" t="n"/>
    </row>
    <row r="346">
      <c r="A346" s="32" t="n"/>
      <c r="B346" s="36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>
        <f>IF(COUNTA(B346:K346)&lt;10,"",MAX(300,ROUND(((((B346*1.4)+(C346*1.1)+(D346*1.1)+(E346*1)+(F346*1.1)+(G346*1)+(H346*1.6)+(I346*0.9)+(J346*1)+(K346*0.8))/11-1)/4)*20000,0)))</f>
        <v/>
      </c>
      <c r="M346" s="36">
        <f>IF(L346="","",MIN(100,ROUND(L346/200,0)))</f>
        <v/>
      </c>
      <c r="N346" s="36" t="n"/>
      <c r="O346" s="36" t="n"/>
    </row>
    <row r="347">
      <c r="A347" s="32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>
        <f>IF(COUNTA(B347:K347)&lt;10,"",MAX(300,ROUND(((((B347*1.4)+(C347*1.1)+(D347*1.1)+(E347*1)+(F347*1.1)+(G347*1)+(H347*1.6)+(I347*0.9)+(J347*1)+(K347*0.8))/11-1)/4)*20000,0)))</f>
        <v/>
      </c>
      <c r="M347" s="36">
        <f>IF(L347="","",MIN(100,ROUND(L347/200,0)))</f>
        <v/>
      </c>
      <c r="N347" s="36" t="n"/>
      <c r="O347" s="36" t="n"/>
    </row>
    <row r="348">
      <c r="A348" s="32" t="n"/>
      <c r="B348" s="36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>
        <f>IF(COUNTA(B348:K348)&lt;10,"",MAX(300,ROUND(((((B348*1.4)+(C348*1.1)+(D348*1.1)+(E348*1)+(F348*1.1)+(G348*1)+(H348*1.6)+(I348*0.9)+(J348*1)+(K348*0.8))/11-1)/4)*20000,0)))</f>
        <v/>
      </c>
      <c r="M348" s="36">
        <f>IF(L348="","",MIN(100,ROUND(L348/200,0)))</f>
        <v/>
      </c>
      <c r="N348" s="36" t="n"/>
      <c r="O348" s="36" t="n"/>
    </row>
    <row r="349">
      <c r="A349" s="32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>
        <f>IF(COUNTA(B349:K349)&lt;10,"",MAX(300,ROUND(((((B349*1.4)+(C349*1.1)+(D349*1.1)+(E349*1)+(F349*1.1)+(G349*1)+(H349*1.6)+(I349*0.9)+(J349*1)+(K349*0.8))/11-1)/4)*20000,0)))</f>
        <v/>
      </c>
      <c r="M349" s="36">
        <f>IF(L349="","",MIN(100,ROUND(L349/200,0)))</f>
        <v/>
      </c>
      <c r="N349" s="36" t="n"/>
      <c r="O349" s="36" t="n"/>
    </row>
    <row r="350">
      <c r="A350" s="32" t="n"/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>
        <f>IF(COUNTA(B350:K350)&lt;10,"",MAX(300,ROUND(((((B350*1.4)+(C350*1.1)+(D350*1.1)+(E350*1)+(F350*1.1)+(G350*1)+(H350*1.6)+(I350*0.9)+(J350*1)+(K350*0.8))/11-1)/4)*20000,0)))</f>
        <v/>
      </c>
      <c r="M350" s="36">
        <f>IF(L350="","",MIN(100,ROUND(L350/200,0)))</f>
        <v/>
      </c>
      <c r="N350" s="36" t="n"/>
      <c r="O350" s="36" t="n"/>
    </row>
    <row r="351">
      <c r="A351" s="32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>
        <f>IF(COUNTA(B351:K351)&lt;10,"",MAX(300,ROUND(((((B351*1.4)+(C351*1.1)+(D351*1.1)+(E351*1)+(F351*1.1)+(G351*1)+(H351*1.6)+(I351*0.9)+(J351*1)+(K351*0.8))/11-1)/4)*20000,0)))</f>
        <v/>
      </c>
      <c r="M351" s="36">
        <f>IF(L351="","",MIN(100,ROUND(L351/200,0)))</f>
        <v/>
      </c>
      <c r="N351" s="36" t="n"/>
      <c r="O351" s="36" t="n"/>
    </row>
    <row r="352">
      <c r="A352" s="32" t="n"/>
      <c r="B352" s="36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>
        <f>IF(COUNTA(B352:K352)&lt;10,"",MAX(300,ROUND(((((B352*1.4)+(C352*1.1)+(D352*1.1)+(E352*1)+(F352*1.1)+(G352*1)+(H352*1.6)+(I352*0.9)+(J352*1)+(K352*0.8))/11-1)/4)*20000,0)))</f>
        <v/>
      </c>
      <c r="M352" s="36">
        <f>IF(L352="","",MIN(100,ROUND(L352/200,0)))</f>
        <v/>
      </c>
      <c r="N352" s="36" t="n"/>
      <c r="O352" s="36" t="n"/>
    </row>
    <row r="353">
      <c r="A353" s="32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>
        <f>IF(COUNTA(B353:K353)&lt;10,"",MAX(300,ROUND(((((B353*1.4)+(C353*1.1)+(D353*1.1)+(E353*1)+(F353*1.1)+(G353*1)+(H353*1.6)+(I353*0.9)+(J353*1)+(K353*0.8))/11-1)/4)*20000,0)))</f>
        <v/>
      </c>
      <c r="M353" s="36">
        <f>IF(L353="","",MIN(100,ROUND(L353/200,0)))</f>
        <v/>
      </c>
      <c r="N353" s="36" t="n"/>
      <c r="O353" s="36" t="n"/>
    </row>
    <row r="354">
      <c r="A354" s="32" t="n"/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>
        <f>IF(COUNTA(B354:K354)&lt;10,"",MAX(300,ROUND(((((B354*1.4)+(C354*1.1)+(D354*1.1)+(E354*1)+(F354*1.1)+(G354*1)+(H354*1.6)+(I354*0.9)+(J354*1)+(K354*0.8))/11-1)/4)*20000,0)))</f>
        <v/>
      </c>
      <c r="M354" s="36">
        <f>IF(L354="","",MIN(100,ROUND(L354/200,0)))</f>
        <v/>
      </c>
      <c r="N354" s="36" t="n"/>
      <c r="O354" s="36" t="n"/>
    </row>
    <row r="355">
      <c r="A355" s="32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>
        <f>IF(COUNTA(B355:K355)&lt;10,"",MAX(300,ROUND(((((B355*1.4)+(C355*1.1)+(D355*1.1)+(E355*1)+(F355*1.1)+(G355*1)+(H355*1.6)+(I355*0.9)+(J355*1)+(K355*0.8))/11-1)/4)*20000,0)))</f>
        <v/>
      </c>
      <c r="M355" s="36">
        <f>IF(L355="","",MIN(100,ROUND(L355/200,0)))</f>
        <v/>
      </c>
      <c r="N355" s="36" t="n"/>
      <c r="O355" s="36" t="n"/>
    </row>
    <row r="356">
      <c r="A356" s="32" t="n"/>
      <c r="B356" s="36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>
        <f>IF(COUNTA(B356:K356)&lt;10,"",MAX(300,ROUND(((((B356*1.4)+(C356*1.1)+(D356*1.1)+(E356*1)+(F356*1.1)+(G356*1)+(H356*1.6)+(I356*0.9)+(J356*1)+(K356*0.8))/11-1)/4)*20000,0)))</f>
        <v/>
      </c>
      <c r="M356" s="36">
        <f>IF(L356="","",MIN(100,ROUND(L356/200,0)))</f>
        <v/>
      </c>
      <c r="N356" s="36" t="n"/>
      <c r="O356" s="36" t="n"/>
    </row>
    <row r="357">
      <c r="A357" s="32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>
        <f>IF(COUNTA(B357:K357)&lt;10,"",MAX(300,ROUND(((((B357*1.4)+(C357*1.1)+(D357*1.1)+(E357*1)+(F357*1.1)+(G357*1)+(H357*1.6)+(I357*0.9)+(J357*1)+(K357*0.8))/11-1)/4)*20000,0)))</f>
        <v/>
      </c>
      <c r="M357" s="36">
        <f>IF(L357="","",MIN(100,ROUND(L357/200,0)))</f>
        <v/>
      </c>
      <c r="N357" s="36" t="n"/>
      <c r="O357" s="36" t="n"/>
    </row>
    <row r="358">
      <c r="A358" s="32" t="n"/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>
        <f>IF(COUNTA(B358:K358)&lt;10,"",MAX(300,ROUND(((((B358*1.4)+(C358*1.1)+(D358*1.1)+(E358*1)+(F358*1.1)+(G358*1)+(H358*1.6)+(I358*0.9)+(J358*1)+(K358*0.8))/11-1)/4)*20000,0)))</f>
        <v/>
      </c>
      <c r="M358" s="36">
        <f>IF(L358="","",MIN(100,ROUND(L358/200,0)))</f>
        <v/>
      </c>
      <c r="N358" s="36" t="n"/>
      <c r="O358" s="36" t="n"/>
    </row>
    <row r="359">
      <c r="A359" s="32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>
        <f>IF(COUNTA(B359:K359)&lt;10,"",MAX(300,ROUND(((((B359*1.4)+(C359*1.1)+(D359*1.1)+(E359*1)+(F359*1.1)+(G359*1)+(H359*1.6)+(I359*0.9)+(J359*1)+(K359*0.8))/11-1)/4)*20000,0)))</f>
        <v/>
      </c>
      <c r="M359" s="36">
        <f>IF(L359="","",MIN(100,ROUND(L359/200,0)))</f>
        <v/>
      </c>
      <c r="N359" s="36" t="n"/>
      <c r="O359" s="36" t="n"/>
    </row>
    <row r="360">
      <c r="A360" s="32" t="n"/>
      <c r="B360" s="36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>
        <f>IF(COUNTA(B360:K360)&lt;10,"",MAX(300,ROUND(((((B360*1.4)+(C360*1.1)+(D360*1.1)+(E360*1)+(F360*1.1)+(G360*1)+(H360*1.6)+(I360*0.9)+(J360*1)+(K360*0.8))/11-1)/4)*20000,0)))</f>
        <v/>
      </c>
      <c r="M360" s="36">
        <f>IF(L360="","",MIN(100,ROUND(L360/200,0)))</f>
        <v/>
      </c>
      <c r="N360" s="36" t="n"/>
      <c r="O360" s="36" t="n"/>
    </row>
    <row r="361">
      <c r="A361" s="32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>
        <f>IF(COUNTA(B361:K361)&lt;10,"",MAX(300,ROUND(((((B361*1.4)+(C361*1.1)+(D361*1.1)+(E361*1)+(F361*1.1)+(G361*1)+(H361*1.6)+(I361*0.9)+(J361*1)+(K361*0.8))/11-1)/4)*20000,0)))</f>
        <v/>
      </c>
      <c r="M361" s="36">
        <f>IF(L361="","",MIN(100,ROUND(L361/200,0)))</f>
        <v/>
      </c>
      <c r="N361" s="36" t="n"/>
      <c r="O361" s="36" t="n"/>
    </row>
    <row r="362">
      <c r="A362" s="32" t="n"/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>
        <f>IF(COUNTA(B362:K362)&lt;10,"",MAX(300,ROUND(((((B362*1.4)+(C362*1.1)+(D362*1.1)+(E362*1)+(F362*1.1)+(G362*1)+(H362*1.6)+(I362*0.9)+(J362*1)+(K362*0.8))/11-1)/4)*20000,0)))</f>
        <v/>
      </c>
      <c r="M362" s="36">
        <f>IF(L362="","",MIN(100,ROUND(L362/200,0)))</f>
        <v/>
      </c>
      <c r="N362" s="36" t="n"/>
      <c r="O362" s="36" t="n"/>
    </row>
    <row r="363">
      <c r="A363" s="32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>
        <f>IF(COUNTA(B363:K363)&lt;10,"",MAX(300,ROUND(((((B363*1.4)+(C363*1.1)+(D363*1.1)+(E363*1)+(F363*1.1)+(G363*1)+(H363*1.6)+(I363*0.9)+(J363*1)+(K363*0.8))/11-1)/4)*20000,0)))</f>
        <v/>
      </c>
      <c r="M363" s="36">
        <f>IF(L363="","",MIN(100,ROUND(L363/200,0)))</f>
        <v/>
      </c>
      <c r="N363" s="36" t="n"/>
      <c r="O363" s="36" t="n"/>
    </row>
    <row r="364">
      <c r="A364" s="32" t="n"/>
      <c r="B364" s="36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>
        <f>IF(COUNTA(B364:K364)&lt;10,"",MAX(300,ROUND(((((B364*1.4)+(C364*1.1)+(D364*1.1)+(E364*1)+(F364*1.1)+(G364*1)+(H364*1.6)+(I364*0.9)+(J364*1)+(K364*0.8))/11-1)/4)*20000,0)))</f>
        <v/>
      </c>
      <c r="M364" s="36">
        <f>IF(L364="","",MIN(100,ROUND(L364/200,0)))</f>
        <v/>
      </c>
      <c r="N364" s="36" t="n"/>
      <c r="O364" s="36" t="n"/>
    </row>
    <row r="365">
      <c r="A365" s="32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>
        <f>IF(COUNTA(B365:K365)&lt;10,"",MAX(300,ROUND(((((B365*1.4)+(C365*1.1)+(D365*1.1)+(E365*1)+(F365*1.1)+(G365*1)+(H365*1.6)+(I365*0.9)+(J365*1)+(K365*0.8))/11-1)/4)*20000,0)))</f>
        <v/>
      </c>
      <c r="M365" s="36">
        <f>IF(L365="","",MIN(100,ROUND(L365/200,0)))</f>
        <v/>
      </c>
      <c r="N365" s="36" t="n"/>
      <c r="O365" s="36" t="n"/>
    </row>
    <row r="366">
      <c r="A366" s="32" t="n"/>
      <c r="B366" s="36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>
        <f>IF(COUNTA(B366:K366)&lt;10,"",MAX(300,ROUND(((((B366*1.4)+(C366*1.1)+(D366*1.1)+(E366*1)+(F366*1.1)+(G366*1)+(H366*1.6)+(I366*0.9)+(J366*1)+(K366*0.8))/11-1)/4)*20000,0)))</f>
        <v/>
      </c>
      <c r="M366" s="36">
        <f>IF(L366="","",MIN(100,ROUND(L366/200,0)))</f>
        <v/>
      </c>
      <c r="N366" s="36" t="n"/>
      <c r="O366" s="36" t="n"/>
    </row>
    <row r="367">
      <c r="A367" s="32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>
        <f>IF(COUNTA(B367:K367)&lt;10,"",MAX(300,ROUND(((((B367*1.4)+(C367*1.1)+(D367*1.1)+(E367*1)+(F367*1.1)+(G367*1)+(H367*1.6)+(I367*0.9)+(J367*1)+(K367*0.8))/11-1)/4)*20000,0)))</f>
        <v/>
      </c>
      <c r="M367" s="36">
        <f>IF(L367="","",MIN(100,ROUND(L367/200,0)))</f>
        <v/>
      </c>
      <c r="N367" s="36" t="n"/>
      <c r="O367" s="36" t="n"/>
    </row>
    <row r="368">
      <c r="A368" s="32" t="n"/>
      <c r="B368" s="36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>
        <f>IF(COUNTA(B368:K368)&lt;10,"",MAX(300,ROUND(((((B368*1.4)+(C368*1.1)+(D368*1.1)+(E368*1)+(F368*1.1)+(G368*1)+(H368*1.6)+(I368*0.9)+(J368*1)+(K368*0.8))/11-1)/4)*20000,0)))</f>
        <v/>
      </c>
      <c r="M368" s="36">
        <f>IF(L368="","",MIN(100,ROUND(L368/200,0)))</f>
        <v/>
      </c>
      <c r="N368" s="36" t="n"/>
      <c r="O368" s="36" t="n"/>
    </row>
    <row r="369">
      <c r="A369" s="32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>
        <f>IF(COUNTA(B369:K369)&lt;10,"",MAX(300,ROUND(((((B369*1.4)+(C369*1.1)+(D369*1.1)+(E369*1)+(F369*1.1)+(G369*1)+(H369*1.6)+(I369*0.9)+(J369*1)+(K369*0.8))/11-1)/4)*20000,0)))</f>
        <v/>
      </c>
      <c r="M369" s="36">
        <f>IF(L369="","",MIN(100,ROUND(L369/200,0)))</f>
        <v/>
      </c>
      <c r="N369" s="36" t="n"/>
      <c r="O369" s="36" t="n"/>
    </row>
    <row r="370">
      <c r="A370" s="32" t="n"/>
      <c r="B370" s="36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>
        <f>IF(COUNTA(B370:K370)&lt;10,"",MAX(300,ROUND(((((B370*1.4)+(C370*1.1)+(D370*1.1)+(E370*1)+(F370*1.1)+(G370*1)+(H370*1.6)+(I370*0.9)+(J370*1)+(K370*0.8))/11-1)/4)*20000,0)))</f>
        <v/>
      </c>
      <c r="M370" s="36">
        <f>IF(L370="","",MIN(100,ROUND(L370/200,0)))</f>
        <v/>
      </c>
      <c r="N370" s="36" t="n"/>
      <c r="O370" s="36" t="n"/>
    </row>
    <row r="371">
      <c r="A371" s="32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>
        <f>IF(COUNTA(B371:K371)&lt;10,"",MAX(300,ROUND(((((B371*1.4)+(C371*1.1)+(D371*1.1)+(E371*1)+(F371*1.1)+(G371*1)+(H371*1.6)+(I371*0.9)+(J371*1)+(K371*0.8))/11-1)/4)*20000,0)))</f>
        <v/>
      </c>
      <c r="M371" s="36">
        <f>IF(L371="","",MIN(100,ROUND(L371/200,0)))</f>
        <v/>
      </c>
      <c r="N371" s="36" t="n"/>
      <c r="O371" s="36" t="n"/>
    </row>
    <row r="372">
      <c r="A372" s="32" t="n"/>
      <c r="B372" s="36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>
        <f>IF(COUNTA(B372:K372)&lt;10,"",MAX(300,ROUND(((((B372*1.4)+(C372*1.1)+(D372*1.1)+(E372*1)+(F372*1.1)+(G372*1)+(H372*1.6)+(I372*0.9)+(J372*1)+(K372*0.8))/11-1)/4)*20000,0)))</f>
        <v/>
      </c>
      <c r="M372" s="36">
        <f>IF(L372="","",MIN(100,ROUND(L372/200,0)))</f>
        <v/>
      </c>
      <c r="N372" s="36" t="n"/>
      <c r="O372" s="36" t="n"/>
    </row>
    <row r="373">
      <c r="A373" s="32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>
        <f>IF(COUNTA(B373:K373)&lt;10,"",MAX(300,ROUND(((((B373*1.4)+(C373*1.1)+(D373*1.1)+(E373*1)+(F373*1.1)+(G373*1)+(H373*1.6)+(I373*0.9)+(J373*1)+(K373*0.8))/11-1)/4)*20000,0)))</f>
        <v/>
      </c>
      <c r="M373" s="36">
        <f>IF(L373="","",MIN(100,ROUND(L373/200,0)))</f>
        <v/>
      </c>
      <c r="N373" s="36" t="n"/>
      <c r="O373" s="36" t="n"/>
    </row>
    <row r="374">
      <c r="A374" s="32" t="n"/>
      <c r="B374" s="36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>
        <f>IF(COUNTA(B374:K374)&lt;10,"",MAX(300,ROUND(((((B374*1.4)+(C374*1.1)+(D374*1.1)+(E374*1)+(F374*1.1)+(G374*1)+(H374*1.6)+(I374*0.9)+(J374*1)+(K374*0.8))/11-1)/4)*20000,0)))</f>
        <v/>
      </c>
      <c r="M374" s="36">
        <f>IF(L374="","",MIN(100,ROUND(L374/200,0)))</f>
        <v/>
      </c>
      <c r="N374" s="36" t="n"/>
      <c r="O374" s="36" t="n"/>
    </row>
    <row r="375">
      <c r="A375" s="32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>
        <f>IF(COUNTA(B375:K375)&lt;10,"",MAX(300,ROUND(((((B375*1.4)+(C375*1.1)+(D375*1.1)+(E375*1)+(F375*1.1)+(G375*1)+(H375*1.6)+(I375*0.9)+(J375*1)+(K375*0.8))/11-1)/4)*20000,0)))</f>
        <v/>
      </c>
      <c r="M375" s="36">
        <f>IF(L375="","",MIN(100,ROUND(L375/200,0)))</f>
        <v/>
      </c>
      <c r="N375" s="36" t="n"/>
      <c r="O375" s="36" t="n"/>
    </row>
    <row r="376">
      <c r="A376" s="32" t="n"/>
      <c r="B376" s="36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>
        <f>IF(COUNTA(B376:K376)&lt;10,"",MAX(300,ROUND(((((B376*1.4)+(C376*1.1)+(D376*1.1)+(E376*1)+(F376*1.1)+(G376*1)+(H376*1.6)+(I376*0.9)+(J376*1)+(K376*0.8))/11-1)/4)*20000,0)))</f>
        <v/>
      </c>
      <c r="M376" s="36">
        <f>IF(L376="","",MIN(100,ROUND(L376/200,0)))</f>
        <v/>
      </c>
      <c r="N376" s="36" t="n"/>
      <c r="O376" s="36" t="n"/>
    </row>
    <row r="377">
      <c r="A377" s="32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>
        <f>IF(COUNTA(B377:K377)&lt;10,"",MAX(300,ROUND(((((B377*1.4)+(C377*1.1)+(D377*1.1)+(E377*1)+(F377*1.1)+(G377*1)+(H377*1.6)+(I377*0.9)+(J377*1)+(K377*0.8))/11-1)/4)*20000,0)))</f>
        <v/>
      </c>
      <c r="M377" s="36">
        <f>IF(L377="","",MIN(100,ROUND(L377/200,0)))</f>
        <v/>
      </c>
      <c r="N377" s="36" t="n"/>
      <c r="O377" s="36" t="n"/>
    </row>
    <row r="378">
      <c r="A378" s="32" t="n"/>
      <c r="B378" s="36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>
        <f>IF(COUNTA(B378:K378)&lt;10,"",MAX(300,ROUND(((((B378*1.4)+(C378*1.1)+(D378*1.1)+(E378*1)+(F378*1.1)+(G378*1)+(H378*1.6)+(I378*0.9)+(J378*1)+(K378*0.8))/11-1)/4)*20000,0)))</f>
        <v/>
      </c>
      <c r="M378" s="36">
        <f>IF(L378="","",MIN(100,ROUND(L378/200,0)))</f>
        <v/>
      </c>
      <c r="N378" s="36" t="n"/>
      <c r="O378" s="36" t="n"/>
    </row>
    <row r="379">
      <c r="A379" s="32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>
        <f>IF(COUNTA(B379:K379)&lt;10,"",MAX(300,ROUND(((((B379*1.4)+(C379*1.1)+(D379*1.1)+(E379*1)+(F379*1.1)+(G379*1)+(H379*1.6)+(I379*0.9)+(J379*1)+(K379*0.8))/11-1)/4)*20000,0)))</f>
        <v/>
      </c>
      <c r="M379" s="36">
        <f>IF(L379="","",MIN(100,ROUND(L379/200,0)))</f>
        <v/>
      </c>
      <c r="N379" s="36" t="n"/>
      <c r="O379" s="36" t="n"/>
    </row>
    <row r="380">
      <c r="A380" s="32" t="n"/>
      <c r="B380" s="36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>
        <f>IF(COUNTA(B380:K380)&lt;10,"",MAX(300,ROUND(((((B380*1.4)+(C380*1.1)+(D380*1.1)+(E380*1)+(F380*1.1)+(G380*1)+(H380*1.6)+(I380*0.9)+(J380*1)+(K380*0.8))/11-1)/4)*20000,0)))</f>
        <v/>
      </c>
      <c r="M380" s="36">
        <f>IF(L380="","",MIN(100,ROUND(L380/200,0)))</f>
        <v/>
      </c>
      <c r="N380" s="36" t="n"/>
      <c r="O380" s="36" t="n"/>
    </row>
    <row r="381">
      <c r="A381" s="32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>
        <f>IF(COUNTA(B381:K381)&lt;10,"",MAX(300,ROUND(((((B381*1.4)+(C381*1.1)+(D381*1.1)+(E381*1)+(F381*1.1)+(G381*1)+(H381*1.6)+(I381*0.9)+(J381*1)+(K381*0.8))/11-1)/4)*20000,0)))</f>
        <v/>
      </c>
      <c r="M381" s="36">
        <f>IF(L381="","",MIN(100,ROUND(L381/200,0)))</f>
        <v/>
      </c>
      <c r="N381" s="36" t="n"/>
      <c r="O381" s="36" t="n"/>
    </row>
    <row r="382">
      <c r="A382" s="32" t="n"/>
      <c r="B382" s="36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>
        <f>IF(COUNTA(B382:K382)&lt;10,"",MAX(300,ROUND(((((B382*1.4)+(C382*1.1)+(D382*1.1)+(E382*1)+(F382*1.1)+(G382*1)+(H382*1.6)+(I382*0.9)+(J382*1)+(K382*0.8))/11-1)/4)*20000,0)))</f>
        <v/>
      </c>
      <c r="M382" s="36">
        <f>IF(L382="","",MIN(100,ROUND(L382/200,0)))</f>
        <v/>
      </c>
      <c r="N382" s="36" t="n"/>
      <c r="O382" s="36" t="n"/>
    </row>
    <row r="383">
      <c r="A383" s="32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>
        <f>IF(COUNTA(B383:K383)&lt;10,"",MAX(300,ROUND(((((B383*1.4)+(C383*1.1)+(D383*1.1)+(E383*1)+(F383*1.1)+(G383*1)+(H383*1.6)+(I383*0.9)+(J383*1)+(K383*0.8))/11-1)/4)*20000,0)))</f>
        <v/>
      </c>
      <c r="M383" s="36">
        <f>IF(L383="","",MIN(100,ROUND(L383/200,0)))</f>
        <v/>
      </c>
      <c r="N383" s="36" t="n"/>
      <c r="O383" s="36" t="n"/>
    </row>
    <row r="384">
      <c r="A384" s="32" t="n"/>
      <c r="B384" s="36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>
        <f>IF(COUNTA(B384:K384)&lt;10,"",MAX(300,ROUND(((((B384*1.4)+(C384*1.1)+(D384*1.1)+(E384*1)+(F384*1.1)+(G384*1)+(H384*1.6)+(I384*0.9)+(J384*1)+(K384*0.8))/11-1)/4)*20000,0)))</f>
        <v/>
      </c>
      <c r="M384" s="36">
        <f>IF(L384="","",MIN(100,ROUND(L384/200,0)))</f>
        <v/>
      </c>
      <c r="N384" s="36" t="n"/>
      <c r="O384" s="36" t="n"/>
    </row>
    <row r="385">
      <c r="A385" s="32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>
        <f>IF(COUNTA(B385:K385)&lt;10,"",MAX(300,ROUND(((((B385*1.4)+(C385*1.1)+(D385*1.1)+(E385*1)+(F385*1.1)+(G385*1)+(H385*1.6)+(I385*0.9)+(J385*1)+(K385*0.8))/11-1)/4)*20000,0)))</f>
        <v/>
      </c>
      <c r="M385" s="36">
        <f>IF(L385="","",MIN(100,ROUND(L385/200,0)))</f>
        <v/>
      </c>
      <c r="N385" s="36" t="n"/>
      <c r="O385" s="36" t="n"/>
    </row>
    <row r="386">
      <c r="A386" s="32" t="n"/>
      <c r="B386" s="36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>
        <f>IF(COUNTA(B386:K386)&lt;10,"",MAX(300,ROUND(((((B386*1.4)+(C386*1.1)+(D386*1.1)+(E386*1)+(F386*1.1)+(G386*1)+(H386*1.6)+(I386*0.9)+(J386*1)+(K386*0.8))/11-1)/4)*20000,0)))</f>
        <v/>
      </c>
      <c r="M386" s="36">
        <f>IF(L386="","",MIN(100,ROUND(L386/200,0)))</f>
        <v/>
      </c>
      <c r="N386" s="36" t="n"/>
      <c r="O386" s="36" t="n"/>
    </row>
    <row r="387">
      <c r="A387" s="32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>
        <f>IF(COUNTA(B387:K387)&lt;10,"",MAX(300,ROUND(((((B387*1.4)+(C387*1.1)+(D387*1.1)+(E387*1)+(F387*1.1)+(G387*1)+(H387*1.6)+(I387*0.9)+(J387*1)+(K387*0.8))/11-1)/4)*20000,0)))</f>
        <v/>
      </c>
      <c r="M387" s="36">
        <f>IF(L387="","",MIN(100,ROUND(L387/200,0)))</f>
        <v/>
      </c>
      <c r="N387" s="36" t="n"/>
      <c r="O387" s="36" t="n"/>
    </row>
    <row r="388">
      <c r="A388" s="32" t="n"/>
      <c r="B388" s="36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>
        <f>IF(COUNTA(B388:K388)&lt;10,"",MAX(300,ROUND(((((B388*1.4)+(C388*1.1)+(D388*1.1)+(E388*1)+(F388*1.1)+(G388*1)+(H388*1.6)+(I388*0.9)+(J388*1)+(K388*0.8))/11-1)/4)*20000,0)))</f>
        <v/>
      </c>
      <c r="M388" s="36">
        <f>IF(L388="","",MIN(100,ROUND(L388/200,0)))</f>
        <v/>
      </c>
      <c r="N388" s="36" t="n"/>
      <c r="O388" s="36" t="n"/>
    </row>
    <row r="389">
      <c r="A389" s="32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>
        <f>IF(COUNTA(B389:K389)&lt;10,"",MAX(300,ROUND(((((B389*1.4)+(C389*1.1)+(D389*1.1)+(E389*1)+(F389*1.1)+(G389*1)+(H389*1.6)+(I389*0.9)+(J389*1)+(K389*0.8))/11-1)/4)*20000,0)))</f>
        <v/>
      </c>
      <c r="M389" s="36">
        <f>IF(L389="","",MIN(100,ROUND(L389/200,0)))</f>
        <v/>
      </c>
      <c r="N389" s="36" t="n"/>
      <c r="O389" s="36" t="n"/>
    </row>
    <row r="390">
      <c r="A390" s="32" t="n"/>
      <c r="B390" s="36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>
        <f>IF(COUNTA(B390:K390)&lt;10,"",MAX(300,ROUND(((((B390*1.4)+(C390*1.1)+(D390*1.1)+(E390*1)+(F390*1.1)+(G390*1)+(H390*1.6)+(I390*0.9)+(J390*1)+(K390*0.8))/11-1)/4)*20000,0)))</f>
        <v/>
      </c>
      <c r="M390" s="36">
        <f>IF(L390="","",MIN(100,ROUND(L390/200,0)))</f>
        <v/>
      </c>
      <c r="N390" s="36" t="n"/>
      <c r="O390" s="36" t="n"/>
    </row>
    <row r="391">
      <c r="A391" s="32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>
        <f>IF(COUNTA(B391:K391)&lt;10,"",MAX(300,ROUND(((((B391*1.4)+(C391*1.1)+(D391*1.1)+(E391*1)+(F391*1.1)+(G391*1)+(H391*1.6)+(I391*0.9)+(J391*1)+(K391*0.8))/11-1)/4)*20000,0)))</f>
        <v/>
      </c>
      <c r="M391" s="36">
        <f>IF(L391="","",MIN(100,ROUND(L391/200,0)))</f>
        <v/>
      </c>
      <c r="N391" s="36" t="n"/>
      <c r="O391" s="36" t="n"/>
    </row>
    <row r="392">
      <c r="A392" s="32" t="n"/>
      <c r="B392" s="36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>
        <f>IF(COUNTA(B392:K392)&lt;10,"",MAX(300,ROUND(((((B392*1.4)+(C392*1.1)+(D392*1.1)+(E392*1)+(F392*1.1)+(G392*1)+(H392*1.6)+(I392*0.9)+(J392*1)+(K392*0.8))/11-1)/4)*20000,0)))</f>
        <v/>
      </c>
      <c r="M392" s="36">
        <f>IF(L392="","",MIN(100,ROUND(L392/200,0)))</f>
        <v/>
      </c>
      <c r="N392" s="36" t="n"/>
      <c r="O392" s="36" t="n"/>
    </row>
    <row r="393">
      <c r="A393" s="32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>
        <f>IF(COUNTA(B393:K393)&lt;10,"",MAX(300,ROUND(((((B393*1.4)+(C393*1.1)+(D393*1.1)+(E393*1)+(F393*1.1)+(G393*1)+(H393*1.6)+(I393*0.9)+(J393*1)+(K393*0.8))/11-1)/4)*20000,0)))</f>
        <v/>
      </c>
      <c r="M393" s="36">
        <f>IF(L393="","",MIN(100,ROUND(L393/200,0)))</f>
        <v/>
      </c>
      <c r="N393" s="36" t="n"/>
      <c r="O393" s="36" t="n"/>
    </row>
    <row r="394">
      <c r="A394" s="32" t="n"/>
      <c r="B394" s="36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>
        <f>IF(COUNTA(B394:K394)&lt;10,"",MAX(300,ROUND(((((B394*1.4)+(C394*1.1)+(D394*1.1)+(E394*1)+(F394*1.1)+(G394*1)+(H394*1.6)+(I394*0.9)+(J394*1)+(K394*0.8))/11-1)/4)*20000,0)))</f>
        <v/>
      </c>
      <c r="M394" s="36">
        <f>IF(L394="","",MIN(100,ROUND(L394/200,0)))</f>
        <v/>
      </c>
      <c r="N394" s="36" t="n"/>
      <c r="O394" s="36" t="n"/>
    </row>
    <row r="395">
      <c r="A395" s="32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>
        <f>IF(COUNTA(B395:K395)&lt;10,"",MAX(300,ROUND(((((B395*1.4)+(C395*1.1)+(D395*1.1)+(E395*1)+(F395*1.1)+(G395*1)+(H395*1.6)+(I395*0.9)+(J395*1)+(K395*0.8))/11-1)/4)*20000,0)))</f>
        <v/>
      </c>
      <c r="M395" s="36">
        <f>IF(L395="","",MIN(100,ROUND(L395/200,0)))</f>
        <v/>
      </c>
      <c r="N395" s="36" t="n"/>
      <c r="O395" s="36" t="n"/>
    </row>
    <row r="396">
      <c r="A396" s="32" t="n"/>
      <c r="B396" s="36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>
        <f>IF(COUNTA(B396:K396)&lt;10,"",MAX(300,ROUND(((((B396*1.4)+(C396*1.1)+(D396*1.1)+(E396*1)+(F396*1.1)+(G396*1)+(H396*1.6)+(I396*0.9)+(J396*1)+(K396*0.8))/11-1)/4)*20000,0)))</f>
        <v/>
      </c>
      <c r="M396" s="36">
        <f>IF(L396="","",MIN(100,ROUND(L396/200,0)))</f>
        <v/>
      </c>
      <c r="N396" s="36" t="n"/>
      <c r="O396" s="36" t="n"/>
    </row>
    <row r="397">
      <c r="A397" s="32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>
        <f>IF(COUNTA(B397:K397)&lt;10,"",MAX(300,ROUND(((((B397*1.4)+(C397*1.1)+(D397*1.1)+(E397*1)+(F397*1.1)+(G397*1)+(H397*1.6)+(I397*0.9)+(J397*1)+(K397*0.8))/11-1)/4)*20000,0)))</f>
        <v/>
      </c>
      <c r="M397" s="36">
        <f>IF(L397="","",MIN(100,ROUND(L397/200,0)))</f>
        <v/>
      </c>
      <c r="N397" s="36" t="n"/>
      <c r="O397" s="36" t="n"/>
    </row>
    <row r="398">
      <c r="A398" s="32" t="n"/>
      <c r="B398" s="36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>
        <f>IF(COUNTA(B398:K398)&lt;10,"",MAX(300,ROUND(((((B398*1.4)+(C398*1.1)+(D398*1.1)+(E398*1)+(F398*1.1)+(G398*1)+(H398*1.6)+(I398*0.9)+(J398*1)+(K398*0.8))/11-1)/4)*20000,0)))</f>
        <v/>
      </c>
      <c r="M398" s="36">
        <f>IF(L398="","",MIN(100,ROUND(L398/200,0)))</f>
        <v/>
      </c>
      <c r="N398" s="36" t="n"/>
      <c r="O398" s="36" t="n"/>
    </row>
    <row r="399">
      <c r="A399" s="32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>
        <f>IF(COUNTA(B399:K399)&lt;10,"",MAX(300,ROUND(((((B399*1.4)+(C399*1.1)+(D399*1.1)+(E399*1)+(F399*1.1)+(G399*1)+(H399*1.6)+(I399*0.9)+(J399*1)+(K399*0.8))/11-1)/4)*20000,0)))</f>
        <v/>
      </c>
      <c r="M399" s="36">
        <f>IF(L399="","",MIN(100,ROUND(L399/200,0)))</f>
        <v/>
      </c>
      <c r="N399" s="36" t="n"/>
      <c r="O399" s="36" t="n"/>
    </row>
    <row r="400">
      <c r="A400" s="32" t="n"/>
      <c r="B400" s="36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>
        <f>IF(COUNTA(B400:K400)&lt;10,"",MAX(300,ROUND(((((B400*1.4)+(C400*1.1)+(D400*1.1)+(E400*1)+(F400*1.1)+(G400*1)+(H400*1.6)+(I400*0.9)+(J400*1)+(K400*0.8))/11-1)/4)*20000,0)))</f>
        <v/>
      </c>
      <c r="M400" s="36">
        <f>IF(L400="","",MIN(100,ROUND(L400/200,0)))</f>
        <v/>
      </c>
      <c r="N400" s="36" t="n"/>
      <c r="O400" s="36" t="n"/>
    </row>
    <row r="401">
      <c r="A401" s="32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>
        <f>IF(COUNTA(B401:K401)&lt;10,"",MAX(300,ROUND(((((B401*1.4)+(C401*1.1)+(D401*1.1)+(E401*1)+(F401*1.1)+(G401*1)+(H401*1.6)+(I401*0.9)+(J401*1)+(K401*0.8))/11-1)/4)*20000,0)))</f>
        <v/>
      </c>
      <c r="M401" s="36">
        <f>IF(L401="","",MIN(100,ROUND(L401/200,0)))</f>
        <v/>
      </c>
      <c r="N401" s="36" t="n"/>
      <c r="O401" s="36" t="n"/>
    </row>
    <row r="402">
      <c r="A402" s="32" t="n"/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>
        <f>IF(COUNTA(B402:K402)&lt;10,"",MAX(300,ROUND(((((B402*1.4)+(C402*1.1)+(D402*1.1)+(E402*1)+(F402*1.1)+(G402*1)+(H402*1.6)+(I402*0.9)+(J402*1)+(K402*0.8))/11-1)/4)*20000,0)))</f>
        <v/>
      </c>
      <c r="M402" s="36">
        <f>IF(L402="","",MIN(100,ROUND(L402/200,0)))</f>
        <v/>
      </c>
      <c r="N402" s="36" t="n"/>
      <c r="O402" s="36" t="n"/>
    </row>
    <row r="403">
      <c r="A403" s="32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>
        <f>IF(COUNTA(B403:K403)&lt;10,"",MAX(300,ROUND(((((B403*1.4)+(C403*1.1)+(D403*1.1)+(E403*1)+(F403*1.1)+(G403*1)+(H403*1.6)+(I403*0.9)+(J403*1)+(K403*0.8))/11-1)/4)*20000,0)))</f>
        <v/>
      </c>
      <c r="M403" s="36">
        <f>IF(L403="","",MIN(100,ROUND(L403/200,0)))</f>
        <v/>
      </c>
      <c r="N403" s="36" t="n"/>
      <c r="O403" s="36" t="n"/>
    </row>
    <row r="404">
      <c r="A404" s="32" t="n"/>
      <c r="B404" s="36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>
        <f>IF(COUNTA(B404:K404)&lt;10,"",MAX(300,ROUND(((((B404*1.4)+(C404*1.1)+(D404*1.1)+(E404*1)+(F404*1.1)+(G404*1)+(H404*1.6)+(I404*0.9)+(J404*1)+(K404*0.8))/11-1)/4)*20000,0)))</f>
        <v/>
      </c>
      <c r="M404" s="36">
        <f>IF(L404="","",MIN(100,ROUND(L404/200,0)))</f>
        <v/>
      </c>
      <c r="N404" s="36" t="n"/>
      <c r="O404" s="36" t="n"/>
    </row>
    <row r="405">
      <c r="A405" s="32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>
        <f>IF(COUNTA(B405:K405)&lt;10,"",MAX(300,ROUND(((((B405*1.4)+(C405*1.1)+(D405*1.1)+(E405*1)+(F405*1.1)+(G405*1)+(H405*1.6)+(I405*0.9)+(J405*1)+(K405*0.8))/11-1)/4)*20000,0)))</f>
        <v/>
      </c>
      <c r="M405" s="36">
        <f>IF(L405="","",MIN(100,ROUND(L405/200,0)))</f>
        <v/>
      </c>
      <c r="N405" s="36" t="n"/>
      <c r="O405" s="36" t="n"/>
    </row>
    <row r="406">
      <c r="A406" s="32" t="n"/>
      <c r="B406" s="36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>
        <f>IF(COUNTA(B406:K406)&lt;10,"",MAX(300,ROUND(((((B406*1.4)+(C406*1.1)+(D406*1.1)+(E406*1)+(F406*1.1)+(G406*1)+(H406*1.6)+(I406*0.9)+(J406*1)+(K406*0.8))/11-1)/4)*20000,0)))</f>
        <v/>
      </c>
      <c r="M406" s="36">
        <f>IF(L406="","",MIN(100,ROUND(L406/200,0)))</f>
        <v/>
      </c>
      <c r="N406" s="36" t="n"/>
      <c r="O406" s="36" t="n"/>
    </row>
    <row r="407">
      <c r="A407" s="32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>
        <f>IF(COUNTA(B407:K407)&lt;10,"",MAX(300,ROUND(((((B407*1.4)+(C407*1.1)+(D407*1.1)+(E407*1)+(F407*1.1)+(G407*1)+(H407*1.6)+(I407*0.9)+(J407*1)+(K407*0.8))/11-1)/4)*20000,0)))</f>
        <v/>
      </c>
      <c r="M407" s="36">
        <f>IF(L407="","",MIN(100,ROUND(L407/200,0)))</f>
        <v/>
      </c>
      <c r="N407" s="36" t="n"/>
      <c r="O407" s="36" t="n"/>
    </row>
    <row r="408">
      <c r="A408" s="32" t="n"/>
      <c r="B408" s="36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>
        <f>IF(COUNTA(B408:K408)&lt;10,"",MAX(300,ROUND(((((B408*1.4)+(C408*1.1)+(D408*1.1)+(E408*1)+(F408*1.1)+(G408*1)+(H408*1.6)+(I408*0.9)+(J408*1)+(K408*0.8))/11-1)/4)*20000,0)))</f>
        <v/>
      </c>
      <c r="M408" s="36">
        <f>IF(L408="","",MIN(100,ROUND(L408/200,0)))</f>
        <v/>
      </c>
      <c r="N408" s="36" t="n"/>
      <c r="O408" s="36" t="n"/>
    </row>
    <row r="409">
      <c r="A409" s="32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>
        <f>IF(COUNTA(B409:K409)&lt;10,"",MAX(300,ROUND(((((B409*1.4)+(C409*1.1)+(D409*1.1)+(E409*1)+(F409*1.1)+(G409*1)+(H409*1.6)+(I409*0.9)+(J409*1)+(K409*0.8))/11-1)/4)*20000,0)))</f>
        <v/>
      </c>
      <c r="M409" s="36">
        <f>IF(L409="","",MIN(100,ROUND(L409/200,0)))</f>
        <v/>
      </c>
      <c r="N409" s="36" t="n"/>
      <c r="O409" s="36" t="n"/>
    </row>
    <row r="410">
      <c r="A410" s="32" t="n"/>
      <c r="B410" s="36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>
        <f>IF(COUNTA(B410:K410)&lt;10,"",MAX(300,ROUND(((((B410*1.4)+(C410*1.1)+(D410*1.1)+(E410*1)+(F410*1.1)+(G410*1)+(H410*1.6)+(I410*0.9)+(J410*1)+(K410*0.8))/11-1)/4)*20000,0)))</f>
        <v/>
      </c>
      <c r="M410" s="36">
        <f>IF(L410="","",MIN(100,ROUND(L410/200,0)))</f>
        <v/>
      </c>
      <c r="N410" s="36" t="n"/>
      <c r="O410" s="36" t="n"/>
    </row>
    <row r="411">
      <c r="A411" s="32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>
        <f>IF(COUNTA(B411:K411)&lt;10,"",MAX(300,ROUND(((((B411*1.4)+(C411*1.1)+(D411*1.1)+(E411*1)+(F411*1.1)+(G411*1)+(H411*1.6)+(I411*0.9)+(J411*1)+(K411*0.8))/11-1)/4)*20000,0)))</f>
        <v/>
      </c>
      <c r="M411" s="36">
        <f>IF(L411="","",MIN(100,ROUND(L411/200,0)))</f>
        <v/>
      </c>
      <c r="N411" s="36" t="n"/>
      <c r="O411" s="36" t="n"/>
    </row>
    <row r="412">
      <c r="A412" s="32" t="n"/>
      <c r="B412" s="36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>
        <f>IF(COUNTA(B412:K412)&lt;10,"",MAX(300,ROUND(((((B412*1.4)+(C412*1.1)+(D412*1.1)+(E412*1)+(F412*1.1)+(G412*1)+(H412*1.6)+(I412*0.9)+(J412*1)+(K412*0.8))/11-1)/4)*20000,0)))</f>
        <v/>
      </c>
      <c r="M412" s="36">
        <f>IF(L412="","",MIN(100,ROUND(L412/200,0)))</f>
        <v/>
      </c>
      <c r="N412" s="36" t="n"/>
      <c r="O412" s="36" t="n"/>
    </row>
    <row r="413">
      <c r="A413" s="32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>
        <f>IF(COUNTA(B413:K413)&lt;10,"",MAX(300,ROUND(((((B413*1.4)+(C413*1.1)+(D413*1.1)+(E413*1)+(F413*1.1)+(G413*1)+(H413*1.6)+(I413*0.9)+(J413*1)+(K413*0.8))/11-1)/4)*20000,0)))</f>
        <v/>
      </c>
      <c r="M413" s="36">
        <f>IF(L413="","",MIN(100,ROUND(L413/200,0)))</f>
        <v/>
      </c>
      <c r="N413" s="36" t="n"/>
      <c r="O413" s="36" t="n"/>
    </row>
    <row r="414">
      <c r="A414" s="32" t="n"/>
      <c r="B414" s="36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>
        <f>IF(COUNTA(B414:K414)&lt;10,"",MAX(300,ROUND(((((B414*1.4)+(C414*1.1)+(D414*1.1)+(E414*1)+(F414*1.1)+(G414*1)+(H414*1.6)+(I414*0.9)+(J414*1)+(K414*0.8))/11-1)/4)*20000,0)))</f>
        <v/>
      </c>
      <c r="M414" s="36">
        <f>IF(L414="","",MIN(100,ROUND(L414/200,0)))</f>
        <v/>
      </c>
      <c r="N414" s="36" t="n"/>
      <c r="O414" s="36" t="n"/>
    </row>
    <row r="415">
      <c r="A415" s="32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>
        <f>IF(COUNTA(B415:K415)&lt;10,"",MAX(300,ROUND(((((B415*1.4)+(C415*1.1)+(D415*1.1)+(E415*1)+(F415*1.1)+(G415*1)+(H415*1.6)+(I415*0.9)+(J415*1)+(K415*0.8))/11-1)/4)*20000,0)))</f>
        <v/>
      </c>
      <c r="M415" s="36">
        <f>IF(L415="","",MIN(100,ROUND(L415/200,0)))</f>
        <v/>
      </c>
      <c r="N415" s="36" t="n"/>
      <c r="O415" s="36" t="n"/>
    </row>
    <row r="416">
      <c r="A416" s="32" t="n"/>
      <c r="B416" s="36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>
        <f>IF(COUNTA(B416:K416)&lt;10,"",MAX(300,ROUND(((((B416*1.4)+(C416*1.1)+(D416*1.1)+(E416*1)+(F416*1.1)+(G416*1)+(H416*1.6)+(I416*0.9)+(J416*1)+(K416*0.8))/11-1)/4)*20000,0)))</f>
        <v/>
      </c>
      <c r="M416" s="36">
        <f>IF(L416="","",MIN(100,ROUND(L416/200,0)))</f>
        <v/>
      </c>
      <c r="N416" s="36" t="n"/>
      <c r="O416" s="36" t="n"/>
    </row>
    <row r="417">
      <c r="A417" s="32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>
        <f>IF(COUNTA(B417:K417)&lt;10,"",MAX(300,ROUND(((((B417*1.4)+(C417*1.1)+(D417*1.1)+(E417*1)+(F417*1.1)+(G417*1)+(H417*1.6)+(I417*0.9)+(J417*1)+(K417*0.8))/11-1)/4)*20000,0)))</f>
        <v/>
      </c>
      <c r="M417" s="36">
        <f>IF(L417="","",MIN(100,ROUND(L417/200,0)))</f>
        <v/>
      </c>
      <c r="N417" s="36" t="n"/>
      <c r="O417" s="36" t="n"/>
    </row>
    <row r="418">
      <c r="A418" s="32" t="n"/>
      <c r="B418" s="36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>
        <f>IF(COUNTA(B418:K418)&lt;10,"",MAX(300,ROUND(((((B418*1.4)+(C418*1.1)+(D418*1.1)+(E418*1)+(F418*1.1)+(G418*1)+(H418*1.6)+(I418*0.9)+(J418*1)+(K418*0.8))/11-1)/4)*20000,0)))</f>
        <v/>
      </c>
      <c r="M418" s="36">
        <f>IF(L418="","",MIN(100,ROUND(L418/200,0)))</f>
        <v/>
      </c>
      <c r="N418" s="36" t="n"/>
      <c r="O418" s="36" t="n"/>
    </row>
    <row r="419">
      <c r="A419" s="32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>
        <f>IF(COUNTA(B419:K419)&lt;10,"",MAX(300,ROUND(((((B419*1.4)+(C419*1.1)+(D419*1.1)+(E419*1)+(F419*1.1)+(G419*1)+(H419*1.6)+(I419*0.9)+(J419*1)+(K419*0.8))/11-1)/4)*20000,0)))</f>
        <v/>
      </c>
      <c r="M419" s="36">
        <f>IF(L419="","",MIN(100,ROUND(L419/200,0)))</f>
        <v/>
      </c>
      <c r="N419" s="36" t="n"/>
      <c r="O419" s="36" t="n"/>
    </row>
    <row r="420">
      <c r="A420" s="32" t="n"/>
      <c r="B420" s="36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>
        <f>IF(COUNTA(B420:K420)&lt;10,"",MAX(300,ROUND(((((B420*1.4)+(C420*1.1)+(D420*1.1)+(E420*1)+(F420*1.1)+(G420*1)+(H420*1.6)+(I420*0.9)+(J420*1)+(K420*0.8))/11-1)/4)*20000,0)))</f>
        <v/>
      </c>
      <c r="M420" s="36">
        <f>IF(L420="","",MIN(100,ROUND(L420/200,0)))</f>
        <v/>
      </c>
      <c r="N420" s="36" t="n"/>
      <c r="O420" s="36" t="n"/>
    </row>
    <row r="421">
      <c r="A421" s="32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>
        <f>IF(COUNTA(B421:K421)&lt;10,"",MAX(300,ROUND(((((B421*1.4)+(C421*1.1)+(D421*1.1)+(E421*1)+(F421*1.1)+(G421*1)+(H421*1.6)+(I421*0.9)+(J421*1)+(K421*0.8))/11-1)/4)*20000,0)))</f>
        <v/>
      </c>
      <c r="M421" s="36">
        <f>IF(L421="","",MIN(100,ROUND(L421/200,0)))</f>
        <v/>
      </c>
      <c r="N421" s="36" t="n"/>
      <c r="O421" s="36" t="n"/>
    </row>
    <row r="422">
      <c r="A422" s="32" t="n"/>
      <c r="B422" s="36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>
        <f>IF(COUNTA(B422:K422)&lt;10,"",MAX(300,ROUND(((((B422*1.4)+(C422*1.1)+(D422*1.1)+(E422*1)+(F422*1.1)+(G422*1)+(H422*1.6)+(I422*0.9)+(J422*1)+(K422*0.8))/11-1)/4)*20000,0)))</f>
        <v/>
      </c>
      <c r="M422" s="36">
        <f>IF(L422="","",MIN(100,ROUND(L422/200,0)))</f>
        <v/>
      </c>
      <c r="N422" s="36" t="n"/>
      <c r="O422" s="36" t="n"/>
    </row>
    <row r="423">
      <c r="A423" s="32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>
        <f>IF(COUNTA(B423:K423)&lt;10,"",MAX(300,ROUND(((((B423*1.4)+(C423*1.1)+(D423*1.1)+(E423*1)+(F423*1.1)+(G423*1)+(H423*1.6)+(I423*0.9)+(J423*1)+(K423*0.8))/11-1)/4)*20000,0)))</f>
        <v/>
      </c>
      <c r="M423" s="36">
        <f>IF(L423="","",MIN(100,ROUND(L423/200,0)))</f>
        <v/>
      </c>
      <c r="N423" s="36" t="n"/>
      <c r="O423" s="36" t="n"/>
    </row>
    <row r="424">
      <c r="A424" s="32" t="n"/>
      <c r="B424" s="36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>
        <f>IF(COUNTA(B424:K424)&lt;10,"",MAX(300,ROUND(((((B424*1.4)+(C424*1.1)+(D424*1.1)+(E424*1)+(F424*1.1)+(G424*1)+(H424*1.6)+(I424*0.9)+(J424*1)+(K424*0.8))/11-1)/4)*20000,0)))</f>
        <v/>
      </c>
      <c r="M424" s="36">
        <f>IF(L424="","",MIN(100,ROUND(L424/200,0)))</f>
        <v/>
      </c>
      <c r="N424" s="36" t="n"/>
      <c r="O424" s="36" t="n"/>
    </row>
    <row r="425">
      <c r="A425" s="32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>
        <f>IF(COUNTA(B425:K425)&lt;10,"",MAX(300,ROUND(((((B425*1.4)+(C425*1.1)+(D425*1.1)+(E425*1)+(F425*1.1)+(G425*1)+(H425*1.6)+(I425*0.9)+(J425*1)+(K425*0.8))/11-1)/4)*20000,0)))</f>
        <v/>
      </c>
      <c r="M425" s="36">
        <f>IF(L425="","",MIN(100,ROUND(L425/200,0)))</f>
        <v/>
      </c>
      <c r="N425" s="36" t="n"/>
      <c r="O425" s="36" t="n"/>
    </row>
    <row r="426">
      <c r="A426" s="32" t="n"/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>
        <f>IF(COUNTA(B426:K426)&lt;10,"",MAX(300,ROUND(((((B426*1.4)+(C426*1.1)+(D426*1.1)+(E426*1)+(F426*1.1)+(G426*1)+(H426*1.6)+(I426*0.9)+(J426*1)+(K426*0.8))/11-1)/4)*20000,0)))</f>
        <v/>
      </c>
      <c r="M426" s="36">
        <f>IF(L426="","",MIN(100,ROUND(L426/200,0)))</f>
        <v/>
      </c>
      <c r="N426" s="36" t="n"/>
      <c r="O426" s="36" t="n"/>
    </row>
    <row r="427">
      <c r="A427" s="32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>
        <f>IF(COUNTA(B427:K427)&lt;10,"",MAX(300,ROUND(((((B427*1.4)+(C427*1.1)+(D427*1.1)+(E427*1)+(F427*1.1)+(G427*1)+(H427*1.6)+(I427*0.9)+(J427*1)+(K427*0.8))/11-1)/4)*20000,0)))</f>
        <v/>
      </c>
      <c r="M427" s="36">
        <f>IF(L427="","",MIN(100,ROUND(L427/200,0)))</f>
        <v/>
      </c>
      <c r="N427" s="36" t="n"/>
      <c r="O427" s="36" t="n"/>
    </row>
    <row r="428">
      <c r="A428" s="32" t="n"/>
      <c r="B428" s="36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>
        <f>IF(COUNTA(B428:K428)&lt;10,"",MAX(300,ROUND(((((B428*1.4)+(C428*1.1)+(D428*1.1)+(E428*1)+(F428*1.1)+(G428*1)+(H428*1.6)+(I428*0.9)+(J428*1)+(K428*0.8))/11-1)/4)*20000,0)))</f>
        <v/>
      </c>
      <c r="M428" s="36">
        <f>IF(L428="","",MIN(100,ROUND(L428/200,0)))</f>
        <v/>
      </c>
      <c r="N428" s="36" t="n"/>
      <c r="O428" s="36" t="n"/>
    </row>
    <row r="429">
      <c r="A429" s="32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>
        <f>IF(COUNTA(B429:K429)&lt;10,"",MAX(300,ROUND(((((B429*1.4)+(C429*1.1)+(D429*1.1)+(E429*1)+(F429*1.1)+(G429*1)+(H429*1.6)+(I429*0.9)+(J429*1)+(K429*0.8))/11-1)/4)*20000,0)))</f>
        <v/>
      </c>
      <c r="M429" s="36">
        <f>IF(L429="","",MIN(100,ROUND(L429/200,0)))</f>
        <v/>
      </c>
      <c r="N429" s="36" t="n"/>
      <c r="O429" s="36" t="n"/>
    </row>
    <row r="430">
      <c r="A430" s="32" t="n"/>
      <c r="B430" s="36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>
        <f>IF(COUNTA(B430:K430)&lt;10,"",MAX(300,ROUND(((((B430*1.4)+(C430*1.1)+(D430*1.1)+(E430*1)+(F430*1.1)+(G430*1)+(H430*1.6)+(I430*0.9)+(J430*1)+(K430*0.8))/11-1)/4)*20000,0)))</f>
        <v/>
      </c>
      <c r="M430" s="36">
        <f>IF(L430="","",MIN(100,ROUND(L430/200,0)))</f>
        <v/>
      </c>
      <c r="N430" s="36" t="n"/>
      <c r="O430" s="36" t="n"/>
    </row>
    <row r="431">
      <c r="A431" s="32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>
        <f>IF(COUNTA(B431:K431)&lt;10,"",MAX(300,ROUND(((((B431*1.4)+(C431*1.1)+(D431*1.1)+(E431*1)+(F431*1.1)+(G431*1)+(H431*1.6)+(I431*0.9)+(J431*1)+(K431*0.8))/11-1)/4)*20000,0)))</f>
        <v/>
      </c>
      <c r="M431" s="36">
        <f>IF(L431="","",MIN(100,ROUND(L431/200,0)))</f>
        <v/>
      </c>
      <c r="N431" s="36" t="n"/>
      <c r="O431" s="36" t="n"/>
    </row>
    <row r="432">
      <c r="A432" s="32" t="n"/>
      <c r="B432" s="36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>
        <f>IF(COUNTA(B432:K432)&lt;10,"",MAX(300,ROUND(((((B432*1.4)+(C432*1.1)+(D432*1.1)+(E432*1)+(F432*1.1)+(G432*1)+(H432*1.6)+(I432*0.9)+(J432*1)+(K432*0.8))/11-1)/4)*20000,0)))</f>
        <v/>
      </c>
      <c r="M432" s="36">
        <f>IF(L432="","",MIN(100,ROUND(L432/200,0)))</f>
        <v/>
      </c>
      <c r="N432" s="36" t="n"/>
      <c r="O432" s="36" t="n"/>
    </row>
    <row r="433">
      <c r="A433" s="32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>
        <f>IF(COUNTA(B433:K433)&lt;10,"",MAX(300,ROUND(((((B433*1.4)+(C433*1.1)+(D433*1.1)+(E433*1)+(F433*1.1)+(G433*1)+(H433*1.6)+(I433*0.9)+(J433*1)+(K433*0.8))/11-1)/4)*20000,0)))</f>
        <v/>
      </c>
      <c r="M433" s="36">
        <f>IF(L433="","",MIN(100,ROUND(L433/200,0)))</f>
        <v/>
      </c>
      <c r="N433" s="36" t="n"/>
      <c r="O433" s="36" t="n"/>
    </row>
    <row r="434">
      <c r="A434" s="32" t="n"/>
      <c r="B434" s="36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>
        <f>IF(COUNTA(B434:K434)&lt;10,"",MAX(300,ROUND(((((B434*1.4)+(C434*1.1)+(D434*1.1)+(E434*1)+(F434*1.1)+(G434*1)+(H434*1.6)+(I434*0.9)+(J434*1)+(K434*0.8))/11-1)/4)*20000,0)))</f>
        <v/>
      </c>
      <c r="M434" s="36">
        <f>IF(L434="","",MIN(100,ROUND(L434/200,0)))</f>
        <v/>
      </c>
      <c r="N434" s="36" t="n"/>
      <c r="O434" s="36" t="n"/>
    </row>
    <row r="435">
      <c r="A435" s="32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>
        <f>IF(COUNTA(B435:K435)&lt;10,"",MAX(300,ROUND(((((B435*1.4)+(C435*1.1)+(D435*1.1)+(E435*1)+(F435*1.1)+(G435*1)+(H435*1.6)+(I435*0.9)+(J435*1)+(K435*0.8))/11-1)/4)*20000,0)))</f>
        <v/>
      </c>
      <c r="M435" s="36">
        <f>IF(L435="","",MIN(100,ROUND(L435/200,0)))</f>
        <v/>
      </c>
      <c r="N435" s="36" t="n"/>
      <c r="O435" s="36" t="n"/>
    </row>
    <row r="436">
      <c r="A436" s="32" t="n"/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>
        <f>IF(COUNTA(B436:K436)&lt;10,"",MAX(300,ROUND(((((B436*1.4)+(C436*1.1)+(D436*1.1)+(E436*1)+(F436*1.1)+(G436*1)+(H436*1.6)+(I436*0.9)+(J436*1)+(K436*0.8))/11-1)/4)*20000,0)))</f>
        <v/>
      </c>
      <c r="M436" s="36">
        <f>IF(L436="","",MIN(100,ROUND(L436/200,0)))</f>
        <v/>
      </c>
      <c r="N436" s="36" t="n"/>
      <c r="O436" s="36" t="n"/>
    </row>
    <row r="437">
      <c r="A437" s="32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>
        <f>IF(COUNTA(B437:K437)&lt;10,"",MAX(300,ROUND(((((B437*1.4)+(C437*1.1)+(D437*1.1)+(E437*1)+(F437*1.1)+(G437*1)+(H437*1.6)+(I437*0.9)+(J437*1)+(K437*0.8))/11-1)/4)*20000,0)))</f>
        <v/>
      </c>
      <c r="M437" s="36">
        <f>IF(L437="","",MIN(100,ROUND(L437/200,0)))</f>
        <v/>
      </c>
      <c r="N437" s="36" t="n"/>
      <c r="O437" s="36" t="n"/>
    </row>
    <row r="438">
      <c r="A438" s="32" t="n"/>
      <c r="B438" s="36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>
        <f>IF(COUNTA(B438:K438)&lt;10,"",MAX(300,ROUND(((((B438*1.4)+(C438*1.1)+(D438*1.1)+(E438*1)+(F438*1.1)+(G438*1)+(H438*1.6)+(I438*0.9)+(J438*1)+(K438*0.8))/11-1)/4)*20000,0)))</f>
        <v/>
      </c>
      <c r="M438" s="36">
        <f>IF(L438="","",MIN(100,ROUND(L438/200,0)))</f>
        <v/>
      </c>
      <c r="N438" s="36" t="n"/>
      <c r="O438" s="36" t="n"/>
    </row>
    <row r="439">
      <c r="A439" s="32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>
        <f>IF(COUNTA(B439:K439)&lt;10,"",MAX(300,ROUND(((((B439*1.4)+(C439*1.1)+(D439*1.1)+(E439*1)+(F439*1.1)+(G439*1)+(H439*1.6)+(I439*0.9)+(J439*1)+(K439*0.8))/11-1)/4)*20000,0)))</f>
        <v/>
      </c>
      <c r="M439" s="36">
        <f>IF(L439="","",MIN(100,ROUND(L439/200,0)))</f>
        <v/>
      </c>
      <c r="N439" s="36" t="n"/>
      <c r="O439" s="36" t="n"/>
    </row>
    <row r="440">
      <c r="A440" s="32" t="n"/>
      <c r="B440" s="36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>
        <f>IF(COUNTA(B440:K440)&lt;10,"",MAX(300,ROUND(((((B440*1.4)+(C440*1.1)+(D440*1.1)+(E440*1)+(F440*1.1)+(G440*1)+(H440*1.6)+(I440*0.9)+(J440*1)+(K440*0.8))/11-1)/4)*20000,0)))</f>
        <v/>
      </c>
      <c r="M440" s="36">
        <f>IF(L440="","",MIN(100,ROUND(L440/200,0)))</f>
        <v/>
      </c>
      <c r="N440" s="36" t="n"/>
      <c r="O440" s="36" t="n"/>
    </row>
    <row r="441">
      <c r="A441" s="32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>
        <f>IF(COUNTA(B441:K441)&lt;10,"",MAX(300,ROUND(((((B441*1.4)+(C441*1.1)+(D441*1.1)+(E441*1)+(F441*1.1)+(G441*1)+(H441*1.6)+(I441*0.9)+(J441*1)+(K441*0.8))/11-1)/4)*20000,0)))</f>
        <v/>
      </c>
      <c r="M441" s="36">
        <f>IF(L441="","",MIN(100,ROUND(L441/200,0)))</f>
        <v/>
      </c>
      <c r="N441" s="36" t="n"/>
      <c r="O441" s="36" t="n"/>
    </row>
    <row r="442">
      <c r="A442" s="32" t="n"/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>
        <f>IF(COUNTA(B442:K442)&lt;10,"",MAX(300,ROUND(((((B442*1.4)+(C442*1.1)+(D442*1.1)+(E442*1)+(F442*1.1)+(G442*1)+(H442*1.6)+(I442*0.9)+(J442*1)+(K442*0.8))/11-1)/4)*20000,0)))</f>
        <v/>
      </c>
      <c r="M442" s="36">
        <f>IF(L442="","",MIN(100,ROUND(L442/200,0)))</f>
        <v/>
      </c>
      <c r="N442" s="36" t="n"/>
      <c r="O442" s="36" t="n"/>
    </row>
    <row r="443">
      <c r="A443" s="32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>
        <f>IF(COUNTA(B443:K443)&lt;10,"",MAX(300,ROUND(((((B443*1.4)+(C443*1.1)+(D443*1.1)+(E443*1)+(F443*1.1)+(G443*1)+(H443*1.6)+(I443*0.9)+(J443*1)+(K443*0.8))/11-1)/4)*20000,0)))</f>
        <v/>
      </c>
      <c r="M443" s="36">
        <f>IF(L443="","",MIN(100,ROUND(L443/200,0)))</f>
        <v/>
      </c>
      <c r="N443" s="36" t="n"/>
      <c r="O443" s="36" t="n"/>
    </row>
    <row r="444">
      <c r="A444" s="32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>
        <f>IF(COUNTA(B444:K444)&lt;10,"",MAX(300,ROUND(((((B444*1.4)+(C444*1.1)+(D444*1.1)+(E444*1)+(F444*1.1)+(G444*1)+(H444*1.6)+(I444*0.9)+(J444*1)+(K444*0.8))/11-1)/4)*20000,0)))</f>
        <v/>
      </c>
      <c r="M444" s="36">
        <f>IF(L444="","",MIN(100,ROUND(L444/200,0)))</f>
        <v/>
      </c>
      <c r="N444" s="36" t="n"/>
      <c r="O444" s="36" t="n"/>
    </row>
    <row r="445">
      <c r="A445" s="32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>
        <f>IF(COUNTA(B445:K445)&lt;10,"",MAX(300,ROUND(((((B445*1.4)+(C445*1.1)+(D445*1.1)+(E445*1)+(F445*1.1)+(G445*1)+(H445*1.6)+(I445*0.9)+(J445*1)+(K445*0.8))/11-1)/4)*20000,0)))</f>
        <v/>
      </c>
      <c r="M445" s="36">
        <f>IF(L445="","",MIN(100,ROUND(L445/200,0)))</f>
        <v/>
      </c>
      <c r="N445" s="36" t="n"/>
      <c r="O445" s="36" t="n"/>
    </row>
    <row r="446">
      <c r="A446" s="32" t="n"/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>
        <f>IF(COUNTA(B446:K446)&lt;10,"",MAX(300,ROUND(((((B446*1.4)+(C446*1.1)+(D446*1.1)+(E446*1)+(F446*1.1)+(G446*1)+(H446*1.6)+(I446*0.9)+(J446*1)+(K446*0.8))/11-1)/4)*20000,0)))</f>
        <v/>
      </c>
      <c r="M446" s="36">
        <f>IF(L446="","",MIN(100,ROUND(L446/200,0)))</f>
        <v/>
      </c>
      <c r="N446" s="36" t="n"/>
      <c r="O446" s="36" t="n"/>
    </row>
    <row r="447">
      <c r="A447" s="32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>
        <f>IF(COUNTA(B447:K447)&lt;10,"",MAX(300,ROUND(((((B447*1.4)+(C447*1.1)+(D447*1.1)+(E447*1)+(F447*1.1)+(G447*1)+(H447*1.6)+(I447*0.9)+(J447*1)+(K447*0.8))/11-1)/4)*20000,0)))</f>
        <v/>
      </c>
      <c r="M447" s="36">
        <f>IF(L447="","",MIN(100,ROUND(L447/200,0)))</f>
        <v/>
      </c>
      <c r="N447" s="36" t="n"/>
      <c r="O447" s="36" t="n"/>
    </row>
    <row r="448">
      <c r="A448" s="32" t="n"/>
      <c r="B448" s="36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>
        <f>IF(COUNTA(B448:K448)&lt;10,"",MAX(300,ROUND(((((B448*1.4)+(C448*1.1)+(D448*1.1)+(E448*1)+(F448*1.1)+(G448*1)+(H448*1.6)+(I448*0.9)+(J448*1)+(K448*0.8))/11-1)/4)*20000,0)))</f>
        <v/>
      </c>
      <c r="M448" s="36">
        <f>IF(L448="","",MIN(100,ROUND(L448/200,0)))</f>
        <v/>
      </c>
      <c r="N448" s="36" t="n"/>
      <c r="O448" s="36" t="n"/>
    </row>
    <row r="449">
      <c r="A449" s="32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>
        <f>IF(COUNTA(B449:K449)&lt;10,"",MAX(300,ROUND(((((B449*1.4)+(C449*1.1)+(D449*1.1)+(E449*1)+(F449*1.1)+(G449*1)+(H449*1.6)+(I449*0.9)+(J449*1)+(K449*0.8))/11-1)/4)*20000,0)))</f>
        <v/>
      </c>
      <c r="M449" s="36">
        <f>IF(L449="","",MIN(100,ROUND(L449/200,0)))</f>
        <v/>
      </c>
      <c r="N449" s="36" t="n"/>
      <c r="O449" s="36" t="n"/>
    </row>
    <row r="450">
      <c r="A450" s="32" t="n"/>
      <c r="B450" s="36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>
        <f>IF(COUNTA(B450:K450)&lt;10,"",MAX(300,ROUND(((((B450*1.4)+(C450*1.1)+(D450*1.1)+(E450*1)+(F450*1.1)+(G450*1)+(H450*1.6)+(I450*0.9)+(J450*1)+(K450*0.8))/11-1)/4)*20000,0)))</f>
        <v/>
      </c>
      <c r="M450" s="36">
        <f>IF(L450="","",MIN(100,ROUND(L450/200,0)))</f>
        <v/>
      </c>
      <c r="N450" s="36" t="n"/>
      <c r="O450" s="36" t="n"/>
    </row>
    <row r="451">
      <c r="A451" s="32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>
        <f>IF(COUNTA(B451:K451)&lt;10,"",MAX(300,ROUND(((((B451*1.4)+(C451*1.1)+(D451*1.1)+(E451*1)+(F451*1.1)+(G451*1)+(H451*1.6)+(I451*0.9)+(J451*1)+(K451*0.8))/11-1)/4)*20000,0)))</f>
        <v/>
      </c>
      <c r="M451" s="36">
        <f>IF(L451="","",MIN(100,ROUND(L451/200,0)))</f>
        <v/>
      </c>
      <c r="N451" s="36" t="n"/>
      <c r="O451" s="36" t="n"/>
    </row>
    <row r="452">
      <c r="A452" s="32" t="n"/>
      <c r="B452" s="36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>
        <f>IF(COUNTA(B452:K452)&lt;10,"",MAX(300,ROUND(((((B452*1.4)+(C452*1.1)+(D452*1.1)+(E452*1)+(F452*1.1)+(G452*1)+(H452*1.6)+(I452*0.9)+(J452*1)+(K452*0.8))/11-1)/4)*20000,0)))</f>
        <v/>
      </c>
      <c r="M452" s="36">
        <f>IF(L452="","",MIN(100,ROUND(L452/200,0)))</f>
        <v/>
      </c>
      <c r="N452" s="36" t="n"/>
      <c r="O452" s="36" t="n"/>
    </row>
    <row r="453">
      <c r="A453" s="32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>
        <f>IF(COUNTA(B453:K453)&lt;10,"",MAX(300,ROUND(((((B453*1.4)+(C453*1.1)+(D453*1.1)+(E453*1)+(F453*1.1)+(G453*1)+(H453*1.6)+(I453*0.9)+(J453*1)+(K453*0.8))/11-1)/4)*20000,0)))</f>
        <v/>
      </c>
      <c r="M453" s="36">
        <f>IF(L453="","",MIN(100,ROUND(L453/200,0)))</f>
        <v/>
      </c>
      <c r="N453" s="36" t="n"/>
      <c r="O453" s="36" t="n"/>
    </row>
    <row r="454">
      <c r="A454" s="32" t="n"/>
      <c r="B454" s="36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>
        <f>IF(COUNTA(B454:K454)&lt;10,"",MAX(300,ROUND(((((B454*1.4)+(C454*1.1)+(D454*1.1)+(E454*1)+(F454*1.1)+(G454*1)+(H454*1.6)+(I454*0.9)+(J454*1)+(K454*0.8))/11-1)/4)*20000,0)))</f>
        <v/>
      </c>
      <c r="M454" s="36">
        <f>IF(L454="","",MIN(100,ROUND(L454/200,0)))</f>
        <v/>
      </c>
      <c r="N454" s="36" t="n"/>
      <c r="O454" s="36" t="n"/>
    </row>
    <row r="455">
      <c r="A455" s="32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>
        <f>IF(COUNTA(B455:K455)&lt;10,"",MAX(300,ROUND(((((B455*1.4)+(C455*1.1)+(D455*1.1)+(E455*1)+(F455*1.1)+(G455*1)+(H455*1.6)+(I455*0.9)+(J455*1)+(K455*0.8))/11-1)/4)*20000,0)))</f>
        <v/>
      </c>
      <c r="M455" s="36">
        <f>IF(L455="","",MIN(100,ROUND(L455/200,0)))</f>
        <v/>
      </c>
      <c r="N455" s="36" t="n"/>
      <c r="O455" s="36" t="n"/>
    </row>
    <row r="456">
      <c r="A456" s="32" t="n"/>
      <c r="B456" s="36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>
        <f>IF(COUNTA(B456:K456)&lt;10,"",MAX(300,ROUND(((((B456*1.4)+(C456*1.1)+(D456*1.1)+(E456*1)+(F456*1.1)+(G456*1)+(H456*1.6)+(I456*0.9)+(J456*1)+(K456*0.8))/11-1)/4)*20000,0)))</f>
        <v/>
      </c>
      <c r="M456" s="36">
        <f>IF(L456="","",MIN(100,ROUND(L456/200,0)))</f>
        <v/>
      </c>
      <c r="N456" s="36" t="n"/>
      <c r="O456" s="36" t="n"/>
    </row>
    <row r="457">
      <c r="A457" s="32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>
        <f>IF(COUNTA(B457:K457)&lt;10,"",MAX(300,ROUND(((((B457*1.4)+(C457*1.1)+(D457*1.1)+(E457*1)+(F457*1.1)+(G457*1)+(H457*1.6)+(I457*0.9)+(J457*1)+(K457*0.8))/11-1)/4)*20000,0)))</f>
        <v/>
      </c>
      <c r="M457" s="36">
        <f>IF(L457="","",MIN(100,ROUND(L457/200,0)))</f>
        <v/>
      </c>
      <c r="N457" s="36" t="n"/>
      <c r="O457" s="36" t="n"/>
    </row>
    <row r="458">
      <c r="A458" s="32" t="n"/>
      <c r="B458" s="36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>
        <f>IF(COUNTA(B458:K458)&lt;10,"",MAX(300,ROUND(((((B458*1.4)+(C458*1.1)+(D458*1.1)+(E458*1)+(F458*1.1)+(G458*1)+(H458*1.6)+(I458*0.9)+(J458*1)+(K458*0.8))/11-1)/4)*20000,0)))</f>
        <v/>
      </c>
      <c r="M458" s="36">
        <f>IF(L458="","",MIN(100,ROUND(L458/200,0)))</f>
        <v/>
      </c>
      <c r="N458" s="36" t="n"/>
      <c r="O458" s="36" t="n"/>
    </row>
    <row r="459">
      <c r="A459" s="32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>
        <f>IF(COUNTA(B459:K459)&lt;10,"",MAX(300,ROUND(((((B459*1.4)+(C459*1.1)+(D459*1.1)+(E459*1)+(F459*1.1)+(G459*1)+(H459*1.6)+(I459*0.9)+(J459*1)+(K459*0.8))/11-1)/4)*20000,0)))</f>
        <v/>
      </c>
      <c r="M459" s="36">
        <f>IF(L459="","",MIN(100,ROUND(L459/200,0)))</f>
        <v/>
      </c>
      <c r="N459" s="36" t="n"/>
      <c r="O459" s="36" t="n"/>
    </row>
    <row r="460">
      <c r="A460" s="32" t="n"/>
      <c r="B460" s="36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>
        <f>IF(COUNTA(B460:K460)&lt;10,"",MAX(300,ROUND(((((B460*1.4)+(C460*1.1)+(D460*1.1)+(E460*1)+(F460*1.1)+(G460*1)+(H460*1.6)+(I460*0.9)+(J460*1)+(K460*0.8))/11-1)/4)*20000,0)))</f>
        <v/>
      </c>
      <c r="M460" s="36">
        <f>IF(L460="","",MIN(100,ROUND(L460/200,0)))</f>
        <v/>
      </c>
      <c r="N460" s="36" t="n"/>
      <c r="O460" s="36" t="n"/>
    </row>
    <row r="461">
      <c r="A461" s="32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>
        <f>IF(COUNTA(B461:K461)&lt;10,"",MAX(300,ROUND(((((B461*1.4)+(C461*1.1)+(D461*1.1)+(E461*1)+(F461*1.1)+(G461*1)+(H461*1.6)+(I461*0.9)+(J461*1)+(K461*0.8))/11-1)/4)*20000,0)))</f>
        <v/>
      </c>
      <c r="M461" s="36">
        <f>IF(L461="","",MIN(100,ROUND(L461/200,0)))</f>
        <v/>
      </c>
      <c r="N461" s="36" t="n"/>
      <c r="O461" s="36" t="n"/>
    </row>
    <row r="462">
      <c r="A462" s="32" t="n"/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>
        <f>IF(COUNTA(B462:K462)&lt;10,"",MAX(300,ROUND(((((B462*1.4)+(C462*1.1)+(D462*1.1)+(E462*1)+(F462*1.1)+(G462*1)+(H462*1.6)+(I462*0.9)+(J462*1)+(K462*0.8))/11-1)/4)*20000,0)))</f>
        <v/>
      </c>
      <c r="M462" s="36">
        <f>IF(L462="","",MIN(100,ROUND(L462/200,0)))</f>
        <v/>
      </c>
      <c r="N462" s="36" t="n"/>
      <c r="O462" s="36" t="n"/>
    </row>
    <row r="463">
      <c r="A463" s="32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>
        <f>IF(COUNTA(B463:K463)&lt;10,"",MAX(300,ROUND(((((B463*1.4)+(C463*1.1)+(D463*1.1)+(E463*1)+(F463*1.1)+(G463*1)+(H463*1.6)+(I463*0.9)+(J463*1)+(K463*0.8))/11-1)/4)*20000,0)))</f>
        <v/>
      </c>
      <c r="M463" s="36">
        <f>IF(L463="","",MIN(100,ROUND(L463/200,0)))</f>
        <v/>
      </c>
      <c r="N463" s="36" t="n"/>
      <c r="O463" s="36" t="n"/>
    </row>
    <row r="464">
      <c r="A464" s="32" t="n"/>
      <c r="B464" s="36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>
        <f>IF(COUNTA(B464:K464)&lt;10,"",MAX(300,ROUND(((((B464*1.4)+(C464*1.1)+(D464*1.1)+(E464*1)+(F464*1.1)+(G464*1)+(H464*1.6)+(I464*0.9)+(J464*1)+(K464*0.8))/11-1)/4)*20000,0)))</f>
        <v/>
      </c>
      <c r="M464" s="36">
        <f>IF(L464="","",MIN(100,ROUND(L464/200,0)))</f>
        <v/>
      </c>
      <c r="N464" s="36" t="n"/>
      <c r="O464" s="36" t="n"/>
    </row>
    <row r="465">
      <c r="A465" s="32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>
        <f>IF(COUNTA(B465:K465)&lt;10,"",MAX(300,ROUND(((((B465*1.4)+(C465*1.1)+(D465*1.1)+(E465*1)+(F465*1.1)+(G465*1)+(H465*1.6)+(I465*0.9)+(J465*1)+(K465*0.8))/11-1)/4)*20000,0)))</f>
        <v/>
      </c>
      <c r="M465" s="36">
        <f>IF(L465="","",MIN(100,ROUND(L465/200,0)))</f>
        <v/>
      </c>
      <c r="N465" s="36" t="n"/>
      <c r="O465" s="36" t="n"/>
    </row>
    <row r="466">
      <c r="A466" s="32" t="n"/>
      <c r="B466" s="36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>
        <f>IF(COUNTA(B466:K466)&lt;10,"",MAX(300,ROUND(((((B466*1.4)+(C466*1.1)+(D466*1.1)+(E466*1)+(F466*1.1)+(G466*1)+(H466*1.6)+(I466*0.9)+(J466*1)+(K466*0.8))/11-1)/4)*20000,0)))</f>
        <v/>
      </c>
      <c r="M466" s="36">
        <f>IF(L466="","",MIN(100,ROUND(L466/200,0)))</f>
        <v/>
      </c>
      <c r="N466" s="36" t="n"/>
      <c r="O466" s="36" t="n"/>
    </row>
    <row r="467">
      <c r="A467" s="32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>
        <f>IF(COUNTA(B467:K467)&lt;10,"",MAX(300,ROUND(((((B467*1.4)+(C467*1.1)+(D467*1.1)+(E467*1)+(F467*1.1)+(G467*1)+(H467*1.6)+(I467*0.9)+(J467*1)+(K467*0.8))/11-1)/4)*20000,0)))</f>
        <v/>
      </c>
      <c r="M467" s="36">
        <f>IF(L467="","",MIN(100,ROUND(L467/200,0)))</f>
        <v/>
      </c>
      <c r="N467" s="36" t="n"/>
      <c r="O467" s="36" t="n"/>
    </row>
    <row r="468">
      <c r="A468" s="32" t="n"/>
      <c r="B468" s="36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>
        <f>IF(COUNTA(B468:K468)&lt;10,"",MAX(300,ROUND(((((B468*1.4)+(C468*1.1)+(D468*1.1)+(E468*1)+(F468*1.1)+(G468*1)+(H468*1.6)+(I468*0.9)+(J468*1)+(K468*0.8))/11-1)/4)*20000,0)))</f>
        <v/>
      </c>
      <c r="M468" s="36">
        <f>IF(L468="","",MIN(100,ROUND(L468/200,0)))</f>
        <v/>
      </c>
      <c r="N468" s="36" t="n"/>
      <c r="O468" s="36" t="n"/>
    </row>
    <row r="469">
      <c r="A469" s="32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>
        <f>IF(COUNTA(B469:K469)&lt;10,"",MAX(300,ROUND(((((B469*1.4)+(C469*1.1)+(D469*1.1)+(E469*1)+(F469*1.1)+(G469*1)+(H469*1.6)+(I469*0.9)+(J469*1)+(K469*0.8))/11-1)/4)*20000,0)))</f>
        <v/>
      </c>
      <c r="M469" s="36">
        <f>IF(L469="","",MIN(100,ROUND(L469/200,0)))</f>
        <v/>
      </c>
      <c r="N469" s="36" t="n"/>
      <c r="O469" s="36" t="n"/>
    </row>
    <row r="470">
      <c r="A470" s="32" t="n"/>
      <c r="B470" s="36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>
        <f>IF(COUNTA(B470:K470)&lt;10,"",MAX(300,ROUND(((((B470*1.4)+(C470*1.1)+(D470*1.1)+(E470*1)+(F470*1.1)+(G470*1)+(H470*1.6)+(I470*0.9)+(J470*1)+(K470*0.8))/11-1)/4)*20000,0)))</f>
        <v/>
      </c>
      <c r="M470" s="36">
        <f>IF(L470="","",MIN(100,ROUND(L470/200,0)))</f>
        <v/>
      </c>
      <c r="N470" s="36" t="n"/>
      <c r="O470" s="36" t="n"/>
    </row>
    <row r="471">
      <c r="A471" s="32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>
        <f>IF(COUNTA(B471:K471)&lt;10,"",MAX(300,ROUND(((((B471*1.4)+(C471*1.1)+(D471*1.1)+(E471*1)+(F471*1.1)+(G471*1)+(H471*1.6)+(I471*0.9)+(J471*1)+(K471*0.8))/11-1)/4)*20000,0)))</f>
        <v/>
      </c>
      <c r="M471" s="36">
        <f>IF(L471="","",MIN(100,ROUND(L471/200,0)))</f>
        <v/>
      </c>
      <c r="N471" s="36" t="n"/>
      <c r="O471" s="36" t="n"/>
    </row>
    <row r="472">
      <c r="A472" s="32" t="n"/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>
        <f>IF(COUNTA(B472:K472)&lt;10,"",MAX(300,ROUND(((((B472*1.4)+(C472*1.1)+(D472*1.1)+(E472*1)+(F472*1.1)+(G472*1)+(H472*1.6)+(I472*0.9)+(J472*1)+(K472*0.8))/11-1)/4)*20000,0)))</f>
        <v/>
      </c>
      <c r="M472" s="36">
        <f>IF(L472="","",MIN(100,ROUND(L472/200,0)))</f>
        <v/>
      </c>
      <c r="N472" s="36" t="n"/>
      <c r="O472" s="36" t="n"/>
    </row>
    <row r="473">
      <c r="A473" s="32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>
        <f>IF(COUNTA(B473:K473)&lt;10,"",MAX(300,ROUND(((((B473*1.4)+(C473*1.1)+(D473*1.1)+(E473*1)+(F473*1.1)+(G473*1)+(H473*1.6)+(I473*0.9)+(J473*1)+(K473*0.8))/11-1)/4)*20000,0)))</f>
        <v/>
      </c>
      <c r="M473" s="36">
        <f>IF(L473="","",MIN(100,ROUND(L473/200,0)))</f>
        <v/>
      </c>
      <c r="N473" s="36" t="n"/>
      <c r="O473" s="36" t="n"/>
    </row>
    <row r="474">
      <c r="A474" s="32" t="n"/>
      <c r="B474" s="36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>
        <f>IF(COUNTA(B474:K474)&lt;10,"",MAX(300,ROUND(((((B474*1.4)+(C474*1.1)+(D474*1.1)+(E474*1)+(F474*1.1)+(G474*1)+(H474*1.6)+(I474*0.9)+(J474*1)+(K474*0.8))/11-1)/4)*20000,0)))</f>
        <v/>
      </c>
      <c r="M474" s="36">
        <f>IF(L474="","",MIN(100,ROUND(L474/200,0)))</f>
        <v/>
      </c>
      <c r="N474" s="36" t="n"/>
      <c r="O474" s="36" t="n"/>
    </row>
    <row r="475">
      <c r="A475" s="32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>
        <f>IF(COUNTA(B475:K475)&lt;10,"",MAX(300,ROUND(((((B475*1.4)+(C475*1.1)+(D475*1.1)+(E475*1)+(F475*1.1)+(G475*1)+(H475*1.6)+(I475*0.9)+(J475*1)+(K475*0.8))/11-1)/4)*20000,0)))</f>
        <v/>
      </c>
      <c r="M475" s="36">
        <f>IF(L475="","",MIN(100,ROUND(L475/200,0)))</f>
        <v/>
      </c>
      <c r="N475" s="36" t="n"/>
      <c r="O475" s="36" t="n"/>
    </row>
    <row r="476">
      <c r="A476" s="32" t="n"/>
      <c r="B476" s="36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>
        <f>IF(COUNTA(B476:K476)&lt;10,"",MAX(300,ROUND(((((B476*1.4)+(C476*1.1)+(D476*1.1)+(E476*1)+(F476*1.1)+(G476*1)+(H476*1.6)+(I476*0.9)+(J476*1)+(K476*0.8))/11-1)/4)*20000,0)))</f>
        <v/>
      </c>
      <c r="M476" s="36">
        <f>IF(L476="","",MIN(100,ROUND(L476/200,0)))</f>
        <v/>
      </c>
      <c r="N476" s="36" t="n"/>
      <c r="O476" s="36" t="n"/>
    </row>
    <row r="477">
      <c r="A477" s="32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>
        <f>IF(COUNTA(B477:K477)&lt;10,"",MAX(300,ROUND(((((B477*1.4)+(C477*1.1)+(D477*1.1)+(E477*1)+(F477*1.1)+(G477*1)+(H477*1.6)+(I477*0.9)+(J477*1)+(K477*0.8))/11-1)/4)*20000,0)))</f>
        <v/>
      </c>
      <c r="M477" s="36">
        <f>IF(L477="","",MIN(100,ROUND(L477/200,0)))</f>
        <v/>
      </c>
      <c r="N477" s="36" t="n"/>
      <c r="O477" s="36" t="n"/>
    </row>
    <row r="478">
      <c r="A478" s="32" t="n"/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>
        <f>IF(COUNTA(B478:K478)&lt;10,"",MAX(300,ROUND(((((B478*1.4)+(C478*1.1)+(D478*1.1)+(E478*1)+(F478*1.1)+(G478*1)+(H478*1.6)+(I478*0.9)+(J478*1)+(K478*0.8))/11-1)/4)*20000,0)))</f>
        <v/>
      </c>
      <c r="M478" s="36">
        <f>IF(L478="","",MIN(100,ROUND(L478/200,0)))</f>
        <v/>
      </c>
      <c r="N478" s="36" t="n"/>
      <c r="O478" s="36" t="n"/>
    </row>
    <row r="479">
      <c r="A479" s="32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>
        <f>IF(COUNTA(B479:K479)&lt;10,"",MAX(300,ROUND(((((B479*1.4)+(C479*1.1)+(D479*1.1)+(E479*1)+(F479*1.1)+(G479*1)+(H479*1.6)+(I479*0.9)+(J479*1)+(K479*0.8))/11-1)/4)*20000,0)))</f>
        <v/>
      </c>
      <c r="M479" s="36">
        <f>IF(L479="","",MIN(100,ROUND(L479/200,0)))</f>
        <v/>
      </c>
      <c r="N479" s="36" t="n"/>
      <c r="O479" s="36" t="n"/>
    </row>
    <row r="480">
      <c r="A480" s="32" t="n"/>
      <c r="B480" s="36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>
        <f>IF(COUNTA(B480:K480)&lt;10,"",MAX(300,ROUND(((((B480*1.4)+(C480*1.1)+(D480*1.1)+(E480*1)+(F480*1.1)+(G480*1)+(H480*1.6)+(I480*0.9)+(J480*1)+(K480*0.8))/11-1)/4)*20000,0)))</f>
        <v/>
      </c>
      <c r="M480" s="36">
        <f>IF(L480="","",MIN(100,ROUND(L480/200,0)))</f>
        <v/>
      </c>
      <c r="N480" s="36" t="n"/>
      <c r="O480" s="36" t="n"/>
    </row>
    <row r="481">
      <c r="A481" s="32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>
        <f>IF(COUNTA(B481:K481)&lt;10,"",MAX(300,ROUND(((((B481*1.4)+(C481*1.1)+(D481*1.1)+(E481*1)+(F481*1.1)+(G481*1)+(H481*1.6)+(I481*0.9)+(J481*1)+(K481*0.8))/11-1)/4)*20000,0)))</f>
        <v/>
      </c>
      <c r="M481" s="36">
        <f>IF(L481="","",MIN(100,ROUND(L481/200,0)))</f>
        <v/>
      </c>
      <c r="N481" s="36" t="n"/>
      <c r="O481" s="36" t="n"/>
    </row>
    <row r="482">
      <c r="A482" s="32" t="n"/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>
        <f>IF(COUNTA(B482:K482)&lt;10,"",MAX(300,ROUND(((((B482*1.4)+(C482*1.1)+(D482*1.1)+(E482*1)+(F482*1.1)+(G482*1)+(H482*1.6)+(I482*0.9)+(J482*1)+(K482*0.8))/11-1)/4)*20000,0)))</f>
        <v/>
      </c>
      <c r="M482" s="36">
        <f>IF(L482="","",MIN(100,ROUND(L482/200,0)))</f>
        <v/>
      </c>
      <c r="N482" s="36" t="n"/>
      <c r="O482" s="36" t="n"/>
    </row>
    <row r="483">
      <c r="A483" s="32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>
        <f>IF(COUNTA(B483:K483)&lt;10,"",MAX(300,ROUND(((((B483*1.4)+(C483*1.1)+(D483*1.1)+(E483*1)+(F483*1.1)+(G483*1)+(H483*1.6)+(I483*0.9)+(J483*1)+(K483*0.8))/11-1)/4)*20000,0)))</f>
        <v/>
      </c>
      <c r="M483" s="36">
        <f>IF(L483="","",MIN(100,ROUND(L483/200,0)))</f>
        <v/>
      </c>
      <c r="N483" s="36" t="n"/>
      <c r="O483" s="36" t="n"/>
    </row>
    <row r="484">
      <c r="A484" s="32" t="n"/>
      <c r="B484" s="36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>
        <f>IF(COUNTA(B484:K484)&lt;10,"",MAX(300,ROUND(((((B484*1.4)+(C484*1.1)+(D484*1.1)+(E484*1)+(F484*1.1)+(G484*1)+(H484*1.6)+(I484*0.9)+(J484*1)+(K484*0.8))/11-1)/4)*20000,0)))</f>
        <v/>
      </c>
      <c r="M484" s="36">
        <f>IF(L484="","",MIN(100,ROUND(L484/200,0)))</f>
        <v/>
      </c>
      <c r="N484" s="36" t="n"/>
      <c r="O484" s="36" t="n"/>
    </row>
    <row r="485">
      <c r="A485" s="32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>
        <f>IF(COUNTA(B485:K485)&lt;10,"",MAX(300,ROUND(((((B485*1.4)+(C485*1.1)+(D485*1.1)+(E485*1)+(F485*1.1)+(G485*1)+(H485*1.6)+(I485*0.9)+(J485*1)+(K485*0.8))/11-1)/4)*20000,0)))</f>
        <v/>
      </c>
      <c r="M485" s="36">
        <f>IF(L485="","",MIN(100,ROUND(L485/200,0)))</f>
        <v/>
      </c>
      <c r="N485" s="36" t="n"/>
      <c r="O485" s="36" t="n"/>
    </row>
    <row r="486">
      <c r="A486" s="32" t="n"/>
      <c r="B486" s="36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>
        <f>IF(COUNTA(B486:K486)&lt;10,"",MAX(300,ROUND(((((B486*1.4)+(C486*1.1)+(D486*1.1)+(E486*1)+(F486*1.1)+(G486*1)+(H486*1.6)+(I486*0.9)+(J486*1)+(K486*0.8))/11-1)/4)*20000,0)))</f>
        <v/>
      </c>
      <c r="M486" s="36">
        <f>IF(L486="","",MIN(100,ROUND(L486/200,0)))</f>
        <v/>
      </c>
      <c r="N486" s="36" t="n"/>
      <c r="O486" s="36" t="n"/>
    </row>
    <row r="487">
      <c r="A487" s="32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>
        <f>IF(COUNTA(B487:K487)&lt;10,"",MAX(300,ROUND(((((B487*1.4)+(C487*1.1)+(D487*1.1)+(E487*1)+(F487*1.1)+(G487*1)+(H487*1.6)+(I487*0.9)+(J487*1)+(K487*0.8))/11-1)/4)*20000,0)))</f>
        <v/>
      </c>
      <c r="M487" s="36">
        <f>IF(L487="","",MIN(100,ROUND(L487/200,0)))</f>
        <v/>
      </c>
      <c r="N487" s="36" t="n"/>
      <c r="O487" s="36" t="n"/>
    </row>
    <row r="488">
      <c r="A488" s="32" t="n"/>
      <c r="B488" s="36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>
        <f>IF(COUNTA(B488:K488)&lt;10,"",MAX(300,ROUND(((((B488*1.4)+(C488*1.1)+(D488*1.1)+(E488*1)+(F488*1.1)+(G488*1)+(H488*1.6)+(I488*0.9)+(J488*1)+(K488*0.8))/11-1)/4)*20000,0)))</f>
        <v/>
      </c>
      <c r="M488" s="36">
        <f>IF(L488="","",MIN(100,ROUND(L488/200,0)))</f>
        <v/>
      </c>
      <c r="N488" s="36" t="n"/>
      <c r="O488" s="36" t="n"/>
    </row>
    <row r="489">
      <c r="A489" s="32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>
        <f>IF(COUNTA(B489:K489)&lt;10,"",MAX(300,ROUND(((((B489*1.4)+(C489*1.1)+(D489*1.1)+(E489*1)+(F489*1.1)+(G489*1)+(H489*1.6)+(I489*0.9)+(J489*1)+(K489*0.8))/11-1)/4)*20000,0)))</f>
        <v/>
      </c>
      <c r="M489" s="36">
        <f>IF(L489="","",MIN(100,ROUND(L489/200,0)))</f>
        <v/>
      </c>
      <c r="N489" s="36" t="n"/>
      <c r="O489" s="36" t="n"/>
    </row>
    <row r="490">
      <c r="A490" s="32" t="n"/>
      <c r="B490" s="36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>
        <f>IF(COUNTA(B490:K490)&lt;10,"",MAX(300,ROUND(((((B490*1.4)+(C490*1.1)+(D490*1.1)+(E490*1)+(F490*1.1)+(G490*1)+(H490*1.6)+(I490*0.9)+(J490*1)+(K490*0.8))/11-1)/4)*20000,0)))</f>
        <v/>
      </c>
      <c r="M490" s="36">
        <f>IF(L490="","",MIN(100,ROUND(L490/200,0)))</f>
        <v/>
      </c>
      <c r="N490" s="36" t="n"/>
      <c r="O490" s="36" t="n"/>
    </row>
    <row r="491">
      <c r="A491" s="32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>
        <f>IF(COUNTA(B491:K491)&lt;10,"",MAX(300,ROUND(((((B491*1.4)+(C491*1.1)+(D491*1.1)+(E491*1)+(F491*1.1)+(G491*1)+(H491*1.6)+(I491*0.9)+(J491*1)+(K491*0.8))/11-1)/4)*20000,0)))</f>
        <v/>
      </c>
      <c r="M491" s="36">
        <f>IF(L491="","",MIN(100,ROUND(L491/200,0)))</f>
        <v/>
      </c>
      <c r="N491" s="36" t="n"/>
      <c r="O491" s="36" t="n"/>
    </row>
    <row r="492">
      <c r="A492" s="32" t="n"/>
      <c r="B492" s="36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>
        <f>IF(COUNTA(B492:K492)&lt;10,"",MAX(300,ROUND(((((B492*1.4)+(C492*1.1)+(D492*1.1)+(E492*1)+(F492*1.1)+(G492*1)+(H492*1.6)+(I492*0.9)+(J492*1)+(K492*0.8))/11-1)/4)*20000,0)))</f>
        <v/>
      </c>
      <c r="M492" s="36">
        <f>IF(L492="","",MIN(100,ROUND(L492/200,0)))</f>
        <v/>
      </c>
      <c r="N492" s="36" t="n"/>
      <c r="O492" s="36" t="n"/>
    </row>
    <row r="493">
      <c r="A493" s="32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>
        <f>IF(COUNTA(B493:K493)&lt;10,"",MAX(300,ROUND(((((B493*1.4)+(C493*1.1)+(D493*1.1)+(E493*1)+(F493*1.1)+(G493*1)+(H493*1.6)+(I493*0.9)+(J493*1)+(K493*0.8))/11-1)/4)*20000,0)))</f>
        <v/>
      </c>
      <c r="M493" s="36">
        <f>IF(L493="","",MIN(100,ROUND(L493/200,0)))</f>
        <v/>
      </c>
      <c r="N493" s="36" t="n"/>
      <c r="O493" s="36" t="n"/>
    </row>
    <row r="494">
      <c r="A494" s="32" t="n"/>
      <c r="B494" s="36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>
        <f>IF(COUNTA(B494:K494)&lt;10,"",MAX(300,ROUND(((((B494*1.4)+(C494*1.1)+(D494*1.1)+(E494*1)+(F494*1.1)+(G494*1)+(H494*1.6)+(I494*0.9)+(J494*1)+(K494*0.8))/11-1)/4)*20000,0)))</f>
        <v/>
      </c>
      <c r="M494" s="36">
        <f>IF(L494="","",MIN(100,ROUND(L494/200,0)))</f>
        <v/>
      </c>
      <c r="N494" s="36" t="n"/>
      <c r="O494" s="36" t="n"/>
    </row>
    <row r="495">
      <c r="A495" s="32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>
        <f>IF(COUNTA(B495:K495)&lt;10,"",MAX(300,ROUND(((((B495*1.4)+(C495*1.1)+(D495*1.1)+(E495*1)+(F495*1.1)+(G495*1)+(H495*1.6)+(I495*0.9)+(J495*1)+(K495*0.8))/11-1)/4)*20000,0)))</f>
        <v/>
      </c>
      <c r="M495" s="36">
        <f>IF(L495="","",MIN(100,ROUND(L495/200,0)))</f>
        <v/>
      </c>
      <c r="N495" s="36" t="n"/>
      <c r="O495" s="36" t="n"/>
    </row>
    <row r="496">
      <c r="A496" s="32" t="n"/>
      <c r="B496" s="36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>
        <f>IF(COUNTA(B496:K496)&lt;10,"",MAX(300,ROUND(((((B496*1.4)+(C496*1.1)+(D496*1.1)+(E496*1)+(F496*1.1)+(G496*1)+(H496*1.6)+(I496*0.9)+(J496*1)+(K496*0.8))/11-1)/4)*20000,0)))</f>
        <v/>
      </c>
      <c r="M496" s="36">
        <f>IF(L496="","",MIN(100,ROUND(L496/200,0)))</f>
        <v/>
      </c>
      <c r="N496" s="36" t="n"/>
      <c r="O496" s="36" t="n"/>
    </row>
    <row r="497">
      <c r="A497" s="32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>
        <f>IF(COUNTA(B497:K497)&lt;10,"",MAX(300,ROUND(((((B497*1.4)+(C497*1.1)+(D497*1.1)+(E497*1)+(F497*1.1)+(G497*1)+(H497*1.6)+(I497*0.9)+(J497*1)+(K497*0.8))/11-1)/4)*20000,0)))</f>
        <v/>
      </c>
      <c r="M497" s="36">
        <f>IF(L497="","",MIN(100,ROUND(L497/200,0)))</f>
        <v/>
      </c>
      <c r="N497" s="36" t="n"/>
      <c r="O497" s="36" t="n"/>
    </row>
    <row r="498">
      <c r="A498" s="32" t="n"/>
      <c r="B498" s="36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>
        <f>IF(COUNTA(B498:K498)&lt;10,"",MAX(300,ROUND(((((B498*1.4)+(C498*1.1)+(D498*1.1)+(E498*1)+(F498*1.1)+(G498*1)+(H498*1.6)+(I498*0.9)+(J498*1)+(K498*0.8))/11-1)/4)*20000,0)))</f>
        <v/>
      </c>
      <c r="M498" s="36">
        <f>IF(L498="","",MIN(100,ROUND(L498/200,0)))</f>
        <v/>
      </c>
      <c r="N498" s="36" t="n"/>
      <c r="O498" s="36" t="n"/>
    </row>
    <row r="499">
      <c r="A499" s="32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>
        <f>IF(COUNTA(B499:K499)&lt;10,"",MAX(300,ROUND(((((B499*1.4)+(C499*1.1)+(D499*1.1)+(E499*1)+(F499*1.1)+(G499*1)+(H499*1.6)+(I499*0.9)+(J499*1)+(K499*0.8))/11-1)/4)*20000,0)))</f>
        <v/>
      </c>
      <c r="M499" s="36">
        <f>IF(L499="","",MIN(100,ROUND(L499/200,0)))</f>
        <v/>
      </c>
      <c r="N499" s="36" t="n"/>
      <c r="O499" s="36" t="n"/>
    </row>
    <row r="500">
      <c r="A500" s="32" t="n"/>
      <c r="B500" s="36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>
        <f>IF(COUNTA(B500:K500)&lt;10,"",MAX(300,ROUND(((((B500*1.4)+(C500*1.1)+(D500*1.1)+(E500*1)+(F500*1.1)+(G500*1)+(H500*1.6)+(I500*0.9)+(J500*1)+(K500*0.8))/11-1)/4)*20000,0)))</f>
        <v/>
      </c>
      <c r="M500" s="36">
        <f>IF(L500="","",MIN(100,ROUND(L500/200,0)))</f>
        <v/>
      </c>
      <c r="N500" s="36" t="n"/>
      <c r="O500" s="36" t="n"/>
    </row>
    <row r="501">
      <c r="A501" s="32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>
        <f>IF(COUNTA(B501:K501)&lt;10,"",MAX(300,ROUND(((((B501*1.4)+(C501*1.1)+(D501*1.1)+(E501*1)+(F501*1.1)+(G501*1)+(H501*1.6)+(I501*0.9)+(J501*1)+(K501*0.8))/11-1)/4)*20000,0)))</f>
        <v/>
      </c>
      <c r="M501" s="36">
        <f>IF(L501="","",MIN(100,ROUND(L501/200,0)))</f>
        <v/>
      </c>
      <c r="N501" s="36" t="n"/>
      <c r="O501" s="36" t="n"/>
    </row>
    <row r="502">
      <c r="A502" s="32" t="n"/>
      <c r="B502" s="36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>
        <f>IF(COUNTA(B502:K502)&lt;10,"",MAX(300,ROUND(((((B502*1.4)+(C502*1.1)+(D502*1.1)+(E502*1)+(F502*1.1)+(G502*1)+(H502*1.6)+(I502*0.9)+(J502*1)+(K502*0.8))/11-1)/4)*20000,0)))</f>
        <v/>
      </c>
      <c r="M502" s="36">
        <f>IF(L502="","",MIN(100,ROUND(L502/200,0)))</f>
        <v/>
      </c>
      <c r="N502" s="36" t="n"/>
      <c r="O502" s="36" t="n"/>
    </row>
    <row r="503">
      <c r="A503" s="32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>
        <f>IF(COUNTA(B503:K503)&lt;10,"",MAX(300,ROUND(((((B503*1.4)+(C503*1.1)+(D503*1.1)+(E503*1)+(F503*1.1)+(G503*1)+(H503*1.6)+(I503*0.9)+(J503*1)+(K503*0.8))/11-1)/4)*20000,0)))</f>
        <v/>
      </c>
      <c r="M503" s="36">
        <f>IF(L503="","",MIN(100,ROUND(L503/200,0)))</f>
        <v/>
      </c>
      <c r="N503" s="36" t="n"/>
      <c r="O503" s="36" t="n"/>
    </row>
    <row r="504">
      <c r="A504" s="32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>
        <f>IF(COUNTA(B504:K504)&lt;10,"",MAX(300,ROUND(((((B504*1.4)+(C504*1.1)+(D504*1.1)+(E504*1)+(F504*1.1)+(G504*1)+(H504*1.6)+(I504*0.9)+(J504*1)+(K504*0.8))/11-1)/4)*20000,0)))</f>
        <v/>
      </c>
      <c r="M504" s="36">
        <f>IF(L504="","",MIN(100,ROUND(L504/200,0)))</f>
        <v/>
      </c>
      <c r="N504" s="36" t="n"/>
      <c r="O504" s="36" t="n"/>
    </row>
    <row r="505">
      <c r="A505" s="32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>
        <f>IF(COUNTA(B505:K505)&lt;10,"",MAX(300,ROUND(((((B505*1.4)+(C505*1.1)+(D505*1.1)+(E505*1)+(F505*1.1)+(G505*1)+(H505*1.6)+(I505*0.9)+(J505*1)+(K505*0.8))/11-1)/4)*20000,0)))</f>
        <v/>
      </c>
      <c r="M505" s="36">
        <f>IF(L505="","",MIN(100,ROUND(L505/200,0)))</f>
        <v/>
      </c>
      <c r="N505" s="36" t="n"/>
      <c r="O505" s="36" t="n"/>
    </row>
    <row r="506">
      <c r="A506" s="32" t="n"/>
      <c r="B506" s="36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>
        <f>IF(COUNTA(B506:K506)&lt;10,"",MAX(300,ROUND(((((B506*1.4)+(C506*1.1)+(D506*1.1)+(E506*1)+(F506*1.1)+(G506*1)+(H506*1.6)+(I506*0.9)+(J506*1)+(K506*0.8))/11-1)/4)*20000,0)))</f>
        <v/>
      </c>
      <c r="M506" s="36">
        <f>IF(L506="","",MIN(100,ROUND(L506/200,0)))</f>
        <v/>
      </c>
      <c r="N506" s="36" t="n"/>
      <c r="O506" s="36" t="n"/>
    </row>
    <row r="507">
      <c r="A507" s="32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>
        <f>IF(COUNTA(B507:K507)&lt;10,"",MAX(300,ROUND(((((B507*1.4)+(C507*1.1)+(D507*1.1)+(E507*1)+(F507*1.1)+(G507*1)+(H507*1.6)+(I507*0.9)+(J507*1)+(K507*0.8))/11-1)/4)*20000,0)))</f>
        <v/>
      </c>
      <c r="M507" s="36">
        <f>IF(L507="","",MIN(100,ROUND(L507/200,0)))</f>
        <v/>
      </c>
      <c r="N507" s="36" t="n"/>
      <c r="O507" s="36" t="n"/>
    </row>
    <row r="508">
      <c r="A508" s="32" t="n"/>
      <c r="B508" s="36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>
        <f>IF(COUNTA(B508:K508)&lt;10,"",MAX(300,ROUND(((((B508*1.4)+(C508*1.1)+(D508*1.1)+(E508*1)+(F508*1.1)+(G508*1)+(H508*1.6)+(I508*0.9)+(J508*1)+(K508*0.8))/11-1)/4)*20000,0)))</f>
        <v/>
      </c>
      <c r="M508" s="36">
        <f>IF(L508="","",MIN(100,ROUND(L508/200,0)))</f>
        <v/>
      </c>
      <c r="N508" s="36" t="n"/>
      <c r="O508" s="36" t="n"/>
    </row>
    <row r="509">
      <c r="A509" s="32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>
        <f>IF(COUNTA(B509:K509)&lt;10,"",MAX(300,ROUND(((((B509*1.4)+(C509*1.1)+(D509*1.1)+(E509*1)+(F509*1.1)+(G509*1)+(H509*1.6)+(I509*0.9)+(J509*1)+(K509*0.8))/11-1)/4)*20000,0)))</f>
        <v/>
      </c>
      <c r="M509" s="36">
        <f>IF(L509="","",MIN(100,ROUND(L509/200,0)))</f>
        <v/>
      </c>
      <c r="N509" s="36" t="n"/>
      <c r="O509" s="36" t="n"/>
    </row>
    <row r="510">
      <c r="A510" s="32" t="n"/>
      <c r="B510" s="36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>
        <f>IF(COUNTA(B510:K510)&lt;10,"",MAX(300,ROUND(((((B510*1.4)+(C510*1.1)+(D510*1.1)+(E510*1)+(F510*1.1)+(G510*1)+(H510*1.6)+(I510*0.9)+(J510*1)+(K510*0.8))/11-1)/4)*20000,0)))</f>
        <v/>
      </c>
      <c r="M510" s="36">
        <f>IF(L510="","",MIN(100,ROUND(L510/200,0)))</f>
        <v/>
      </c>
      <c r="N510" s="36" t="n"/>
      <c r="O510" s="36" t="n"/>
    </row>
    <row r="511">
      <c r="A511" s="32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>
        <f>IF(COUNTA(B511:K511)&lt;10,"",MAX(300,ROUND(((((B511*1.4)+(C511*1.1)+(D511*1.1)+(E511*1)+(F511*1.1)+(G511*1)+(H511*1.6)+(I511*0.9)+(J511*1)+(K511*0.8))/11-1)/4)*20000,0)))</f>
        <v/>
      </c>
      <c r="M511" s="36">
        <f>IF(L511="","",MIN(100,ROUND(L511/200,0)))</f>
        <v/>
      </c>
      <c r="N511" s="36" t="n"/>
      <c r="O511" s="36" t="n"/>
    </row>
    <row r="512">
      <c r="A512" s="32" t="n"/>
      <c r="B512" s="36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>
        <f>IF(COUNTA(B512:K512)&lt;10,"",MAX(300,ROUND(((((B512*1.4)+(C512*1.1)+(D512*1.1)+(E512*1)+(F512*1.1)+(G512*1)+(H512*1.6)+(I512*0.9)+(J512*1)+(K512*0.8))/11-1)/4)*20000,0)))</f>
        <v/>
      </c>
      <c r="M512" s="36">
        <f>IF(L512="","",MIN(100,ROUND(L512/200,0)))</f>
        <v/>
      </c>
      <c r="N512" s="36" t="n"/>
      <c r="O512" s="36" t="n"/>
    </row>
    <row r="513">
      <c r="A513" s="32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>
        <f>IF(COUNTA(B513:K513)&lt;10,"",MAX(300,ROUND(((((B513*1.4)+(C513*1.1)+(D513*1.1)+(E513*1)+(F513*1.1)+(G513*1)+(H513*1.6)+(I513*0.9)+(J513*1)+(K513*0.8))/11-1)/4)*20000,0)))</f>
        <v/>
      </c>
      <c r="M513" s="36">
        <f>IF(L513="","",MIN(100,ROUND(L513/200,0)))</f>
        <v/>
      </c>
      <c r="N513" s="36" t="n"/>
      <c r="O513" s="36" t="n"/>
    </row>
    <row r="514">
      <c r="A514" s="32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>
        <f>IF(COUNTA(B514:K514)&lt;10,"",MAX(300,ROUND(((((B514*1.4)+(C514*1.1)+(D514*1.1)+(E514*1)+(F514*1.1)+(G514*1)+(H514*1.6)+(I514*0.9)+(J514*1)+(K514*0.8))/11-1)/4)*20000,0)))</f>
        <v/>
      </c>
      <c r="M514" s="36">
        <f>IF(L514="","",MIN(100,ROUND(L514/200,0)))</f>
        <v/>
      </c>
      <c r="N514" s="36" t="n"/>
      <c r="O514" s="36" t="n"/>
    </row>
    <row r="515">
      <c r="A515" s="32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>
        <f>IF(COUNTA(B515:K515)&lt;10,"",MAX(300,ROUND(((((B515*1.4)+(C515*1.1)+(D515*1.1)+(E515*1)+(F515*1.1)+(G515*1)+(H515*1.6)+(I515*0.9)+(J515*1)+(K515*0.8))/11-1)/4)*20000,0)))</f>
        <v/>
      </c>
      <c r="M515" s="36">
        <f>IF(L515="","",MIN(100,ROUND(L515/200,0)))</f>
        <v/>
      </c>
      <c r="N515" s="36" t="n"/>
      <c r="O515" s="36" t="n"/>
    </row>
    <row r="516">
      <c r="A516" s="32" t="n"/>
      <c r="B516" s="36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>
        <f>IF(COUNTA(B516:K516)&lt;10,"",MAX(300,ROUND(((((B516*1.4)+(C516*1.1)+(D516*1.1)+(E516*1)+(F516*1.1)+(G516*1)+(H516*1.6)+(I516*0.9)+(J516*1)+(K516*0.8))/11-1)/4)*20000,0)))</f>
        <v/>
      </c>
      <c r="M516" s="36">
        <f>IF(L516="","",MIN(100,ROUND(L516/200,0)))</f>
        <v/>
      </c>
      <c r="N516" s="36" t="n"/>
      <c r="O516" s="36" t="n"/>
    </row>
    <row r="517">
      <c r="A517" s="32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>
        <f>IF(COUNTA(B517:K517)&lt;10,"",MAX(300,ROUND(((((B517*1.4)+(C517*1.1)+(D517*1.1)+(E517*1)+(F517*1.1)+(G517*1)+(H517*1.6)+(I517*0.9)+(J517*1)+(K517*0.8))/11-1)/4)*20000,0)))</f>
        <v/>
      </c>
      <c r="M517" s="36">
        <f>IF(L517="","",MIN(100,ROUND(L517/200,0)))</f>
        <v/>
      </c>
      <c r="N517" s="36" t="n"/>
      <c r="O517" s="36" t="n"/>
    </row>
    <row r="518">
      <c r="A518" s="32" t="n"/>
      <c r="B518" s="36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>
        <f>IF(COUNTA(B518:K518)&lt;10,"",MAX(300,ROUND(((((B518*1.4)+(C518*1.1)+(D518*1.1)+(E518*1)+(F518*1.1)+(G518*1)+(H518*1.6)+(I518*0.9)+(J518*1)+(K518*0.8))/11-1)/4)*20000,0)))</f>
        <v/>
      </c>
      <c r="M518" s="36">
        <f>IF(L518="","",MIN(100,ROUND(L518/200,0)))</f>
        <v/>
      </c>
      <c r="N518" s="36" t="n"/>
      <c r="O518" s="36" t="n"/>
    </row>
    <row r="519">
      <c r="A519" s="32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>
        <f>IF(COUNTA(B519:K519)&lt;10,"",MAX(300,ROUND(((((B519*1.4)+(C519*1.1)+(D519*1.1)+(E519*1)+(F519*1.1)+(G519*1)+(H519*1.6)+(I519*0.9)+(J519*1)+(K519*0.8))/11-1)/4)*20000,0)))</f>
        <v/>
      </c>
      <c r="M519" s="36">
        <f>IF(L519="","",MIN(100,ROUND(L519/200,0)))</f>
        <v/>
      </c>
      <c r="N519" s="36" t="n"/>
      <c r="O519" s="36" t="n"/>
    </row>
    <row r="520">
      <c r="A520" s="32" t="n"/>
      <c r="B520" s="36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>
        <f>IF(COUNTA(B520:K520)&lt;10,"",MAX(300,ROUND(((((B520*1.4)+(C520*1.1)+(D520*1.1)+(E520*1)+(F520*1.1)+(G520*1)+(H520*1.6)+(I520*0.9)+(J520*1)+(K520*0.8))/11-1)/4)*20000,0)))</f>
        <v/>
      </c>
      <c r="M520" s="36">
        <f>IF(L520="","",MIN(100,ROUND(L520/200,0)))</f>
        <v/>
      </c>
      <c r="N520" s="36" t="n"/>
      <c r="O520" s="36" t="n"/>
    </row>
    <row r="521">
      <c r="A521" s="32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>
        <f>IF(COUNTA(B521:K521)&lt;10,"",MAX(300,ROUND(((((B521*1.4)+(C521*1.1)+(D521*1.1)+(E521*1)+(F521*1.1)+(G521*1)+(H521*1.6)+(I521*0.9)+(J521*1)+(K521*0.8))/11-1)/4)*20000,0)))</f>
        <v/>
      </c>
      <c r="M521" s="36">
        <f>IF(L521="","",MIN(100,ROUND(L521/200,0)))</f>
        <v/>
      </c>
      <c r="N521" s="36" t="n"/>
      <c r="O521" s="36" t="n"/>
    </row>
    <row r="522">
      <c r="A522" s="32" t="n"/>
      <c r="B522" s="36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>
        <f>IF(COUNTA(B522:K522)&lt;10,"",MAX(300,ROUND(((((B522*1.4)+(C522*1.1)+(D522*1.1)+(E522*1)+(F522*1.1)+(G522*1)+(H522*1.6)+(I522*0.9)+(J522*1)+(K522*0.8))/11-1)/4)*20000,0)))</f>
        <v/>
      </c>
      <c r="M522" s="36">
        <f>IF(L522="","",MIN(100,ROUND(L522/200,0)))</f>
        <v/>
      </c>
      <c r="N522" s="36" t="n"/>
      <c r="O522" s="36" t="n"/>
    </row>
    <row r="523">
      <c r="A523" s="32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>
        <f>IF(COUNTA(B523:K523)&lt;10,"",MAX(300,ROUND(((((B523*1.4)+(C523*1.1)+(D523*1.1)+(E523*1)+(F523*1.1)+(G523*1)+(H523*1.6)+(I523*0.9)+(J523*1)+(K523*0.8))/11-1)/4)*20000,0)))</f>
        <v/>
      </c>
      <c r="M523" s="36">
        <f>IF(L523="","",MIN(100,ROUND(L523/200,0)))</f>
        <v/>
      </c>
      <c r="N523" s="36" t="n"/>
      <c r="O523" s="36" t="n"/>
    </row>
    <row r="524">
      <c r="A524" s="32" t="n"/>
      <c r="B524" s="36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>
        <f>IF(COUNTA(B524:K524)&lt;10,"",MAX(300,ROUND(((((B524*1.4)+(C524*1.1)+(D524*1.1)+(E524*1)+(F524*1.1)+(G524*1)+(H524*1.6)+(I524*0.9)+(J524*1)+(K524*0.8))/11-1)/4)*20000,0)))</f>
        <v/>
      </c>
      <c r="M524" s="36">
        <f>IF(L524="","",MIN(100,ROUND(L524/200,0)))</f>
        <v/>
      </c>
      <c r="N524" s="36" t="n"/>
      <c r="O524" s="36" t="n"/>
    </row>
    <row r="525">
      <c r="A525" s="32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>
        <f>IF(COUNTA(B525:K525)&lt;10,"",MAX(300,ROUND(((((B525*1.4)+(C525*1.1)+(D525*1.1)+(E525*1)+(F525*1.1)+(G525*1)+(H525*1.6)+(I525*0.9)+(J525*1)+(K525*0.8))/11-1)/4)*20000,0)))</f>
        <v/>
      </c>
      <c r="M525" s="36">
        <f>IF(L525="","",MIN(100,ROUND(L525/200,0)))</f>
        <v/>
      </c>
      <c r="N525" s="36" t="n"/>
      <c r="O525" s="36" t="n"/>
    </row>
    <row r="526">
      <c r="A526" s="32" t="n"/>
      <c r="B526" s="36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>
        <f>IF(COUNTA(B526:K526)&lt;10,"",MAX(300,ROUND(((((B526*1.4)+(C526*1.1)+(D526*1.1)+(E526*1)+(F526*1.1)+(G526*1)+(H526*1.6)+(I526*0.9)+(J526*1)+(K526*0.8))/11-1)/4)*20000,0)))</f>
        <v/>
      </c>
      <c r="M526" s="36">
        <f>IF(L526="","",MIN(100,ROUND(L526/200,0)))</f>
        <v/>
      </c>
      <c r="N526" s="36" t="n"/>
      <c r="O526" s="36" t="n"/>
    </row>
    <row r="527">
      <c r="A527" s="32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>
        <f>IF(COUNTA(B527:K527)&lt;10,"",MAX(300,ROUND(((((B527*1.4)+(C527*1.1)+(D527*1.1)+(E527*1)+(F527*1.1)+(G527*1)+(H527*1.6)+(I527*0.9)+(J527*1)+(K527*0.8))/11-1)/4)*20000,0)))</f>
        <v/>
      </c>
      <c r="M527" s="36">
        <f>IF(L527="","",MIN(100,ROUND(L527/200,0)))</f>
        <v/>
      </c>
      <c r="N527" s="36" t="n"/>
      <c r="O527" s="36" t="n"/>
    </row>
    <row r="528">
      <c r="A528" s="32" t="n"/>
      <c r="B528" s="36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>
        <f>IF(COUNTA(B528:K528)&lt;10,"",MAX(300,ROUND(((((B528*1.4)+(C528*1.1)+(D528*1.1)+(E528*1)+(F528*1.1)+(G528*1)+(H528*1.6)+(I528*0.9)+(J528*1)+(K528*0.8))/11-1)/4)*20000,0)))</f>
        <v/>
      </c>
      <c r="M528" s="36">
        <f>IF(L528="","",MIN(100,ROUND(L528/200,0)))</f>
        <v/>
      </c>
      <c r="N528" s="36" t="n"/>
      <c r="O528" s="36" t="n"/>
    </row>
    <row r="529">
      <c r="A529" s="32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>
        <f>IF(COUNTA(B529:K529)&lt;10,"",MAX(300,ROUND(((((B529*1.4)+(C529*1.1)+(D529*1.1)+(E529*1)+(F529*1.1)+(G529*1)+(H529*1.6)+(I529*0.9)+(J529*1)+(K529*0.8))/11-1)/4)*20000,0)))</f>
        <v/>
      </c>
      <c r="M529" s="36">
        <f>IF(L529="","",MIN(100,ROUND(L529/200,0)))</f>
        <v/>
      </c>
      <c r="N529" s="36" t="n"/>
      <c r="O529" s="36" t="n"/>
    </row>
    <row r="530">
      <c r="A530" s="32" t="n"/>
      <c r="B530" s="36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>
        <f>IF(COUNTA(B530:K530)&lt;10,"",MAX(300,ROUND(((((B530*1.4)+(C530*1.1)+(D530*1.1)+(E530*1)+(F530*1.1)+(G530*1)+(H530*1.6)+(I530*0.9)+(J530*1)+(K530*0.8))/11-1)/4)*20000,0)))</f>
        <v/>
      </c>
      <c r="M530" s="36">
        <f>IF(L530="","",MIN(100,ROUND(L530/200,0)))</f>
        <v/>
      </c>
      <c r="N530" s="36" t="n"/>
      <c r="O530" s="36" t="n"/>
    </row>
    <row r="531">
      <c r="A531" s="32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>
        <f>IF(COUNTA(B531:K531)&lt;10,"",MAX(300,ROUND(((((B531*1.4)+(C531*1.1)+(D531*1.1)+(E531*1)+(F531*1.1)+(G531*1)+(H531*1.6)+(I531*0.9)+(J531*1)+(K531*0.8))/11-1)/4)*20000,0)))</f>
        <v/>
      </c>
      <c r="M531" s="36">
        <f>IF(L531="","",MIN(100,ROUND(L531/200,0)))</f>
        <v/>
      </c>
      <c r="N531" s="36" t="n"/>
      <c r="O531" s="36" t="n"/>
    </row>
    <row r="532">
      <c r="A532" s="32" t="n"/>
      <c r="B532" s="36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>
        <f>IF(COUNTA(B532:K532)&lt;10,"",MAX(300,ROUND(((((B532*1.4)+(C532*1.1)+(D532*1.1)+(E532*1)+(F532*1.1)+(G532*1)+(H532*1.6)+(I532*0.9)+(J532*1)+(K532*0.8))/11-1)/4)*20000,0)))</f>
        <v/>
      </c>
      <c r="M532" s="36">
        <f>IF(L532="","",MIN(100,ROUND(L532/200,0)))</f>
        <v/>
      </c>
      <c r="N532" s="36" t="n"/>
      <c r="O532" s="36" t="n"/>
    </row>
    <row r="533">
      <c r="A533" s="32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>
        <f>IF(COUNTA(B533:K533)&lt;10,"",MAX(300,ROUND(((((B533*1.4)+(C533*1.1)+(D533*1.1)+(E533*1)+(F533*1.1)+(G533*1)+(H533*1.6)+(I533*0.9)+(J533*1)+(K533*0.8))/11-1)/4)*20000,0)))</f>
        <v/>
      </c>
      <c r="M533" s="36">
        <f>IF(L533="","",MIN(100,ROUND(L533/200,0)))</f>
        <v/>
      </c>
      <c r="N533" s="36" t="n"/>
      <c r="O533" s="36" t="n"/>
    </row>
    <row r="534">
      <c r="A534" s="32" t="n"/>
      <c r="B534" s="36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>
        <f>IF(COUNTA(B534:K534)&lt;10,"",MAX(300,ROUND(((((B534*1.4)+(C534*1.1)+(D534*1.1)+(E534*1)+(F534*1.1)+(G534*1)+(H534*1.6)+(I534*0.9)+(J534*1)+(K534*0.8))/11-1)/4)*20000,0)))</f>
        <v/>
      </c>
      <c r="M534" s="36">
        <f>IF(L534="","",MIN(100,ROUND(L534/200,0)))</f>
        <v/>
      </c>
      <c r="N534" s="36" t="n"/>
      <c r="O534" s="36" t="n"/>
    </row>
    <row r="535">
      <c r="A535" s="32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>
        <f>IF(COUNTA(B535:K535)&lt;10,"",MAX(300,ROUND(((((B535*1.4)+(C535*1.1)+(D535*1.1)+(E535*1)+(F535*1.1)+(G535*1)+(H535*1.6)+(I535*0.9)+(J535*1)+(K535*0.8))/11-1)/4)*20000,0)))</f>
        <v/>
      </c>
      <c r="M535" s="36">
        <f>IF(L535="","",MIN(100,ROUND(L535/200,0)))</f>
        <v/>
      </c>
      <c r="N535" s="36" t="n"/>
      <c r="O535" s="36" t="n"/>
    </row>
    <row r="536">
      <c r="A536" s="32" t="n"/>
      <c r="B536" s="36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>
        <f>IF(COUNTA(B536:K536)&lt;10,"",MAX(300,ROUND(((((B536*1.4)+(C536*1.1)+(D536*1.1)+(E536*1)+(F536*1.1)+(G536*1)+(H536*1.6)+(I536*0.9)+(J536*1)+(K536*0.8))/11-1)/4)*20000,0)))</f>
        <v/>
      </c>
      <c r="M536" s="36">
        <f>IF(L536="","",MIN(100,ROUND(L536/200,0)))</f>
        <v/>
      </c>
      <c r="N536" s="36" t="n"/>
      <c r="O536" s="36" t="n"/>
    </row>
    <row r="537">
      <c r="A537" s="32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>
        <f>IF(COUNTA(B537:K537)&lt;10,"",MAX(300,ROUND(((((B537*1.4)+(C537*1.1)+(D537*1.1)+(E537*1)+(F537*1.1)+(G537*1)+(H537*1.6)+(I537*0.9)+(J537*1)+(K537*0.8))/11-1)/4)*20000,0)))</f>
        <v/>
      </c>
      <c r="M537" s="36">
        <f>IF(L537="","",MIN(100,ROUND(L537/200,0)))</f>
        <v/>
      </c>
      <c r="N537" s="36" t="n"/>
      <c r="O537" s="36" t="n"/>
    </row>
    <row r="538">
      <c r="A538" s="32" t="n"/>
      <c r="B538" s="36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>
        <f>IF(COUNTA(B538:K538)&lt;10,"",MAX(300,ROUND(((((B538*1.4)+(C538*1.1)+(D538*1.1)+(E538*1)+(F538*1.1)+(G538*1)+(H538*1.6)+(I538*0.9)+(J538*1)+(K538*0.8))/11-1)/4)*20000,0)))</f>
        <v/>
      </c>
      <c r="M538" s="36">
        <f>IF(L538="","",MIN(100,ROUND(L538/200,0)))</f>
        <v/>
      </c>
      <c r="N538" s="36" t="n"/>
      <c r="O538" s="36" t="n"/>
    </row>
    <row r="539">
      <c r="A539" s="32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>
        <f>IF(COUNTA(B539:K539)&lt;10,"",MAX(300,ROUND(((((B539*1.4)+(C539*1.1)+(D539*1.1)+(E539*1)+(F539*1.1)+(G539*1)+(H539*1.6)+(I539*0.9)+(J539*1)+(K539*0.8))/11-1)/4)*20000,0)))</f>
        <v/>
      </c>
      <c r="M539" s="36">
        <f>IF(L539="","",MIN(100,ROUND(L539/200,0)))</f>
        <v/>
      </c>
      <c r="N539" s="36" t="n"/>
      <c r="O539" s="36" t="n"/>
    </row>
    <row r="540">
      <c r="A540" s="32" t="n"/>
      <c r="B540" s="36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>
        <f>IF(COUNTA(B540:K540)&lt;10,"",MAX(300,ROUND(((((B540*1.4)+(C540*1.1)+(D540*1.1)+(E540*1)+(F540*1.1)+(G540*1)+(H540*1.6)+(I540*0.9)+(J540*1)+(K540*0.8))/11-1)/4)*20000,0)))</f>
        <v/>
      </c>
      <c r="M540" s="36">
        <f>IF(L540="","",MIN(100,ROUND(L540/200,0)))</f>
        <v/>
      </c>
      <c r="N540" s="36" t="n"/>
      <c r="O540" s="36" t="n"/>
    </row>
    <row r="541">
      <c r="A541" s="32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>
        <f>IF(COUNTA(B541:K541)&lt;10,"",MAX(300,ROUND(((((B541*1.4)+(C541*1.1)+(D541*1.1)+(E541*1)+(F541*1.1)+(G541*1)+(H541*1.6)+(I541*0.9)+(J541*1)+(K541*0.8))/11-1)/4)*20000,0)))</f>
        <v/>
      </c>
      <c r="M541" s="36">
        <f>IF(L541="","",MIN(100,ROUND(L541/200,0)))</f>
        <v/>
      </c>
      <c r="N541" s="36" t="n"/>
      <c r="O541" s="36" t="n"/>
    </row>
    <row r="542">
      <c r="A542" s="32" t="n"/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>
        <f>IF(COUNTA(B542:K542)&lt;10,"",MAX(300,ROUND(((((B542*1.4)+(C542*1.1)+(D542*1.1)+(E542*1)+(F542*1.1)+(G542*1)+(H542*1.6)+(I542*0.9)+(J542*1)+(K542*0.8))/11-1)/4)*20000,0)))</f>
        <v/>
      </c>
      <c r="M542" s="36">
        <f>IF(L542="","",MIN(100,ROUND(L542/200,0)))</f>
        <v/>
      </c>
      <c r="N542" s="36" t="n"/>
      <c r="O542" s="36" t="n"/>
    </row>
    <row r="543">
      <c r="A543" s="32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>
        <f>IF(COUNTA(B543:K543)&lt;10,"",MAX(300,ROUND(((((B543*1.4)+(C543*1.1)+(D543*1.1)+(E543*1)+(F543*1.1)+(G543*1)+(H543*1.6)+(I543*0.9)+(J543*1)+(K543*0.8))/11-1)/4)*20000,0)))</f>
        <v/>
      </c>
      <c r="M543" s="36">
        <f>IF(L543="","",MIN(100,ROUND(L543/200,0)))</f>
        <v/>
      </c>
      <c r="N543" s="36" t="n"/>
      <c r="O543" s="36" t="n"/>
    </row>
    <row r="544">
      <c r="A544" s="32" t="n"/>
      <c r="B544" s="36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>
        <f>IF(COUNTA(B544:K544)&lt;10,"",MAX(300,ROUND(((((B544*1.4)+(C544*1.1)+(D544*1.1)+(E544*1)+(F544*1.1)+(G544*1)+(H544*1.6)+(I544*0.9)+(J544*1)+(K544*0.8))/11-1)/4)*20000,0)))</f>
        <v/>
      </c>
      <c r="M544" s="36">
        <f>IF(L544="","",MIN(100,ROUND(L544/200,0)))</f>
        <v/>
      </c>
      <c r="N544" s="36" t="n"/>
      <c r="O544" s="36" t="n"/>
    </row>
    <row r="545">
      <c r="A545" s="32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>
        <f>IF(COUNTA(B545:K545)&lt;10,"",MAX(300,ROUND(((((B545*1.4)+(C545*1.1)+(D545*1.1)+(E545*1)+(F545*1.1)+(G545*1)+(H545*1.6)+(I545*0.9)+(J545*1)+(K545*0.8))/11-1)/4)*20000,0)))</f>
        <v/>
      </c>
      <c r="M545" s="36">
        <f>IF(L545="","",MIN(100,ROUND(L545/200,0)))</f>
        <v/>
      </c>
      <c r="N545" s="36" t="n"/>
      <c r="O545" s="36" t="n"/>
    </row>
    <row r="546">
      <c r="A546" s="32" t="n"/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>
        <f>IF(COUNTA(B546:K546)&lt;10,"",MAX(300,ROUND(((((B546*1.4)+(C546*1.1)+(D546*1.1)+(E546*1)+(F546*1.1)+(G546*1)+(H546*1.6)+(I546*0.9)+(J546*1)+(K546*0.8))/11-1)/4)*20000,0)))</f>
        <v/>
      </c>
      <c r="M546" s="36">
        <f>IF(L546="","",MIN(100,ROUND(L546/200,0)))</f>
        <v/>
      </c>
      <c r="N546" s="36" t="n"/>
      <c r="O546" s="36" t="n"/>
    </row>
    <row r="547">
      <c r="A547" s="32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>
        <f>IF(COUNTA(B547:K547)&lt;10,"",MAX(300,ROUND(((((B547*1.4)+(C547*1.1)+(D547*1.1)+(E547*1)+(F547*1.1)+(G547*1)+(H547*1.6)+(I547*0.9)+(J547*1)+(K547*0.8))/11-1)/4)*20000,0)))</f>
        <v/>
      </c>
      <c r="M547" s="36">
        <f>IF(L547="","",MIN(100,ROUND(L547/200,0)))</f>
        <v/>
      </c>
      <c r="N547" s="36" t="n"/>
      <c r="O547" s="36" t="n"/>
    </row>
    <row r="548">
      <c r="A548" s="32" t="n"/>
      <c r="B548" s="36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>
        <f>IF(COUNTA(B548:K548)&lt;10,"",MAX(300,ROUND(((((B548*1.4)+(C548*1.1)+(D548*1.1)+(E548*1)+(F548*1.1)+(G548*1)+(H548*1.6)+(I548*0.9)+(J548*1)+(K548*0.8))/11-1)/4)*20000,0)))</f>
        <v/>
      </c>
      <c r="M548" s="36">
        <f>IF(L548="","",MIN(100,ROUND(L548/200,0)))</f>
        <v/>
      </c>
      <c r="N548" s="36" t="n"/>
      <c r="O548" s="36" t="n"/>
    </row>
    <row r="549">
      <c r="A549" s="32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>
        <f>IF(COUNTA(B549:K549)&lt;10,"",MAX(300,ROUND(((((B549*1.4)+(C549*1.1)+(D549*1.1)+(E549*1)+(F549*1.1)+(G549*1)+(H549*1.6)+(I549*0.9)+(J549*1)+(K549*0.8))/11-1)/4)*20000,0)))</f>
        <v/>
      </c>
      <c r="M549" s="36">
        <f>IF(L549="","",MIN(100,ROUND(L549/200,0)))</f>
        <v/>
      </c>
      <c r="N549" s="36" t="n"/>
      <c r="O549" s="36" t="n"/>
    </row>
    <row r="550">
      <c r="A550" s="32" t="n"/>
      <c r="B550" s="36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>
        <f>IF(COUNTA(B550:K550)&lt;10,"",MAX(300,ROUND(((((B550*1.4)+(C550*1.1)+(D550*1.1)+(E550*1)+(F550*1.1)+(G550*1)+(H550*1.6)+(I550*0.9)+(J550*1)+(K550*0.8))/11-1)/4)*20000,0)))</f>
        <v/>
      </c>
      <c r="M550" s="36">
        <f>IF(L550="","",MIN(100,ROUND(L550/200,0)))</f>
        <v/>
      </c>
      <c r="N550" s="36" t="n"/>
      <c r="O550" s="36" t="n"/>
    </row>
    <row r="551">
      <c r="A551" s="32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>
        <f>IF(COUNTA(B551:K551)&lt;10,"",MAX(300,ROUND(((((B551*1.4)+(C551*1.1)+(D551*1.1)+(E551*1)+(F551*1.1)+(G551*1)+(H551*1.6)+(I551*0.9)+(J551*1)+(K551*0.8))/11-1)/4)*20000,0)))</f>
        <v/>
      </c>
      <c r="M551" s="36">
        <f>IF(L551="","",MIN(100,ROUND(L551/200,0)))</f>
        <v/>
      </c>
      <c r="N551" s="36" t="n"/>
      <c r="O551" s="36" t="n"/>
    </row>
    <row r="552">
      <c r="A552" s="32" t="n"/>
      <c r="B552" s="36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>
        <f>IF(COUNTA(B552:K552)&lt;10,"",MAX(300,ROUND(((((B552*1.4)+(C552*1.1)+(D552*1.1)+(E552*1)+(F552*1.1)+(G552*1)+(H552*1.6)+(I552*0.9)+(J552*1)+(K552*0.8))/11-1)/4)*20000,0)))</f>
        <v/>
      </c>
      <c r="M552" s="36">
        <f>IF(L552="","",MIN(100,ROUND(L552/200,0)))</f>
        <v/>
      </c>
      <c r="N552" s="36" t="n"/>
      <c r="O552" s="36" t="n"/>
    </row>
    <row r="553">
      <c r="A553" s="32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>
        <f>IF(COUNTA(B553:K553)&lt;10,"",MAX(300,ROUND(((((B553*1.4)+(C553*1.1)+(D553*1.1)+(E553*1)+(F553*1.1)+(G553*1)+(H553*1.6)+(I553*0.9)+(J553*1)+(K553*0.8))/11-1)/4)*20000,0)))</f>
        <v/>
      </c>
      <c r="M553" s="36">
        <f>IF(L553="","",MIN(100,ROUND(L553/200,0)))</f>
        <v/>
      </c>
      <c r="N553" s="36" t="n"/>
      <c r="O553" s="36" t="n"/>
    </row>
    <row r="554">
      <c r="A554" s="32" t="n"/>
      <c r="B554" s="36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>
        <f>IF(COUNTA(B554:K554)&lt;10,"",MAX(300,ROUND(((((B554*1.4)+(C554*1.1)+(D554*1.1)+(E554*1)+(F554*1.1)+(G554*1)+(H554*1.6)+(I554*0.9)+(J554*1)+(K554*0.8))/11-1)/4)*20000,0)))</f>
        <v/>
      </c>
      <c r="M554" s="36">
        <f>IF(L554="","",MIN(100,ROUND(L554/200,0)))</f>
        <v/>
      </c>
      <c r="N554" s="36" t="n"/>
      <c r="O554" s="36" t="n"/>
    </row>
    <row r="555">
      <c r="A555" s="32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>
        <f>IF(COUNTA(B555:K555)&lt;10,"",MAX(300,ROUND(((((B555*1.4)+(C555*1.1)+(D555*1.1)+(E555*1)+(F555*1.1)+(G555*1)+(H555*1.6)+(I555*0.9)+(J555*1)+(K555*0.8))/11-1)/4)*20000,0)))</f>
        <v/>
      </c>
      <c r="M555" s="36">
        <f>IF(L555="","",MIN(100,ROUND(L555/200,0)))</f>
        <v/>
      </c>
      <c r="N555" s="36" t="n"/>
      <c r="O555" s="36" t="n"/>
    </row>
    <row r="556">
      <c r="A556" s="32" t="n"/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>
        <f>IF(COUNTA(B556:K556)&lt;10,"",MAX(300,ROUND(((((B556*1.4)+(C556*1.1)+(D556*1.1)+(E556*1)+(F556*1.1)+(G556*1)+(H556*1.6)+(I556*0.9)+(J556*1)+(K556*0.8))/11-1)/4)*20000,0)))</f>
        <v/>
      </c>
      <c r="M556" s="36">
        <f>IF(L556="","",MIN(100,ROUND(L556/200,0)))</f>
        <v/>
      </c>
      <c r="N556" s="36" t="n"/>
      <c r="O556" s="36" t="n"/>
    </row>
    <row r="557">
      <c r="A557" s="32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>
        <f>IF(COUNTA(B557:K557)&lt;10,"",MAX(300,ROUND(((((B557*1.4)+(C557*1.1)+(D557*1.1)+(E557*1)+(F557*1.1)+(G557*1)+(H557*1.6)+(I557*0.9)+(J557*1)+(K557*0.8))/11-1)/4)*20000,0)))</f>
        <v/>
      </c>
      <c r="M557" s="36">
        <f>IF(L557="","",MIN(100,ROUND(L557/200,0)))</f>
        <v/>
      </c>
      <c r="N557" s="36" t="n"/>
      <c r="O557" s="36" t="n"/>
    </row>
    <row r="558">
      <c r="A558" s="32" t="n"/>
      <c r="B558" s="36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>
        <f>IF(COUNTA(B558:K558)&lt;10,"",MAX(300,ROUND(((((B558*1.4)+(C558*1.1)+(D558*1.1)+(E558*1)+(F558*1.1)+(G558*1)+(H558*1.6)+(I558*0.9)+(J558*1)+(K558*0.8))/11-1)/4)*20000,0)))</f>
        <v/>
      </c>
      <c r="M558" s="36">
        <f>IF(L558="","",MIN(100,ROUND(L558/200,0)))</f>
        <v/>
      </c>
      <c r="N558" s="36" t="n"/>
      <c r="O558" s="36" t="n"/>
    </row>
    <row r="559">
      <c r="A559" s="32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>
        <f>IF(COUNTA(B559:K559)&lt;10,"",MAX(300,ROUND(((((B559*1.4)+(C559*1.1)+(D559*1.1)+(E559*1)+(F559*1.1)+(G559*1)+(H559*1.6)+(I559*0.9)+(J559*1)+(K559*0.8))/11-1)/4)*20000,0)))</f>
        <v/>
      </c>
      <c r="M559" s="36">
        <f>IF(L559="","",MIN(100,ROUND(L559/200,0)))</f>
        <v/>
      </c>
      <c r="N559" s="36" t="n"/>
      <c r="O559" s="36" t="n"/>
    </row>
    <row r="560">
      <c r="A560" s="32" t="n"/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>
        <f>IF(COUNTA(B560:K560)&lt;10,"",MAX(300,ROUND(((((B560*1.4)+(C560*1.1)+(D560*1.1)+(E560*1)+(F560*1.1)+(G560*1)+(H560*1.6)+(I560*0.9)+(J560*1)+(K560*0.8))/11-1)/4)*20000,0)))</f>
        <v/>
      </c>
      <c r="M560" s="36">
        <f>IF(L560="","",MIN(100,ROUND(L560/200,0)))</f>
        <v/>
      </c>
      <c r="N560" s="36" t="n"/>
      <c r="O560" s="36" t="n"/>
    </row>
    <row r="561">
      <c r="A561" s="32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>
        <f>IF(COUNTA(B561:K561)&lt;10,"",MAX(300,ROUND(((((B561*1.4)+(C561*1.1)+(D561*1.1)+(E561*1)+(F561*1.1)+(G561*1)+(H561*1.6)+(I561*0.9)+(J561*1)+(K561*0.8))/11-1)/4)*20000,0)))</f>
        <v/>
      </c>
      <c r="M561" s="36">
        <f>IF(L561="","",MIN(100,ROUND(L561/200,0)))</f>
        <v/>
      </c>
      <c r="N561" s="36" t="n"/>
      <c r="O561" s="36" t="n"/>
    </row>
    <row r="562">
      <c r="A562" s="32" t="n"/>
      <c r="B562" s="36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>
        <f>IF(COUNTA(B562:K562)&lt;10,"",MAX(300,ROUND(((((B562*1.4)+(C562*1.1)+(D562*1.1)+(E562*1)+(F562*1.1)+(G562*1)+(H562*1.6)+(I562*0.9)+(J562*1)+(K562*0.8))/11-1)/4)*20000,0)))</f>
        <v/>
      </c>
      <c r="M562" s="36">
        <f>IF(L562="","",MIN(100,ROUND(L562/200,0)))</f>
        <v/>
      </c>
      <c r="N562" s="36" t="n"/>
      <c r="O562" s="36" t="n"/>
    </row>
    <row r="563">
      <c r="A563" s="32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>
        <f>IF(COUNTA(B563:K563)&lt;10,"",MAX(300,ROUND(((((B563*1.4)+(C563*1.1)+(D563*1.1)+(E563*1)+(F563*1.1)+(G563*1)+(H563*1.6)+(I563*0.9)+(J563*1)+(K563*0.8))/11-1)/4)*20000,0)))</f>
        <v/>
      </c>
      <c r="M563" s="36">
        <f>IF(L563="","",MIN(100,ROUND(L563/200,0)))</f>
        <v/>
      </c>
      <c r="N563" s="36" t="n"/>
      <c r="O563" s="36" t="n"/>
    </row>
    <row r="564">
      <c r="A564" s="32" t="n"/>
      <c r="B564" s="36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>
        <f>IF(COUNTA(B564:K564)&lt;10,"",MAX(300,ROUND(((((B564*1.4)+(C564*1.1)+(D564*1.1)+(E564*1)+(F564*1.1)+(G564*1)+(H564*1.6)+(I564*0.9)+(J564*1)+(K564*0.8))/11-1)/4)*20000,0)))</f>
        <v/>
      </c>
      <c r="M564" s="36">
        <f>IF(L564="","",MIN(100,ROUND(L564/200,0)))</f>
        <v/>
      </c>
      <c r="N564" s="36" t="n"/>
      <c r="O564" s="36" t="n"/>
    </row>
    <row r="565">
      <c r="A565" s="32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>
        <f>IF(COUNTA(B565:K565)&lt;10,"",MAX(300,ROUND(((((B565*1.4)+(C565*1.1)+(D565*1.1)+(E565*1)+(F565*1.1)+(G565*1)+(H565*1.6)+(I565*0.9)+(J565*1)+(K565*0.8))/11-1)/4)*20000,0)))</f>
        <v/>
      </c>
      <c r="M565" s="36">
        <f>IF(L565="","",MIN(100,ROUND(L565/200,0)))</f>
        <v/>
      </c>
      <c r="N565" s="36" t="n"/>
      <c r="O565" s="36" t="n"/>
    </row>
    <row r="566">
      <c r="A566" s="32" t="n"/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>
        <f>IF(COUNTA(B566:K566)&lt;10,"",MAX(300,ROUND(((((B566*1.4)+(C566*1.1)+(D566*1.1)+(E566*1)+(F566*1.1)+(G566*1)+(H566*1.6)+(I566*0.9)+(J566*1)+(K566*0.8))/11-1)/4)*20000,0)))</f>
        <v/>
      </c>
      <c r="M566" s="36">
        <f>IF(L566="","",MIN(100,ROUND(L566/200,0)))</f>
        <v/>
      </c>
      <c r="N566" s="36" t="n"/>
      <c r="O566" s="36" t="n"/>
    </row>
    <row r="567">
      <c r="A567" s="32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>
        <f>IF(COUNTA(B567:K567)&lt;10,"",MAX(300,ROUND(((((B567*1.4)+(C567*1.1)+(D567*1.1)+(E567*1)+(F567*1.1)+(G567*1)+(H567*1.6)+(I567*0.9)+(J567*1)+(K567*0.8))/11-1)/4)*20000,0)))</f>
        <v/>
      </c>
      <c r="M567" s="36">
        <f>IF(L567="","",MIN(100,ROUND(L567/200,0)))</f>
        <v/>
      </c>
      <c r="N567" s="36" t="n"/>
      <c r="O567" s="36" t="n"/>
    </row>
    <row r="568">
      <c r="A568" s="32" t="n"/>
      <c r="B568" s="36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>
        <f>IF(COUNTA(B568:K568)&lt;10,"",MAX(300,ROUND(((((B568*1.4)+(C568*1.1)+(D568*1.1)+(E568*1)+(F568*1.1)+(G568*1)+(H568*1.6)+(I568*0.9)+(J568*1)+(K568*0.8))/11-1)/4)*20000,0)))</f>
        <v/>
      </c>
      <c r="M568" s="36">
        <f>IF(L568="","",MIN(100,ROUND(L568/200,0)))</f>
        <v/>
      </c>
      <c r="N568" s="36" t="n"/>
      <c r="O568" s="36" t="n"/>
    </row>
    <row r="569">
      <c r="A569" s="32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>
        <f>IF(COUNTA(B569:K569)&lt;10,"",MAX(300,ROUND(((((B569*1.4)+(C569*1.1)+(D569*1.1)+(E569*1)+(F569*1.1)+(G569*1)+(H569*1.6)+(I569*0.9)+(J569*1)+(K569*0.8))/11-1)/4)*20000,0)))</f>
        <v/>
      </c>
      <c r="M569" s="36">
        <f>IF(L569="","",MIN(100,ROUND(L569/200,0)))</f>
        <v/>
      </c>
      <c r="N569" s="36" t="n"/>
      <c r="O569" s="36" t="n"/>
    </row>
    <row r="570">
      <c r="A570" s="32" t="n"/>
      <c r="B570" s="36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>
        <f>IF(COUNTA(B570:K570)&lt;10,"",MAX(300,ROUND(((((B570*1.4)+(C570*1.1)+(D570*1.1)+(E570*1)+(F570*1.1)+(G570*1)+(H570*1.6)+(I570*0.9)+(J570*1)+(K570*0.8))/11-1)/4)*20000,0)))</f>
        <v/>
      </c>
      <c r="M570" s="36">
        <f>IF(L570="","",MIN(100,ROUND(L570/200,0)))</f>
        <v/>
      </c>
      <c r="N570" s="36" t="n"/>
      <c r="O570" s="36" t="n"/>
    </row>
    <row r="571">
      <c r="A571" s="32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>
        <f>IF(COUNTA(B571:K571)&lt;10,"",MAX(300,ROUND(((((B571*1.4)+(C571*1.1)+(D571*1.1)+(E571*1)+(F571*1.1)+(G571*1)+(H571*1.6)+(I571*0.9)+(J571*1)+(K571*0.8))/11-1)/4)*20000,0)))</f>
        <v/>
      </c>
      <c r="M571" s="36">
        <f>IF(L571="","",MIN(100,ROUND(L571/200,0)))</f>
        <v/>
      </c>
      <c r="N571" s="36" t="n"/>
      <c r="O571" s="36" t="n"/>
    </row>
    <row r="572">
      <c r="A572" s="32" t="n"/>
      <c r="B572" s="36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>
        <f>IF(COUNTA(B572:K572)&lt;10,"",MAX(300,ROUND(((((B572*1.4)+(C572*1.1)+(D572*1.1)+(E572*1)+(F572*1.1)+(G572*1)+(H572*1.6)+(I572*0.9)+(J572*1)+(K572*0.8))/11-1)/4)*20000,0)))</f>
        <v/>
      </c>
      <c r="M572" s="36">
        <f>IF(L572="","",MIN(100,ROUND(L572/200,0)))</f>
        <v/>
      </c>
      <c r="N572" s="36" t="n"/>
      <c r="O572" s="36" t="n"/>
    </row>
    <row r="573">
      <c r="A573" s="32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>
        <f>IF(COUNTA(B573:K573)&lt;10,"",MAX(300,ROUND(((((B573*1.4)+(C573*1.1)+(D573*1.1)+(E573*1)+(F573*1.1)+(G573*1)+(H573*1.6)+(I573*0.9)+(J573*1)+(K573*0.8))/11-1)/4)*20000,0)))</f>
        <v/>
      </c>
      <c r="M573" s="36">
        <f>IF(L573="","",MIN(100,ROUND(L573/200,0)))</f>
        <v/>
      </c>
      <c r="N573" s="36" t="n"/>
      <c r="O573" s="36" t="n"/>
    </row>
    <row r="574">
      <c r="A574" s="32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>
        <f>IF(COUNTA(B574:K574)&lt;10,"",MAX(300,ROUND(((((B574*1.4)+(C574*1.1)+(D574*1.1)+(E574*1)+(F574*1.1)+(G574*1)+(H574*1.6)+(I574*0.9)+(J574*1)+(K574*0.8))/11-1)/4)*20000,0)))</f>
        <v/>
      </c>
      <c r="M574" s="36">
        <f>IF(L574="","",MIN(100,ROUND(L574/200,0)))</f>
        <v/>
      </c>
      <c r="N574" s="36" t="n"/>
      <c r="O574" s="36" t="n"/>
    </row>
    <row r="575">
      <c r="A575" s="32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>
        <f>IF(COUNTA(B575:K575)&lt;10,"",MAX(300,ROUND(((((B575*1.4)+(C575*1.1)+(D575*1.1)+(E575*1)+(F575*1.1)+(G575*1)+(H575*1.6)+(I575*0.9)+(J575*1)+(K575*0.8))/11-1)/4)*20000,0)))</f>
        <v/>
      </c>
      <c r="M575" s="36">
        <f>IF(L575="","",MIN(100,ROUND(L575/200,0)))</f>
        <v/>
      </c>
      <c r="N575" s="36" t="n"/>
      <c r="O575" s="36" t="n"/>
    </row>
    <row r="576">
      <c r="A576" s="32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>
        <f>IF(COUNTA(B576:K576)&lt;10,"",MAX(300,ROUND(((((B576*1.4)+(C576*1.1)+(D576*1.1)+(E576*1)+(F576*1.1)+(G576*1)+(H576*1.6)+(I576*0.9)+(J576*1)+(K576*0.8))/11-1)/4)*20000,0)))</f>
        <v/>
      </c>
      <c r="M576" s="36">
        <f>IF(L576="","",MIN(100,ROUND(L576/200,0)))</f>
        <v/>
      </c>
      <c r="N576" s="36" t="n"/>
      <c r="O576" s="36" t="n"/>
    </row>
    <row r="577">
      <c r="A577" s="32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>
        <f>IF(COUNTA(B577:K577)&lt;10,"",MAX(300,ROUND(((((B577*1.4)+(C577*1.1)+(D577*1.1)+(E577*1)+(F577*1.1)+(G577*1)+(H577*1.6)+(I577*0.9)+(J577*1)+(K577*0.8))/11-1)/4)*20000,0)))</f>
        <v/>
      </c>
      <c r="M577" s="36">
        <f>IF(L577="","",MIN(100,ROUND(L577/200,0)))</f>
        <v/>
      </c>
      <c r="N577" s="36" t="n"/>
      <c r="O577" s="36" t="n"/>
    </row>
    <row r="578">
      <c r="A578" s="32" t="n"/>
      <c r="B578" s="36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>
        <f>IF(COUNTA(B578:K578)&lt;10,"",MAX(300,ROUND(((((B578*1.4)+(C578*1.1)+(D578*1.1)+(E578*1)+(F578*1.1)+(G578*1)+(H578*1.6)+(I578*0.9)+(J578*1)+(K578*0.8))/11-1)/4)*20000,0)))</f>
        <v/>
      </c>
      <c r="M578" s="36">
        <f>IF(L578="","",MIN(100,ROUND(L578/200,0)))</f>
        <v/>
      </c>
      <c r="N578" s="36" t="n"/>
      <c r="O578" s="36" t="n"/>
    </row>
    <row r="579">
      <c r="A579" s="32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>
        <f>IF(COUNTA(B579:K579)&lt;10,"",MAX(300,ROUND(((((B579*1.4)+(C579*1.1)+(D579*1.1)+(E579*1)+(F579*1.1)+(G579*1)+(H579*1.6)+(I579*0.9)+(J579*1)+(K579*0.8))/11-1)/4)*20000,0)))</f>
        <v/>
      </c>
      <c r="M579" s="36">
        <f>IF(L579="","",MIN(100,ROUND(L579/200,0)))</f>
        <v/>
      </c>
      <c r="N579" s="36" t="n"/>
      <c r="O579" s="36" t="n"/>
    </row>
    <row r="580">
      <c r="A580" s="32" t="n"/>
      <c r="B580" s="36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>
        <f>IF(COUNTA(B580:K580)&lt;10,"",MAX(300,ROUND(((((B580*1.4)+(C580*1.1)+(D580*1.1)+(E580*1)+(F580*1.1)+(G580*1)+(H580*1.6)+(I580*0.9)+(J580*1)+(K580*0.8))/11-1)/4)*20000,0)))</f>
        <v/>
      </c>
      <c r="M580" s="36">
        <f>IF(L580="","",MIN(100,ROUND(L580/200,0)))</f>
        <v/>
      </c>
      <c r="N580" s="36" t="n"/>
      <c r="O580" s="36" t="n"/>
    </row>
    <row r="581">
      <c r="A581" s="32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>
        <f>IF(COUNTA(B581:K581)&lt;10,"",MAX(300,ROUND(((((B581*1.4)+(C581*1.1)+(D581*1.1)+(E581*1)+(F581*1.1)+(G581*1)+(H581*1.6)+(I581*0.9)+(J581*1)+(K581*0.8))/11-1)/4)*20000,0)))</f>
        <v/>
      </c>
      <c r="M581" s="36">
        <f>IF(L581="","",MIN(100,ROUND(L581/200,0)))</f>
        <v/>
      </c>
      <c r="N581" s="36" t="n"/>
      <c r="O581" s="36" t="n"/>
    </row>
    <row r="582">
      <c r="A582" s="32" t="n"/>
      <c r="B582" s="36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>
        <f>IF(COUNTA(B582:K582)&lt;10,"",MAX(300,ROUND(((((B582*1.4)+(C582*1.1)+(D582*1.1)+(E582*1)+(F582*1.1)+(G582*1)+(H582*1.6)+(I582*0.9)+(J582*1)+(K582*0.8))/11-1)/4)*20000,0)))</f>
        <v/>
      </c>
      <c r="M582" s="36">
        <f>IF(L582="","",MIN(100,ROUND(L582/200,0)))</f>
        <v/>
      </c>
      <c r="N582" s="36" t="n"/>
      <c r="O582" s="36" t="n"/>
    </row>
    <row r="583">
      <c r="A583" s="32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>
        <f>IF(COUNTA(B583:K583)&lt;10,"",MAX(300,ROUND(((((B583*1.4)+(C583*1.1)+(D583*1.1)+(E583*1)+(F583*1.1)+(G583*1)+(H583*1.6)+(I583*0.9)+(J583*1)+(K583*0.8))/11-1)/4)*20000,0)))</f>
        <v/>
      </c>
      <c r="M583" s="36">
        <f>IF(L583="","",MIN(100,ROUND(L583/200,0)))</f>
        <v/>
      </c>
      <c r="N583" s="36" t="n"/>
      <c r="O583" s="36" t="n"/>
    </row>
    <row r="584">
      <c r="A584" s="32" t="n"/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>
        <f>IF(COUNTA(B584:K584)&lt;10,"",MAX(300,ROUND(((((B584*1.4)+(C584*1.1)+(D584*1.1)+(E584*1)+(F584*1.1)+(G584*1)+(H584*1.6)+(I584*0.9)+(J584*1)+(K584*0.8))/11-1)/4)*20000,0)))</f>
        <v/>
      </c>
      <c r="M584" s="36">
        <f>IF(L584="","",MIN(100,ROUND(L584/200,0)))</f>
        <v/>
      </c>
      <c r="N584" s="36" t="n"/>
      <c r="O584" s="36" t="n"/>
    </row>
    <row r="585">
      <c r="A585" s="32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>
        <f>IF(COUNTA(B585:K585)&lt;10,"",MAX(300,ROUND(((((B585*1.4)+(C585*1.1)+(D585*1.1)+(E585*1)+(F585*1.1)+(G585*1)+(H585*1.6)+(I585*0.9)+(J585*1)+(K585*0.8))/11-1)/4)*20000,0)))</f>
        <v/>
      </c>
      <c r="M585" s="36">
        <f>IF(L585="","",MIN(100,ROUND(L585/200,0)))</f>
        <v/>
      </c>
      <c r="N585" s="36" t="n"/>
      <c r="O585" s="36" t="n"/>
    </row>
    <row r="586">
      <c r="A586" s="32" t="n"/>
      <c r="B586" s="36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>
        <f>IF(COUNTA(B586:K586)&lt;10,"",MAX(300,ROUND(((((B586*1.4)+(C586*1.1)+(D586*1.1)+(E586*1)+(F586*1.1)+(G586*1)+(H586*1.6)+(I586*0.9)+(J586*1)+(K586*0.8))/11-1)/4)*20000,0)))</f>
        <v/>
      </c>
      <c r="M586" s="36">
        <f>IF(L586="","",MIN(100,ROUND(L586/200,0)))</f>
        <v/>
      </c>
      <c r="N586" s="36" t="n"/>
      <c r="O586" s="36" t="n"/>
    </row>
    <row r="587">
      <c r="A587" s="32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>
        <f>IF(COUNTA(B587:K587)&lt;10,"",MAX(300,ROUND(((((B587*1.4)+(C587*1.1)+(D587*1.1)+(E587*1)+(F587*1.1)+(G587*1)+(H587*1.6)+(I587*0.9)+(J587*1)+(K587*0.8))/11-1)/4)*20000,0)))</f>
        <v/>
      </c>
      <c r="M587" s="36">
        <f>IF(L587="","",MIN(100,ROUND(L587/200,0)))</f>
        <v/>
      </c>
      <c r="N587" s="36" t="n"/>
      <c r="O587" s="36" t="n"/>
    </row>
    <row r="588">
      <c r="A588" s="32" t="n"/>
      <c r="B588" s="36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>
        <f>IF(COUNTA(B588:K588)&lt;10,"",MAX(300,ROUND(((((B588*1.4)+(C588*1.1)+(D588*1.1)+(E588*1)+(F588*1.1)+(G588*1)+(H588*1.6)+(I588*0.9)+(J588*1)+(K588*0.8))/11-1)/4)*20000,0)))</f>
        <v/>
      </c>
      <c r="M588" s="36">
        <f>IF(L588="","",MIN(100,ROUND(L588/200,0)))</f>
        <v/>
      </c>
      <c r="N588" s="36" t="n"/>
      <c r="O588" s="36" t="n"/>
    </row>
    <row r="589">
      <c r="A589" s="32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>
        <f>IF(COUNTA(B589:K589)&lt;10,"",MAX(300,ROUND(((((B589*1.4)+(C589*1.1)+(D589*1.1)+(E589*1)+(F589*1.1)+(G589*1)+(H589*1.6)+(I589*0.9)+(J589*1)+(K589*0.8))/11-1)/4)*20000,0)))</f>
        <v/>
      </c>
      <c r="M589" s="36">
        <f>IF(L589="","",MIN(100,ROUND(L589/200,0)))</f>
        <v/>
      </c>
      <c r="N589" s="36" t="n"/>
      <c r="O589" s="36" t="n"/>
    </row>
    <row r="590">
      <c r="A590" s="32" t="n"/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>
        <f>IF(COUNTA(B590:K590)&lt;10,"",MAX(300,ROUND(((((B590*1.4)+(C590*1.1)+(D590*1.1)+(E590*1)+(F590*1.1)+(G590*1)+(H590*1.6)+(I590*0.9)+(J590*1)+(K590*0.8))/11-1)/4)*20000,0)))</f>
        <v/>
      </c>
      <c r="M590" s="36">
        <f>IF(L590="","",MIN(100,ROUND(L590/200,0)))</f>
        <v/>
      </c>
      <c r="N590" s="36" t="n"/>
      <c r="O590" s="36" t="n"/>
    </row>
    <row r="591">
      <c r="A591" s="32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>
        <f>IF(COUNTA(B591:K591)&lt;10,"",MAX(300,ROUND(((((B591*1.4)+(C591*1.1)+(D591*1.1)+(E591*1)+(F591*1.1)+(G591*1)+(H591*1.6)+(I591*0.9)+(J591*1)+(K591*0.8))/11-1)/4)*20000,0)))</f>
        <v/>
      </c>
      <c r="M591" s="36">
        <f>IF(L591="","",MIN(100,ROUND(L591/200,0)))</f>
        <v/>
      </c>
      <c r="N591" s="36" t="n"/>
      <c r="O591" s="36" t="n"/>
    </row>
    <row r="592">
      <c r="A592" s="32" t="n"/>
      <c r="B592" s="36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>
        <f>IF(COUNTA(B592:K592)&lt;10,"",MAX(300,ROUND(((((B592*1.4)+(C592*1.1)+(D592*1.1)+(E592*1)+(F592*1.1)+(G592*1)+(H592*1.6)+(I592*0.9)+(J592*1)+(K592*0.8))/11-1)/4)*20000,0)))</f>
        <v/>
      </c>
      <c r="M592" s="36">
        <f>IF(L592="","",MIN(100,ROUND(L592/200,0)))</f>
        <v/>
      </c>
      <c r="N592" s="36" t="n"/>
      <c r="O592" s="36" t="n"/>
    </row>
    <row r="593">
      <c r="A593" s="32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>
        <f>IF(COUNTA(B593:K593)&lt;10,"",MAX(300,ROUND(((((B593*1.4)+(C593*1.1)+(D593*1.1)+(E593*1)+(F593*1.1)+(G593*1)+(H593*1.6)+(I593*0.9)+(J593*1)+(K593*0.8))/11-1)/4)*20000,0)))</f>
        <v/>
      </c>
      <c r="M593" s="36">
        <f>IF(L593="","",MIN(100,ROUND(L593/200,0)))</f>
        <v/>
      </c>
      <c r="N593" s="36" t="n"/>
      <c r="O593" s="36" t="n"/>
    </row>
    <row r="594">
      <c r="A594" s="32" t="n"/>
      <c r="B594" s="36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>
        <f>IF(COUNTA(B594:K594)&lt;10,"",MAX(300,ROUND(((((B594*1.4)+(C594*1.1)+(D594*1.1)+(E594*1)+(F594*1.1)+(G594*1)+(H594*1.6)+(I594*0.9)+(J594*1)+(K594*0.8))/11-1)/4)*20000,0)))</f>
        <v/>
      </c>
      <c r="M594" s="36">
        <f>IF(L594="","",MIN(100,ROUND(L594/200,0)))</f>
        <v/>
      </c>
      <c r="N594" s="36" t="n"/>
      <c r="O594" s="36" t="n"/>
    </row>
    <row r="595">
      <c r="A595" s="32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>
        <f>IF(COUNTA(B595:K595)&lt;10,"",MAX(300,ROUND(((((B595*1.4)+(C595*1.1)+(D595*1.1)+(E595*1)+(F595*1.1)+(G595*1)+(H595*1.6)+(I595*0.9)+(J595*1)+(K595*0.8))/11-1)/4)*20000,0)))</f>
        <v/>
      </c>
      <c r="M595" s="36">
        <f>IF(L595="","",MIN(100,ROUND(L595/200,0)))</f>
        <v/>
      </c>
      <c r="N595" s="36" t="n"/>
      <c r="O595" s="36" t="n"/>
    </row>
    <row r="596">
      <c r="A596" s="32" t="n"/>
      <c r="B596" s="36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>
        <f>IF(COUNTA(B596:K596)&lt;10,"",MAX(300,ROUND(((((B596*1.4)+(C596*1.1)+(D596*1.1)+(E596*1)+(F596*1.1)+(G596*1)+(H596*1.6)+(I596*0.9)+(J596*1)+(K596*0.8))/11-1)/4)*20000,0)))</f>
        <v/>
      </c>
      <c r="M596" s="36">
        <f>IF(L596="","",MIN(100,ROUND(L596/200,0)))</f>
        <v/>
      </c>
      <c r="N596" s="36" t="n"/>
      <c r="O596" s="36" t="n"/>
    </row>
    <row r="597">
      <c r="A597" s="32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>
        <f>IF(COUNTA(B597:K597)&lt;10,"",MAX(300,ROUND(((((B597*1.4)+(C597*1.1)+(D597*1.1)+(E597*1)+(F597*1.1)+(G597*1)+(H597*1.6)+(I597*0.9)+(J597*1)+(K597*0.8))/11-1)/4)*20000,0)))</f>
        <v/>
      </c>
      <c r="M597" s="36">
        <f>IF(L597="","",MIN(100,ROUND(L597/200,0)))</f>
        <v/>
      </c>
      <c r="N597" s="36" t="n"/>
      <c r="O597" s="36" t="n"/>
    </row>
    <row r="598">
      <c r="A598" s="32" t="n"/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>
        <f>IF(COUNTA(B598:K598)&lt;10,"",MAX(300,ROUND(((((B598*1.4)+(C598*1.1)+(D598*1.1)+(E598*1)+(F598*1.1)+(G598*1)+(H598*1.6)+(I598*0.9)+(J598*1)+(K598*0.8))/11-1)/4)*20000,0)))</f>
        <v/>
      </c>
      <c r="M598" s="36">
        <f>IF(L598="","",MIN(100,ROUND(L598/200,0)))</f>
        <v/>
      </c>
      <c r="N598" s="36" t="n"/>
      <c r="O598" s="36" t="n"/>
    </row>
    <row r="599">
      <c r="A599" s="32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>
        <f>IF(COUNTA(B599:K599)&lt;10,"",MAX(300,ROUND(((((B599*1.4)+(C599*1.1)+(D599*1.1)+(E599*1)+(F599*1.1)+(G599*1)+(H599*1.6)+(I599*0.9)+(J599*1)+(K599*0.8))/11-1)/4)*20000,0)))</f>
        <v/>
      </c>
      <c r="M599" s="36">
        <f>IF(L599="","",MIN(100,ROUND(L599/200,0)))</f>
        <v/>
      </c>
      <c r="N599" s="36" t="n"/>
      <c r="O599" s="36" t="n"/>
    </row>
    <row r="600">
      <c r="A600" s="32" t="n"/>
      <c r="B600" s="36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>
        <f>IF(COUNTA(B600:K600)&lt;10,"",MAX(300,ROUND(((((B600*1.4)+(C600*1.1)+(D600*1.1)+(E600*1)+(F600*1.1)+(G600*1)+(H600*1.6)+(I600*0.9)+(J600*1)+(K600*0.8))/11-1)/4)*20000,0)))</f>
        <v/>
      </c>
      <c r="M600" s="36">
        <f>IF(L600="","",MIN(100,ROUND(L600/200,0)))</f>
        <v/>
      </c>
      <c r="N600" s="36" t="n"/>
      <c r="O600" s="36" t="n"/>
    </row>
    <row r="601">
      <c r="A601" s="32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>
        <f>IF(COUNTA(B601:K601)&lt;10,"",MAX(300,ROUND(((((B601*1.4)+(C601*1.1)+(D601*1.1)+(E601*1)+(F601*1.1)+(G601*1)+(H601*1.6)+(I601*0.9)+(J601*1)+(K601*0.8))/11-1)/4)*20000,0)))</f>
        <v/>
      </c>
      <c r="M601" s="36">
        <f>IF(L601="","",MIN(100,ROUND(L601/200,0)))</f>
        <v/>
      </c>
      <c r="N601" s="36" t="n"/>
      <c r="O601" s="36" t="n"/>
    </row>
    <row r="602">
      <c r="A602" s="32" t="n"/>
      <c r="B602" s="36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>
        <f>IF(COUNTA(B602:K602)&lt;10,"",MAX(300,ROUND(((((B602*1.4)+(C602*1.1)+(D602*1.1)+(E602*1)+(F602*1.1)+(G602*1)+(H602*1.6)+(I602*0.9)+(J602*1)+(K602*0.8))/11-1)/4)*20000,0)))</f>
        <v/>
      </c>
      <c r="M602" s="36">
        <f>IF(L602="","",MIN(100,ROUND(L602/200,0)))</f>
        <v/>
      </c>
      <c r="N602" s="36" t="n"/>
      <c r="O602" s="36" t="n"/>
    </row>
    <row r="603">
      <c r="A603" s="32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>
        <f>IF(COUNTA(B603:K603)&lt;10,"",MAX(300,ROUND(((((B603*1.4)+(C603*1.1)+(D603*1.1)+(E603*1)+(F603*1.1)+(G603*1)+(H603*1.6)+(I603*0.9)+(J603*1)+(K603*0.8))/11-1)/4)*20000,0)))</f>
        <v/>
      </c>
      <c r="M603" s="36">
        <f>IF(L603="","",MIN(100,ROUND(L603/200,0)))</f>
        <v/>
      </c>
      <c r="N603" s="36" t="n"/>
      <c r="O603" s="36" t="n"/>
    </row>
    <row r="604">
      <c r="A604" s="32" t="n"/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>
        <f>IF(COUNTA(B604:K604)&lt;10,"",MAX(300,ROUND(((((B604*1.4)+(C604*1.1)+(D604*1.1)+(E604*1)+(F604*1.1)+(G604*1)+(H604*1.6)+(I604*0.9)+(J604*1)+(K604*0.8))/11-1)/4)*20000,0)))</f>
        <v/>
      </c>
      <c r="M604" s="36">
        <f>IF(L604="","",MIN(100,ROUND(L604/200,0)))</f>
        <v/>
      </c>
      <c r="N604" s="36" t="n"/>
      <c r="O604" s="36" t="n"/>
    </row>
    <row r="605">
      <c r="A605" s="32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>
        <f>IF(COUNTA(B605:K605)&lt;10,"",MAX(300,ROUND(((((B605*1.4)+(C605*1.1)+(D605*1.1)+(E605*1)+(F605*1.1)+(G605*1)+(H605*1.6)+(I605*0.9)+(J605*1)+(K605*0.8))/11-1)/4)*20000,0)))</f>
        <v/>
      </c>
      <c r="M605" s="36">
        <f>IF(L605="","",MIN(100,ROUND(L605/200,0)))</f>
        <v/>
      </c>
      <c r="N605" s="36" t="n"/>
      <c r="O605" s="36" t="n"/>
    </row>
    <row r="606">
      <c r="A606" s="32" t="n"/>
      <c r="B606" s="36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>
        <f>IF(COUNTA(B606:K606)&lt;10,"",MAX(300,ROUND(((((B606*1.4)+(C606*1.1)+(D606*1.1)+(E606*1)+(F606*1.1)+(G606*1)+(H606*1.6)+(I606*0.9)+(J606*1)+(K606*0.8))/11-1)/4)*20000,0)))</f>
        <v/>
      </c>
      <c r="M606" s="36">
        <f>IF(L606="","",MIN(100,ROUND(L606/200,0)))</f>
        <v/>
      </c>
      <c r="N606" s="36" t="n"/>
      <c r="O606" s="36" t="n"/>
    </row>
    <row r="607">
      <c r="A607" s="32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>
        <f>IF(COUNTA(B607:K607)&lt;10,"",MAX(300,ROUND(((((B607*1.4)+(C607*1.1)+(D607*1.1)+(E607*1)+(F607*1.1)+(G607*1)+(H607*1.6)+(I607*0.9)+(J607*1)+(K607*0.8))/11-1)/4)*20000,0)))</f>
        <v/>
      </c>
      <c r="M607" s="36">
        <f>IF(L607="","",MIN(100,ROUND(L607/200,0)))</f>
        <v/>
      </c>
      <c r="N607" s="36" t="n"/>
      <c r="O607" s="36" t="n"/>
    </row>
    <row r="608">
      <c r="A608" s="32" t="n"/>
      <c r="B608" s="36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>
        <f>IF(COUNTA(B608:K608)&lt;10,"",MAX(300,ROUND(((((B608*1.4)+(C608*1.1)+(D608*1.1)+(E608*1)+(F608*1.1)+(G608*1)+(H608*1.6)+(I608*0.9)+(J608*1)+(K608*0.8))/11-1)/4)*20000,0)))</f>
        <v/>
      </c>
      <c r="M608" s="36">
        <f>IF(L608="","",MIN(100,ROUND(L608/200,0)))</f>
        <v/>
      </c>
      <c r="N608" s="36" t="n"/>
      <c r="O608" s="36" t="n"/>
    </row>
    <row r="609">
      <c r="A609" s="32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>
        <f>IF(COUNTA(B609:K609)&lt;10,"",MAX(300,ROUND(((((B609*1.4)+(C609*1.1)+(D609*1.1)+(E609*1)+(F609*1.1)+(G609*1)+(H609*1.6)+(I609*0.9)+(J609*1)+(K609*0.8))/11-1)/4)*20000,0)))</f>
        <v/>
      </c>
      <c r="M609" s="36">
        <f>IF(L609="","",MIN(100,ROUND(L609/200,0)))</f>
        <v/>
      </c>
      <c r="N609" s="36" t="n"/>
      <c r="O609" s="36" t="n"/>
    </row>
    <row r="610">
      <c r="A610" s="32" t="n"/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>
        <f>IF(COUNTA(B610:K610)&lt;10,"",MAX(300,ROUND(((((B610*1.4)+(C610*1.1)+(D610*1.1)+(E610*1)+(F610*1.1)+(G610*1)+(H610*1.6)+(I610*0.9)+(J610*1)+(K610*0.8))/11-1)/4)*20000,0)))</f>
        <v/>
      </c>
      <c r="M610" s="36">
        <f>IF(L610="","",MIN(100,ROUND(L610/200,0)))</f>
        <v/>
      </c>
      <c r="N610" s="36" t="n"/>
      <c r="O610" s="36" t="n"/>
    </row>
    <row r="611">
      <c r="A611" s="32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>
        <f>IF(COUNTA(B611:K611)&lt;10,"",MAX(300,ROUND(((((B611*1.4)+(C611*1.1)+(D611*1.1)+(E611*1)+(F611*1.1)+(G611*1)+(H611*1.6)+(I611*0.9)+(J611*1)+(K611*0.8))/11-1)/4)*20000,0)))</f>
        <v/>
      </c>
      <c r="M611" s="36">
        <f>IF(L611="","",MIN(100,ROUND(L611/200,0)))</f>
        <v/>
      </c>
      <c r="N611" s="36" t="n"/>
      <c r="O611" s="36" t="n"/>
    </row>
    <row r="612">
      <c r="A612" s="32" t="n"/>
      <c r="B612" s="36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>
        <f>IF(COUNTA(B612:K612)&lt;10,"",MAX(300,ROUND(((((B612*1.4)+(C612*1.1)+(D612*1.1)+(E612*1)+(F612*1.1)+(G612*1)+(H612*1.6)+(I612*0.9)+(J612*1)+(K612*0.8))/11-1)/4)*20000,0)))</f>
        <v/>
      </c>
      <c r="M612" s="36">
        <f>IF(L612="","",MIN(100,ROUND(L612/200,0)))</f>
        <v/>
      </c>
      <c r="N612" s="36" t="n"/>
      <c r="O612" s="36" t="n"/>
    </row>
    <row r="613">
      <c r="A613" s="32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>
        <f>IF(COUNTA(B613:K613)&lt;10,"",MAX(300,ROUND(((((B613*1.4)+(C613*1.1)+(D613*1.1)+(E613*1)+(F613*1.1)+(G613*1)+(H613*1.6)+(I613*0.9)+(J613*1)+(K613*0.8))/11-1)/4)*20000,0)))</f>
        <v/>
      </c>
      <c r="M613" s="36">
        <f>IF(L613="","",MIN(100,ROUND(L613/200,0)))</f>
        <v/>
      </c>
      <c r="N613" s="36" t="n"/>
      <c r="O613" s="36" t="n"/>
    </row>
    <row r="614">
      <c r="A614" s="32" t="n"/>
      <c r="B614" s="36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>
        <f>IF(COUNTA(B614:K614)&lt;10,"",MAX(300,ROUND(((((B614*1.4)+(C614*1.1)+(D614*1.1)+(E614*1)+(F614*1.1)+(G614*1)+(H614*1.6)+(I614*0.9)+(J614*1)+(K614*0.8))/11-1)/4)*20000,0)))</f>
        <v/>
      </c>
      <c r="M614" s="36">
        <f>IF(L614="","",MIN(100,ROUND(L614/200,0)))</f>
        <v/>
      </c>
      <c r="N614" s="36" t="n"/>
      <c r="O614" s="36" t="n"/>
    </row>
    <row r="615">
      <c r="A615" s="32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>
        <f>IF(COUNTA(B615:K615)&lt;10,"",MAX(300,ROUND(((((B615*1.4)+(C615*1.1)+(D615*1.1)+(E615*1)+(F615*1.1)+(G615*1)+(H615*1.6)+(I615*0.9)+(J615*1)+(K615*0.8))/11-1)/4)*20000,0)))</f>
        <v/>
      </c>
      <c r="M615" s="36">
        <f>IF(L615="","",MIN(100,ROUND(L615/200,0)))</f>
        <v/>
      </c>
      <c r="N615" s="36" t="n"/>
      <c r="O615" s="36" t="n"/>
    </row>
    <row r="616">
      <c r="A616" s="32" t="n"/>
      <c r="B616" s="36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>
        <f>IF(COUNTA(B616:K616)&lt;10,"",MAX(300,ROUND(((((B616*1.4)+(C616*1.1)+(D616*1.1)+(E616*1)+(F616*1.1)+(G616*1)+(H616*1.6)+(I616*0.9)+(J616*1)+(K616*0.8))/11-1)/4)*20000,0)))</f>
        <v/>
      </c>
      <c r="M616" s="36">
        <f>IF(L616="","",MIN(100,ROUND(L616/200,0)))</f>
        <v/>
      </c>
      <c r="N616" s="36" t="n"/>
      <c r="O616" s="36" t="n"/>
    </row>
    <row r="617">
      <c r="A617" s="32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>
        <f>IF(COUNTA(B617:K617)&lt;10,"",MAX(300,ROUND(((((B617*1.4)+(C617*1.1)+(D617*1.1)+(E617*1)+(F617*1.1)+(G617*1)+(H617*1.6)+(I617*0.9)+(J617*1)+(K617*0.8))/11-1)/4)*20000,0)))</f>
        <v/>
      </c>
      <c r="M617" s="36">
        <f>IF(L617="","",MIN(100,ROUND(L617/200,0)))</f>
        <v/>
      </c>
      <c r="N617" s="36" t="n"/>
      <c r="O617" s="36" t="n"/>
    </row>
    <row r="618">
      <c r="A618" s="32" t="n"/>
      <c r="B618" s="36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>
        <f>IF(COUNTA(B618:K618)&lt;10,"",MAX(300,ROUND(((((B618*1.4)+(C618*1.1)+(D618*1.1)+(E618*1)+(F618*1.1)+(G618*1)+(H618*1.6)+(I618*0.9)+(J618*1)+(K618*0.8))/11-1)/4)*20000,0)))</f>
        <v/>
      </c>
      <c r="M618" s="36">
        <f>IF(L618="","",MIN(100,ROUND(L618/200,0)))</f>
        <v/>
      </c>
      <c r="N618" s="36" t="n"/>
      <c r="O618" s="36" t="n"/>
    </row>
    <row r="619">
      <c r="A619" s="32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>
        <f>IF(COUNTA(B619:K619)&lt;10,"",MAX(300,ROUND(((((B619*1.4)+(C619*1.1)+(D619*1.1)+(E619*1)+(F619*1.1)+(G619*1)+(H619*1.6)+(I619*0.9)+(J619*1)+(K619*0.8))/11-1)/4)*20000,0)))</f>
        <v/>
      </c>
      <c r="M619" s="36">
        <f>IF(L619="","",MIN(100,ROUND(L619/200,0)))</f>
        <v/>
      </c>
      <c r="N619" s="36" t="n"/>
      <c r="O619" s="36" t="n"/>
    </row>
    <row r="620">
      <c r="A620" s="32" t="n"/>
      <c r="B620" s="36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>
        <f>IF(COUNTA(B620:K620)&lt;10,"",MAX(300,ROUND(((((B620*1.4)+(C620*1.1)+(D620*1.1)+(E620*1)+(F620*1.1)+(G620*1)+(H620*1.6)+(I620*0.9)+(J620*1)+(K620*0.8))/11-1)/4)*20000,0)))</f>
        <v/>
      </c>
      <c r="M620" s="36">
        <f>IF(L620="","",MIN(100,ROUND(L620/200,0)))</f>
        <v/>
      </c>
      <c r="N620" s="36" t="n"/>
      <c r="O620" s="36" t="n"/>
    </row>
    <row r="621">
      <c r="A621" s="32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>
        <f>IF(COUNTA(B621:K621)&lt;10,"",MAX(300,ROUND(((((B621*1.4)+(C621*1.1)+(D621*1.1)+(E621*1)+(F621*1.1)+(G621*1)+(H621*1.6)+(I621*0.9)+(J621*1)+(K621*0.8))/11-1)/4)*20000,0)))</f>
        <v/>
      </c>
      <c r="M621" s="36">
        <f>IF(L621="","",MIN(100,ROUND(L621/200,0)))</f>
        <v/>
      </c>
      <c r="N621" s="36" t="n"/>
      <c r="O621" s="36" t="n"/>
    </row>
    <row r="622">
      <c r="A622" s="32" t="n"/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>
        <f>IF(COUNTA(B622:K622)&lt;10,"",MAX(300,ROUND(((((B622*1.4)+(C622*1.1)+(D622*1.1)+(E622*1)+(F622*1.1)+(G622*1)+(H622*1.6)+(I622*0.9)+(J622*1)+(K622*0.8))/11-1)/4)*20000,0)))</f>
        <v/>
      </c>
      <c r="M622" s="36">
        <f>IF(L622="","",MIN(100,ROUND(L622/200,0)))</f>
        <v/>
      </c>
      <c r="N622" s="36" t="n"/>
      <c r="O622" s="36" t="n"/>
    </row>
    <row r="623">
      <c r="A623" s="32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>
        <f>IF(COUNTA(B623:K623)&lt;10,"",MAX(300,ROUND(((((B623*1.4)+(C623*1.1)+(D623*1.1)+(E623*1)+(F623*1.1)+(G623*1)+(H623*1.6)+(I623*0.9)+(J623*1)+(K623*0.8))/11-1)/4)*20000,0)))</f>
        <v/>
      </c>
      <c r="M623" s="36">
        <f>IF(L623="","",MIN(100,ROUND(L623/200,0)))</f>
        <v/>
      </c>
      <c r="N623" s="36" t="n"/>
      <c r="O623" s="36" t="n"/>
    </row>
    <row r="624">
      <c r="A624" s="32" t="n"/>
      <c r="B624" s="36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>
        <f>IF(COUNTA(B624:K624)&lt;10,"",MAX(300,ROUND(((((B624*1.4)+(C624*1.1)+(D624*1.1)+(E624*1)+(F624*1.1)+(G624*1)+(H624*1.6)+(I624*0.9)+(J624*1)+(K624*0.8))/11-1)/4)*20000,0)))</f>
        <v/>
      </c>
      <c r="M624" s="36">
        <f>IF(L624="","",MIN(100,ROUND(L624/200,0)))</f>
        <v/>
      </c>
      <c r="N624" s="36" t="n"/>
      <c r="O624" s="36" t="n"/>
    </row>
    <row r="625">
      <c r="A625" s="32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>
        <f>IF(COUNTA(B625:K625)&lt;10,"",MAX(300,ROUND(((((B625*1.4)+(C625*1.1)+(D625*1.1)+(E625*1)+(F625*1.1)+(G625*1)+(H625*1.6)+(I625*0.9)+(J625*1)+(K625*0.8))/11-1)/4)*20000,0)))</f>
        <v/>
      </c>
      <c r="M625" s="36">
        <f>IF(L625="","",MIN(100,ROUND(L625/200,0)))</f>
        <v/>
      </c>
      <c r="N625" s="36" t="n"/>
      <c r="O625" s="36" t="n"/>
    </row>
    <row r="626">
      <c r="A626" s="32" t="n"/>
      <c r="B626" s="36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>
        <f>IF(COUNTA(B626:K626)&lt;10,"",MAX(300,ROUND(((((B626*1.4)+(C626*1.1)+(D626*1.1)+(E626*1)+(F626*1.1)+(G626*1)+(H626*1.6)+(I626*0.9)+(J626*1)+(K626*0.8))/11-1)/4)*20000,0)))</f>
        <v/>
      </c>
      <c r="M626" s="36">
        <f>IF(L626="","",MIN(100,ROUND(L626/200,0)))</f>
        <v/>
      </c>
      <c r="N626" s="36" t="n"/>
      <c r="O626" s="36" t="n"/>
    </row>
    <row r="627">
      <c r="A627" s="32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>
        <f>IF(COUNTA(B627:K627)&lt;10,"",MAX(300,ROUND(((((B627*1.4)+(C627*1.1)+(D627*1.1)+(E627*1)+(F627*1.1)+(G627*1)+(H627*1.6)+(I627*0.9)+(J627*1)+(K627*0.8))/11-1)/4)*20000,0)))</f>
        <v/>
      </c>
      <c r="M627" s="36">
        <f>IF(L627="","",MIN(100,ROUND(L627/200,0)))</f>
        <v/>
      </c>
      <c r="N627" s="36" t="n"/>
      <c r="O627" s="36" t="n"/>
    </row>
    <row r="628">
      <c r="A628" s="32" t="n"/>
      <c r="B628" s="36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>
        <f>IF(COUNTA(B628:K628)&lt;10,"",MAX(300,ROUND(((((B628*1.4)+(C628*1.1)+(D628*1.1)+(E628*1)+(F628*1.1)+(G628*1)+(H628*1.6)+(I628*0.9)+(J628*1)+(K628*0.8))/11-1)/4)*20000,0)))</f>
        <v/>
      </c>
      <c r="M628" s="36">
        <f>IF(L628="","",MIN(100,ROUND(L628/200,0)))</f>
        <v/>
      </c>
      <c r="N628" s="36" t="n"/>
      <c r="O628" s="36" t="n"/>
    </row>
    <row r="629">
      <c r="A629" s="32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>
        <f>IF(COUNTA(B629:K629)&lt;10,"",MAX(300,ROUND(((((B629*1.4)+(C629*1.1)+(D629*1.1)+(E629*1)+(F629*1.1)+(G629*1)+(H629*1.6)+(I629*0.9)+(J629*1)+(K629*0.8))/11-1)/4)*20000,0)))</f>
        <v/>
      </c>
      <c r="M629" s="36">
        <f>IF(L629="","",MIN(100,ROUND(L629/200,0)))</f>
        <v/>
      </c>
      <c r="N629" s="36" t="n"/>
      <c r="O629" s="36" t="n"/>
    </row>
    <row r="630">
      <c r="A630" s="32" t="n"/>
      <c r="B630" s="36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>
        <f>IF(COUNTA(B630:K630)&lt;10,"",MAX(300,ROUND(((((B630*1.4)+(C630*1.1)+(D630*1.1)+(E630*1)+(F630*1.1)+(G630*1)+(H630*1.6)+(I630*0.9)+(J630*1)+(K630*0.8))/11-1)/4)*20000,0)))</f>
        <v/>
      </c>
      <c r="M630" s="36">
        <f>IF(L630="","",MIN(100,ROUND(L630/200,0)))</f>
        <v/>
      </c>
      <c r="N630" s="36" t="n"/>
      <c r="O630" s="36" t="n"/>
    </row>
    <row r="631">
      <c r="A631" s="32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>
        <f>IF(COUNTA(B631:K631)&lt;10,"",MAX(300,ROUND(((((B631*1.4)+(C631*1.1)+(D631*1.1)+(E631*1)+(F631*1.1)+(G631*1)+(H631*1.6)+(I631*0.9)+(J631*1)+(K631*0.8))/11-1)/4)*20000,0)))</f>
        <v/>
      </c>
      <c r="M631" s="36">
        <f>IF(L631="","",MIN(100,ROUND(L631/200,0)))</f>
        <v/>
      </c>
      <c r="N631" s="36" t="n"/>
      <c r="O631" s="36" t="n"/>
    </row>
    <row r="632">
      <c r="A632" s="32" t="n"/>
      <c r="B632" s="36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>
        <f>IF(COUNTA(B632:K632)&lt;10,"",MAX(300,ROUND(((((B632*1.4)+(C632*1.1)+(D632*1.1)+(E632*1)+(F632*1.1)+(G632*1)+(H632*1.6)+(I632*0.9)+(J632*1)+(K632*0.8))/11-1)/4)*20000,0)))</f>
        <v/>
      </c>
      <c r="M632" s="36">
        <f>IF(L632="","",MIN(100,ROUND(L632/200,0)))</f>
        <v/>
      </c>
      <c r="N632" s="36" t="n"/>
      <c r="O632" s="36" t="n"/>
    </row>
    <row r="633">
      <c r="A633" s="32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>
        <f>IF(COUNTA(B633:K633)&lt;10,"",MAX(300,ROUND(((((B633*1.4)+(C633*1.1)+(D633*1.1)+(E633*1)+(F633*1.1)+(G633*1)+(H633*1.6)+(I633*0.9)+(J633*1)+(K633*0.8))/11-1)/4)*20000,0)))</f>
        <v/>
      </c>
      <c r="M633" s="36">
        <f>IF(L633="","",MIN(100,ROUND(L633/200,0)))</f>
        <v/>
      </c>
      <c r="N633" s="36" t="n"/>
      <c r="O633" s="36" t="n"/>
    </row>
    <row r="634">
      <c r="A634" s="32" t="n"/>
      <c r="B634" s="36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>
        <f>IF(COUNTA(B634:K634)&lt;10,"",MAX(300,ROUND(((((B634*1.4)+(C634*1.1)+(D634*1.1)+(E634*1)+(F634*1.1)+(G634*1)+(H634*1.6)+(I634*0.9)+(J634*1)+(K634*0.8))/11-1)/4)*20000,0)))</f>
        <v/>
      </c>
      <c r="M634" s="36">
        <f>IF(L634="","",MIN(100,ROUND(L634/200,0)))</f>
        <v/>
      </c>
      <c r="N634" s="36" t="n"/>
      <c r="O634" s="36" t="n"/>
    </row>
    <row r="635">
      <c r="A635" s="32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>
        <f>IF(COUNTA(B635:K635)&lt;10,"",MAX(300,ROUND(((((B635*1.4)+(C635*1.1)+(D635*1.1)+(E635*1)+(F635*1.1)+(G635*1)+(H635*1.6)+(I635*0.9)+(J635*1)+(K635*0.8))/11-1)/4)*20000,0)))</f>
        <v/>
      </c>
      <c r="M635" s="36">
        <f>IF(L635="","",MIN(100,ROUND(L635/200,0)))</f>
        <v/>
      </c>
      <c r="N635" s="36" t="n"/>
      <c r="O635" s="36" t="n"/>
    </row>
    <row r="636">
      <c r="A636" s="32" t="n"/>
      <c r="B636" s="36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>
        <f>IF(COUNTA(B636:K636)&lt;10,"",MAX(300,ROUND(((((B636*1.4)+(C636*1.1)+(D636*1.1)+(E636*1)+(F636*1.1)+(G636*1)+(H636*1.6)+(I636*0.9)+(J636*1)+(K636*0.8))/11-1)/4)*20000,0)))</f>
        <v/>
      </c>
      <c r="M636" s="36">
        <f>IF(L636="","",MIN(100,ROUND(L636/200,0)))</f>
        <v/>
      </c>
      <c r="N636" s="36" t="n"/>
      <c r="O636" s="36" t="n"/>
    </row>
    <row r="637">
      <c r="A637" s="32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>
        <f>IF(COUNTA(B637:K637)&lt;10,"",MAX(300,ROUND(((((B637*1.4)+(C637*1.1)+(D637*1.1)+(E637*1)+(F637*1.1)+(G637*1)+(H637*1.6)+(I637*0.9)+(J637*1)+(K637*0.8))/11-1)/4)*20000,0)))</f>
        <v/>
      </c>
      <c r="M637" s="36">
        <f>IF(L637="","",MIN(100,ROUND(L637/200,0)))</f>
        <v/>
      </c>
      <c r="N637" s="36" t="n"/>
      <c r="O637" s="36" t="n"/>
    </row>
    <row r="638">
      <c r="A638" s="32" t="n"/>
      <c r="B638" s="36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>
        <f>IF(COUNTA(B638:K638)&lt;10,"",MAX(300,ROUND(((((B638*1.4)+(C638*1.1)+(D638*1.1)+(E638*1)+(F638*1.1)+(G638*1)+(H638*1.6)+(I638*0.9)+(J638*1)+(K638*0.8))/11-1)/4)*20000,0)))</f>
        <v/>
      </c>
      <c r="M638" s="36">
        <f>IF(L638="","",MIN(100,ROUND(L638/200,0)))</f>
        <v/>
      </c>
      <c r="N638" s="36" t="n"/>
      <c r="O638" s="36" t="n"/>
    </row>
    <row r="639">
      <c r="A639" s="32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>
        <f>IF(COUNTA(B639:K639)&lt;10,"",MAX(300,ROUND(((((B639*1.4)+(C639*1.1)+(D639*1.1)+(E639*1)+(F639*1.1)+(G639*1)+(H639*1.6)+(I639*0.9)+(J639*1)+(K639*0.8))/11-1)/4)*20000,0)))</f>
        <v/>
      </c>
      <c r="M639" s="36">
        <f>IF(L639="","",MIN(100,ROUND(L639/200,0)))</f>
        <v/>
      </c>
      <c r="N639" s="36" t="n"/>
      <c r="O639" s="36" t="n"/>
    </row>
    <row r="640">
      <c r="A640" s="32" t="n"/>
      <c r="B640" s="36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>
        <f>IF(COUNTA(B640:K640)&lt;10,"",MAX(300,ROUND(((((B640*1.4)+(C640*1.1)+(D640*1.1)+(E640*1)+(F640*1.1)+(G640*1)+(H640*1.6)+(I640*0.9)+(J640*1)+(K640*0.8))/11-1)/4)*20000,0)))</f>
        <v/>
      </c>
      <c r="M640" s="36">
        <f>IF(L640="","",MIN(100,ROUND(L640/200,0)))</f>
        <v/>
      </c>
      <c r="N640" s="36" t="n"/>
      <c r="O640" s="36" t="n"/>
    </row>
    <row r="641">
      <c r="A641" s="32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>
        <f>IF(COUNTA(B641:K641)&lt;10,"",MAX(300,ROUND(((((B641*1.4)+(C641*1.1)+(D641*1.1)+(E641*1)+(F641*1.1)+(G641*1)+(H641*1.6)+(I641*0.9)+(J641*1)+(K641*0.8))/11-1)/4)*20000,0)))</f>
        <v/>
      </c>
      <c r="M641" s="36">
        <f>IF(L641="","",MIN(100,ROUND(L641/200,0)))</f>
        <v/>
      </c>
      <c r="N641" s="36" t="n"/>
      <c r="O641" s="36" t="n"/>
    </row>
    <row r="642">
      <c r="A642" s="32" t="n"/>
      <c r="B642" s="36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>
        <f>IF(COUNTA(B642:K642)&lt;10,"",MAX(300,ROUND(((((B642*1.4)+(C642*1.1)+(D642*1.1)+(E642*1)+(F642*1.1)+(G642*1)+(H642*1.6)+(I642*0.9)+(J642*1)+(K642*0.8))/11-1)/4)*20000,0)))</f>
        <v/>
      </c>
      <c r="M642" s="36">
        <f>IF(L642="","",MIN(100,ROUND(L642/200,0)))</f>
        <v/>
      </c>
      <c r="N642" s="36" t="n"/>
      <c r="O642" s="36" t="n"/>
    </row>
    <row r="643">
      <c r="A643" s="32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>
        <f>IF(COUNTA(B643:K643)&lt;10,"",MAX(300,ROUND(((((B643*1.4)+(C643*1.1)+(D643*1.1)+(E643*1)+(F643*1.1)+(G643*1)+(H643*1.6)+(I643*0.9)+(J643*1)+(K643*0.8))/11-1)/4)*20000,0)))</f>
        <v/>
      </c>
      <c r="M643" s="36">
        <f>IF(L643="","",MIN(100,ROUND(L643/200,0)))</f>
        <v/>
      </c>
      <c r="N643" s="36" t="n"/>
      <c r="O643" s="36" t="n"/>
    </row>
    <row r="644">
      <c r="A644" s="32" t="n"/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>
        <f>IF(COUNTA(B644:K644)&lt;10,"",MAX(300,ROUND(((((B644*1.4)+(C644*1.1)+(D644*1.1)+(E644*1)+(F644*1.1)+(G644*1)+(H644*1.6)+(I644*0.9)+(J644*1)+(K644*0.8))/11-1)/4)*20000,0)))</f>
        <v/>
      </c>
      <c r="M644" s="36">
        <f>IF(L644="","",MIN(100,ROUND(L644/200,0)))</f>
        <v/>
      </c>
      <c r="N644" s="36" t="n"/>
      <c r="O644" s="36" t="n"/>
    </row>
    <row r="645">
      <c r="A645" s="32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>
        <f>IF(COUNTA(B645:K645)&lt;10,"",MAX(300,ROUND(((((B645*1.4)+(C645*1.1)+(D645*1.1)+(E645*1)+(F645*1.1)+(G645*1)+(H645*1.6)+(I645*0.9)+(J645*1)+(K645*0.8))/11-1)/4)*20000,0)))</f>
        <v/>
      </c>
      <c r="M645" s="36">
        <f>IF(L645="","",MIN(100,ROUND(L645/200,0)))</f>
        <v/>
      </c>
      <c r="N645" s="36" t="n"/>
      <c r="O645" s="36" t="n"/>
    </row>
    <row r="646">
      <c r="A646" s="32" t="n"/>
      <c r="B646" s="36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>
        <f>IF(COUNTA(B646:K646)&lt;10,"",MAX(300,ROUND(((((B646*1.4)+(C646*1.1)+(D646*1.1)+(E646*1)+(F646*1.1)+(G646*1)+(H646*1.6)+(I646*0.9)+(J646*1)+(K646*0.8))/11-1)/4)*20000,0)))</f>
        <v/>
      </c>
      <c r="M646" s="36">
        <f>IF(L646="","",MIN(100,ROUND(L646/200,0)))</f>
        <v/>
      </c>
      <c r="N646" s="36" t="n"/>
      <c r="O646" s="36" t="n"/>
    </row>
    <row r="647">
      <c r="A647" s="32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>
        <f>IF(COUNTA(B647:K647)&lt;10,"",MAX(300,ROUND(((((B647*1.4)+(C647*1.1)+(D647*1.1)+(E647*1)+(F647*1.1)+(G647*1)+(H647*1.6)+(I647*0.9)+(J647*1)+(K647*0.8))/11-1)/4)*20000,0)))</f>
        <v/>
      </c>
      <c r="M647" s="36">
        <f>IF(L647="","",MIN(100,ROUND(L647/200,0)))</f>
        <v/>
      </c>
      <c r="N647" s="36" t="n"/>
      <c r="O647" s="36" t="n"/>
    </row>
    <row r="648">
      <c r="A648" s="32" t="n"/>
      <c r="B648" s="36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>
        <f>IF(COUNTA(B648:K648)&lt;10,"",MAX(300,ROUND(((((B648*1.4)+(C648*1.1)+(D648*1.1)+(E648*1)+(F648*1.1)+(G648*1)+(H648*1.6)+(I648*0.9)+(J648*1)+(K648*0.8))/11-1)/4)*20000,0)))</f>
        <v/>
      </c>
      <c r="M648" s="36">
        <f>IF(L648="","",MIN(100,ROUND(L648/200,0)))</f>
        <v/>
      </c>
      <c r="N648" s="36" t="n"/>
      <c r="O648" s="36" t="n"/>
    </row>
    <row r="649">
      <c r="A649" s="32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>
        <f>IF(COUNTA(B649:K649)&lt;10,"",MAX(300,ROUND(((((B649*1.4)+(C649*1.1)+(D649*1.1)+(E649*1)+(F649*1.1)+(G649*1)+(H649*1.6)+(I649*0.9)+(J649*1)+(K649*0.8))/11-1)/4)*20000,0)))</f>
        <v/>
      </c>
      <c r="M649" s="36">
        <f>IF(L649="","",MIN(100,ROUND(L649/200,0)))</f>
        <v/>
      </c>
      <c r="N649" s="36" t="n"/>
      <c r="O649" s="36" t="n"/>
    </row>
    <row r="650">
      <c r="A650" s="32" t="n"/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>
        <f>IF(COUNTA(B650:K650)&lt;10,"",MAX(300,ROUND(((((B650*1.4)+(C650*1.1)+(D650*1.1)+(E650*1)+(F650*1.1)+(G650*1)+(H650*1.6)+(I650*0.9)+(J650*1)+(K650*0.8))/11-1)/4)*20000,0)))</f>
        <v/>
      </c>
      <c r="M650" s="36">
        <f>IF(L650="","",MIN(100,ROUND(L650/200,0)))</f>
        <v/>
      </c>
      <c r="N650" s="36" t="n"/>
      <c r="O650" s="36" t="n"/>
    </row>
    <row r="651">
      <c r="A651" s="32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>
        <f>IF(COUNTA(B651:K651)&lt;10,"",MAX(300,ROUND(((((B651*1.4)+(C651*1.1)+(D651*1.1)+(E651*1)+(F651*1.1)+(G651*1)+(H651*1.6)+(I651*0.9)+(J651*1)+(K651*0.8))/11-1)/4)*20000,0)))</f>
        <v/>
      </c>
      <c r="M651" s="36">
        <f>IF(L651="","",MIN(100,ROUND(L651/200,0)))</f>
        <v/>
      </c>
      <c r="N651" s="36" t="n"/>
      <c r="O651" s="36" t="n"/>
    </row>
    <row r="652">
      <c r="A652" s="32" t="n"/>
      <c r="B652" s="36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>
        <f>IF(COUNTA(B652:K652)&lt;10,"",MAX(300,ROUND(((((B652*1.4)+(C652*1.1)+(D652*1.1)+(E652*1)+(F652*1.1)+(G652*1)+(H652*1.6)+(I652*0.9)+(J652*1)+(K652*0.8))/11-1)/4)*20000,0)))</f>
        <v/>
      </c>
      <c r="M652" s="36">
        <f>IF(L652="","",MIN(100,ROUND(L652/200,0)))</f>
        <v/>
      </c>
      <c r="N652" s="36" t="n"/>
      <c r="O652" s="36" t="n"/>
    </row>
    <row r="653">
      <c r="A653" s="32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>
        <f>IF(COUNTA(B653:K653)&lt;10,"",MAX(300,ROUND(((((B653*1.4)+(C653*1.1)+(D653*1.1)+(E653*1)+(F653*1.1)+(G653*1)+(H653*1.6)+(I653*0.9)+(J653*1)+(K653*0.8))/11-1)/4)*20000,0)))</f>
        <v/>
      </c>
      <c r="M653" s="36">
        <f>IF(L653="","",MIN(100,ROUND(L653/200,0)))</f>
        <v/>
      </c>
      <c r="N653" s="36" t="n"/>
      <c r="O653" s="36" t="n"/>
    </row>
    <row r="654">
      <c r="A654" s="32" t="n"/>
      <c r="B654" s="36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>
        <f>IF(COUNTA(B654:K654)&lt;10,"",MAX(300,ROUND(((((B654*1.4)+(C654*1.1)+(D654*1.1)+(E654*1)+(F654*1.1)+(G654*1)+(H654*1.6)+(I654*0.9)+(J654*1)+(K654*0.8))/11-1)/4)*20000,0)))</f>
        <v/>
      </c>
      <c r="M654" s="36">
        <f>IF(L654="","",MIN(100,ROUND(L654/200,0)))</f>
        <v/>
      </c>
      <c r="N654" s="36" t="n"/>
      <c r="O654" s="36" t="n"/>
    </row>
    <row r="655">
      <c r="A655" s="32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>
        <f>IF(COUNTA(B655:K655)&lt;10,"",MAX(300,ROUND(((((B655*1.4)+(C655*1.1)+(D655*1.1)+(E655*1)+(F655*1.1)+(G655*1)+(H655*1.6)+(I655*0.9)+(J655*1)+(K655*0.8))/11-1)/4)*20000,0)))</f>
        <v/>
      </c>
      <c r="M655" s="36">
        <f>IF(L655="","",MIN(100,ROUND(L655/200,0)))</f>
        <v/>
      </c>
      <c r="N655" s="36" t="n"/>
      <c r="O655" s="36" t="n"/>
    </row>
    <row r="656">
      <c r="A656" s="32" t="n"/>
      <c r="B656" s="36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>
        <f>IF(COUNTA(B656:K656)&lt;10,"",MAX(300,ROUND(((((B656*1.4)+(C656*1.1)+(D656*1.1)+(E656*1)+(F656*1.1)+(G656*1)+(H656*1.6)+(I656*0.9)+(J656*1)+(K656*0.8))/11-1)/4)*20000,0)))</f>
        <v/>
      </c>
      <c r="M656" s="36">
        <f>IF(L656="","",MIN(100,ROUND(L656/200,0)))</f>
        <v/>
      </c>
      <c r="N656" s="36" t="n"/>
      <c r="O656" s="36" t="n"/>
    </row>
    <row r="657">
      <c r="A657" s="32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>
        <f>IF(COUNTA(B657:K657)&lt;10,"",MAX(300,ROUND(((((B657*1.4)+(C657*1.1)+(D657*1.1)+(E657*1)+(F657*1.1)+(G657*1)+(H657*1.6)+(I657*0.9)+(J657*1)+(K657*0.8))/11-1)/4)*20000,0)))</f>
        <v/>
      </c>
      <c r="M657" s="36">
        <f>IF(L657="","",MIN(100,ROUND(L657/200,0)))</f>
        <v/>
      </c>
      <c r="N657" s="36" t="n"/>
      <c r="O657" s="36" t="n"/>
    </row>
    <row r="658">
      <c r="A658" s="32" t="n"/>
      <c r="B658" s="36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>
        <f>IF(COUNTA(B658:K658)&lt;10,"",MAX(300,ROUND(((((B658*1.4)+(C658*1.1)+(D658*1.1)+(E658*1)+(F658*1.1)+(G658*1)+(H658*1.6)+(I658*0.9)+(J658*1)+(K658*0.8))/11-1)/4)*20000,0)))</f>
        <v/>
      </c>
      <c r="M658" s="36">
        <f>IF(L658="","",MIN(100,ROUND(L658/200,0)))</f>
        <v/>
      </c>
      <c r="N658" s="36" t="n"/>
      <c r="O658" s="36" t="n"/>
    </row>
    <row r="659">
      <c r="A659" s="32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>
        <f>IF(COUNTA(B659:K659)&lt;10,"",MAX(300,ROUND(((((B659*1.4)+(C659*1.1)+(D659*1.1)+(E659*1)+(F659*1.1)+(G659*1)+(H659*1.6)+(I659*0.9)+(J659*1)+(K659*0.8))/11-1)/4)*20000,0)))</f>
        <v/>
      </c>
      <c r="M659" s="36">
        <f>IF(L659="","",MIN(100,ROUND(L659/200,0)))</f>
        <v/>
      </c>
      <c r="N659" s="36" t="n"/>
      <c r="O659" s="36" t="n"/>
    </row>
    <row r="660">
      <c r="A660" s="32" t="n"/>
      <c r="B660" s="36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>
        <f>IF(COUNTA(B660:K660)&lt;10,"",MAX(300,ROUND(((((B660*1.4)+(C660*1.1)+(D660*1.1)+(E660*1)+(F660*1.1)+(G660*1)+(H660*1.6)+(I660*0.9)+(J660*1)+(K660*0.8))/11-1)/4)*20000,0)))</f>
        <v/>
      </c>
      <c r="M660" s="36">
        <f>IF(L660="","",MIN(100,ROUND(L660/200,0)))</f>
        <v/>
      </c>
      <c r="N660" s="36" t="n"/>
      <c r="O660" s="36" t="n"/>
    </row>
    <row r="661">
      <c r="A661" s="32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>
        <f>IF(COUNTA(B661:K661)&lt;10,"",MAX(300,ROUND(((((B661*1.4)+(C661*1.1)+(D661*1.1)+(E661*1)+(F661*1.1)+(G661*1)+(H661*1.6)+(I661*0.9)+(J661*1)+(K661*0.8))/11-1)/4)*20000,0)))</f>
        <v/>
      </c>
      <c r="M661" s="36">
        <f>IF(L661="","",MIN(100,ROUND(L661/200,0)))</f>
        <v/>
      </c>
      <c r="N661" s="36" t="n"/>
      <c r="O661" s="36" t="n"/>
    </row>
    <row r="662">
      <c r="A662" s="32" t="n"/>
      <c r="B662" s="36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>
        <f>IF(COUNTA(B662:K662)&lt;10,"",MAX(300,ROUND(((((B662*1.4)+(C662*1.1)+(D662*1.1)+(E662*1)+(F662*1.1)+(G662*1)+(H662*1.6)+(I662*0.9)+(J662*1)+(K662*0.8))/11-1)/4)*20000,0)))</f>
        <v/>
      </c>
      <c r="M662" s="36">
        <f>IF(L662="","",MIN(100,ROUND(L662/200,0)))</f>
        <v/>
      </c>
      <c r="N662" s="36" t="n"/>
      <c r="O662" s="36" t="n"/>
    </row>
    <row r="663">
      <c r="A663" s="32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>
        <f>IF(COUNTA(B663:K663)&lt;10,"",MAX(300,ROUND(((((B663*1.4)+(C663*1.1)+(D663*1.1)+(E663*1)+(F663*1.1)+(G663*1)+(H663*1.6)+(I663*0.9)+(J663*1)+(K663*0.8))/11-1)/4)*20000,0)))</f>
        <v/>
      </c>
      <c r="M663" s="36">
        <f>IF(L663="","",MIN(100,ROUND(L663/200,0)))</f>
        <v/>
      </c>
      <c r="N663" s="36" t="n"/>
      <c r="O663" s="36" t="n"/>
    </row>
    <row r="664">
      <c r="A664" s="32" t="n"/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>
        <f>IF(COUNTA(B664:K664)&lt;10,"",MAX(300,ROUND(((((B664*1.4)+(C664*1.1)+(D664*1.1)+(E664*1)+(F664*1.1)+(G664*1)+(H664*1.6)+(I664*0.9)+(J664*1)+(K664*0.8))/11-1)/4)*20000,0)))</f>
        <v/>
      </c>
      <c r="M664" s="36">
        <f>IF(L664="","",MIN(100,ROUND(L664/200,0)))</f>
        <v/>
      </c>
      <c r="N664" s="36" t="n"/>
      <c r="O664" s="36" t="n"/>
    </row>
    <row r="665">
      <c r="A665" s="32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>
        <f>IF(COUNTA(B665:K665)&lt;10,"",MAX(300,ROUND(((((B665*1.4)+(C665*1.1)+(D665*1.1)+(E665*1)+(F665*1.1)+(G665*1)+(H665*1.6)+(I665*0.9)+(J665*1)+(K665*0.8))/11-1)/4)*20000,0)))</f>
        <v/>
      </c>
      <c r="M665" s="36">
        <f>IF(L665="","",MIN(100,ROUND(L665/200,0)))</f>
        <v/>
      </c>
      <c r="N665" s="36" t="n"/>
      <c r="O665" s="36" t="n"/>
    </row>
    <row r="666">
      <c r="A666" s="32" t="n"/>
      <c r="B666" s="36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>
        <f>IF(COUNTA(B666:K666)&lt;10,"",MAX(300,ROUND(((((B666*1.4)+(C666*1.1)+(D666*1.1)+(E666*1)+(F666*1.1)+(G666*1)+(H666*1.6)+(I666*0.9)+(J666*1)+(K666*0.8))/11-1)/4)*20000,0)))</f>
        <v/>
      </c>
      <c r="M666" s="36">
        <f>IF(L666="","",MIN(100,ROUND(L666/200,0)))</f>
        <v/>
      </c>
      <c r="N666" s="36" t="n"/>
      <c r="O666" s="36" t="n"/>
    </row>
    <row r="667">
      <c r="A667" s="32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>
        <f>IF(COUNTA(B667:K667)&lt;10,"",MAX(300,ROUND(((((B667*1.4)+(C667*1.1)+(D667*1.1)+(E667*1)+(F667*1.1)+(G667*1)+(H667*1.6)+(I667*0.9)+(J667*1)+(K667*0.8))/11-1)/4)*20000,0)))</f>
        <v/>
      </c>
      <c r="M667" s="36">
        <f>IF(L667="","",MIN(100,ROUND(L667/200,0)))</f>
        <v/>
      </c>
      <c r="N667" s="36" t="n"/>
      <c r="O667" s="36" t="n"/>
    </row>
    <row r="668">
      <c r="A668" s="32" t="n"/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>
        <f>IF(COUNTA(B668:K668)&lt;10,"",MAX(300,ROUND(((((B668*1.4)+(C668*1.1)+(D668*1.1)+(E668*1)+(F668*1.1)+(G668*1)+(H668*1.6)+(I668*0.9)+(J668*1)+(K668*0.8))/11-1)/4)*20000,0)))</f>
        <v/>
      </c>
      <c r="M668" s="36">
        <f>IF(L668="","",MIN(100,ROUND(L668/200,0)))</f>
        <v/>
      </c>
      <c r="N668" s="36" t="n"/>
      <c r="O668" s="36" t="n"/>
    </row>
    <row r="669">
      <c r="A669" s="32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>
        <f>IF(COUNTA(B669:K669)&lt;10,"",MAX(300,ROUND(((((B669*1.4)+(C669*1.1)+(D669*1.1)+(E669*1)+(F669*1.1)+(G669*1)+(H669*1.6)+(I669*0.9)+(J669*1)+(K669*0.8))/11-1)/4)*20000,0)))</f>
        <v/>
      </c>
      <c r="M669" s="36">
        <f>IF(L669="","",MIN(100,ROUND(L669/200,0)))</f>
        <v/>
      </c>
      <c r="N669" s="36" t="n"/>
      <c r="O669" s="36" t="n"/>
    </row>
    <row r="670">
      <c r="A670" s="32" t="n"/>
      <c r="B670" s="36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>
        <f>IF(COUNTA(B670:K670)&lt;10,"",MAX(300,ROUND(((((B670*1.4)+(C670*1.1)+(D670*1.1)+(E670*1)+(F670*1.1)+(G670*1)+(H670*1.6)+(I670*0.9)+(J670*1)+(K670*0.8))/11-1)/4)*20000,0)))</f>
        <v/>
      </c>
      <c r="M670" s="36">
        <f>IF(L670="","",MIN(100,ROUND(L670/200,0)))</f>
        <v/>
      </c>
      <c r="N670" s="36" t="n"/>
      <c r="O670" s="36" t="n"/>
    </row>
    <row r="671">
      <c r="A671" s="32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>
        <f>IF(COUNTA(B671:K671)&lt;10,"",MAX(300,ROUND(((((B671*1.4)+(C671*1.1)+(D671*1.1)+(E671*1)+(F671*1.1)+(G671*1)+(H671*1.6)+(I671*0.9)+(J671*1)+(K671*0.8))/11-1)/4)*20000,0)))</f>
        <v/>
      </c>
      <c r="M671" s="36">
        <f>IF(L671="","",MIN(100,ROUND(L671/200,0)))</f>
        <v/>
      </c>
      <c r="N671" s="36" t="n"/>
      <c r="O671" s="36" t="n"/>
    </row>
    <row r="672">
      <c r="A672" s="32" t="n"/>
      <c r="B672" s="36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>
        <f>IF(COUNTA(B672:K672)&lt;10,"",MAX(300,ROUND(((((B672*1.4)+(C672*1.1)+(D672*1.1)+(E672*1)+(F672*1.1)+(G672*1)+(H672*1.6)+(I672*0.9)+(J672*1)+(K672*0.8))/11-1)/4)*20000,0)))</f>
        <v/>
      </c>
      <c r="M672" s="36">
        <f>IF(L672="","",MIN(100,ROUND(L672/200,0)))</f>
        <v/>
      </c>
      <c r="N672" s="36" t="n"/>
      <c r="O672" s="36" t="n"/>
    </row>
    <row r="673">
      <c r="A673" s="32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>
        <f>IF(COUNTA(B673:K673)&lt;10,"",MAX(300,ROUND(((((B673*1.4)+(C673*1.1)+(D673*1.1)+(E673*1)+(F673*1.1)+(G673*1)+(H673*1.6)+(I673*0.9)+(J673*1)+(K673*0.8))/11-1)/4)*20000,0)))</f>
        <v/>
      </c>
      <c r="M673" s="36">
        <f>IF(L673="","",MIN(100,ROUND(L673/200,0)))</f>
        <v/>
      </c>
      <c r="N673" s="36" t="n"/>
      <c r="O673" s="36" t="n"/>
    </row>
    <row r="674">
      <c r="A674" s="32" t="n"/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>
        <f>IF(COUNTA(B674:K674)&lt;10,"",MAX(300,ROUND(((((B674*1.4)+(C674*1.1)+(D674*1.1)+(E674*1)+(F674*1.1)+(G674*1)+(H674*1.6)+(I674*0.9)+(J674*1)+(K674*0.8))/11-1)/4)*20000,0)))</f>
        <v/>
      </c>
      <c r="M674" s="36">
        <f>IF(L674="","",MIN(100,ROUND(L674/200,0)))</f>
        <v/>
      </c>
      <c r="N674" s="36" t="n"/>
      <c r="O674" s="36" t="n"/>
    </row>
    <row r="675">
      <c r="A675" s="32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>
        <f>IF(COUNTA(B675:K675)&lt;10,"",MAX(300,ROUND(((((B675*1.4)+(C675*1.1)+(D675*1.1)+(E675*1)+(F675*1.1)+(G675*1)+(H675*1.6)+(I675*0.9)+(J675*1)+(K675*0.8))/11-1)/4)*20000,0)))</f>
        <v/>
      </c>
      <c r="M675" s="36">
        <f>IF(L675="","",MIN(100,ROUND(L675/200,0)))</f>
        <v/>
      </c>
      <c r="N675" s="36" t="n"/>
      <c r="O675" s="36" t="n"/>
    </row>
    <row r="676">
      <c r="A676" s="32" t="n"/>
      <c r="B676" s="36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>
        <f>IF(COUNTA(B676:K676)&lt;10,"",MAX(300,ROUND(((((B676*1.4)+(C676*1.1)+(D676*1.1)+(E676*1)+(F676*1.1)+(G676*1)+(H676*1.6)+(I676*0.9)+(J676*1)+(K676*0.8))/11-1)/4)*20000,0)))</f>
        <v/>
      </c>
      <c r="M676" s="36">
        <f>IF(L676="","",MIN(100,ROUND(L676/200,0)))</f>
        <v/>
      </c>
      <c r="N676" s="36" t="n"/>
      <c r="O676" s="36" t="n"/>
    </row>
    <row r="677">
      <c r="A677" s="32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>
        <f>IF(COUNTA(B677:K677)&lt;10,"",MAX(300,ROUND(((((B677*1.4)+(C677*1.1)+(D677*1.1)+(E677*1)+(F677*1.1)+(G677*1)+(H677*1.6)+(I677*0.9)+(J677*1)+(K677*0.8))/11-1)/4)*20000,0)))</f>
        <v/>
      </c>
      <c r="M677" s="36">
        <f>IF(L677="","",MIN(100,ROUND(L677/200,0)))</f>
        <v/>
      </c>
      <c r="N677" s="36" t="n"/>
      <c r="O677" s="36" t="n"/>
    </row>
    <row r="678">
      <c r="A678" s="32" t="n"/>
      <c r="B678" s="36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>
        <f>IF(COUNTA(B678:K678)&lt;10,"",MAX(300,ROUND(((((B678*1.4)+(C678*1.1)+(D678*1.1)+(E678*1)+(F678*1.1)+(G678*1)+(H678*1.6)+(I678*0.9)+(J678*1)+(K678*0.8))/11-1)/4)*20000,0)))</f>
        <v/>
      </c>
      <c r="M678" s="36">
        <f>IF(L678="","",MIN(100,ROUND(L678/200,0)))</f>
        <v/>
      </c>
      <c r="N678" s="36" t="n"/>
      <c r="O678" s="36" t="n"/>
    </row>
    <row r="679">
      <c r="A679" s="32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>
        <f>IF(COUNTA(B679:K679)&lt;10,"",MAX(300,ROUND(((((B679*1.4)+(C679*1.1)+(D679*1.1)+(E679*1)+(F679*1.1)+(G679*1)+(H679*1.6)+(I679*0.9)+(J679*1)+(K679*0.8))/11-1)/4)*20000,0)))</f>
        <v/>
      </c>
      <c r="M679" s="36">
        <f>IF(L679="","",MIN(100,ROUND(L679/200,0)))</f>
        <v/>
      </c>
      <c r="N679" s="36" t="n"/>
      <c r="O679" s="36" t="n"/>
    </row>
    <row r="680">
      <c r="A680" s="32" t="n"/>
      <c r="B680" s="36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>
        <f>IF(COUNTA(B680:K680)&lt;10,"",MAX(300,ROUND(((((B680*1.4)+(C680*1.1)+(D680*1.1)+(E680*1)+(F680*1.1)+(G680*1)+(H680*1.6)+(I680*0.9)+(J680*1)+(K680*0.8))/11-1)/4)*20000,0)))</f>
        <v/>
      </c>
      <c r="M680" s="36">
        <f>IF(L680="","",MIN(100,ROUND(L680/200,0)))</f>
        <v/>
      </c>
      <c r="N680" s="36" t="n"/>
      <c r="O680" s="36" t="n"/>
    </row>
    <row r="681">
      <c r="A681" s="32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>
        <f>IF(COUNTA(B681:K681)&lt;10,"",MAX(300,ROUND(((((B681*1.4)+(C681*1.1)+(D681*1.1)+(E681*1)+(F681*1.1)+(G681*1)+(H681*1.6)+(I681*0.9)+(J681*1)+(K681*0.8))/11-1)/4)*20000,0)))</f>
        <v/>
      </c>
      <c r="M681" s="36">
        <f>IF(L681="","",MIN(100,ROUND(L681/200,0)))</f>
        <v/>
      </c>
      <c r="N681" s="36" t="n"/>
      <c r="O681" s="36" t="n"/>
    </row>
    <row r="682">
      <c r="A682" s="32" t="n"/>
      <c r="B682" s="36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>
        <f>IF(COUNTA(B682:K682)&lt;10,"",MAX(300,ROUND(((((B682*1.4)+(C682*1.1)+(D682*1.1)+(E682*1)+(F682*1.1)+(G682*1)+(H682*1.6)+(I682*0.9)+(J682*1)+(K682*0.8))/11-1)/4)*20000,0)))</f>
        <v/>
      </c>
      <c r="M682" s="36">
        <f>IF(L682="","",MIN(100,ROUND(L682/200,0)))</f>
        <v/>
      </c>
      <c r="N682" s="36" t="n"/>
      <c r="O682" s="36" t="n"/>
    </row>
    <row r="683">
      <c r="A683" s="32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>
        <f>IF(COUNTA(B683:K683)&lt;10,"",MAX(300,ROUND(((((B683*1.4)+(C683*1.1)+(D683*1.1)+(E683*1)+(F683*1.1)+(G683*1)+(H683*1.6)+(I683*0.9)+(J683*1)+(K683*0.8))/11-1)/4)*20000,0)))</f>
        <v/>
      </c>
      <c r="M683" s="36">
        <f>IF(L683="","",MIN(100,ROUND(L683/200,0)))</f>
        <v/>
      </c>
      <c r="N683" s="36" t="n"/>
      <c r="O683" s="36" t="n"/>
    </row>
    <row r="684">
      <c r="A684" s="32" t="n"/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>
        <f>IF(COUNTA(B684:K684)&lt;10,"",MAX(300,ROUND(((((B684*1.4)+(C684*1.1)+(D684*1.1)+(E684*1)+(F684*1.1)+(G684*1)+(H684*1.6)+(I684*0.9)+(J684*1)+(K684*0.8))/11-1)/4)*20000,0)))</f>
        <v/>
      </c>
      <c r="M684" s="36">
        <f>IF(L684="","",MIN(100,ROUND(L684/200,0)))</f>
        <v/>
      </c>
      <c r="N684" s="36" t="n"/>
      <c r="O684" s="36" t="n"/>
    </row>
    <row r="685">
      <c r="A685" s="32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>
        <f>IF(COUNTA(B685:K685)&lt;10,"",MAX(300,ROUND(((((B685*1.4)+(C685*1.1)+(D685*1.1)+(E685*1)+(F685*1.1)+(G685*1)+(H685*1.6)+(I685*0.9)+(J685*1)+(K685*0.8))/11-1)/4)*20000,0)))</f>
        <v/>
      </c>
      <c r="M685" s="36">
        <f>IF(L685="","",MIN(100,ROUND(L685/200,0)))</f>
        <v/>
      </c>
      <c r="N685" s="36" t="n"/>
      <c r="O685" s="36" t="n"/>
    </row>
    <row r="686">
      <c r="A686" s="32" t="n"/>
      <c r="B686" s="36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>
        <f>IF(COUNTA(B686:K686)&lt;10,"",MAX(300,ROUND(((((B686*1.4)+(C686*1.1)+(D686*1.1)+(E686*1)+(F686*1.1)+(G686*1)+(H686*1.6)+(I686*0.9)+(J686*1)+(K686*0.8))/11-1)/4)*20000,0)))</f>
        <v/>
      </c>
      <c r="M686" s="36">
        <f>IF(L686="","",MIN(100,ROUND(L686/200,0)))</f>
        <v/>
      </c>
      <c r="N686" s="36" t="n"/>
      <c r="O686" s="36" t="n"/>
    </row>
    <row r="687">
      <c r="A687" s="32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>
        <f>IF(COUNTA(B687:K687)&lt;10,"",MAX(300,ROUND(((((B687*1.4)+(C687*1.1)+(D687*1.1)+(E687*1)+(F687*1.1)+(G687*1)+(H687*1.6)+(I687*0.9)+(J687*1)+(K687*0.8))/11-1)/4)*20000,0)))</f>
        <v/>
      </c>
      <c r="M687" s="36">
        <f>IF(L687="","",MIN(100,ROUND(L687/200,0)))</f>
        <v/>
      </c>
      <c r="N687" s="36" t="n"/>
      <c r="O687" s="36" t="n"/>
    </row>
    <row r="688">
      <c r="A688" s="32" t="n"/>
      <c r="B688" s="36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>
        <f>IF(COUNTA(B688:K688)&lt;10,"",MAX(300,ROUND(((((B688*1.4)+(C688*1.1)+(D688*1.1)+(E688*1)+(F688*1.1)+(G688*1)+(H688*1.6)+(I688*0.9)+(J688*1)+(K688*0.8))/11-1)/4)*20000,0)))</f>
        <v/>
      </c>
      <c r="M688" s="36">
        <f>IF(L688="","",MIN(100,ROUND(L688/200,0)))</f>
        <v/>
      </c>
      <c r="N688" s="36" t="n"/>
      <c r="O688" s="36" t="n"/>
    </row>
    <row r="689">
      <c r="A689" s="32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>
        <f>IF(COUNTA(B689:K689)&lt;10,"",MAX(300,ROUND(((((B689*1.4)+(C689*1.1)+(D689*1.1)+(E689*1)+(F689*1.1)+(G689*1)+(H689*1.6)+(I689*0.9)+(J689*1)+(K689*0.8))/11-1)/4)*20000,0)))</f>
        <v/>
      </c>
      <c r="M689" s="36">
        <f>IF(L689="","",MIN(100,ROUND(L689/200,0)))</f>
        <v/>
      </c>
      <c r="N689" s="36" t="n"/>
      <c r="O689" s="36" t="n"/>
    </row>
    <row r="690">
      <c r="A690" s="32" t="n"/>
      <c r="B690" s="36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>
        <f>IF(COUNTA(B690:K690)&lt;10,"",MAX(300,ROUND(((((B690*1.4)+(C690*1.1)+(D690*1.1)+(E690*1)+(F690*1.1)+(G690*1)+(H690*1.6)+(I690*0.9)+(J690*1)+(K690*0.8))/11-1)/4)*20000,0)))</f>
        <v/>
      </c>
      <c r="M690" s="36">
        <f>IF(L690="","",MIN(100,ROUND(L690/200,0)))</f>
        <v/>
      </c>
      <c r="N690" s="36" t="n"/>
      <c r="O690" s="36" t="n"/>
    </row>
    <row r="691">
      <c r="A691" s="32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>
        <f>IF(COUNTA(B691:K691)&lt;10,"",MAX(300,ROUND(((((B691*1.4)+(C691*1.1)+(D691*1.1)+(E691*1)+(F691*1.1)+(G691*1)+(H691*1.6)+(I691*0.9)+(J691*1)+(K691*0.8))/11-1)/4)*20000,0)))</f>
        <v/>
      </c>
      <c r="M691" s="36">
        <f>IF(L691="","",MIN(100,ROUND(L691/200,0)))</f>
        <v/>
      </c>
      <c r="N691" s="36" t="n"/>
      <c r="O691" s="36" t="n"/>
    </row>
    <row r="692">
      <c r="A692" s="32" t="n"/>
      <c r="B692" s="36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>
        <f>IF(COUNTA(B692:K692)&lt;10,"",MAX(300,ROUND(((((B692*1.4)+(C692*1.1)+(D692*1.1)+(E692*1)+(F692*1.1)+(G692*1)+(H692*1.6)+(I692*0.9)+(J692*1)+(K692*0.8))/11-1)/4)*20000,0)))</f>
        <v/>
      </c>
      <c r="M692" s="36">
        <f>IF(L692="","",MIN(100,ROUND(L692/200,0)))</f>
        <v/>
      </c>
      <c r="N692" s="36" t="n"/>
      <c r="O692" s="36" t="n"/>
    </row>
    <row r="693">
      <c r="A693" s="32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>
        <f>IF(COUNTA(B693:K693)&lt;10,"",MAX(300,ROUND(((((B693*1.4)+(C693*1.1)+(D693*1.1)+(E693*1)+(F693*1.1)+(G693*1)+(H693*1.6)+(I693*0.9)+(J693*1)+(K693*0.8))/11-1)/4)*20000,0)))</f>
        <v/>
      </c>
      <c r="M693" s="36">
        <f>IF(L693="","",MIN(100,ROUND(L693/200,0)))</f>
        <v/>
      </c>
      <c r="N693" s="36" t="n"/>
      <c r="O693" s="36" t="n"/>
    </row>
    <row r="694">
      <c r="A694" s="32" t="n"/>
      <c r="B694" s="36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>
        <f>IF(COUNTA(B694:K694)&lt;10,"",MAX(300,ROUND(((((B694*1.4)+(C694*1.1)+(D694*1.1)+(E694*1)+(F694*1.1)+(G694*1)+(H694*1.6)+(I694*0.9)+(J694*1)+(K694*0.8))/11-1)/4)*20000,0)))</f>
        <v/>
      </c>
      <c r="M694" s="36">
        <f>IF(L694="","",MIN(100,ROUND(L694/200,0)))</f>
        <v/>
      </c>
      <c r="N694" s="36" t="n"/>
      <c r="O694" s="36" t="n"/>
    </row>
    <row r="695">
      <c r="A695" s="32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>
        <f>IF(COUNTA(B695:K695)&lt;10,"",MAX(300,ROUND(((((B695*1.4)+(C695*1.1)+(D695*1.1)+(E695*1)+(F695*1.1)+(G695*1)+(H695*1.6)+(I695*0.9)+(J695*1)+(K695*0.8))/11-1)/4)*20000,0)))</f>
        <v/>
      </c>
      <c r="M695" s="36">
        <f>IF(L695="","",MIN(100,ROUND(L695/200,0)))</f>
        <v/>
      </c>
      <c r="N695" s="36" t="n"/>
      <c r="O695" s="36" t="n"/>
    </row>
    <row r="696">
      <c r="A696" s="32" t="n"/>
      <c r="B696" s="36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>
        <f>IF(COUNTA(B696:K696)&lt;10,"",MAX(300,ROUND(((((B696*1.4)+(C696*1.1)+(D696*1.1)+(E696*1)+(F696*1.1)+(G696*1)+(H696*1.6)+(I696*0.9)+(J696*1)+(K696*0.8))/11-1)/4)*20000,0)))</f>
        <v/>
      </c>
      <c r="M696" s="36">
        <f>IF(L696="","",MIN(100,ROUND(L696/200,0)))</f>
        <v/>
      </c>
      <c r="N696" s="36" t="n"/>
      <c r="O696" s="36" t="n"/>
    </row>
    <row r="697">
      <c r="A697" s="32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>
        <f>IF(COUNTA(B697:K697)&lt;10,"",MAX(300,ROUND(((((B697*1.4)+(C697*1.1)+(D697*1.1)+(E697*1)+(F697*1.1)+(G697*1)+(H697*1.6)+(I697*0.9)+(J697*1)+(K697*0.8))/11-1)/4)*20000,0)))</f>
        <v/>
      </c>
      <c r="M697" s="36">
        <f>IF(L697="","",MIN(100,ROUND(L697/200,0)))</f>
        <v/>
      </c>
      <c r="N697" s="36" t="n"/>
      <c r="O697" s="36" t="n"/>
    </row>
    <row r="698">
      <c r="A698" s="32" t="n"/>
      <c r="B698" s="36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>
        <f>IF(COUNTA(B698:K698)&lt;10,"",MAX(300,ROUND(((((B698*1.4)+(C698*1.1)+(D698*1.1)+(E698*1)+(F698*1.1)+(G698*1)+(H698*1.6)+(I698*0.9)+(J698*1)+(K698*0.8))/11-1)/4)*20000,0)))</f>
        <v/>
      </c>
      <c r="M698" s="36">
        <f>IF(L698="","",MIN(100,ROUND(L698/200,0)))</f>
        <v/>
      </c>
      <c r="N698" s="36" t="n"/>
      <c r="O698" s="36" t="n"/>
    </row>
    <row r="699">
      <c r="A699" s="32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>
        <f>IF(COUNTA(B699:K699)&lt;10,"",MAX(300,ROUND(((((B699*1.4)+(C699*1.1)+(D699*1.1)+(E699*1)+(F699*1.1)+(G699*1)+(H699*1.6)+(I699*0.9)+(J699*1)+(K699*0.8))/11-1)/4)*20000,0)))</f>
        <v/>
      </c>
      <c r="M699" s="36">
        <f>IF(L699="","",MIN(100,ROUND(L699/200,0)))</f>
        <v/>
      </c>
      <c r="N699" s="36" t="n"/>
      <c r="O699" s="36" t="n"/>
    </row>
    <row r="700">
      <c r="A700" s="32" t="n"/>
      <c r="B700" s="36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>
        <f>IF(COUNTA(B700:K700)&lt;10,"",MAX(300,ROUND(((((B700*1.4)+(C700*1.1)+(D700*1.1)+(E700*1)+(F700*1.1)+(G700*1)+(H700*1.6)+(I700*0.9)+(J700*1)+(K700*0.8))/11-1)/4)*20000,0)))</f>
        <v/>
      </c>
      <c r="M700" s="36">
        <f>IF(L700="","",MIN(100,ROUND(L700/200,0)))</f>
        <v/>
      </c>
      <c r="N700" s="36" t="n"/>
      <c r="O700" s="36" t="n"/>
    </row>
    <row r="701">
      <c r="A701" s="32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>
        <f>IF(COUNTA(B701:K701)&lt;10,"",MAX(300,ROUND(((((B701*1.4)+(C701*1.1)+(D701*1.1)+(E701*1)+(F701*1.1)+(G701*1)+(H701*1.6)+(I701*0.9)+(J701*1)+(K701*0.8))/11-1)/4)*20000,0)))</f>
        <v/>
      </c>
      <c r="M701" s="36">
        <f>IF(L701="","",MIN(100,ROUND(L701/200,0)))</f>
        <v/>
      </c>
      <c r="N701" s="36" t="n"/>
      <c r="O701" s="36" t="n"/>
    </row>
    <row r="702">
      <c r="A702" s="32" t="n"/>
      <c r="B702" s="36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>
        <f>IF(COUNTA(B702:K702)&lt;10,"",MAX(300,ROUND(((((B702*1.4)+(C702*1.1)+(D702*1.1)+(E702*1)+(F702*1.1)+(G702*1)+(H702*1.6)+(I702*0.9)+(J702*1)+(K702*0.8))/11-1)/4)*20000,0)))</f>
        <v/>
      </c>
      <c r="M702" s="36">
        <f>IF(L702="","",MIN(100,ROUND(L702/200,0)))</f>
        <v/>
      </c>
      <c r="N702" s="36" t="n"/>
      <c r="O702" s="36" t="n"/>
    </row>
    <row r="703">
      <c r="A703" s="32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>
        <f>IF(COUNTA(B703:K703)&lt;10,"",MAX(300,ROUND(((((B703*1.4)+(C703*1.1)+(D703*1.1)+(E703*1)+(F703*1.1)+(G703*1)+(H703*1.6)+(I703*0.9)+(J703*1)+(K703*0.8))/11-1)/4)*20000,0)))</f>
        <v/>
      </c>
      <c r="M703" s="36">
        <f>IF(L703="","",MIN(100,ROUND(L703/200,0)))</f>
        <v/>
      </c>
      <c r="N703" s="36" t="n"/>
      <c r="O703" s="36" t="n"/>
    </row>
    <row r="704">
      <c r="A704" s="32" t="n"/>
      <c r="B704" s="36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>
        <f>IF(COUNTA(B704:K704)&lt;10,"",MAX(300,ROUND(((((B704*1.4)+(C704*1.1)+(D704*1.1)+(E704*1)+(F704*1.1)+(G704*1)+(H704*1.6)+(I704*0.9)+(J704*1)+(K704*0.8))/11-1)/4)*20000,0)))</f>
        <v/>
      </c>
      <c r="M704" s="36">
        <f>IF(L704="","",MIN(100,ROUND(L704/200,0)))</f>
        <v/>
      </c>
      <c r="N704" s="36" t="n"/>
      <c r="O704" s="36" t="n"/>
    </row>
    <row r="705">
      <c r="A705" s="32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>
        <f>IF(COUNTA(B705:K705)&lt;10,"",MAX(300,ROUND(((((B705*1.4)+(C705*1.1)+(D705*1.1)+(E705*1)+(F705*1.1)+(G705*1)+(H705*1.6)+(I705*0.9)+(J705*1)+(K705*0.8))/11-1)/4)*20000,0)))</f>
        <v/>
      </c>
      <c r="M705" s="36">
        <f>IF(L705="","",MIN(100,ROUND(L705/200,0)))</f>
        <v/>
      </c>
      <c r="N705" s="36" t="n"/>
      <c r="O705" s="36" t="n"/>
    </row>
    <row r="706">
      <c r="A706" s="32" t="n"/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>
        <f>IF(COUNTA(B706:K706)&lt;10,"",MAX(300,ROUND(((((B706*1.4)+(C706*1.1)+(D706*1.1)+(E706*1)+(F706*1.1)+(G706*1)+(H706*1.6)+(I706*0.9)+(J706*1)+(K706*0.8))/11-1)/4)*20000,0)))</f>
        <v/>
      </c>
      <c r="M706" s="36">
        <f>IF(L706="","",MIN(100,ROUND(L706/200,0)))</f>
        <v/>
      </c>
      <c r="N706" s="36" t="n"/>
      <c r="O706" s="36" t="n"/>
    </row>
    <row r="707">
      <c r="A707" s="32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>
        <f>IF(COUNTA(B707:K707)&lt;10,"",MAX(300,ROUND(((((B707*1.4)+(C707*1.1)+(D707*1.1)+(E707*1)+(F707*1.1)+(G707*1)+(H707*1.6)+(I707*0.9)+(J707*1)+(K707*0.8))/11-1)/4)*20000,0)))</f>
        <v/>
      </c>
      <c r="M707" s="36">
        <f>IF(L707="","",MIN(100,ROUND(L707/200,0)))</f>
        <v/>
      </c>
      <c r="N707" s="36" t="n"/>
      <c r="O707" s="36" t="n"/>
    </row>
    <row r="708">
      <c r="A708" s="32" t="n"/>
      <c r="B708" s="36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>
        <f>IF(COUNTA(B708:K708)&lt;10,"",MAX(300,ROUND(((((B708*1.4)+(C708*1.1)+(D708*1.1)+(E708*1)+(F708*1.1)+(G708*1)+(H708*1.6)+(I708*0.9)+(J708*1)+(K708*0.8))/11-1)/4)*20000,0)))</f>
        <v/>
      </c>
      <c r="M708" s="36">
        <f>IF(L708="","",MIN(100,ROUND(L708/200,0)))</f>
        <v/>
      </c>
      <c r="N708" s="36" t="n"/>
      <c r="O708" s="36" t="n"/>
    </row>
    <row r="709">
      <c r="A709" s="32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>
        <f>IF(COUNTA(B709:K709)&lt;10,"",MAX(300,ROUND(((((B709*1.4)+(C709*1.1)+(D709*1.1)+(E709*1)+(F709*1.1)+(G709*1)+(H709*1.6)+(I709*0.9)+(J709*1)+(K709*0.8))/11-1)/4)*20000,0)))</f>
        <v/>
      </c>
      <c r="M709" s="36">
        <f>IF(L709="","",MIN(100,ROUND(L709/200,0)))</f>
        <v/>
      </c>
      <c r="N709" s="36" t="n"/>
      <c r="O709" s="36" t="n"/>
    </row>
    <row r="710">
      <c r="A710" s="32" t="n"/>
      <c r="B710" s="36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>
        <f>IF(COUNTA(B710:K710)&lt;10,"",MAX(300,ROUND(((((B710*1.4)+(C710*1.1)+(D710*1.1)+(E710*1)+(F710*1.1)+(G710*1)+(H710*1.6)+(I710*0.9)+(J710*1)+(K710*0.8))/11-1)/4)*20000,0)))</f>
        <v/>
      </c>
      <c r="M710" s="36">
        <f>IF(L710="","",MIN(100,ROUND(L710/200,0)))</f>
        <v/>
      </c>
      <c r="N710" s="36" t="n"/>
      <c r="O710" s="36" t="n"/>
    </row>
    <row r="711">
      <c r="A711" s="32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>
        <f>IF(COUNTA(B711:K711)&lt;10,"",MAX(300,ROUND(((((B711*1.4)+(C711*1.1)+(D711*1.1)+(E711*1)+(F711*1.1)+(G711*1)+(H711*1.6)+(I711*0.9)+(J711*1)+(K711*0.8))/11-1)/4)*20000,0)))</f>
        <v/>
      </c>
      <c r="M711" s="36">
        <f>IF(L711="","",MIN(100,ROUND(L711/200,0)))</f>
        <v/>
      </c>
      <c r="N711" s="36" t="n"/>
      <c r="O711" s="36" t="n"/>
    </row>
    <row r="712">
      <c r="A712" s="32" t="n"/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>
        <f>IF(COUNTA(B712:K712)&lt;10,"",MAX(300,ROUND(((((B712*1.4)+(C712*1.1)+(D712*1.1)+(E712*1)+(F712*1.1)+(G712*1)+(H712*1.6)+(I712*0.9)+(J712*1)+(K712*0.8))/11-1)/4)*20000,0)))</f>
        <v/>
      </c>
      <c r="M712" s="36">
        <f>IF(L712="","",MIN(100,ROUND(L712/200,0)))</f>
        <v/>
      </c>
      <c r="N712" s="36" t="n"/>
      <c r="O712" s="36" t="n"/>
    </row>
    <row r="713">
      <c r="A713" s="32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>
        <f>IF(COUNTA(B713:K713)&lt;10,"",MAX(300,ROUND(((((B713*1.4)+(C713*1.1)+(D713*1.1)+(E713*1)+(F713*1.1)+(G713*1)+(H713*1.6)+(I713*0.9)+(J713*1)+(K713*0.8))/11-1)/4)*20000,0)))</f>
        <v/>
      </c>
      <c r="M713" s="36">
        <f>IF(L713="","",MIN(100,ROUND(L713/200,0)))</f>
        <v/>
      </c>
      <c r="N713" s="36" t="n"/>
      <c r="O713" s="36" t="n"/>
    </row>
    <row r="714">
      <c r="A714" s="32" t="n"/>
      <c r="B714" s="36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>
        <f>IF(COUNTA(B714:K714)&lt;10,"",MAX(300,ROUND(((((B714*1.4)+(C714*1.1)+(D714*1.1)+(E714*1)+(F714*1.1)+(G714*1)+(H714*1.6)+(I714*0.9)+(J714*1)+(K714*0.8))/11-1)/4)*20000,0)))</f>
        <v/>
      </c>
      <c r="M714" s="36">
        <f>IF(L714="","",MIN(100,ROUND(L714/200,0)))</f>
        <v/>
      </c>
      <c r="N714" s="36" t="n"/>
      <c r="O714" s="36" t="n"/>
    </row>
    <row r="715">
      <c r="A715" s="32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>
        <f>IF(COUNTA(B715:K715)&lt;10,"",MAX(300,ROUND(((((B715*1.4)+(C715*1.1)+(D715*1.1)+(E715*1)+(F715*1.1)+(G715*1)+(H715*1.6)+(I715*0.9)+(J715*1)+(K715*0.8))/11-1)/4)*20000,0)))</f>
        <v/>
      </c>
      <c r="M715" s="36">
        <f>IF(L715="","",MIN(100,ROUND(L715/200,0)))</f>
        <v/>
      </c>
      <c r="N715" s="36" t="n"/>
      <c r="O715" s="36" t="n"/>
    </row>
    <row r="716">
      <c r="A716" s="32" t="n"/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>
        <f>IF(COUNTA(B716:K716)&lt;10,"",MAX(300,ROUND(((((B716*1.4)+(C716*1.1)+(D716*1.1)+(E716*1)+(F716*1.1)+(G716*1)+(H716*1.6)+(I716*0.9)+(J716*1)+(K716*0.8))/11-1)/4)*20000,0)))</f>
        <v/>
      </c>
      <c r="M716" s="36">
        <f>IF(L716="","",MIN(100,ROUND(L716/200,0)))</f>
        <v/>
      </c>
      <c r="N716" s="36" t="n"/>
      <c r="O716" s="36" t="n"/>
    </row>
    <row r="717">
      <c r="A717" s="32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>
        <f>IF(COUNTA(B717:K717)&lt;10,"",MAX(300,ROUND(((((B717*1.4)+(C717*1.1)+(D717*1.1)+(E717*1)+(F717*1.1)+(G717*1)+(H717*1.6)+(I717*0.9)+(J717*1)+(K717*0.8))/11-1)/4)*20000,0)))</f>
        <v/>
      </c>
      <c r="M717" s="36">
        <f>IF(L717="","",MIN(100,ROUND(L717/200,0)))</f>
        <v/>
      </c>
      <c r="N717" s="36" t="n"/>
      <c r="O717" s="36" t="n"/>
    </row>
    <row r="718">
      <c r="A718" s="32" t="n"/>
      <c r="B718" s="36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>
        <f>IF(COUNTA(B718:K718)&lt;10,"",MAX(300,ROUND(((((B718*1.4)+(C718*1.1)+(D718*1.1)+(E718*1)+(F718*1.1)+(G718*1)+(H718*1.6)+(I718*0.9)+(J718*1)+(K718*0.8))/11-1)/4)*20000,0)))</f>
        <v/>
      </c>
      <c r="M718" s="36">
        <f>IF(L718="","",MIN(100,ROUND(L718/200,0)))</f>
        <v/>
      </c>
      <c r="N718" s="36" t="n"/>
      <c r="O718" s="36" t="n"/>
    </row>
    <row r="719">
      <c r="A719" s="32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>
        <f>IF(COUNTA(B719:K719)&lt;10,"",MAX(300,ROUND(((((B719*1.4)+(C719*1.1)+(D719*1.1)+(E719*1)+(F719*1.1)+(G719*1)+(H719*1.6)+(I719*0.9)+(J719*1)+(K719*0.8))/11-1)/4)*20000,0)))</f>
        <v/>
      </c>
      <c r="M719" s="36">
        <f>IF(L719="","",MIN(100,ROUND(L719/200,0)))</f>
        <v/>
      </c>
      <c r="N719" s="36" t="n"/>
      <c r="O719" s="36" t="n"/>
    </row>
    <row r="720">
      <c r="A720" s="32" t="n"/>
      <c r="B720" s="36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>
        <f>IF(COUNTA(B720:K720)&lt;10,"",MAX(300,ROUND(((((B720*1.4)+(C720*1.1)+(D720*1.1)+(E720*1)+(F720*1.1)+(G720*1)+(H720*1.6)+(I720*0.9)+(J720*1)+(K720*0.8))/11-1)/4)*20000,0)))</f>
        <v/>
      </c>
      <c r="M720" s="36">
        <f>IF(L720="","",MIN(100,ROUND(L720/200,0)))</f>
        <v/>
      </c>
      <c r="N720" s="36" t="n"/>
      <c r="O720" s="36" t="n"/>
    </row>
    <row r="721">
      <c r="A721" s="32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>
        <f>IF(COUNTA(B721:K721)&lt;10,"",MAX(300,ROUND(((((B721*1.4)+(C721*1.1)+(D721*1.1)+(E721*1)+(F721*1.1)+(G721*1)+(H721*1.6)+(I721*0.9)+(J721*1)+(K721*0.8))/11-1)/4)*20000,0)))</f>
        <v/>
      </c>
      <c r="M721" s="36">
        <f>IF(L721="","",MIN(100,ROUND(L721/200,0)))</f>
        <v/>
      </c>
      <c r="N721" s="36" t="n"/>
      <c r="O721" s="36" t="n"/>
    </row>
    <row r="722">
      <c r="A722" s="32" t="n"/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>
        <f>IF(COUNTA(B722:K722)&lt;10,"",MAX(300,ROUND(((((B722*1.4)+(C722*1.1)+(D722*1.1)+(E722*1)+(F722*1.1)+(G722*1)+(H722*1.6)+(I722*0.9)+(J722*1)+(K722*0.8))/11-1)/4)*20000,0)))</f>
        <v/>
      </c>
      <c r="M722" s="36">
        <f>IF(L722="","",MIN(100,ROUND(L722/200,0)))</f>
        <v/>
      </c>
      <c r="N722" s="36" t="n"/>
      <c r="O722" s="36" t="n"/>
    </row>
    <row r="723">
      <c r="A723" s="32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>
        <f>IF(COUNTA(B723:K723)&lt;10,"",MAX(300,ROUND(((((B723*1.4)+(C723*1.1)+(D723*1.1)+(E723*1)+(F723*1.1)+(G723*1)+(H723*1.6)+(I723*0.9)+(J723*1)+(K723*0.8))/11-1)/4)*20000,0)))</f>
        <v/>
      </c>
      <c r="M723" s="36">
        <f>IF(L723="","",MIN(100,ROUND(L723/200,0)))</f>
        <v/>
      </c>
      <c r="N723" s="36" t="n"/>
      <c r="O723" s="36" t="n"/>
    </row>
    <row r="724">
      <c r="A724" s="32" t="n"/>
      <c r="B724" s="36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>
        <f>IF(COUNTA(B724:K724)&lt;10,"",MAX(300,ROUND(((((B724*1.4)+(C724*1.1)+(D724*1.1)+(E724*1)+(F724*1.1)+(G724*1)+(H724*1.6)+(I724*0.9)+(J724*1)+(K724*0.8))/11-1)/4)*20000,0)))</f>
        <v/>
      </c>
      <c r="M724" s="36">
        <f>IF(L724="","",MIN(100,ROUND(L724/200,0)))</f>
        <v/>
      </c>
      <c r="N724" s="36" t="n"/>
      <c r="O724" s="36" t="n"/>
    </row>
    <row r="725">
      <c r="A725" s="32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>
        <f>IF(COUNTA(B725:K725)&lt;10,"",MAX(300,ROUND(((((B725*1.4)+(C725*1.1)+(D725*1.1)+(E725*1)+(F725*1.1)+(G725*1)+(H725*1.6)+(I725*0.9)+(J725*1)+(K725*0.8))/11-1)/4)*20000,0)))</f>
        <v/>
      </c>
      <c r="M725" s="36">
        <f>IF(L725="","",MIN(100,ROUND(L725/200,0)))</f>
        <v/>
      </c>
      <c r="N725" s="36" t="n"/>
      <c r="O725" s="36" t="n"/>
    </row>
    <row r="726">
      <c r="A726" s="32" t="n"/>
      <c r="B726" s="36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>
        <f>IF(COUNTA(B726:K726)&lt;10,"",MAX(300,ROUND(((((B726*1.4)+(C726*1.1)+(D726*1.1)+(E726*1)+(F726*1.1)+(G726*1)+(H726*1.6)+(I726*0.9)+(J726*1)+(K726*0.8))/11-1)/4)*20000,0)))</f>
        <v/>
      </c>
      <c r="M726" s="36">
        <f>IF(L726="","",MIN(100,ROUND(L726/200,0)))</f>
        <v/>
      </c>
      <c r="N726" s="36" t="n"/>
      <c r="O726" s="36" t="n"/>
    </row>
    <row r="727">
      <c r="A727" s="32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>
        <f>IF(COUNTA(B727:K727)&lt;10,"",MAX(300,ROUND(((((B727*1.4)+(C727*1.1)+(D727*1.1)+(E727*1)+(F727*1.1)+(G727*1)+(H727*1.6)+(I727*0.9)+(J727*1)+(K727*0.8))/11-1)/4)*20000,0)))</f>
        <v/>
      </c>
      <c r="M727" s="36">
        <f>IF(L727="","",MIN(100,ROUND(L727/200,0)))</f>
        <v/>
      </c>
      <c r="N727" s="36" t="n"/>
      <c r="O727" s="36" t="n"/>
    </row>
    <row r="728">
      <c r="A728" s="32" t="n"/>
      <c r="B728" s="36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>
        <f>IF(COUNTA(B728:K728)&lt;10,"",MAX(300,ROUND(((((B728*1.4)+(C728*1.1)+(D728*1.1)+(E728*1)+(F728*1.1)+(G728*1)+(H728*1.6)+(I728*0.9)+(J728*1)+(K728*0.8))/11-1)/4)*20000,0)))</f>
        <v/>
      </c>
      <c r="M728" s="36">
        <f>IF(L728="","",MIN(100,ROUND(L728/200,0)))</f>
        <v/>
      </c>
      <c r="N728" s="36" t="n"/>
      <c r="O728" s="36" t="n"/>
    </row>
    <row r="729">
      <c r="A729" s="32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>
        <f>IF(COUNTA(B729:K729)&lt;10,"",MAX(300,ROUND(((((B729*1.4)+(C729*1.1)+(D729*1.1)+(E729*1)+(F729*1.1)+(G729*1)+(H729*1.6)+(I729*0.9)+(J729*1)+(K729*0.8))/11-1)/4)*20000,0)))</f>
        <v/>
      </c>
      <c r="M729" s="36">
        <f>IF(L729="","",MIN(100,ROUND(L729/200,0)))</f>
        <v/>
      </c>
      <c r="N729" s="36" t="n"/>
      <c r="O729" s="36" t="n"/>
    </row>
    <row r="730">
      <c r="A730" s="32" t="n"/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>
        <f>IF(COUNTA(B730:K730)&lt;10,"",MAX(300,ROUND(((((B730*1.4)+(C730*1.1)+(D730*1.1)+(E730*1)+(F730*1.1)+(G730*1)+(H730*1.6)+(I730*0.9)+(J730*1)+(K730*0.8))/11-1)/4)*20000,0)))</f>
        <v/>
      </c>
      <c r="M730" s="36">
        <f>IF(L730="","",MIN(100,ROUND(L730/200,0)))</f>
        <v/>
      </c>
      <c r="N730" s="36" t="n"/>
      <c r="O730" s="36" t="n"/>
    </row>
    <row r="731">
      <c r="A731" s="32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>
        <f>IF(COUNTA(B731:K731)&lt;10,"",MAX(300,ROUND(((((B731*1.4)+(C731*1.1)+(D731*1.1)+(E731*1)+(F731*1.1)+(G731*1)+(H731*1.6)+(I731*0.9)+(J731*1)+(K731*0.8))/11-1)/4)*20000,0)))</f>
        <v/>
      </c>
      <c r="M731" s="36">
        <f>IF(L731="","",MIN(100,ROUND(L731/200,0)))</f>
        <v/>
      </c>
      <c r="N731" s="36" t="n"/>
      <c r="O731" s="36" t="n"/>
    </row>
    <row r="732">
      <c r="A732" s="32" t="n"/>
      <c r="B732" s="36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>
        <f>IF(COUNTA(B732:K732)&lt;10,"",MAX(300,ROUND(((((B732*1.4)+(C732*1.1)+(D732*1.1)+(E732*1)+(F732*1.1)+(G732*1)+(H732*1.6)+(I732*0.9)+(J732*1)+(K732*0.8))/11-1)/4)*20000,0)))</f>
        <v/>
      </c>
      <c r="M732" s="36">
        <f>IF(L732="","",MIN(100,ROUND(L732/200,0)))</f>
        <v/>
      </c>
      <c r="N732" s="36" t="n"/>
      <c r="O732" s="36" t="n"/>
    </row>
    <row r="733">
      <c r="A733" s="32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>
        <f>IF(COUNTA(B733:K733)&lt;10,"",MAX(300,ROUND(((((B733*1.4)+(C733*1.1)+(D733*1.1)+(E733*1)+(F733*1.1)+(G733*1)+(H733*1.6)+(I733*0.9)+(J733*1)+(K733*0.8))/11-1)/4)*20000,0)))</f>
        <v/>
      </c>
      <c r="M733" s="36">
        <f>IF(L733="","",MIN(100,ROUND(L733/200,0)))</f>
        <v/>
      </c>
      <c r="N733" s="36" t="n"/>
      <c r="O733" s="36" t="n"/>
    </row>
    <row r="734">
      <c r="A734" s="32" t="n"/>
      <c r="B734" s="36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>
        <f>IF(COUNTA(B734:K734)&lt;10,"",MAX(300,ROUND(((((B734*1.4)+(C734*1.1)+(D734*1.1)+(E734*1)+(F734*1.1)+(G734*1)+(H734*1.6)+(I734*0.9)+(J734*1)+(K734*0.8))/11-1)/4)*20000,0)))</f>
        <v/>
      </c>
      <c r="M734" s="36">
        <f>IF(L734="","",MIN(100,ROUND(L734/200,0)))</f>
        <v/>
      </c>
      <c r="N734" s="36" t="n"/>
      <c r="O734" s="36" t="n"/>
    </row>
    <row r="735">
      <c r="A735" s="32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>
        <f>IF(COUNTA(B735:K735)&lt;10,"",MAX(300,ROUND(((((B735*1.4)+(C735*1.1)+(D735*1.1)+(E735*1)+(F735*1.1)+(G735*1)+(H735*1.6)+(I735*0.9)+(J735*1)+(K735*0.8))/11-1)/4)*20000,0)))</f>
        <v/>
      </c>
      <c r="M735" s="36">
        <f>IF(L735="","",MIN(100,ROUND(L735/200,0)))</f>
        <v/>
      </c>
      <c r="N735" s="36" t="n"/>
      <c r="O735" s="36" t="n"/>
    </row>
    <row r="736">
      <c r="A736" s="32" t="n"/>
      <c r="B736" s="36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>
        <f>IF(COUNTA(B736:K736)&lt;10,"",MAX(300,ROUND(((((B736*1.4)+(C736*1.1)+(D736*1.1)+(E736*1)+(F736*1.1)+(G736*1)+(H736*1.6)+(I736*0.9)+(J736*1)+(K736*0.8))/11-1)/4)*20000,0)))</f>
        <v/>
      </c>
      <c r="M736" s="36">
        <f>IF(L736="","",MIN(100,ROUND(L736/200,0)))</f>
        <v/>
      </c>
      <c r="N736" s="36" t="n"/>
      <c r="O736" s="36" t="n"/>
    </row>
    <row r="737">
      <c r="A737" s="32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>
        <f>IF(COUNTA(B737:K737)&lt;10,"",MAX(300,ROUND(((((B737*1.4)+(C737*1.1)+(D737*1.1)+(E737*1)+(F737*1.1)+(G737*1)+(H737*1.6)+(I737*0.9)+(J737*1)+(K737*0.8))/11-1)/4)*20000,0)))</f>
        <v/>
      </c>
      <c r="M737" s="36">
        <f>IF(L737="","",MIN(100,ROUND(L737/200,0)))</f>
        <v/>
      </c>
      <c r="N737" s="36" t="n"/>
      <c r="O737" s="36" t="n"/>
    </row>
    <row r="738">
      <c r="A738" s="32" t="n"/>
      <c r="B738" s="36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>
        <f>IF(COUNTA(B738:K738)&lt;10,"",MAX(300,ROUND(((((B738*1.4)+(C738*1.1)+(D738*1.1)+(E738*1)+(F738*1.1)+(G738*1)+(H738*1.6)+(I738*0.9)+(J738*1)+(K738*0.8))/11-1)/4)*20000,0)))</f>
        <v/>
      </c>
      <c r="M738" s="36">
        <f>IF(L738="","",MIN(100,ROUND(L738/200,0)))</f>
        <v/>
      </c>
      <c r="N738" s="36" t="n"/>
      <c r="O738" s="36" t="n"/>
    </row>
    <row r="739">
      <c r="A739" s="32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>
        <f>IF(COUNTA(B739:K739)&lt;10,"",MAX(300,ROUND(((((B739*1.4)+(C739*1.1)+(D739*1.1)+(E739*1)+(F739*1.1)+(G739*1)+(H739*1.6)+(I739*0.9)+(J739*1)+(K739*0.8))/11-1)/4)*20000,0)))</f>
        <v/>
      </c>
      <c r="M739" s="36">
        <f>IF(L739="","",MIN(100,ROUND(L739/200,0)))</f>
        <v/>
      </c>
      <c r="N739" s="36" t="n"/>
      <c r="O739" s="36" t="n"/>
    </row>
    <row r="740">
      <c r="A740" s="32" t="n"/>
      <c r="B740" s="36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>
        <f>IF(COUNTA(B740:K740)&lt;10,"",MAX(300,ROUND(((((B740*1.4)+(C740*1.1)+(D740*1.1)+(E740*1)+(F740*1.1)+(G740*1)+(H740*1.6)+(I740*0.9)+(J740*1)+(K740*0.8))/11-1)/4)*20000,0)))</f>
        <v/>
      </c>
      <c r="M740" s="36">
        <f>IF(L740="","",MIN(100,ROUND(L740/200,0)))</f>
        <v/>
      </c>
      <c r="N740" s="36" t="n"/>
      <c r="O740" s="36" t="n"/>
    </row>
    <row r="741">
      <c r="A741" s="32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>
        <f>IF(COUNTA(B741:K741)&lt;10,"",MAX(300,ROUND(((((B741*1.4)+(C741*1.1)+(D741*1.1)+(E741*1)+(F741*1.1)+(G741*1)+(H741*1.6)+(I741*0.9)+(J741*1)+(K741*0.8))/11-1)/4)*20000,0)))</f>
        <v/>
      </c>
      <c r="M741" s="36">
        <f>IF(L741="","",MIN(100,ROUND(L741/200,0)))</f>
        <v/>
      </c>
      <c r="N741" s="36" t="n"/>
      <c r="O741" s="36" t="n"/>
    </row>
    <row r="742">
      <c r="A742" s="32" t="n"/>
      <c r="B742" s="36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>
        <f>IF(COUNTA(B742:K742)&lt;10,"",MAX(300,ROUND(((((B742*1.4)+(C742*1.1)+(D742*1.1)+(E742*1)+(F742*1.1)+(G742*1)+(H742*1.6)+(I742*0.9)+(J742*1)+(K742*0.8))/11-1)/4)*20000,0)))</f>
        <v/>
      </c>
      <c r="M742" s="36">
        <f>IF(L742="","",MIN(100,ROUND(L742/200,0)))</f>
        <v/>
      </c>
      <c r="N742" s="36" t="n"/>
      <c r="O742" s="36" t="n"/>
    </row>
    <row r="743">
      <c r="A743" s="32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>
        <f>IF(COUNTA(B743:K743)&lt;10,"",MAX(300,ROUND(((((B743*1.4)+(C743*1.1)+(D743*1.1)+(E743*1)+(F743*1.1)+(G743*1)+(H743*1.6)+(I743*0.9)+(J743*1)+(K743*0.8))/11-1)/4)*20000,0)))</f>
        <v/>
      </c>
      <c r="M743" s="36">
        <f>IF(L743="","",MIN(100,ROUND(L743/200,0)))</f>
        <v/>
      </c>
      <c r="N743" s="36" t="n"/>
      <c r="O743" s="36" t="n"/>
    </row>
    <row r="744">
      <c r="A744" s="32" t="n"/>
      <c r="B744" s="36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>
        <f>IF(COUNTA(B744:K744)&lt;10,"",MAX(300,ROUND(((((B744*1.4)+(C744*1.1)+(D744*1.1)+(E744*1)+(F744*1.1)+(G744*1)+(H744*1.6)+(I744*0.9)+(J744*1)+(K744*0.8))/11-1)/4)*20000,0)))</f>
        <v/>
      </c>
      <c r="M744" s="36">
        <f>IF(L744="","",MIN(100,ROUND(L744/200,0)))</f>
        <v/>
      </c>
      <c r="N744" s="36" t="n"/>
      <c r="O744" s="36" t="n"/>
    </row>
    <row r="745">
      <c r="A745" s="32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>
        <f>IF(COUNTA(B745:K745)&lt;10,"",MAX(300,ROUND(((((B745*1.4)+(C745*1.1)+(D745*1.1)+(E745*1)+(F745*1.1)+(G745*1)+(H745*1.6)+(I745*0.9)+(J745*1)+(K745*0.8))/11-1)/4)*20000,0)))</f>
        <v/>
      </c>
      <c r="M745" s="36">
        <f>IF(L745="","",MIN(100,ROUND(L745/200,0)))</f>
        <v/>
      </c>
      <c r="N745" s="36" t="n"/>
      <c r="O745" s="36" t="n"/>
    </row>
    <row r="746">
      <c r="A746" s="32" t="n"/>
      <c r="B746" s="36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>
        <f>IF(COUNTA(B746:K746)&lt;10,"",MAX(300,ROUND(((((B746*1.4)+(C746*1.1)+(D746*1.1)+(E746*1)+(F746*1.1)+(G746*1)+(H746*1.6)+(I746*0.9)+(J746*1)+(K746*0.8))/11-1)/4)*20000,0)))</f>
        <v/>
      </c>
      <c r="M746" s="36">
        <f>IF(L746="","",MIN(100,ROUND(L746/200,0)))</f>
        <v/>
      </c>
      <c r="N746" s="36" t="n"/>
      <c r="O746" s="36" t="n"/>
    </row>
    <row r="747">
      <c r="A747" s="32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>
        <f>IF(COUNTA(B747:K747)&lt;10,"",MAX(300,ROUND(((((B747*1.4)+(C747*1.1)+(D747*1.1)+(E747*1)+(F747*1.1)+(G747*1)+(H747*1.6)+(I747*0.9)+(J747*1)+(K747*0.8))/11-1)/4)*20000,0)))</f>
        <v/>
      </c>
      <c r="M747" s="36">
        <f>IF(L747="","",MIN(100,ROUND(L747/200,0)))</f>
        <v/>
      </c>
      <c r="N747" s="36" t="n"/>
      <c r="O747" s="36" t="n"/>
    </row>
    <row r="748">
      <c r="A748" s="32" t="n"/>
      <c r="B748" s="36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>
        <f>IF(COUNTA(B748:K748)&lt;10,"",MAX(300,ROUND(((((B748*1.4)+(C748*1.1)+(D748*1.1)+(E748*1)+(F748*1.1)+(G748*1)+(H748*1.6)+(I748*0.9)+(J748*1)+(K748*0.8))/11-1)/4)*20000,0)))</f>
        <v/>
      </c>
      <c r="M748" s="36">
        <f>IF(L748="","",MIN(100,ROUND(L748/200,0)))</f>
        <v/>
      </c>
      <c r="N748" s="36" t="n"/>
      <c r="O748" s="36" t="n"/>
    </row>
    <row r="749">
      <c r="A749" s="32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>
        <f>IF(COUNTA(B749:K749)&lt;10,"",MAX(300,ROUND(((((B749*1.4)+(C749*1.1)+(D749*1.1)+(E749*1)+(F749*1.1)+(G749*1)+(H749*1.6)+(I749*0.9)+(J749*1)+(K749*0.8))/11-1)/4)*20000,0)))</f>
        <v/>
      </c>
      <c r="M749" s="36">
        <f>IF(L749="","",MIN(100,ROUND(L749/200,0)))</f>
        <v/>
      </c>
      <c r="N749" s="36" t="n"/>
      <c r="O749" s="36" t="n"/>
    </row>
    <row r="750">
      <c r="A750" s="32" t="n"/>
      <c r="B750" s="36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>
        <f>IF(COUNTA(B750:K750)&lt;10,"",MAX(300,ROUND(((((B750*1.4)+(C750*1.1)+(D750*1.1)+(E750*1)+(F750*1.1)+(G750*1)+(H750*1.6)+(I750*0.9)+(J750*1)+(K750*0.8))/11-1)/4)*20000,0)))</f>
        <v/>
      </c>
      <c r="M750" s="36">
        <f>IF(L750="","",MIN(100,ROUND(L750/200,0)))</f>
        <v/>
      </c>
      <c r="N750" s="36" t="n"/>
      <c r="O750" s="36" t="n"/>
    </row>
    <row r="751">
      <c r="A751" s="32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>
        <f>IF(COUNTA(B751:K751)&lt;10,"",MAX(300,ROUND(((((B751*1.4)+(C751*1.1)+(D751*1.1)+(E751*1)+(F751*1.1)+(G751*1)+(H751*1.6)+(I751*0.9)+(J751*1)+(K751*0.8))/11-1)/4)*20000,0)))</f>
        <v/>
      </c>
      <c r="M751" s="36">
        <f>IF(L751="","",MIN(100,ROUND(L751/200,0)))</f>
        <v/>
      </c>
      <c r="N751" s="36" t="n"/>
      <c r="O751" s="36" t="n"/>
    </row>
    <row r="752">
      <c r="A752" s="32" t="n"/>
      <c r="B752" s="36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>
        <f>IF(COUNTA(B752:K752)&lt;10,"",MAX(300,ROUND(((((B752*1.4)+(C752*1.1)+(D752*1.1)+(E752*1)+(F752*1.1)+(G752*1)+(H752*1.6)+(I752*0.9)+(J752*1)+(K752*0.8))/11-1)/4)*20000,0)))</f>
        <v/>
      </c>
      <c r="M752" s="36">
        <f>IF(L752="","",MIN(100,ROUND(L752/200,0)))</f>
        <v/>
      </c>
      <c r="N752" s="36" t="n"/>
      <c r="O752" s="36" t="n"/>
    </row>
    <row r="753">
      <c r="A753" s="32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>
        <f>IF(COUNTA(B753:K753)&lt;10,"",MAX(300,ROUND(((((B753*1.4)+(C753*1.1)+(D753*1.1)+(E753*1)+(F753*1.1)+(G753*1)+(H753*1.6)+(I753*0.9)+(J753*1)+(K753*0.8))/11-1)/4)*20000,0)))</f>
        <v/>
      </c>
      <c r="M753" s="36">
        <f>IF(L753="","",MIN(100,ROUND(L753/200,0)))</f>
        <v/>
      </c>
      <c r="N753" s="36" t="n"/>
      <c r="O753" s="36" t="n"/>
    </row>
    <row r="754">
      <c r="A754" s="32" t="n"/>
      <c r="B754" s="36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>
        <f>IF(COUNTA(B754:K754)&lt;10,"",MAX(300,ROUND(((((B754*1.4)+(C754*1.1)+(D754*1.1)+(E754*1)+(F754*1.1)+(G754*1)+(H754*1.6)+(I754*0.9)+(J754*1)+(K754*0.8))/11-1)/4)*20000,0)))</f>
        <v/>
      </c>
      <c r="M754" s="36">
        <f>IF(L754="","",MIN(100,ROUND(L754/200,0)))</f>
        <v/>
      </c>
      <c r="N754" s="36" t="n"/>
      <c r="O754" s="36" t="n"/>
    </row>
    <row r="755">
      <c r="A755" s="32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>
        <f>IF(COUNTA(B755:K755)&lt;10,"",MAX(300,ROUND(((((B755*1.4)+(C755*1.1)+(D755*1.1)+(E755*1)+(F755*1.1)+(G755*1)+(H755*1.6)+(I755*0.9)+(J755*1)+(K755*0.8))/11-1)/4)*20000,0)))</f>
        <v/>
      </c>
      <c r="M755" s="36">
        <f>IF(L755="","",MIN(100,ROUND(L755/200,0)))</f>
        <v/>
      </c>
      <c r="N755" s="36" t="n"/>
      <c r="O755" s="36" t="n"/>
    </row>
    <row r="756">
      <c r="A756" s="32" t="n"/>
      <c r="B756" s="36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>
        <f>IF(COUNTA(B756:K756)&lt;10,"",MAX(300,ROUND(((((B756*1.4)+(C756*1.1)+(D756*1.1)+(E756*1)+(F756*1.1)+(G756*1)+(H756*1.6)+(I756*0.9)+(J756*1)+(K756*0.8))/11-1)/4)*20000,0)))</f>
        <v/>
      </c>
      <c r="M756" s="36">
        <f>IF(L756="","",MIN(100,ROUND(L756/200,0)))</f>
        <v/>
      </c>
      <c r="N756" s="36" t="n"/>
      <c r="O756" s="36" t="n"/>
    </row>
    <row r="757">
      <c r="A757" s="32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>
        <f>IF(COUNTA(B757:K757)&lt;10,"",MAX(300,ROUND(((((B757*1.4)+(C757*1.1)+(D757*1.1)+(E757*1)+(F757*1.1)+(G757*1)+(H757*1.6)+(I757*0.9)+(J757*1)+(K757*0.8))/11-1)/4)*20000,0)))</f>
        <v/>
      </c>
      <c r="M757" s="36">
        <f>IF(L757="","",MIN(100,ROUND(L757/200,0)))</f>
        <v/>
      </c>
      <c r="N757" s="36" t="n"/>
      <c r="O757" s="36" t="n"/>
    </row>
    <row r="758">
      <c r="A758" s="32" t="n"/>
      <c r="B758" s="36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>
        <f>IF(COUNTA(B758:K758)&lt;10,"",MAX(300,ROUND(((((B758*1.4)+(C758*1.1)+(D758*1.1)+(E758*1)+(F758*1.1)+(G758*1)+(H758*1.6)+(I758*0.9)+(J758*1)+(K758*0.8))/11-1)/4)*20000,0)))</f>
        <v/>
      </c>
      <c r="M758" s="36">
        <f>IF(L758="","",MIN(100,ROUND(L758/200,0)))</f>
        <v/>
      </c>
      <c r="N758" s="36" t="n"/>
      <c r="O758" s="36" t="n"/>
    </row>
    <row r="759">
      <c r="A759" s="32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>
        <f>IF(COUNTA(B759:K759)&lt;10,"",MAX(300,ROUND(((((B759*1.4)+(C759*1.1)+(D759*1.1)+(E759*1)+(F759*1.1)+(G759*1)+(H759*1.6)+(I759*0.9)+(J759*1)+(K759*0.8))/11-1)/4)*20000,0)))</f>
        <v/>
      </c>
      <c r="M759" s="36">
        <f>IF(L759="","",MIN(100,ROUND(L759/200,0)))</f>
        <v/>
      </c>
      <c r="N759" s="36" t="n"/>
      <c r="O759" s="36" t="n"/>
    </row>
    <row r="760">
      <c r="A760" s="32" t="n"/>
      <c r="B760" s="36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>
        <f>IF(COUNTA(B760:K760)&lt;10,"",MAX(300,ROUND(((((B760*1.4)+(C760*1.1)+(D760*1.1)+(E760*1)+(F760*1.1)+(G760*1)+(H760*1.6)+(I760*0.9)+(J760*1)+(K760*0.8))/11-1)/4)*20000,0)))</f>
        <v/>
      </c>
      <c r="M760" s="36">
        <f>IF(L760="","",MIN(100,ROUND(L760/200,0)))</f>
        <v/>
      </c>
      <c r="N760" s="36" t="n"/>
      <c r="O760" s="36" t="n"/>
    </row>
    <row r="761">
      <c r="A761" s="32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>
        <f>IF(COUNTA(B761:K761)&lt;10,"",MAX(300,ROUND(((((B761*1.4)+(C761*1.1)+(D761*1.1)+(E761*1)+(F761*1.1)+(G761*1)+(H761*1.6)+(I761*0.9)+(J761*1)+(K761*0.8))/11-1)/4)*20000,0)))</f>
        <v/>
      </c>
      <c r="M761" s="36">
        <f>IF(L761="","",MIN(100,ROUND(L761/200,0)))</f>
        <v/>
      </c>
      <c r="N761" s="36" t="n"/>
      <c r="O761" s="36" t="n"/>
    </row>
    <row r="762">
      <c r="A762" s="32" t="n"/>
      <c r="B762" s="36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>
        <f>IF(COUNTA(B762:K762)&lt;10,"",MAX(300,ROUND(((((B762*1.4)+(C762*1.1)+(D762*1.1)+(E762*1)+(F762*1.1)+(G762*1)+(H762*1.6)+(I762*0.9)+(J762*1)+(K762*0.8))/11-1)/4)*20000,0)))</f>
        <v/>
      </c>
      <c r="M762" s="36">
        <f>IF(L762="","",MIN(100,ROUND(L762/200,0)))</f>
        <v/>
      </c>
      <c r="N762" s="36" t="n"/>
      <c r="O762" s="36" t="n"/>
    </row>
    <row r="763">
      <c r="A763" s="32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>
        <f>IF(COUNTA(B763:K763)&lt;10,"",MAX(300,ROUND(((((B763*1.4)+(C763*1.1)+(D763*1.1)+(E763*1)+(F763*1.1)+(G763*1)+(H763*1.6)+(I763*0.9)+(J763*1)+(K763*0.8))/11-1)/4)*20000,0)))</f>
        <v/>
      </c>
      <c r="M763" s="36">
        <f>IF(L763="","",MIN(100,ROUND(L763/200,0)))</f>
        <v/>
      </c>
      <c r="N763" s="36" t="n"/>
      <c r="O763" s="36" t="n"/>
    </row>
    <row r="764">
      <c r="A764" s="32" t="n"/>
      <c r="B764" s="36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>
        <f>IF(COUNTA(B764:K764)&lt;10,"",MAX(300,ROUND(((((B764*1.4)+(C764*1.1)+(D764*1.1)+(E764*1)+(F764*1.1)+(G764*1)+(H764*1.6)+(I764*0.9)+(J764*1)+(K764*0.8))/11-1)/4)*20000,0)))</f>
        <v/>
      </c>
      <c r="M764" s="36">
        <f>IF(L764="","",MIN(100,ROUND(L764/200,0)))</f>
        <v/>
      </c>
      <c r="N764" s="36" t="n"/>
      <c r="O764" s="36" t="n"/>
    </row>
    <row r="765">
      <c r="A765" s="32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>
        <f>IF(COUNTA(B765:K765)&lt;10,"",MAX(300,ROUND(((((B765*1.4)+(C765*1.1)+(D765*1.1)+(E765*1)+(F765*1.1)+(G765*1)+(H765*1.6)+(I765*0.9)+(J765*1)+(K765*0.8))/11-1)/4)*20000,0)))</f>
        <v/>
      </c>
      <c r="M765" s="36">
        <f>IF(L765="","",MIN(100,ROUND(L765/200,0)))</f>
        <v/>
      </c>
      <c r="N765" s="36" t="n"/>
      <c r="O765" s="36" t="n"/>
    </row>
    <row r="766">
      <c r="A766" s="32" t="n"/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>
        <f>IF(COUNTA(B766:K766)&lt;10,"",MAX(300,ROUND(((((B766*1.4)+(C766*1.1)+(D766*1.1)+(E766*1)+(F766*1.1)+(G766*1)+(H766*1.6)+(I766*0.9)+(J766*1)+(K766*0.8))/11-1)/4)*20000,0)))</f>
        <v/>
      </c>
      <c r="M766" s="36">
        <f>IF(L766="","",MIN(100,ROUND(L766/200,0)))</f>
        <v/>
      </c>
      <c r="N766" s="36" t="n"/>
      <c r="O766" s="36" t="n"/>
    </row>
    <row r="767">
      <c r="A767" s="32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>
        <f>IF(COUNTA(B767:K767)&lt;10,"",MAX(300,ROUND(((((B767*1.4)+(C767*1.1)+(D767*1.1)+(E767*1)+(F767*1.1)+(G767*1)+(H767*1.6)+(I767*0.9)+(J767*1)+(K767*0.8))/11-1)/4)*20000,0)))</f>
        <v/>
      </c>
      <c r="M767" s="36">
        <f>IF(L767="","",MIN(100,ROUND(L767/200,0)))</f>
        <v/>
      </c>
      <c r="N767" s="36" t="n"/>
      <c r="O767" s="36" t="n"/>
    </row>
    <row r="768">
      <c r="A768" s="32" t="n"/>
      <c r="B768" s="36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>
        <f>IF(COUNTA(B768:K768)&lt;10,"",MAX(300,ROUND(((((B768*1.4)+(C768*1.1)+(D768*1.1)+(E768*1)+(F768*1.1)+(G768*1)+(H768*1.6)+(I768*0.9)+(J768*1)+(K768*0.8))/11-1)/4)*20000,0)))</f>
        <v/>
      </c>
      <c r="M768" s="36">
        <f>IF(L768="","",MIN(100,ROUND(L768/200,0)))</f>
        <v/>
      </c>
      <c r="N768" s="36" t="n"/>
      <c r="O768" s="36" t="n"/>
    </row>
    <row r="769">
      <c r="A769" s="32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>
        <f>IF(COUNTA(B769:K769)&lt;10,"",MAX(300,ROUND(((((B769*1.4)+(C769*1.1)+(D769*1.1)+(E769*1)+(F769*1.1)+(G769*1)+(H769*1.6)+(I769*0.9)+(J769*1)+(K769*0.8))/11-1)/4)*20000,0)))</f>
        <v/>
      </c>
      <c r="M769" s="36">
        <f>IF(L769="","",MIN(100,ROUND(L769/200,0)))</f>
        <v/>
      </c>
      <c r="N769" s="36" t="n"/>
      <c r="O769" s="36" t="n"/>
    </row>
    <row r="770">
      <c r="A770" s="32" t="n"/>
      <c r="B770" s="36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>
        <f>IF(COUNTA(B770:K770)&lt;10,"",MAX(300,ROUND(((((B770*1.4)+(C770*1.1)+(D770*1.1)+(E770*1)+(F770*1.1)+(G770*1)+(H770*1.6)+(I770*0.9)+(J770*1)+(K770*0.8))/11-1)/4)*20000,0)))</f>
        <v/>
      </c>
      <c r="M770" s="36">
        <f>IF(L770="","",MIN(100,ROUND(L770/200,0)))</f>
        <v/>
      </c>
      <c r="N770" s="36" t="n"/>
      <c r="O770" s="36" t="n"/>
    </row>
    <row r="771">
      <c r="A771" s="32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>
        <f>IF(COUNTA(B771:K771)&lt;10,"",MAX(300,ROUND(((((B771*1.4)+(C771*1.1)+(D771*1.1)+(E771*1)+(F771*1.1)+(G771*1)+(H771*1.6)+(I771*0.9)+(J771*1)+(K771*0.8))/11-1)/4)*20000,0)))</f>
        <v/>
      </c>
      <c r="M771" s="36">
        <f>IF(L771="","",MIN(100,ROUND(L771/200,0)))</f>
        <v/>
      </c>
      <c r="N771" s="36" t="n"/>
      <c r="O771" s="36" t="n"/>
    </row>
    <row r="772">
      <c r="A772" s="32" t="n"/>
      <c r="B772" s="36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>
        <f>IF(COUNTA(B772:K772)&lt;10,"",MAX(300,ROUND(((((B772*1.4)+(C772*1.1)+(D772*1.1)+(E772*1)+(F772*1.1)+(G772*1)+(H772*1.6)+(I772*0.9)+(J772*1)+(K772*0.8))/11-1)/4)*20000,0)))</f>
        <v/>
      </c>
      <c r="M772" s="36">
        <f>IF(L772="","",MIN(100,ROUND(L772/200,0)))</f>
        <v/>
      </c>
      <c r="N772" s="36" t="n"/>
      <c r="O772" s="36" t="n"/>
    </row>
    <row r="773">
      <c r="A773" s="32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>
        <f>IF(COUNTA(B773:K773)&lt;10,"",MAX(300,ROUND(((((B773*1.4)+(C773*1.1)+(D773*1.1)+(E773*1)+(F773*1.1)+(G773*1)+(H773*1.6)+(I773*0.9)+(J773*1)+(K773*0.8))/11-1)/4)*20000,0)))</f>
        <v/>
      </c>
      <c r="M773" s="36">
        <f>IF(L773="","",MIN(100,ROUND(L773/200,0)))</f>
        <v/>
      </c>
      <c r="N773" s="36" t="n"/>
      <c r="O773" s="36" t="n"/>
    </row>
    <row r="774">
      <c r="A774" s="32" t="n"/>
      <c r="B774" s="36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>
        <f>IF(COUNTA(B774:K774)&lt;10,"",MAX(300,ROUND(((((B774*1.4)+(C774*1.1)+(D774*1.1)+(E774*1)+(F774*1.1)+(G774*1)+(H774*1.6)+(I774*0.9)+(J774*1)+(K774*0.8))/11-1)/4)*20000,0)))</f>
        <v/>
      </c>
      <c r="M774" s="36">
        <f>IF(L774="","",MIN(100,ROUND(L774/200,0)))</f>
        <v/>
      </c>
      <c r="N774" s="36" t="n"/>
      <c r="O774" s="36" t="n"/>
    </row>
    <row r="775">
      <c r="A775" s="32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>
        <f>IF(COUNTA(B775:K775)&lt;10,"",MAX(300,ROUND(((((B775*1.4)+(C775*1.1)+(D775*1.1)+(E775*1)+(F775*1.1)+(G775*1)+(H775*1.6)+(I775*0.9)+(J775*1)+(K775*0.8))/11-1)/4)*20000,0)))</f>
        <v/>
      </c>
      <c r="M775" s="36">
        <f>IF(L775="","",MIN(100,ROUND(L775/200,0)))</f>
        <v/>
      </c>
      <c r="N775" s="36" t="n"/>
      <c r="O775" s="36" t="n"/>
    </row>
    <row r="776">
      <c r="A776" s="32" t="n"/>
      <c r="B776" s="36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>
        <f>IF(COUNTA(B776:K776)&lt;10,"",MAX(300,ROUND(((((B776*1.4)+(C776*1.1)+(D776*1.1)+(E776*1)+(F776*1.1)+(G776*1)+(H776*1.6)+(I776*0.9)+(J776*1)+(K776*0.8))/11-1)/4)*20000,0)))</f>
        <v/>
      </c>
      <c r="M776" s="36">
        <f>IF(L776="","",MIN(100,ROUND(L776/200,0)))</f>
        <v/>
      </c>
      <c r="N776" s="36" t="n"/>
      <c r="O776" s="36" t="n"/>
    </row>
    <row r="777">
      <c r="A777" s="32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>
        <f>IF(COUNTA(B777:K777)&lt;10,"",MAX(300,ROUND(((((B777*1.4)+(C777*1.1)+(D777*1.1)+(E777*1)+(F777*1.1)+(G777*1)+(H777*1.6)+(I777*0.9)+(J777*1)+(K777*0.8))/11-1)/4)*20000,0)))</f>
        <v/>
      </c>
      <c r="M777" s="36">
        <f>IF(L777="","",MIN(100,ROUND(L777/200,0)))</f>
        <v/>
      </c>
      <c r="N777" s="36" t="n"/>
      <c r="O777" s="36" t="n"/>
    </row>
    <row r="778">
      <c r="A778" s="32" t="n"/>
      <c r="B778" s="36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>
        <f>IF(COUNTA(B778:K778)&lt;10,"",MAX(300,ROUND(((((B778*1.4)+(C778*1.1)+(D778*1.1)+(E778*1)+(F778*1.1)+(G778*1)+(H778*1.6)+(I778*0.9)+(J778*1)+(K778*0.8))/11-1)/4)*20000,0)))</f>
        <v/>
      </c>
      <c r="M778" s="36">
        <f>IF(L778="","",MIN(100,ROUND(L778/200,0)))</f>
        <v/>
      </c>
      <c r="N778" s="36" t="n"/>
      <c r="O778" s="36" t="n"/>
    </row>
    <row r="779">
      <c r="A779" s="32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>
        <f>IF(COUNTA(B779:K779)&lt;10,"",MAX(300,ROUND(((((B779*1.4)+(C779*1.1)+(D779*1.1)+(E779*1)+(F779*1.1)+(G779*1)+(H779*1.6)+(I779*0.9)+(J779*1)+(K779*0.8))/11-1)/4)*20000,0)))</f>
        <v/>
      </c>
      <c r="M779" s="36">
        <f>IF(L779="","",MIN(100,ROUND(L779/200,0)))</f>
        <v/>
      </c>
      <c r="N779" s="36" t="n"/>
      <c r="O779" s="36" t="n"/>
    </row>
    <row r="780">
      <c r="A780" s="32" t="n"/>
      <c r="B780" s="36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>
        <f>IF(COUNTA(B780:K780)&lt;10,"",MAX(300,ROUND(((((B780*1.4)+(C780*1.1)+(D780*1.1)+(E780*1)+(F780*1.1)+(G780*1)+(H780*1.6)+(I780*0.9)+(J780*1)+(K780*0.8))/11-1)/4)*20000,0)))</f>
        <v/>
      </c>
      <c r="M780" s="36">
        <f>IF(L780="","",MIN(100,ROUND(L780/200,0)))</f>
        <v/>
      </c>
      <c r="N780" s="36" t="n"/>
      <c r="O780" s="36" t="n"/>
    </row>
    <row r="781">
      <c r="A781" s="32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>
        <f>IF(COUNTA(B781:K781)&lt;10,"",MAX(300,ROUND(((((B781*1.4)+(C781*1.1)+(D781*1.1)+(E781*1)+(F781*1.1)+(G781*1)+(H781*1.6)+(I781*0.9)+(J781*1)+(K781*0.8))/11-1)/4)*20000,0)))</f>
        <v/>
      </c>
      <c r="M781" s="36">
        <f>IF(L781="","",MIN(100,ROUND(L781/200,0)))</f>
        <v/>
      </c>
      <c r="N781" s="36" t="n"/>
      <c r="O781" s="36" t="n"/>
    </row>
    <row r="782">
      <c r="A782" s="32" t="n"/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>
        <f>IF(COUNTA(B782:K782)&lt;10,"",MAX(300,ROUND(((((B782*1.4)+(C782*1.1)+(D782*1.1)+(E782*1)+(F782*1.1)+(G782*1)+(H782*1.6)+(I782*0.9)+(J782*1)+(K782*0.8))/11-1)/4)*20000,0)))</f>
        <v/>
      </c>
      <c r="M782" s="36">
        <f>IF(L782="","",MIN(100,ROUND(L782/200,0)))</f>
        <v/>
      </c>
      <c r="N782" s="36" t="n"/>
      <c r="O782" s="36" t="n"/>
    </row>
    <row r="783">
      <c r="A783" s="32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>
        <f>IF(COUNTA(B783:K783)&lt;10,"",MAX(300,ROUND(((((B783*1.4)+(C783*1.1)+(D783*1.1)+(E783*1)+(F783*1.1)+(G783*1)+(H783*1.6)+(I783*0.9)+(J783*1)+(K783*0.8))/11-1)/4)*20000,0)))</f>
        <v/>
      </c>
      <c r="M783" s="36">
        <f>IF(L783="","",MIN(100,ROUND(L783/200,0)))</f>
        <v/>
      </c>
      <c r="N783" s="36" t="n"/>
      <c r="O783" s="36" t="n"/>
    </row>
    <row r="784">
      <c r="A784" s="32" t="n"/>
      <c r="B784" s="36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>
        <f>IF(COUNTA(B784:K784)&lt;10,"",MAX(300,ROUND(((((B784*1.4)+(C784*1.1)+(D784*1.1)+(E784*1)+(F784*1.1)+(G784*1)+(H784*1.6)+(I784*0.9)+(J784*1)+(K784*0.8))/11-1)/4)*20000,0)))</f>
        <v/>
      </c>
      <c r="M784" s="36">
        <f>IF(L784="","",MIN(100,ROUND(L784/200,0)))</f>
        <v/>
      </c>
      <c r="N784" s="36" t="n"/>
      <c r="O784" s="36" t="n"/>
    </row>
    <row r="785">
      <c r="A785" s="32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>
        <f>IF(COUNTA(B785:K785)&lt;10,"",MAX(300,ROUND(((((B785*1.4)+(C785*1.1)+(D785*1.1)+(E785*1)+(F785*1.1)+(G785*1)+(H785*1.6)+(I785*0.9)+(J785*1)+(K785*0.8))/11-1)/4)*20000,0)))</f>
        <v/>
      </c>
      <c r="M785" s="36">
        <f>IF(L785="","",MIN(100,ROUND(L785/200,0)))</f>
        <v/>
      </c>
      <c r="N785" s="36" t="n"/>
      <c r="O785" s="36" t="n"/>
    </row>
    <row r="786">
      <c r="A786" s="32" t="n"/>
      <c r="B786" s="36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>
        <f>IF(COUNTA(B786:K786)&lt;10,"",MAX(300,ROUND(((((B786*1.4)+(C786*1.1)+(D786*1.1)+(E786*1)+(F786*1.1)+(G786*1)+(H786*1.6)+(I786*0.9)+(J786*1)+(K786*0.8))/11-1)/4)*20000,0)))</f>
        <v/>
      </c>
      <c r="M786" s="36">
        <f>IF(L786="","",MIN(100,ROUND(L786/200,0)))</f>
        <v/>
      </c>
      <c r="N786" s="36" t="n"/>
      <c r="O786" s="36" t="n"/>
    </row>
    <row r="787">
      <c r="A787" s="32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>
        <f>IF(COUNTA(B787:K787)&lt;10,"",MAX(300,ROUND(((((B787*1.4)+(C787*1.1)+(D787*1.1)+(E787*1)+(F787*1.1)+(G787*1)+(H787*1.6)+(I787*0.9)+(J787*1)+(K787*0.8))/11-1)/4)*20000,0)))</f>
        <v/>
      </c>
      <c r="M787" s="36">
        <f>IF(L787="","",MIN(100,ROUND(L787/200,0)))</f>
        <v/>
      </c>
      <c r="N787" s="36" t="n"/>
      <c r="O787" s="36" t="n"/>
    </row>
    <row r="788">
      <c r="A788" s="32" t="n"/>
      <c r="B788" s="36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>
        <f>IF(COUNTA(B788:K788)&lt;10,"",MAX(300,ROUND(((((B788*1.4)+(C788*1.1)+(D788*1.1)+(E788*1)+(F788*1.1)+(G788*1)+(H788*1.6)+(I788*0.9)+(J788*1)+(K788*0.8))/11-1)/4)*20000,0)))</f>
        <v/>
      </c>
      <c r="M788" s="36">
        <f>IF(L788="","",MIN(100,ROUND(L788/200,0)))</f>
        <v/>
      </c>
      <c r="N788" s="36" t="n"/>
      <c r="O788" s="36" t="n"/>
    </row>
    <row r="789">
      <c r="A789" s="32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>
        <f>IF(COUNTA(B789:K789)&lt;10,"",MAX(300,ROUND(((((B789*1.4)+(C789*1.1)+(D789*1.1)+(E789*1)+(F789*1.1)+(G789*1)+(H789*1.6)+(I789*0.9)+(J789*1)+(K789*0.8))/11-1)/4)*20000,0)))</f>
        <v/>
      </c>
      <c r="M789" s="36">
        <f>IF(L789="","",MIN(100,ROUND(L789/200,0)))</f>
        <v/>
      </c>
      <c r="N789" s="36" t="n"/>
      <c r="O789" s="36" t="n"/>
    </row>
    <row r="790">
      <c r="A790" s="32" t="n"/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>
        <f>IF(COUNTA(B790:K790)&lt;10,"",MAX(300,ROUND(((((B790*1.4)+(C790*1.1)+(D790*1.1)+(E790*1)+(F790*1.1)+(G790*1)+(H790*1.6)+(I790*0.9)+(J790*1)+(K790*0.8))/11-1)/4)*20000,0)))</f>
        <v/>
      </c>
      <c r="M790" s="36">
        <f>IF(L790="","",MIN(100,ROUND(L790/200,0)))</f>
        <v/>
      </c>
      <c r="N790" s="36" t="n"/>
      <c r="O790" s="36" t="n"/>
    </row>
    <row r="791">
      <c r="A791" s="32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>
        <f>IF(COUNTA(B791:K791)&lt;10,"",MAX(300,ROUND(((((B791*1.4)+(C791*1.1)+(D791*1.1)+(E791*1)+(F791*1.1)+(G791*1)+(H791*1.6)+(I791*0.9)+(J791*1)+(K791*0.8))/11-1)/4)*20000,0)))</f>
        <v/>
      </c>
      <c r="M791" s="36">
        <f>IF(L791="","",MIN(100,ROUND(L791/200,0)))</f>
        <v/>
      </c>
      <c r="N791" s="36" t="n"/>
      <c r="O791" s="36" t="n"/>
    </row>
    <row r="792">
      <c r="A792" s="32" t="n"/>
      <c r="B792" s="36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>
        <f>IF(COUNTA(B792:K792)&lt;10,"",MAX(300,ROUND(((((B792*1.4)+(C792*1.1)+(D792*1.1)+(E792*1)+(F792*1.1)+(G792*1)+(H792*1.6)+(I792*0.9)+(J792*1)+(K792*0.8))/11-1)/4)*20000,0)))</f>
        <v/>
      </c>
      <c r="M792" s="36">
        <f>IF(L792="","",MIN(100,ROUND(L792/200,0)))</f>
        <v/>
      </c>
      <c r="N792" s="36" t="n"/>
      <c r="O792" s="36" t="n"/>
    </row>
    <row r="793">
      <c r="A793" s="32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>
        <f>IF(COUNTA(B793:K793)&lt;10,"",MAX(300,ROUND(((((B793*1.4)+(C793*1.1)+(D793*1.1)+(E793*1)+(F793*1.1)+(G793*1)+(H793*1.6)+(I793*0.9)+(J793*1)+(K793*0.8))/11-1)/4)*20000,0)))</f>
        <v/>
      </c>
      <c r="M793" s="36">
        <f>IF(L793="","",MIN(100,ROUND(L793/200,0)))</f>
        <v/>
      </c>
      <c r="N793" s="36" t="n"/>
      <c r="O793" s="36" t="n"/>
    </row>
    <row r="794">
      <c r="A794" s="32" t="n"/>
      <c r="B794" s="36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>
        <f>IF(COUNTA(B794:K794)&lt;10,"",MAX(300,ROUND(((((B794*1.4)+(C794*1.1)+(D794*1.1)+(E794*1)+(F794*1.1)+(G794*1)+(H794*1.6)+(I794*0.9)+(J794*1)+(K794*0.8))/11-1)/4)*20000,0)))</f>
        <v/>
      </c>
      <c r="M794" s="36">
        <f>IF(L794="","",MIN(100,ROUND(L794/200,0)))</f>
        <v/>
      </c>
      <c r="N794" s="36" t="n"/>
      <c r="O794" s="36" t="n"/>
    </row>
    <row r="795">
      <c r="A795" s="32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>
        <f>IF(COUNTA(B795:K795)&lt;10,"",MAX(300,ROUND(((((B795*1.4)+(C795*1.1)+(D795*1.1)+(E795*1)+(F795*1.1)+(G795*1)+(H795*1.6)+(I795*0.9)+(J795*1)+(K795*0.8))/11-1)/4)*20000,0)))</f>
        <v/>
      </c>
      <c r="M795" s="36">
        <f>IF(L795="","",MIN(100,ROUND(L795/200,0)))</f>
        <v/>
      </c>
      <c r="N795" s="36" t="n"/>
      <c r="O795" s="36" t="n"/>
    </row>
    <row r="796">
      <c r="A796" s="32" t="n"/>
      <c r="B796" s="36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>
        <f>IF(COUNTA(B796:K796)&lt;10,"",MAX(300,ROUND(((((B796*1.4)+(C796*1.1)+(D796*1.1)+(E796*1)+(F796*1.1)+(G796*1)+(H796*1.6)+(I796*0.9)+(J796*1)+(K796*0.8))/11-1)/4)*20000,0)))</f>
        <v/>
      </c>
      <c r="M796" s="36">
        <f>IF(L796="","",MIN(100,ROUND(L796/200,0)))</f>
        <v/>
      </c>
      <c r="N796" s="36" t="n"/>
      <c r="O796" s="36" t="n"/>
    </row>
    <row r="797">
      <c r="A797" s="32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>
        <f>IF(COUNTA(B797:K797)&lt;10,"",MAX(300,ROUND(((((B797*1.4)+(C797*1.1)+(D797*1.1)+(E797*1)+(F797*1.1)+(G797*1)+(H797*1.6)+(I797*0.9)+(J797*1)+(K797*0.8))/11-1)/4)*20000,0)))</f>
        <v/>
      </c>
      <c r="M797" s="36">
        <f>IF(L797="","",MIN(100,ROUND(L797/200,0)))</f>
        <v/>
      </c>
      <c r="N797" s="36" t="n"/>
      <c r="O797" s="36" t="n"/>
    </row>
    <row r="798">
      <c r="A798" s="32" t="n"/>
      <c r="B798" s="36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>
        <f>IF(COUNTA(B798:K798)&lt;10,"",MAX(300,ROUND(((((B798*1.4)+(C798*1.1)+(D798*1.1)+(E798*1)+(F798*1.1)+(G798*1)+(H798*1.6)+(I798*0.9)+(J798*1)+(K798*0.8))/11-1)/4)*20000,0)))</f>
        <v/>
      </c>
      <c r="M798" s="36">
        <f>IF(L798="","",MIN(100,ROUND(L798/200,0)))</f>
        <v/>
      </c>
      <c r="N798" s="36" t="n"/>
      <c r="O798" s="36" t="n"/>
    </row>
    <row r="799">
      <c r="A799" s="32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>
        <f>IF(COUNTA(B799:K799)&lt;10,"",MAX(300,ROUND(((((B799*1.4)+(C799*1.1)+(D799*1.1)+(E799*1)+(F799*1.1)+(G799*1)+(H799*1.6)+(I799*0.9)+(J799*1)+(K799*0.8))/11-1)/4)*20000,0)))</f>
        <v/>
      </c>
      <c r="M799" s="36">
        <f>IF(L799="","",MIN(100,ROUND(L799/200,0)))</f>
        <v/>
      </c>
      <c r="N799" s="36" t="n"/>
      <c r="O799" s="36" t="n"/>
    </row>
    <row r="800">
      <c r="A800" s="32" t="n"/>
      <c r="B800" s="36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>
        <f>IF(COUNTA(B800:K800)&lt;10,"",MAX(300,ROUND(((((B800*1.4)+(C800*1.1)+(D800*1.1)+(E800*1)+(F800*1.1)+(G800*1)+(H800*1.6)+(I800*0.9)+(J800*1)+(K800*0.8))/11-1)/4)*20000,0)))</f>
        <v/>
      </c>
      <c r="M800" s="36">
        <f>IF(L800="","",MIN(100,ROUND(L800/200,0)))</f>
        <v/>
      </c>
      <c r="N800" s="36" t="n"/>
      <c r="O800" s="36" t="n"/>
    </row>
    <row r="801">
      <c r="A801" s="32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>
        <f>IF(COUNTA(B801:K801)&lt;10,"",MAX(300,ROUND(((((B801*1.4)+(C801*1.1)+(D801*1.1)+(E801*1)+(F801*1.1)+(G801*1)+(H801*1.6)+(I801*0.9)+(J801*1)+(K801*0.8))/11-1)/4)*20000,0)))</f>
        <v/>
      </c>
      <c r="M801" s="36">
        <f>IF(L801="","",MIN(100,ROUND(L801/200,0)))</f>
        <v/>
      </c>
      <c r="N801" s="36" t="n"/>
      <c r="O801" s="36" t="n"/>
    </row>
    <row r="802">
      <c r="A802" s="32" t="n"/>
      <c r="B802" s="36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>
        <f>IF(COUNTA(B802:K802)&lt;10,"",MAX(300,ROUND(((((B802*1.4)+(C802*1.1)+(D802*1.1)+(E802*1)+(F802*1.1)+(G802*1)+(H802*1.6)+(I802*0.9)+(J802*1)+(K802*0.8))/11-1)/4)*20000,0)))</f>
        <v/>
      </c>
      <c r="M802" s="36">
        <f>IF(L802="","",MIN(100,ROUND(L802/200,0)))</f>
        <v/>
      </c>
      <c r="N802" s="36" t="n"/>
      <c r="O802" s="36" t="n"/>
    </row>
    <row r="803">
      <c r="A803" s="32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>
        <f>IF(COUNTA(B803:K803)&lt;10,"",MAX(300,ROUND(((((B803*1.4)+(C803*1.1)+(D803*1.1)+(E803*1)+(F803*1.1)+(G803*1)+(H803*1.6)+(I803*0.9)+(J803*1)+(K803*0.8))/11-1)/4)*20000,0)))</f>
        <v/>
      </c>
      <c r="M803" s="36">
        <f>IF(L803="","",MIN(100,ROUND(L803/200,0)))</f>
        <v/>
      </c>
      <c r="N803" s="36" t="n"/>
      <c r="O803" s="36" t="n"/>
    </row>
    <row r="804">
      <c r="A804" s="32" t="n"/>
      <c r="B804" s="36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>
        <f>IF(COUNTA(B804:K804)&lt;10,"",MAX(300,ROUND(((((B804*1.4)+(C804*1.1)+(D804*1.1)+(E804*1)+(F804*1.1)+(G804*1)+(H804*1.6)+(I804*0.9)+(J804*1)+(K804*0.8))/11-1)/4)*20000,0)))</f>
        <v/>
      </c>
      <c r="M804" s="36">
        <f>IF(L804="","",MIN(100,ROUND(L804/200,0)))</f>
        <v/>
      </c>
      <c r="N804" s="36" t="n"/>
      <c r="O804" s="36" t="n"/>
    </row>
    <row r="805">
      <c r="A805" s="32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>
        <f>IF(COUNTA(B805:K805)&lt;10,"",MAX(300,ROUND(((((B805*1.4)+(C805*1.1)+(D805*1.1)+(E805*1)+(F805*1.1)+(G805*1)+(H805*1.6)+(I805*0.9)+(J805*1)+(K805*0.8))/11-1)/4)*20000,0)))</f>
        <v/>
      </c>
      <c r="M805" s="36">
        <f>IF(L805="","",MIN(100,ROUND(L805/200,0)))</f>
        <v/>
      </c>
      <c r="N805" s="36" t="n"/>
      <c r="O805" s="36" t="n"/>
    </row>
    <row r="806">
      <c r="A806" s="32" t="n"/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>
        <f>IF(COUNTA(B806:K806)&lt;10,"",MAX(300,ROUND(((((B806*1.4)+(C806*1.1)+(D806*1.1)+(E806*1)+(F806*1.1)+(G806*1)+(H806*1.6)+(I806*0.9)+(J806*1)+(K806*0.8))/11-1)/4)*20000,0)))</f>
        <v/>
      </c>
      <c r="M806" s="36">
        <f>IF(L806="","",MIN(100,ROUND(L806/200,0)))</f>
        <v/>
      </c>
      <c r="N806" s="36" t="n"/>
      <c r="O806" s="36" t="n"/>
    </row>
    <row r="807">
      <c r="A807" s="32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>
        <f>IF(COUNTA(B807:K807)&lt;10,"",MAX(300,ROUND(((((B807*1.4)+(C807*1.1)+(D807*1.1)+(E807*1)+(F807*1.1)+(G807*1)+(H807*1.6)+(I807*0.9)+(J807*1)+(K807*0.8))/11-1)/4)*20000,0)))</f>
        <v/>
      </c>
      <c r="M807" s="36">
        <f>IF(L807="","",MIN(100,ROUND(L807/200,0)))</f>
        <v/>
      </c>
      <c r="N807" s="36" t="n"/>
      <c r="O807" s="36" t="n"/>
    </row>
    <row r="808">
      <c r="A808" s="32" t="n"/>
      <c r="B808" s="36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>
        <f>IF(COUNTA(B808:K808)&lt;10,"",MAX(300,ROUND(((((B808*1.4)+(C808*1.1)+(D808*1.1)+(E808*1)+(F808*1.1)+(G808*1)+(H808*1.6)+(I808*0.9)+(J808*1)+(K808*0.8))/11-1)/4)*20000,0)))</f>
        <v/>
      </c>
      <c r="M808" s="36">
        <f>IF(L808="","",MIN(100,ROUND(L808/200,0)))</f>
        <v/>
      </c>
      <c r="N808" s="36" t="n"/>
      <c r="O808" s="36" t="n"/>
    </row>
    <row r="809">
      <c r="A809" s="32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>
        <f>IF(COUNTA(B809:K809)&lt;10,"",MAX(300,ROUND(((((B809*1.4)+(C809*1.1)+(D809*1.1)+(E809*1)+(F809*1.1)+(G809*1)+(H809*1.6)+(I809*0.9)+(J809*1)+(K809*0.8))/11-1)/4)*20000,0)))</f>
        <v/>
      </c>
      <c r="M809" s="36">
        <f>IF(L809="","",MIN(100,ROUND(L809/200,0)))</f>
        <v/>
      </c>
      <c r="N809" s="36" t="n"/>
      <c r="O809" s="36" t="n"/>
    </row>
    <row r="810">
      <c r="A810" s="32" t="n"/>
      <c r="B810" s="36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>
        <f>IF(COUNTA(B810:K810)&lt;10,"",MAX(300,ROUND(((((B810*1.4)+(C810*1.1)+(D810*1.1)+(E810*1)+(F810*1.1)+(G810*1)+(H810*1.6)+(I810*0.9)+(J810*1)+(K810*0.8))/11-1)/4)*20000,0)))</f>
        <v/>
      </c>
      <c r="M810" s="36">
        <f>IF(L810="","",MIN(100,ROUND(L810/200,0)))</f>
        <v/>
      </c>
      <c r="N810" s="36" t="n"/>
      <c r="O810" s="36" t="n"/>
    </row>
    <row r="811">
      <c r="A811" s="32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>
        <f>IF(COUNTA(B811:K811)&lt;10,"",MAX(300,ROUND(((((B811*1.4)+(C811*1.1)+(D811*1.1)+(E811*1)+(F811*1.1)+(G811*1)+(H811*1.6)+(I811*0.9)+(J811*1)+(K811*0.8))/11-1)/4)*20000,0)))</f>
        <v/>
      </c>
      <c r="M811" s="36">
        <f>IF(L811="","",MIN(100,ROUND(L811/200,0)))</f>
        <v/>
      </c>
      <c r="N811" s="36" t="n"/>
      <c r="O811" s="36" t="n"/>
    </row>
    <row r="812">
      <c r="A812" s="32" t="n"/>
      <c r="B812" s="36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>
        <f>IF(COUNTA(B812:K812)&lt;10,"",MAX(300,ROUND(((((B812*1.4)+(C812*1.1)+(D812*1.1)+(E812*1)+(F812*1.1)+(G812*1)+(H812*1.6)+(I812*0.9)+(J812*1)+(K812*0.8))/11-1)/4)*20000,0)))</f>
        <v/>
      </c>
      <c r="M812" s="36">
        <f>IF(L812="","",MIN(100,ROUND(L812/200,0)))</f>
        <v/>
      </c>
      <c r="N812" s="36" t="n"/>
      <c r="O812" s="36" t="n"/>
    </row>
    <row r="813">
      <c r="A813" s="32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>
        <f>IF(COUNTA(B813:K813)&lt;10,"",MAX(300,ROUND(((((B813*1.4)+(C813*1.1)+(D813*1.1)+(E813*1)+(F813*1.1)+(G813*1)+(H813*1.6)+(I813*0.9)+(J813*1)+(K813*0.8))/11-1)/4)*20000,0)))</f>
        <v/>
      </c>
      <c r="M813" s="36">
        <f>IF(L813="","",MIN(100,ROUND(L813/200,0)))</f>
        <v/>
      </c>
      <c r="N813" s="36" t="n"/>
      <c r="O813" s="36" t="n"/>
    </row>
    <row r="814">
      <c r="A814" s="32" t="n"/>
      <c r="B814" s="36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>
        <f>IF(COUNTA(B814:K814)&lt;10,"",MAX(300,ROUND(((((B814*1.4)+(C814*1.1)+(D814*1.1)+(E814*1)+(F814*1.1)+(G814*1)+(H814*1.6)+(I814*0.9)+(J814*1)+(K814*0.8))/11-1)/4)*20000,0)))</f>
        <v/>
      </c>
      <c r="M814" s="36">
        <f>IF(L814="","",MIN(100,ROUND(L814/200,0)))</f>
        <v/>
      </c>
      <c r="N814" s="36" t="n"/>
      <c r="O814" s="36" t="n"/>
    </row>
    <row r="815">
      <c r="A815" s="32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>
        <f>IF(COUNTA(B815:K815)&lt;10,"",MAX(300,ROUND(((((B815*1.4)+(C815*1.1)+(D815*1.1)+(E815*1)+(F815*1.1)+(G815*1)+(H815*1.6)+(I815*0.9)+(J815*1)+(K815*0.8))/11-1)/4)*20000,0)))</f>
        <v/>
      </c>
      <c r="M815" s="36">
        <f>IF(L815="","",MIN(100,ROUND(L815/200,0)))</f>
        <v/>
      </c>
      <c r="N815" s="36" t="n"/>
      <c r="O815" s="36" t="n"/>
    </row>
    <row r="816">
      <c r="A816" s="32" t="n"/>
      <c r="B816" s="36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>
        <f>IF(COUNTA(B816:K816)&lt;10,"",MAX(300,ROUND(((((B816*1.4)+(C816*1.1)+(D816*1.1)+(E816*1)+(F816*1.1)+(G816*1)+(H816*1.6)+(I816*0.9)+(J816*1)+(K816*0.8))/11-1)/4)*20000,0)))</f>
        <v/>
      </c>
      <c r="M816" s="36">
        <f>IF(L816="","",MIN(100,ROUND(L816/200,0)))</f>
        <v/>
      </c>
      <c r="N816" s="36" t="n"/>
      <c r="O816" s="36" t="n"/>
    </row>
    <row r="817">
      <c r="A817" s="32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>
        <f>IF(COUNTA(B817:K817)&lt;10,"",MAX(300,ROUND(((((B817*1.4)+(C817*1.1)+(D817*1.1)+(E817*1)+(F817*1.1)+(G817*1)+(H817*1.6)+(I817*0.9)+(J817*1)+(K817*0.8))/11-1)/4)*20000,0)))</f>
        <v/>
      </c>
      <c r="M817" s="36">
        <f>IF(L817="","",MIN(100,ROUND(L817/200,0)))</f>
        <v/>
      </c>
      <c r="N817" s="36" t="n"/>
      <c r="O817" s="36" t="n"/>
    </row>
    <row r="818">
      <c r="A818" s="32" t="n"/>
      <c r="B818" s="36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>
        <f>IF(COUNTA(B818:K818)&lt;10,"",MAX(300,ROUND(((((B818*1.4)+(C818*1.1)+(D818*1.1)+(E818*1)+(F818*1.1)+(G818*1)+(H818*1.6)+(I818*0.9)+(J818*1)+(K818*0.8))/11-1)/4)*20000,0)))</f>
        <v/>
      </c>
      <c r="M818" s="36">
        <f>IF(L818="","",MIN(100,ROUND(L818/200,0)))</f>
        <v/>
      </c>
      <c r="N818" s="36" t="n"/>
      <c r="O818" s="36" t="n"/>
    </row>
    <row r="819">
      <c r="A819" s="32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>
        <f>IF(COUNTA(B819:K819)&lt;10,"",MAX(300,ROUND(((((B819*1.4)+(C819*1.1)+(D819*1.1)+(E819*1)+(F819*1.1)+(G819*1)+(H819*1.6)+(I819*0.9)+(J819*1)+(K819*0.8))/11-1)/4)*20000,0)))</f>
        <v/>
      </c>
      <c r="M819" s="36">
        <f>IF(L819="","",MIN(100,ROUND(L819/200,0)))</f>
        <v/>
      </c>
      <c r="N819" s="36" t="n"/>
      <c r="O819" s="36" t="n"/>
    </row>
    <row r="820">
      <c r="A820" s="32" t="n"/>
      <c r="B820" s="36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>
        <f>IF(COUNTA(B820:K820)&lt;10,"",MAX(300,ROUND(((((B820*1.4)+(C820*1.1)+(D820*1.1)+(E820*1)+(F820*1.1)+(G820*1)+(H820*1.6)+(I820*0.9)+(J820*1)+(K820*0.8))/11-1)/4)*20000,0)))</f>
        <v/>
      </c>
      <c r="M820" s="36">
        <f>IF(L820="","",MIN(100,ROUND(L820/200,0)))</f>
        <v/>
      </c>
      <c r="N820" s="36" t="n"/>
      <c r="O820" s="36" t="n"/>
    </row>
    <row r="821">
      <c r="A821" s="32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>
        <f>IF(COUNTA(B821:K821)&lt;10,"",MAX(300,ROUND(((((B821*1.4)+(C821*1.1)+(D821*1.1)+(E821*1)+(F821*1.1)+(G821*1)+(H821*1.6)+(I821*0.9)+(J821*1)+(K821*0.8))/11-1)/4)*20000,0)))</f>
        <v/>
      </c>
      <c r="M821" s="36">
        <f>IF(L821="","",MIN(100,ROUND(L821/200,0)))</f>
        <v/>
      </c>
      <c r="N821" s="36" t="n"/>
      <c r="O821" s="36" t="n"/>
    </row>
    <row r="822">
      <c r="A822" s="32" t="n"/>
      <c r="B822" s="36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>
        <f>IF(COUNTA(B822:K822)&lt;10,"",MAX(300,ROUND(((((B822*1.4)+(C822*1.1)+(D822*1.1)+(E822*1)+(F822*1.1)+(G822*1)+(H822*1.6)+(I822*0.9)+(J822*1)+(K822*0.8))/11-1)/4)*20000,0)))</f>
        <v/>
      </c>
      <c r="M822" s="36">
        <f>IF(L822="","",MIN(100,ROUND(L822/200,0)))</f>
        <v/>
      </c>
      <c r="N822" s="36" t="n"/>
      <c r="O822" s="36" t="n"/>
    </row>
    <row r="823">
      <c r="A823" s="32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>
        <f>IF(COUNTA(B823:K823)&lt;10,"",MAX(300,ROUND(((((B823*1.4)+(C823*1.1)+(D823*1.1)+(E823*1)+(F823*1.1)+(G823*1)+(H823*1.6)+(I823*0.9)+(J823*1)+(K823*0.8))/11-1)/4)*20000,0)))</f>
        <v/>
      </c>
      <c r="M823" s="36">
        <f>IF(L823="","",MIN(100,ROUND(L823/200,0)))</f>
        <v/>
      </c>
      <c r="N823" s="36" t="n"/>
      <c r="O823" s="36" t="n"/>
    </row>
    <row r="824">
      <c r="A824" s="32" t="n"/>
      <c r="B824" s="36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>
        <f>IF(COUNTA(B824:K824)&lt;10,"",MAX(300,ROUND(((((B824*1.4)+(C824*1.1)+(D824*1.1)+(E824*1)+(F824*1.1)+(G824*1)+(H824*1.6)+(I824*0.9)+(J824*1)+(K824*0.8))/11-1)/4)*20000,0)))</f>
        <v/>
      </c>
      <c r="M824" s="36">
        <f>IF(L824="","",MIN(100,ROUND(L824/200,0)))</f>
        <v/>
      </c>
      <c r="N824" s="36" t="n"/>
      <c r="O824" s="36" t="n"/>
    </row>
    <row r="825">
      <c r="A825" s="32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>
        <f>IF(COUNTA(B825:K825)&lt;10,"",MAX(300,ROUND(((((B825*1.4)+(C825*1.1)+(D825*1.1)+(E825*1)+(F825*1.1)+(G825*1)+(H825*1.6)+(I825*0.9)+(J825*1)+(K825*0.8))/11-1)/4)*20000,0)))</f>
        <v/>
      </c>
      <c r="M825" s="36">
        <f>IF(L825="","",MIN(100,ROUND(L825/200,0)))</f>
        <v/>
      </c>
      <c r="N825" s="36" t="n"/>
      <c r="O825" s="36" t="n"/>
    </row>
    <row r="826">
      <c r="A826" s="32" t="n"/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>
        <f>IF(COUNTA(B826:K826)&lt;10,"",MAX(300,ROUND(((((B826*1.4)+(C826*1.1)+(D826*1.1)+(E826*1)+(F826*1.1)+(G826*1)+(H826*1.6)+(I826*0.9)+(J826*1)+(K826*0.8))/11-1)/4)*20000,0)))</f>
        <v/>
      </c>
      <c r="M826" s="36">
        <f>IF(L826="","",MIN(100,ROUND(L826/200,0)))</f>
        <v/>
      </c>
      <c r="N826" s="36" t="n"/>
      <c r="O826" s="36" t="n"/>
    </row>
    <row r="827">
      <c r="A827" s="32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>
        <f>IF(COUNTA(B827:K827)&lt;10,"",MAX(300,ROUND(((((B827*1.4)+(C827*1.1)+(D827*1.1)+(E827*1)+(F827*1.1)+(G827*1)+(H827*1.6)+(I827*0.9)+(J827*1)+(K827*0.8))/11-1)/4)*20000,0)))</f>
        <v/>
      </c>
      <c r="M827" s="36">
        <f>IF(L827="","",MIN(100,ROUND(L827/200,0)))</f>
        <v/>
      </c>
      <c r="N827" s="36" t="n"/>
      <c r="O827" s="36" t="n"/>
    </row>
    <row r="828">
      <c r="A828" s="32" t="n"/>
      <c r="B828" s="36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>
        <f>IF(COUNTA(B828:K828)&lt;10,"",MAX(300,ROUND(((((B828*1.4)+(C828*1.1)+(D828*1.1)+(E828*1)+(F828*1.1)+(G828*1)+(H828*1.6)+(I828*0.9)+(J828*1)+(K828*0.8))/11-1)/4)*20000,0)))</f>
        <v/>
      </c>
      <c r="M828" s="36">
        <f>IF(L828="","",MIN(100,ROUND(L828/200,0)))</f>
        <v/>
      </c>
      <c r="N828" s="36" t="n"/>
      <c r="O828" s="36" t="n"/>
    </row>
    <row r="829">
      <c r="A829" s="32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>
        <f>IF(COUNTA(B829:K829)&lt;10,"",MAX(300,ROUND(((((B829*1.4)+(C829*1.1)+(D829*1.1)+(E829*1)+(F829*1.1)+(G829*1)+(H829*1.6)+(I829*0.9)+(J829*1)+(K829*0.8))/11-1)/4)*20000,0)))</f>
        <v/>
      </c>
      <c r="M829" s="36">
        <f>IF(L829="","",MIN(100,ROUND(L829/200,0)))</f>
        <v/>
      </c>
      <c r="N829" s="36" t="n"/>
      <c r="O829" s="36" t="n"/>
    </row>
    <row r="830">
      <c r="A830" s="32" t="n"/>
      <c r="B830" s="36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>
        <f>IF(COUNTA(B830:K830)&lt;10,"",MAX(300,ROUND(((((B830*1.4)+(C830*1.1)+(D830*1.1)+(E830*1)+(F830*1.1)+(G830*1)+(H830*1.6)+(I830*0.9)+(J830*1)+(K830*0.8))/11-1)/4)*20000,0)))</f>
        <v/>
      </c>
      <c r="M830" s="36">
        <f>IF(L830="","",MIN(100,ROUND(L830/200,0)))</f>
        <v/>
      </c>
      <c r="N830" s="36" t="n"/>
      <c r="O830" s="36" t="n"/>
    </row>
    <row r="831">
      <c r="A831" s="32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>
        <f>IF(COUNTA(B831:K831)&lt;10,"",MAX(300,ROUND(((((B831*1.4)+(C831*1.1)+(D831*1.1)+(E831*1)+(F831*1.1)+(G831*1)+(H831*1.6)+(I831*0.9)+(J831*1)+(K831*0.8))/11-1)/4)*20000,0)))</f>
        <v/>
      </c>
      <c r="M831" s="36">
        <f>IF(L831="","",MIN(100,ROUND(L831/200,0)))</f>
        <v/>
      </c>
      <c r="N831" s="36" t="n"/>
      <c r="O831" s="36" t="n"/>
    </row>
    <row r="832">
      <c r="A832" s="32" t="n"/>
      <c r="B832" s="36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>
        <f>IF(COUNTA(B832:K832)&lt;10,"",MAX(300,ROUND(((((B832*1.4)+(C832*1.1)+(D832*1.1)+(E832*1)+(F832*1.1)+(G832*1)+(H832*1.6)+(I832*0.9)+(J832*1)+(K832*0.8))/11-1)/4)*20000,0)))</f>
        <v/>
      </c>
      <c r="M832" s="36">
        <f>IF(L832="","",MIN(100,ROUND(L832/200,0)))</f>
        <v/>
      </c>
      <c r="N832" s="36" t="n"/>
      <c r="O832" s="36" t="n"/>
    </row>
    <row r="833">
      <c r="A833" s="32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>
        <f>IF(COUNTA(B833:K833)&lt;10,"",MAX(300,ROUND(((((B833*1.4)+(C833*1.1)+(D833*1.1)+(E833*1)+(F833*1.1)+(G833*1)+(H833*1.6)+(I833*0.9)+(J833*1)+(K833*0.8))/11-1)/4)*20000,0)))</f>
        <v/>
      </c>
      <c r="M833" s="36">
        <f>IF(L833="","",MIN(100,ROUND(L833/200,0)))</f>
        <v/>
      </c>
      <c r="N833" s="36" t="n"/>
      <c r="O833" s="36" t="n"/>
    </row>
    <row r="834">
      <c r="A834" s="32" t="n"/>
      <c r="B834" s="36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>
        <f>IF(COUNTA(B834:K834)&lt;10,"",MAX(300,ROUND(((((B834*1.4)+(C834*1.1)+(D834*1.1)+(E834*1)+(F834*1.1)+(G834*1)+(H834*1.6)+(I834*0.9)+(J834*1)+(K834*0.8))/11-1)/4)*20000,0)))</f>
        <v/>
      </c>
      <c r="M834" s="36">
        <f>IF(L834="","",MIN(100,ROUND(L834/200,0)))</f>
        <v/>
      </c>
      <c r="N834" s="36" t="n"/>
      <c r="O834" s="36" t="n"/>
    </row>
    <row r="835">
      <c r="A835" s="32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>
        <f>IF(COUNTA(B835:K835)&lt;10,"",MAX(300,ROUND(((((B835*1.4)+(C835*1.1)+(D835*1.1)+(E835*1)+(F835*1.1)+(G835*1)+(H835*1.6)+(I835*0.9)+(J835*1)+(K835*0.8))/11-1)/4)*20000,0)))</f>
        <v/>
      </c>
      <c r="M835" s="36">
        <f>IF(L835="","",MIN(100,ROUND(L835/200,0)))</f>
        <v/>
      </c>
      <c r="N835" s="36" t="n"/>
      <c r="O835" s="36" t="n"/>
    </row>
    <row r="836">
      <c r="A836" s="32" t="n"/>
      <c r="B836" s="36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>
        <f>IF(COUNTA(B836:K836)&lt;10,"",MAX(300,ROUND(((((B836*1.4)+(C836*1.1)+(D836*1.1)+(E836*1)+(F836*1.1)+(G836*1)+(H836*1.6)+(I836*0.9)+(J836*1)+(K836*0.8))/11-1)/4)*20000,0)))</f>
        <v/>
      </c>
      <c r="M836" s="36">
        <f>IF(L836="","",MIN(100,ROUND(L836/200,0)))</f>
        <v/>
      </c>
      <c r="N836" s="36" t="n"/>
      <c r="O836" s="36" t="n"/>
    </row>
    <row r="837">
      <c r="A837" s="32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>
        <f>IF(COUNTA(B837:K837)&lt;10,"",MAX(300,ROUND(((((B837*1.4)+(C837*1.1)+(D837*1.1)+(E837*1)+(F837*1.1)+(G837*1)+(H837*1.6)+(I837*0.9)+(J837*1)+(K837*0.8))/11-1)/4)*20000,0)))</f>
        <v/>
      </c>
      <c r="M837" s="36">
        <f>IF(L837="","",MIN(100,ROUND(L837/200,0)))</f>
        <v/>
      </c>
      <c r="N837" s="36" t="n"/>
      <c r="O837" s="36" t="n"/>
    </row>
    <row r="838">
      <c r="A838" s="32" t="n"/>
      <c r="B838" s="36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>
        <f>IF(COUNTA(B838:K838)&lt;10,"",MAX(300,ROUND(((((B838*1.4)+(C838*1.1)+(D838*1.1)+(E838*1)+(F838*1.1)+(G838*1)+(H838*1.6)+(I838*0.9)+(J838*1)+(K838*0.8))/11-1)/4)*20000,0)))</f>
        <v/>
      </c>
      <c r="M838" s="36">
        <f>IF(L838="","",MIN(100,ROUND(L838/200,0)))</f>
        <v/>
      </c>
      <c r="N838" s="36" t="n"/>
      <c r="O838" s="36" t="n"/>
    </row>
    <row r="839">
      <c r="A839" s="32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>
        <f>IF(COUNTA(B839:K839)&lt;10,"",MAX(300,ROUND(((((B839*1.4)+(C839*1.1)+(D839*1.1)+(E839*1)+(F839*1.1)+(G839*1)+(H839*1.6)+(I839*0.9)+(J839*1)+(K839*0.8))/11-1)/4)*20000,0)))</f>
        <v/>
      </c>
      <c r="M839" s="36">
        <f>IF(L839="","",MIN(100,ROUND(L839/200,0)))</f>
        <v/>
      </c>
      <c r="N839" s="36" t="n"/>
      <c r="O839" s="36" t="n"/>
    </row>
    <row r="840">
      <c r="A840" s="32" t="n"/>
      <c r="B840" s="36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>
        <f>IF(COUNTA(B840:K840)&lt;10,"",MAX(300,ROUND(((((B840*1.4)+(C840*1.1)+(D840*1.1)+(E840*1)+(F840*1.1)+(G840*1)+(H840*1.6)+(I840*0.9)+(J840*1)+(K840*0.8))/11-1)/4)*20000,0)))</f>
        <v/>
      </c>
      <c r="M840" s="36">
        <f>IF(L840="","",MIN(100,ROUND(L840/200,0)))</f>
        <v/>
      </c>
      <c r="N840" s="36" t="n"/>
      <c r="O840" s="36" t="n"/>
    </row>
    <row r="841">
      <c r="A841" s="32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>
        <f>IF(COUNTA(B841:K841)&lt;10,"",MAX(300,ROUND(((((B841*1.4)+(C841*1.1)+(D841*1.1)+(E841*1)+(F841*1.1)+(G841*1)+(H841*1.6)+(I841*0.9)+(J841*1)+(K841*0.8))/11-1)/4)*20000,0)))</f>
        <v/>
      </c>
      <c r="M841" s="36">
        <f>IF(L841="","",MIN(100,ROUND(L841/200,0)))</f>
        <v/>
      </c>
      <c r="N841" s="36" t="n"/>
      <c r="O841" s="36" t="n"/>
    </row>
    <row r="842">
      <c r="A842" s="32" t="n"/>
      <c r="B842" s="36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>
        <f>IF(COUNTA(B842:K842)&lt;10,"",MAX(300,ROUND(((((B842*1.4)+(C842*1.1)+(D842*1.1)+(E842*1)+(F842*1.1)+(G842*1)+(H842*1.6)+(I842*0.9)+(J842*1)+(K842*0.8))/11-1)/4)*20000,0)))</f>
        <v/>
      </c>
      <c r="M842" s="36">
        <f>IF(L842="","",MIN(100,ROUND(L842/200,0)))</f>
        <v/>
      </c>
      <c r="N842" s="36" t="n"/>
      <c r="O842" s="36" t="n"/>
    </row>
    <row r="843">
      <c r="A843" s="32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>
        <f>IF(COUNTA(B843:K843)&lt;10,"",MAX(300,ROUND(((((B843*1.4)+(C843*1.1)+(D843*1.1)+(E843*1)+(F843*1.1)+(G843*1)+(H843*1.6)+(I843*0.9)+(J843*1)+(K843*0.8))/11-1)/4)*20000,0)))</f>
        <v/>
      </c>
      <c r="M843" s="36">
        <f>IF(L843="","",MIN(100,ROUND(L843/200,0)))</f>
        <v/>
      </c>
      <c r="N843" s="36" t="n"/>
      <c r="O843" s="36" t="n"/>
    </row>
    <row r="844">
      <c r="A844" s="32" t="n"/>
      <c r="B844" s="36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>
        <f>IF(COUNTA(B844:K844)&lt;10,"",MAX(300,ROUND(((((B844*1.4)+(C844*1.1)+(D844*1.1)+(E844*1)+(F844*1.1)+(G844*1)+(H844*1.6)+(I844*0.9)+(J844*1)+(K844*0.8))/11-1)/4)*20000,0)))</f>
        <v/>
      </c>
      <c r="M844" s="36">
        <f>IF(L844="","",MIN(100,ROUND(L844/200,0)))</f>
        <v/>
      </c>
      <c r="N844" s="36" t="n"/>
      <c r="O844" s="36" t="n"/>
    </row>
    <row r="845">
      <c r="A845" s="32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>
        <f>IF(COUNTA(B845:K845)&lt;10,"",MAX(300,ROUND(((((B845*1.4)+(C845*1.1)+(D845*1.1)+(E845*1)+(F845*1.1)+(G845*1)+(H845*1.6)+(I845*0.9)+(J845*1)+(K845*0.8))/11-1)/4)*20000,0)))</f>
        <v/>
      </c>
      <c r="M845" s="36">
        <f>IF(L845="","",MIN(100,ROUND(L845/200,0)))</f>
        <v/>
      </c>
      <c r="N845" s="36" t="n"/>
      <c r="O845" s="36" t="n"/>
    </row>
    <row r="846">
      <c r="A846" s="32" t="n"/>
      <c r="B846" s="36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>
        <f>IF(COUNTA(B846:K846)&lt;10,"",MAX(300,ROUND(((((B846*1.4)+(C846*1.1)+(D846*1.1)+(E846*1)+(F846*1.1)+(G846*1)+(H846*1.6)+(I846*0.9)+(J846*1)+(K846*0.8))/11-1)/4)*20000,0)))</f>
        <v/>
      </c>
      <c r="M846" s="36">
        <f>IF(L846="","",MIN(100,ROUND(L846/200,0)))</f>
        <v/>
      </c>
      <c r="N846" s="36" t="n"/>
      <c r="O846" s="36" t="n"/>
    </row>
    <row r="847">
      <c r="A847" s="32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>
        <f>IF(COUNTA(B847:K847)&lt;10,"",MAX(300,ROUND(((((B847*1.4)+(C847*1.1)+(D847*1.1)+(E847*1)+(F847*1.1)+(G847*1)+(H847*1.6)+(I847*0.9)+(J847*1)+(K847*0.8))/11-1)/4)*20000,0)))</f>
        <v/>
      </c>
      <c r="M847" s="36">
        <f>IF(L847="","",MIN(100,ROUND(L847/200,0)))</f>
        <v/>
      </c>
      <c r="N847" s="36" t="n"/>
      <c r="O847" s="36" t="n"/>
    </row>
    <row r="848">
      <c r="A848" s="32" t="n"/>
      <c r="B848" s="36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>
        <f>IF(COUNTA(B848:K848)&lt;10,"",MAX(300,ROUND(((((B848*1.4)+(C848*1.1)+(D848*1.1)+(E848*1)+(F848*1.1)+(G848*1)+(H848*1.6)+(I848*0.9)+(J848*1)+(K848*0.8))/11-1)/4)*20000,0)))</f>
        <v/>
      </c>
      <c r="M848" s="36">
        <f>IF(L848="","",MIN(100,ROUND(L848/200,0)))</f>
        <v/>
      </c>
      <c r="N848" s="36" t="n"/>
      <c r="O848" s="36" t="n"/>
    </row>
    <row r="849">
      <c r="A849" s="32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>
        <f>IF(COUNTA(B849:K849)&lt;10,"",MAX(300,ROUND(((((B849*1.4)+(C849*1.1)+(D849*1.1)+(E849*1)+(F849*1.1)+(G849*1)+(H849*1.6)+(I849*0.9)+(J849*1)+(K849*0.8))/11-1)/4)*20000,0)))</f>
        <v/>
      </c>
      <c r="M849" s="36">
        <f>IF(L849="","",MIN(100,ROUND(L849/200,0)))</f>
        <v/>
      </c>
      <c r="N849" s="36" t="n"/>
      <c r="O849" s="36" t="n"/>
    </row>
    <row r="850">
      <c r="A850" s="32" t="n"/>
      <c r="B850" s="36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>
        <f>IF(COUNTA(B850:K850)&lt;10,"",MAX(300,ROUND(((((B850*1.4)+(C850*1.1)+(D850*1.1)+(E850*1)+(F850*1.1)+(G850*1)+(H850*1.6)+(I850*0.9)+(J850*1)+(K850*0.8))/11-1)/4)*20000,0)))</f>
        <v/>
      </c>
      <c r="M850" s="36">
        <f>IF(L850="","",MIN(100,ROUND(L850/200,0)))</f>
        <v/>
      </c>
      <c r="N850" s="36" t="n"/>
      <c r="O850" s="36" t="n"/>
    </row>
    <row r="851">
      <c r="A851" s="32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>
        <f>IF(COUNTA(B851:K851)&lt;10,"",MAX(300,ROUND(((((B851*1.4)+(C851*1.1)+(D851*1.1)+(E851*1)+(F851*1.1)+(G851*1)+(H851*1.6)+(I851*0.9)+(J851*1)+(K851*0.8))/11-1)/4)*20000,0)))</f>
        <v/>
      </c>
      <c r="M851" s="36">
        <f>IF(L851="","",MIN(100,ROUND(L851/200,0)))</f>
        <v/>
      </c>
      <c r="N851" s="36" t="n"/>
      <c r="O851" s="36" t="n"/>
    </row>
    <row r="852">
      <c r="A852" s="32" t="n"/>
      <c r="B852" s="36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>
        <f>IF(COUNTA(B852:K852)&lt;10,"",MAX(300,ROUND(((((B852*1.4)+(C852*1.1)+(D852*1.1)+(E852*1)+(F852*1.1)+(G852*1)+(H852*1.6)+(I852*0.9)+(J852*1)+(K852*0.8))/11-1)/4)*20000,0)))</f>
        <v/>
      </c>
      <c r="M852" s="36">
        <f>IF(L852="","",MIN(100,ROUND(L852/200,0)))</f>
        <v/>
      </c>
      <c r="N852" s="36" t="n"/>
      <c r="O852" s="36" t="n"/>
    </row>
    <row r="853">
      <c r="A853" s="32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>
        <f>IF(COUNTA(B853:K853)&lt;10,"",MAX(300,ROUND(((((B853*1.4)+(C853*1.1)+(D853*1.1)+(E853*1)+(F853*1.1)+(G853*1)+(H853*1.6)+(I853*0.9)+(J853*1)+(K853*0.8))/11-1)/4)*20000,0)))</f>
        <v/>
      </c>
      <c r="M853" s="36">
        <f>IF(L853="","",MIN(100,ROUND(L853/200,0)))</f>
        <v/>
      </c>
      <c r="N853" s="36" t="n"/>
      <c r="O853" s="36" t="n"/>
    </row>
    <row r="854">
      <c r="A854" s="32" t="n"/>
      <c r="B854" s="36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>
        <f>IF(COUNTA(B854:K854)&lt;10,"",MAX(300,ROUND(((((B854*1.4)+(C854*1.1)+(D854*1.1)+(E854*1)+(F854*1.1)+(G854*1)+(H854*1.6)+(I854*0.9)+(J854*1)+(K854*0.8))/11-1)/4)*20000,0)))</f>
        <v/>
      </c>
      <c r="M854" s="36">
        <f>IF(L854="","",MIN(100,ROUND(L854/200,0)))</f>
        <v/>
      </c>
      <c r="N854" s="36" t="n"/>
      <c r="O854" s="36" t="n"/>
    </row>
    <row r="855">
      <c r="A855" s="32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>
        <f>IF(COUNTA(B855:K855)&lt;10,"",MAX(300,ROUND(((((B855*1.4)+(C855*1.1)+(D855*1.1)+(E855*1)+(F855*1.1)+(G855*1)+(H855*1.6)+(I855*0.9)+(J855*1)+(K855*0.8))/11-1)/4)*20000,0)))</f>
        <v/>
      </c>
      <c r="M855" s="36">
        <f>IF(L855="","",MIN(100,ROUND(L855/200,0)))</f>
        <v/>
      </c>
      <c r="N855" s="36" t="n"/>
      <c r="O855" s="36" t="n"/>
    </row>
    <row r="856">
      <c r="A856" s="32" t="n"/>
      <c r="B856" s="36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>
        <f>IF(COUNTA(B856:K856)&lt;10,"",MAX(300,ROUND(((((B856*1.4)+(C856*1.1)+(D856*1.1)+(E856*1)+(F856*1.1)+(G856*1)+(H856*1.6)+(I856*0.9)+(J856*1)+(K856*0.8))/11-1)/4)*20000,0)))</f>
        <v/>
      </c>
      <c r="M856" s="36">
        <f>IF(L856="","",MIN(100,ROUND(L856/200,0)))</f>
        <v/>
      </c>
      <c r="N856" s="36" t="n"/>
      <c r="O856" s="36" t="n"/>
    </row>
    <row r="857">
      <c r="A857" s="32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>
        <f>IF(COUNTA(B857:K857)&lt;10,"",MAX(300,ROUND(((((B857*1.4)+(C857*1.1)+(D857*1.1)+(E857*1)+(F857*1.1)+(G857*1)+(H857*1.6)+(I857*0.9)+(J857*1)+(K857*0.8))/11-1)/4)*20000,0)))</f>
        <v/>
      </c>
      <c r="M857" s="36">
        <f>IF(L857="","",MIN(100,ROUND(L857/200,0)))</f>
        <v/>
      </c>
      <c r="N857" s="36" t="n"/>
      <c r="O857" s="36" t="n"/>
    </row>
    <row r="858">
      <c r="A858" s="32" t="n"/>
      <c r="B858" s="36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>
        <f>IF(COUNTA(B858:K858)&lt;10,"",MAX(300,ROUND(((((B858*1.4)+(C858*1.1)+(D858*1.1)+(E858*1)+(F858*1.1)+(G858*1)+(H858*1.6)+(I858*0.9)+(J858*1)+(K858*0.8))/11-1)/4)*20000,0)))</f>
        <v/>
      </c>
      <c r="M858" s="36">
        <f>IF(L858="","",MIN(100,ROUND(L858/200,0)))</f>
        <v/>
      </c>
      <c r="N858" s="36" t="n"/>
      <c r="O858" s="36" t="n"/>
    </row>
    <row r="859">
      <c r="A859" s="32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>
        <f>IF(COUNTA(B859:K859)&lt;10,"",MAX(300,ROUND(((((B859*1.4)+(C859*1.1)+(D859*1.1)+(E859*1)+(F859*1.1)+(G859*1)+(H859*1.6)+(I859*0.9)+(J859*1)+(K859*0.8))/11-1)/4)*20000,0)))</f>
        <v/>
      </c>
      <c r="M859" s="36">
        <f>IF(L859="","",MIN(100,ROUND(L859/200,0)))</f>
        <v/>
      </c>
      <c r="N859" s="36" t="n"/>
      <c r="O859" s="36" t="n"/>
    </row>
    <row r="860">
      <c r="A860" s="32" t="n"/>
      <c r="B860" s="36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>
        <f>IF(COUNTA(B860:K860)&lt;10,"",MAX(300,ROUND(((((B860*1.4)+(C860*1.1)+(D860*1.1)+(E860*1)+(F860*1.1)+(G860*1)+(H860*1.6)+(I860*0.9)+(J860*1)+(K860*0.8))/11-1)/4)*20000,0)))</f>
        <v/>
      </c>
      <c r="M860" s="36">
        <f>IF(L860="","",MIN(100,ROUND(L860/200,0)))</f>
        <v/>
      </c>
      <c r="N860" s="36" t="n"/>
      <c r="O860" s="36" t="n"/>
    </row>
    <row r="861">
      <c r="A861" s="32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>
        <f>IF(COUNTA(B861:K861)&lt;10,"",MAX(300,ROUND(((((B861*1.4)+(C861*1.1)+(D861*1.1)+(E861*1)+(F861*1.1)+(G861*1)+(H861*1.6)+(I861*0.9)+(J861*1)+(K861*0.8))/11-1)/4)*20000,0)))</f>
        <v/>
      </c>
      <c r="M861" s="36">
        <f>IF(L861="","",MIN(100,ROUND(L861/200,0)))</f>
        <v/>
      </c>
      <c r="N861" s="36" t="n"/>
      <c r="O861" s="36" t="n"/>
    </row>
    <row r="862">
      <c r="A862" s="32" t="n"/>
      <c r="B862" s="36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>
        <f>IF(COUNTA(B862:K862)&lt;10,"",MAX(300,ROUND(((((B862*1.4)+(C862*1.1)+(D862*1.1)+(E862*1)+(F862*1.1)+(G862*1)+(H862*1.6)+(I862*0.9)+(J862*1)+(K862*0.8))/11-1)/4)*20000,0)))</f>
        <v/>
      </c>
      <c r="M862" s="36">
        <f>IF(L862="","",MIN(100,ROUND(L862/200,0)))</f>
        <v/>
      </c>
      <c r="N862" s="36" t="n"/>
      <c r="O862" s="36" t="n"/>
    </row>
    <row r="863">
      <c r="A863" s="32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>
        <f>IF(COUNTA(B863:K863)&lt;10,"",MAX(300,ROUND(((((B863*1.4)+(C863*1.1)+(D863*1.1)+(E863*1)+(F863*1.1)+(G863*1)+(H863*1.6)+(I863*0.9)+(J863*1)+(K863*0.8))/11-1)/4)*20000,0)))</f>
        <v/>
      </c>
      <c r="M863" s="36">
        <f>IF(L863="","",MIN(100,ROUND(L863/200,0)))</f>
        <v/>
      </c>
      <c r="N863" s="36" t="n"/>
      <c r="O863" s="36" t="n"/>
    </row>
    <row r="864">
      <c r="A864" s="32" t="n"/>
      <c r="B864" s="36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>
        <f>IF(COUNTA(B864:K864)&lt;10,"",MAX(300,ROUND(((((B864*1.4)+(C864*1.1)+(D864*1.1)+(E864*1)+(F864*1.1)+(G864*1)+(H864*1.6)+(I864*0.9)+(J864*1)+(K864*0.8))/11-1)/4)*20000,0)))</f>
        <v/>
      </c>
      <c r="M864" s="36">
        <f>IF(L864="","",MIN(100,ROUND(L864/200,0)))</f>
        <v/>
      </c>
      <c r="N864" s="36" t="n"/>
      <c r="O864" s="36" t="n"/>
    </row>
    <row r="865">
      <c r="A865" s="32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>
        <f>IF(COUNTA(B865:K865)&lt;10,"",MAX(300,ROUND(((((B865*1.4)+(C865*1.1)+(D865*1.1)+(E865*1)+(F865*1.1)+(G865*1)+(H865*1.6)+(I865*0.9)+(J865*1)+(K865*0.8))/11-1)/4)*20000,0)))</f>
        <v/>
      </c>
      <c r="M865" s="36">
        <f>IF(L865="","",MIN(100,ROUND(L865/200,0)))</f>
        <v/>
      </c>
      <c r="N865" s="36" t="n"/>
      <c r="O865" s="36" t="n"/>
    </row>
    <row r="866">
      <c r="A866" s="32" t="n"/>
      <c r="B866" s="36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>
        <f>IF(COUNTA(B866:K866)&lt;10,"",MAX(300,ROUND(((((B866*1.4)+(C866*1.1)+(D866*1.1)+(E866*1)+(F866*1.1)+(G866*1)+(H866*1.6)+(I866*0.9)+(J866*1)+(K866*0.8))/11-1)/4)*20000,0)))</f>
        <v/>
      </c>
      <c r="M866" s="36">
        <f>IF(L866="","",MIN(100,ROUND(L866/200,0)))</f>
        <v/>
      </c>
      <c r="N866" s="36" t="n"/>
      <c r="O866" s="36" t="n"/>
    </row>
    <row r="867">
      <c r="A867" s="32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>
        <f>IF(COUNTA(B867:K867)&lt;10,"",MAX(300,ROUND(((((B867*1.4)+(C867*1.1)+(D867*1.1)+(E867*1)+(F867*1.1)+(G867*1)+(H867*1.6)+(I867*0.9)+(J867*1)+(K867*0.8))/11-1)/4)*20000,0)))</f>
        <v/>
      </c>
      <c r="M867" s="36">
        <f>IF(L867="","",MIN(100,ROUND(L867/200,0)))</f>
        <v/>
      </c>
      <c r="N867" s="36" t="n"/>
      <c r="O867" s="36" t="n"/>
    </row>
    <row r="868">
      <c r="A868" s="32" t="n"/>
      <c r="B868" s="36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>
        <f>IF(COUNTA(B868:K868)&lt;10,"",MAX(300,ROUND(((((B868*1.4)+(C868*1.1)+(D868*1.1)+(E868*1)+(F868*1.1)+(G868*1)+(H868*1.6)+(I868*0.9)+(J868*1)+(K868*0.8))/11-1)/4)*20000,0)))</f>
        <v/>
      </c>
      <c r="M868" s="36">
        <f>IF(L868="","",MIN(100,ROUND(L868/200,0)))</f>
        <v/>
      </c>
      <c r="N868" s="36" t="n"/>
      <c r="O868" s="36" t="n"/>
    </row>
    <row r="869">
      <c r="A869" s="32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>
        <f>IF(COUNTA(B869:K869)&lt;10,"",MAX(300,ROUND(((((B869*1.4)+(C869*1.1)+(D869*1.1)+(E869*1)+(F869*1.1)+(G869*1)+(H869*1.6)+(I869*0.9)+(J869*1)+(K869*0.8))/11-1)/4)*20000,0)))</f>
        <v/>
      </c>
      <c r="M869" s="36">
        <f>IF(L869="","",MIN(100,ROUND(L869/200,0)))</f>
        <v/>
      </c>
      <c r="N869" s="36" t="n"/>
      <c r="O869" s="36" t="n"/>
    </row>
    <row r="870">
      <c r="A870" s="32" t="n"/>
      <c r="B870" s="36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>
        <f>IF(COUNTA(B870:K870)&lt;10,"",MAX(300,ROUND(((((B870*1.4)+(C870*1.1)+(D870*1.1)+(E870*1)+(F870*1.1)+(G870*1)+(H870*1.6)+(I870*0.9)+(J870*1)+(K870*0.8))/11-1)/4)*20000,0)))</f>
        <v/>
      </c>
      <c r="M870" s="36">
        <f>IF(L870="","",MIN(100,ROUND(L870/200,0)))</f>
        <v/>
      </c>
      <c r="N870" s="36" t="n"/>
      <c r="O870" s="36" t="n"/>
    </row>
    <row r="871">
      <c r="A871" s="32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>
        <f>IF(COUNTA(B871:K871)&lt;10,"",MAX(300,ROUND(((((B871*1.4)+(C871*1.1)+(D871*1.1)+(E871*1)+(F871*1.1)+(G871*1)+(H871*1.6)+(I871*0.9)+(J871*1)+(K871*0.8))/11-1)/4)*20000,0)))</f>
        <v/>
      </c>
      <c r="M871" s="36">
        <f>IF(L871="","",MIN(100,ROUND(L871/200,0)))</f>
        <v/>
      </c>
      <c r="N871" s="36" t="n"/>
      <c r="O871" s="36" t="n"/>
    </row>
    <row r="872">
      <c r="A872" s="32" t="n"/>
      <c r="B872" s="36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>
        <f>IF(COUNTA(B872:K872)&lt;10,"",MAX(300,ROUND(((((B872*1.4)+(C872*1.1)+(D872*1.1)+(E872*1)+(F872*1.1)+(G872*1)+(H872*1.6)+(I872*0.9)+(J872*1)+(K872*0.8))/11-1)/4)*20000,0)))</f>
        <v/>
      </c>
      <c r="M872" s="36">
        <f>IF(L872="","",MIN(100,ROUND(L872/200,0)))</f>
        <v/>
      </c>
      <c r="N872" s="36" t="n"/>
      <c r="O872" s="36" t="n"/>
    </row>
    <row r="873">
      <c r="A873" s="32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>
        <f>IF(COUNTA(B873:K873)&lt;10,"",MAX(300,ROUND(((((B873*1.4)+(C873*1.1)+(D873*1.1)+(E873*1)+(F873*1.1)+(G873*1)+(H873*1.6)+(I873*0.9)+(J873*1)+(K873*0.8))/11-1)/4)*20000,0)))</f>
        <v/>
      </c>
      <c r="M873" s="36">
        <f>IF(L873="","",MIN(100,ROUND(L873/200,0)))</f>
        <v/>
      </c>
      <c r="N873" s="36" t="n"/>
      <c r="O873" s="36" t="n"/>
    </row>
    <row r="874">
      <c r="A874" s="32" t="n"/>
      <c r="B874" s="36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>
        <f>IF(COUNTA(B874:K874)&lt;10,"",MAX(300,ROUND(((((B874*1.4)+(C874*1.1)+(D874*1.1)+(E874*1)+(F874*1.1)+(G874*1)+(H874*1.6)+(I874*0.9)+(J874*1)+(K874*0.8))/11-1)/4)*20000,0)))</f>
        <v/>
      </c>
      <c r="M874" s="36">
        <f>IF(L874="","",MIN(100,ROUND(L874/200,0)))</f>
        <v/>
      </c>
      <c r="N874" s="36" t="n"/>
      <c r="O874" s="36" t="n"/>
    </row>
    <row r="875">
      <c r="A875" s="32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>
        <f>IF(COUNTA(B875:K875)&lt;10,"",MAX(300,ROUND(((((B875*1.4)+(C875*1.1)+(D875*1.1)+(E875*1)+(F875*1.1)+(G875*1)+(H875*1.6)+(I875*0.9)+(J875*1)+(K875*0.8))/11-1)/4)*20000,0)))</f>
        <v/>
      </c>
      <c r="M875" s="36">
        <f>IF(L875="","",MIN(100,ROUND(L875/200,0)))</f>
        <v/>
      </c>
      <c r="N875" s="36" t="n"/>
      <c r="O875" s="36" t="n"/>
    </row>
    <row r="876">
      <c r="A876" s="32" t="n"/>
      <c r="B876" s="36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>
        <f>IF(COUNTA(B876:K876)&lt;10,"",MAX(300,ROUND(((((B876*1.4)+(C876*1.1)+(D876*1.1)+(E876*1)+(F876*1.1)+(G876*1)+(H876*1.6)+(I876*0.9)+(J876*1)+(K876*0.8))/11-1)/4)*20000,0)))</f>
        <v/>
      </c>
      <c r="M876" s="36">
        <f>IF(L876="","",MIN(100,ROUND(L876/200,0)))</f>
        <v/>
      </c>
      <c r="N876" s="36" t="n"/>
      <c r="O876" s="36" t="n"/>
    </row>
    <row r="877">
      <c r="A877" s="32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>
        <f>IF(COUNTA(B877:K877)&lt;10,"",MAX(300,ROUND(((((B877*1.4)+(C877*1.1)+(D877*1.1)+(E877*1)+(F877*1.1)+(G877*1)+(H877*1.6)+(I877*0.9)+(J877*1)+(K877*0.8))/11-1)/4)*20000,0)))</f>
        <v/>
      </c>
      <c r="M877" s="36">
        <f>IF(L877="","",MIN(100,ROUND(L877/200,0)))</f>
        <v/>
      </c>
      <c r="N877" s="36" t="n"/>
      <c r="O877" s="36" t="n"/>
    </row>
    <row r="878">
      <c r="A878" s="32" t="n"/>
      <c r="B878" s="36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>
        <f>IF(COUNTA(B878:K878)&lt;10,"",MAX(300,ROUND(((((B878*1.4)+(C878*1.1)+(D878*1.1)+(E878*1)+(F878*1.1)+(G878*1)+(H878*1.6)+(I878*0.9)+(J878*1)+(K878*0.8))/11-1)/4)*20000,0)))</f>
        <v/>
      </c>
      <c r="M878" s="36">
        <f>IF(L878="","",MIN(100,ROUND(L878/200,0)))</f>
        <v/>
      </c>
      <c r="N878" s="36" t="n"/>
      <c r="O878" s="36" t="n"/>
    </row>
    <row r="879">
      <c r="A879" s="32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>
        <f>IF(COUNTA(B879:K879)&lt;10,"",MAX(300,ROUND(((((B879*1.4)+(C879*1.1)+(D879*1.1)+(E879*1)+(F879*1.1)+(G879*1)+(H879*1.6)+(I879*0.9)+(J879*1)+(K879*0.8))/11-1)/4)*20000,0)))</f>
        <v/>
      </c>
      <c r="M879" s="36">
        <f>IF(L879="","",MIN(100,ROUND(L879/200,0)))</f>
        <v/>
      </c>
      <c r="N879" s="36" t="n"/>
      <c r="O879" s="36" t="n"/>
    </row>
    <row r="880">
      <c r="A880" s="32" t="n"/>
      <c r="B880" s="36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>
        <f>IF(COUNTA(B880:K880)&lt;10,"",MAX(300,ROUND(((((B880*1.4)+(C880*1.1)+(D880*1.1)+(E880*1)+(F880*1.1)+(G880*1)+(H880*1.6)+(I880*0.9)+(J880*1)+(K880*0.8))/11-1)/4)*20000,0)))</f>
        <v/>
      </c>
      <c r="M880" s="36">
        <f>IF(L880="","",MIN(100,ROUND(L880/200,0)))</f>
        <v/>
      </c>
      <c r="N880" s="36" t="n"/>
      <c r="O880" s="36" t="n"/>
    </row>
    <row r="881">
      <c r="A881" s="32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>
        <f>IF(COUNTA(B881:K881)&lt;10,"",MAX(300,ROUND(((((B881*1.4)+(C881*1.1)+(D881*1.1)+(E881*1)+(F881*1.1)+(G881*1)+(H881*1.6)+(I881*0.9)+(J881*1)+(K881*0.8))/11-1)/4)*20000,0)))</f>
        <v/>
      </c>
      <c r="M881" s="36">
        <f>IF(L881="","",MIN(100,ROUND(L881/200,0)))</f>
        <v/>
      </c>
      <c r="N881" s="36" t="n"/>
      <c r="O881" s="36" t="n"/>
    </row>
    <row r="882">
      <c r="A882" s="32" t="n"/>
      <c r="B882" s="36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>
        <f>IF(COUNTA(B882:K882)&lt;10,"",MAX(300,ROUND(((((B882*1.4)+(C882*1.1)+(D882*1.1)+(E882*1)+(F882*1.1)+(G882*1)+(H882*1.6)+(I882*0.9)+(J882*1)+(K882*0.8))/11-1)/4)*20000,0)))</f>
        <v/>
      </c>
      <c r="M882" s="36">
        <f>IF(L882="","",MIN(100,ROUND(L882/200,0)))</f>
        <v/>
      </c>
      <c r="N882" s="36" t="n"/>
      <c r="O882" s="36" t="n"/>
    </row>
    <row r="883">
      <c r="A883" s="32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>
        <f>IF(COUNTA(B883:K883)&lt;10,"",MAX(300,ROUND(((((B883*1.4)+(C883*1.1)+(D883*1.1)+(E883*1)+(F883*1.1)+(G883*1)+(H883*1.6)+(I883*0.9)+(J883*1)+(K883*0.8))/11-1)/4)*20000,0)))</f>
        <v/>
      </c>
      <c r="M883" s="36">
        <f>IF(L883="","",MIN(100,ROUND(L883/200,0)))</f>
        <v/>
      </c>
      <c r="N883" s="36" t="n"/>
      <c r="O883" s="36" t="n"/>
    </row>
    <row r="884">
      <c r="A884" s="32" t="n"/>
      <c r="B884" s="36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>
        <f>IF(COUNTA(B884:K884)&lt;10,"",MAX(300,ROUND(((((B884*1.4)+(C884*1.1)+(D884*1.1)+(E884*1)+(F884*1.1)+(G884*1)+(H884*1.6)+(I884*0.9)+(J884*1)+(K884*0.8))/11-1)/4)*20000,0)))</f>
        <v/>
      </c>
      <c r="M884" s="36">
        <f>IF(L884="","",MIN(100,ROUND(L884/200,0)))</f>
        <v/>
      </c>
      <c r="N884" s="36" t="n"/>
      <c r="O884" s="36" t="n"/>
    </row>
    <row r="885">
      <c r="A885" s="32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>
        <f>IF(COUNTA(B885:K885)&lt;10,"",MAX(300,ROUND(((((B885*1.4)+(C885*1.1)+(D885*1.1)+(E885*1)+(F885*1.1)+(G885*1)+(H885*1.6)+(I885*0.9)+(J885*1)+(K885*0.8))/11-1)/4)*20000,0)))</f>
        <v/>
      </c>
      <c r="M885" s="36">
        <f>IF(L885="","",MIN(100,ROUND(L885/200,0)))</f>
        <v/>
      </c>
      <c r="N885" s="36" t="n"/>
      <c r="O885" s="36" t="n"/>
    </row>
    <row r="886">
      <c r="A886" s="32" t="n"/>
      <c r="B886" s="36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>
        <f>IF(COUNTA(B886:K886)&lt;10,"",MAX(300,ROUND(((((B886*1.4)+(C886*1.1)+(D886*1.1)+(E886*1)+(F886*1.1)+(G886*1)+(H886*1.6)+(I886*0.9)+(J886*1)+(K886*0.8))/11-1)/4)*20000,0)))</f>
        <v/>
      </c>
      <c r="M886" s="36">
        <f>IF(L886="","",MIN(100,ROUND(L886/200,0)))</f>
        <v/>
      </c>
      <c r="N886" s="36" t="n"/>
      <c r="O886" s="36" t="n"/>
    </row>
    <row r="887">
      <c r="A887" s="32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>
        <f>IF(COUNTA(B887:K887)&lt;10,"",MAX(300,ROUND(((((B887*1.4)+(C887*1.1)+(D887*1.1)+(E887*1)+(F887*1.1)+(G887*1)+(H887*1.6)+(I887*0.9)+(J887*1)+(K887*0.8))/11-1)/4)*20000,0)))</f>
        <v/>
      </c>
      <c r="M887" s="36">
        <f>IF(L887="","",MIN(100,ROUND(L887/200,0)))</f>
        <v/>
      </c>
      <c r="N887" s="36" t="n"/>
      <c r="O887" s="36" t="n"/>
    </row>
    <row r="888">
      <c r="A888" s="32" t="n"/>
      <c r="B888" s="36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>
        <f>IF(COUNTA(B888:K888)&lt;10,"",MAX(300,ROUND(((((B888*1.4)+(C888*1.1)+(D888*1.1)+(E888*1)+(F888*1.1)+(G888*1)+(H888*1.6)+(I888*0.9)+(J888*1)+(K888*0.8))/11-1)/4)*20000,0)))</f>
        <v/>
      </c>
      <c r="M888" s="36">
        <f>IF(L888="","",MIN(100,ROUND(L888/200,0)))</f>
        <v/>
      </c>
      <c r="N888" s="36" t="n"/>
      <c r="O888" s="36" t="n"/>
    </row>
    <row r="889">
      <c r="A889" s="32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>
        <f>IF(COUNTA(B889:K889)&lt;10,"",MAX(300,ROUND(((((B889*1.4)+(C889*1.1)+(D889*1.1)+(E889*1)+(F889*1.1)+(G889*1)+(H889*1.6)+(I889*0.9)+(J889*1)+(K889*0.8))/11-1)/4)*20000,0)))</f>
        <v/>
      </c>
      <c r="M889" s="36">
        <f>IF(L889="","",MIN(100,ROUND(L889/200,0)))</f>
        <v/>
      </c>
      <c r="N889" s="36" t="n"/>
      <c r="O889" s="36" t="n"/>
    </row>
    <row r="890">
      <c r="A890" s="32" t="n"/>
      <c r="B890" s="36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>
        <f>IF(COUNTA(B890:K890)&lt;10,"",MAX(300,ROUND(((((B890*1.4)+(C890*1.1)+(D890*1.1)+(E890*1)+(F890*1.1)+(G890*1)+(H890*1.6)+(I890*0.9)+(J890*1)+(K890*0.8))/11-1)/4)*20000,0)))</f>
        <v/>
      </c>
      <c r="M890" s="36">
        <f>IF(L890="","",MIN(100,ROUND(L890/200,0)))</f>
        <v/>
      </c>
      <c r="N890" s="36" t="n"/>
      <c r="O890" s="36" t="n"/>
    </row>
    <row r="891">
      <c r="A891" s="32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>
        <f>IF(COUNTA(B891:K891)&lt;10,"",MAX(300,ROUND(((((B891*1.4)+(C891*1.1)+(D891*1.1)+(E891*1)+(F891*1.1)+(G891*1)+(H891*1.6)+(I891*0.9)+(J891*1)+(K891*0.8))/11-1)/4)*20000,0)))</f>
        <v/>
      </c>
      <c r="M891" s="36">
        <f>IF(L891="","",MIN(100,ROUND(L891/200,0)))</f>
        <v/>
      </c>
      <c r="N891" s="36" t="n"/>
      <c r="O891" s="36" t="n"/>
    </row>
    <row r="892">
      <c r="A892" s="32" t="n"/>
      <c r="B892" s="36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>
        <f>IF(COUNTA(B892:K892)&lt;10,"",MAX(300,ROUND(((((B892*1.4)+(C892*1.1)+(D892*1.1)+(E892*1)+(F892*1.1)+(G892*1)+(H892*1.6)+(I892*0.9)+(J892*1)+(K892*0.8))/11-1)/4)*20000,0)))</f>
        <v/>
      </c>
      <c r="M892" s="36">
        <f>IF(L892="","",MIN(100,ROUND(L892/200,0)))</f>
        <v/>
      </c>
      <c r="N892" s="36" t="n"/>
      <c r="O892" s="36" t="n"/>
    </row>
    <row r="893">
      <c r="A893" s="32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>
        <f>IF(COUNTA(B893:K893)&lt;10,"",MAX(300,ROUND(((((B893*1.4)+(C893*1.1)+(D893*1.1)+(E893*1)+(F893*1.1)+(G893*1)+(H893*1.6)+(I893*0.9)+(J893*1)+(K893*0.8))/11-1)/4)*20000,0)))</f>
        <v/>
      </c>
      <c r="M893" s="36">
        <f>IF(L893="","",MIN(100,ROUND(L893/200,0)))</f>
        <v/>
      </c>
      <c r="N893" s="36" t="n"/>
      <c r="O893" s="36" t="n"/>
    </row>
    <row r="894">
      <c r="A894" s="32" t="n"/>
      <c r="B894" s="36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>
        <f>IF(COUNTA(B894:K894)&lt;10,"",MAX(300,ROUND(((((B894*1.4)+(C894*1.1)+(D894*1.1)+(E894*1)+(F894*1.1)+(G894*1)+(H894*1.6)+(I894*0.9)+(J894*1)+(K894*0.8))/11-1)/4)*20000,0)))</f>
        <v/>
      </c>
      <c r="M894" s="36">
        <f>IF(L894="","",MIN(100,ROUND(L894/200,0)))</f>
        <v/>
      </c>
      <c r="N894" s="36" t="n"/>
      <c r="O894" s="36" t="n"/>
    </row>
    <row r="895">
      <c r="A895" s="32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>
        <f>IF(COUNTA(B895:K895)&lt;10,"",MAX(300,ROUND(((((B895*1.4)+(C895*1.1)+(D895*1.1)+(E895*1)+(F895*1.1)+(G895*1)+(H895*1.6)+(I895*0.9)+(J895*1)+(K895*0.8))/11-1)/4)*20000,0)))</f>
        <v/>
      </c>
      <c r="M895" s="36">
        <f>IF(L895="","",MIN(100,ROUND(L895/200,0)))</f>
        <v/>
      </c>
      <c r="N895" s="36" t="n"/>
      <c r="O895" s="36" t="n"/>
    </row>
    <row r="896">
      <c r="A896" s="32" t="n"/>
      <c r="B896" s="36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>
        <f>IF(COUNTA(B896:K896)&lt;10,"",MAX(300,ROUND(((((B896*1.4)+(C896*1.1)+(D896*1.1)+(E896*1)+(F896*1.1)+(G896*1)+(H896*1.6)+(I896*0.9)+(J896*1)+(K896*0.8))/11-1)/4)*20000,0)))</f>
        <v/>
      </c>
      <c r="M896" s="36">
        <f>IF(L896="","",MIN(100,ROUND(L896/200,0)))</f>
        <v/>
      </c>
      <c r="N896" s="36" t="n"/>
      <c r="O896" s="36" t="n"/>
    </row>
    <row r="897">
      <c r="A897" s="32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>
        <f>IF(COUNTA(B897:K897)&lt;10,"",MAX(300,ROUND(((((B897*1.4)+(C897*1.1)+(D897*1.1)+(E897*1)+(F897*1.1)+(G897*1)+(H897*1.6)+(I897*0.9)+(J897*1)+(K897*0.8))/11-1)/4)*20000,0)))</f>
        <v/>
      </c>
      <c r="M897" s="36">
        <f>IF(L897="","",MIN(100,ROUND(L897/200,0)))</f>
        <v/>
      </c>
      <c r="N897" s="36" t="n"/>
      <c r="O897" s="36" t="n"/>
    </row>
    <row r="898">
      <c r="A898" s="32" t="n"/>
      <c r="B898" s="36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>
        <f>IF(COUNTA(B898:K898)&lt;10,"",MAX(300,ROUND(((((B898*1.4)+(C898*1.1)+(D898*1.1)+(E898*1)+(F898*1.1)+(G898*1)+(H898*1.6)+(I898*0.9)+(J898*1)+(K898*0.8))/11-1)/4)*20000,0)))</f>
        <v/>
      </c>
      <c r="M898" s="36">
        <f>IF(L898="","",MIN(100,ROUND(L898/200,0)))</f>
        <v/>
      </c>
      <c r="N898" s="36" t="n"/>
      <c r="O898" s="36" t="n"/>
    </row>
    <row r="899">
      <c r="A899" s="32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>
        <f>IF(COUNTA(B899:K899)&lt;10,"",MAX(300,ROUND(((((B899*1.4)+(C899*1.1)+(D899*1.1)+(E899*1)+(F899*1.1)+(G899*1)+(H899*1.6)+(I899*0.9)+(J899*1)+(K899*0.8))/11-1)/4)*20000,0)))</f>
        <v/>
      </c>
      <c r="M899" s="36">
        <f>IF(L899="","",MIN(100,ROUND(L899/200,0)))</f>
        <v/>
      </c>
      <c r="N899" s="36" t="n"/>
      <c r="O899" s="36" t="n"/>
    </row>
    <row r="900">
      <c r="A900" s="32" t="n"/>
      <c r="B900" s="36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>
        <f>IF(COUNTA(B900:K900)&lt;10,"",MAX(300,ROUND(((((B900*1.4)+(C900*1.1)+(D900*1.1)+(E900*1)+(F900*1.1)+(G900*1)+(H900*1.6)+(I900*0.9)+(J900*1)+(K900*0.8))/11-1)/4)*20000,0)))</f>
        <v/>
      </c>
      <c r="M900" s="36">
        <f>IF(L900="","",MIN(100,ROUND(L900/200,0)))</f>
        <v/>
      </c>
      <c r="N900" s="36" t="n"/>
      <c r="O900" s="36" t="n"/>
    </row>
    <row r="901">
      <c r="A901" s="32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>
        <f>IF(COUNTA(B901:K901)&lt;10,"",MAX(300,ROUND(((((B901*1.4)+(C901*1.1)+(D901*1.1)+(E901*1)+(F901*1.1)+(G901*1)+(H901*1.6)+(I901*0.9)+(J901*1)+(K901*0.8))/11-1)/4)*20000,0)))</f>
        <v/>
      </c>
      <c r="M901" s="36">
        <f>IF(L901="","",MIN(100,ROUND(L901/200,0)))</f>
        <v/>
      </c>
      <c r="N901" s="36" t="n"/>
      <c r="O901" s="36" t="n"/>
    </row>
    <row r="902">
      <c r="A902" s="32" t="n"/>
      <c r="B902" s="36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>
        <f>IF(COUNTA(B902:K902)&lt;10,"",MAX(300,ROUND(((((B902*1.4)+(C902*1.1)+(D902*1.1)+(E902*1)+(F902*1.1)+(G902*1)+(H902*1.6)+(I902*0.9)+(J902*1)+(K902*0.8))/11-1)/4)*20000,0)))</f>
        <v/>
      </c>
      <c r="M902" s="36">
        <f>IF(L902="","",MIN(100,ROUND(L902/200,0)))</f>
        <v/>
      </c>
      <c r="N902" s="36" t="n"/>
      <c r="O902" s="36" t="n"/>
    </row>
    <row r="903">
      <c r="A903" s="32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>
        <f>IF(COUNTA(B903:K903)&lt;10,"",MAX(300,ROUND(((((B903*1.4)+(C903*1.1)+(D903*1.1)+(E903*1)+(F903*1.1)+(G903*1)+(H903*1.6)+(I903*0.9)+(J903*1)+(K903*0.8))/11-1)/4)*20000,0)))</f>
        <v/>
      </c>
      <c r="M903" s="36">
        <f>IF(L903="","",MIN(100,ROUND(L903/200,0)))</f>
        <v/>
      </c>
      <c r="N903" s="36" t="n"/>
      <c r="O903" s="36" t="n"/>
    </row>
    <row r="904">
      <c r="A904" s="32" t="n"/>
      <c r="B904" s="36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>
        <f>IF(COUNTA(B904:K904)&lt;10,"",MAX(300,ROUND(((((B904*1.4)+(C904*1.1)+(D904*1.1)+(E904*1)+(F904*1.1)+(G904*1)+(H904*1.6)+(I904*0.9)+(J904*1)+(K904*0.8))/11-1)/4)*20000,0)))</f>
        <v/>
      </c>
      <c r="M904" s="36">
        <f>IF(L904="","",MIN(100,ROUND(L904/200,0)))</f>
        <v/>
      </c>
      <c r="N904" s="36" t="n"/>
      <c r="O904" s="36" t="n"/>
    </row>
    <row r="905">
      <c r="A905" s="32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>
        <f>IF(COUNTA(B905:K905)&lt;10,"",MAX(300,ROUND(((((B905*1.4)+(C905*1.1)+(D905*1.1)+(E905*1)+(F905*1.1)+(G905*1)+(H905*1.6)+(I905*0.9)+(J905*1)+(K905*0.8))/11-1)/4)*20000,0)))</f>
        <v/>
      </c>
      <c r="M905" s="36">
        <f>IF(L905="","",MIN(100,ROUND(L905/200,0)))</f>
        <v/>
      </c>
      <c r="N905" s="36" t="n"/>
      <c r="O905" s="36" t="n"/>
    </row>
    <row r="906">
      <c r="A906" s="32" t="n"/>
      <c r="B906" s="36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>
        <f>IF(COUNTA(B906:K906)&lt;10,"",MAX(300,ROUND(((((B906*1.4)+(C906*1.1)+(D906*1.1)+(E906*1)+(F906*1.1)+(G906*1)+(H906*1.6)+(I906*0.9)+(J906*1)+(K906*0.8))/11-1)/4)*20000,0)))</f>
        <v/>
      </c>
      <c r="M906" s="36">
        <f>IF(L906="","",MIN(100,ROUND(L906/200,0)))</f>
        <v/>
      </c>
      <c r="N906" s="36" t="n"/>
      <c r="O906" s="36" t="n"/>
    </row>
    <row r="907">
      <c r="A907" s="32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>
        <f>IF(COUNTA(B907:K907)&lt;10,"",MAX(300,ROUND(((((B907*1.4)+(C907*1.1)+(D907*1.1)+(E907*1)+(F907*1.1)+(G907*1)+(H907*1.6)+(I907*0.9)+(J907*1)+(K907*0.8))/11-1)/4)*20000,0)))</f>
        <v/>
      </c>
      <c r="M907" s="36">
        <f>IF(L907="","",MIN(100,ROUND(L907/200,0)))</f>
        <v/>
      </c>
      <c r="N907" s="36" t="n"/>
      <c r="O907" s="36" t="n"/>
    </row>
    <row r="908">
      <c r="A908" s="32" t="n"/>
      <c r="B908" s="36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>
        <f>IF(COUNTA(B908:K908)&lt;10,"",MAX(300,ROUND(((((B908*1.4)+(C908*1.1)+(D908*1.1)+(E908*1)+(F908*1.1)+(G908*1)+(H908*1.6)+(I908*0.9)+(J908*1)+(K908*0.8))/11-1)/4)*20000,0)))</f>
        <v/>
      </c>
      <c r="M908" s="36">
        <f>IF(L908="","",MIN(100,ROUND(L908/200,0)))</f>
        <v/>
      </c>
      <c r="N908" s="36" t="n"/>
      <c r="O908" s="36" t="n"/>
    </row>
    <row r="909">
      <c r="A909" s="32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>
        <f>IF(COUNTA(B909:K909)&lt;10,"",MAX(300,ROUND(((((B909*1.4)+(C909*1.1)+(D909*1.1)+(E909*1)+(F909*1.1)+(G909*1)+(H909*1.6)+(I909*0.9)+(J909*1)+(K909*0.8))/11-1)/4)*20000,0)))</f>
        <v/>
      </c>
      <c r="M909" s="36">
        <f>IF(L909="","",MIN(100,ROUND(L909/200,0)))</f>
        <v/>
      </c>
      <c r="N909" s="36" t="n"/>
      <c r="O909" s="36" t="n"/>
    </row>
    <row r="910">
      <c r="A910" s="32" t="n"/>
      <c r="B910" s="36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>
        <f>IF(COUNTA(B910:K910)&lt;10,"",MAX(300,ROUND(((((B910*1.4)+(C910*1.1)+(D910*1.1)+(E910*1)+(F910*1.1)+(G910*1)+(H910*1.6)+(I910*0.9)+(J910*1)+(K910*0.8))/11-1)/4)*20000,0)))</f>
        <v/>
      </c>
      <c r="M910" s="36">
        <f>IF(L910="","",MIN(100,ROUND(L910/200,0)))</f>
        <v/>
      </c>
      <c r="N910" s="36" t="n"/>
      <c r="O910" s="36" t="n"/>
    </row>
    <row r="911">
      <c r="A911" s="32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>
        <f>IF(COUNTA(B911:K911)&lt;10,"",MAX(300,ROUND(((((B911*1.4)+(C911*1.1)+(D911*1.1)+(E911*1)+(F911*1.1)+(G911*1)+(H911*1.6)+(I911*0.9)+(J911*1)+(K911*0.8))/11-1)/4)*20000,0)))</f>
        <v/>
      </c>
      <c r="M911" s="36">
        <f>IF(L911="","",MIN(100,ROUND(L911/200,0)))</f>
        <v/>
      </c>
      <c r="N911" s="36" t="n"/>
      <c r="O911" s="36" t="n"/>
    </row>
    <row r="912">
      <c r="A912" s="32" t="n"/>
      <c r="B912" s="36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>
        <f>IF(COUNTA(B912:K912)&lt;10,"",MAX(300,ROUND(((((B912*1.4)+(C912*1.1)+(D912*1.1)+(E912*1)+(F912*1.1)+(G912*1)+(H912*1.6)+(I912*0.9)+(J912*1)+(K912*0.8))/11-1)/4)*20000,0)))</f>
        <v/>
      </c>
      <c r="M912" s="36">
        <f>IF(L912="","",MIN(100,ROUND(L912/200,0)))</f>
        <v/>
      </c>
      <c r="N912" s="36" t="n"/>
      <c r="O912" s="36" t="n"/>
    </row>
    <row r="913">
      <c r="A913" s="32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>
        <f>IF(COUNTA(B913:K913)&lt;10,"",MAX(300,ROUND(((((B913*1.4)+(C913*1.1)+(D913*1.1)+(E913*1)+(F913*1.1)+(G913*1)+(H913*1.6)+(I913*0.9)+(J913*1)+(K913*0.8))/11-1)/4)*20000,0)))</f>
        <v/>
      </c>
      <c r="M913" s="36">
        <f>IF(L913="","",MIN(100,ROUND(L913/200,0)))</f>
        <v/>
      </c>
      <c r="N913" s="36" t="n"/>
      <c r="O913" s="36" t="n"/>
    </row>
    <row r="914">
      <c r="A914" s="32" t="n"/>
      <c r="B914" s="36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>
        <f>IF(COUNTA(B914:K914)&lt;10,"",MAX(300,ROUND(((((B914*1.4)+(C914*1.1)+(D914*1.1)+(E914*1)+(F914*1.1)+(G914*1)+(H914*1.6)+(I914*0.9)+(J914*1)+(K914*0.8))/11-1)/4)*20000,0)))</f>
        <v/>
      </c>
      <c r="M914" s="36">
        <f>IF(L914="","",MIN(100,ROUND(L914/200,0)))</f>
        <v/>
      </c>
      <c r="N914" s="36" t="n"/>
      <c r="O914" s="36" t="n"/>
    </row>
    <row r="915">
      <c r="A915" s="32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>
        <f>IF(COUNTA(B915:K915)&lt;10,"",MAX(300,ROUND(((((B915*1.4)+(C915*1.1)+(D915*1.1)+(E915*1)+(F915*1.1)+(G915*1)+(H915*1.6)+(I915*0.9)+(J915*1)+(K915*0.8))/11-1)/4)*20000,0)))</f>
        <v/>
      </c>
      <c r="M915" s="36">
        <f>IF(L915="","",MIN(100,ROUND(L915/200,0)))</f>
        <v/>
      </c>
      <c r="N915" s="36" t="n"/>
      <c r="O915" s="36" t="n"/>
    </row>
    <row r="916">
      <c r="A916" s="32" t="n"/>
      <c r="B916" s="36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>
        <f>IF(COUNTA(B916:K916)&lt;10,"",MAX(300,ROUND(((((B916*1.4)+(C916*1.1)+(D916*1.1)+(E916*1)+(F916*1.1)+(G916*1)+(H916*1.6)+(I916*0.9)+(J916*1)+(K916*0.8))/11-1)/4)*20000,0)))</f>
        <v/>
      </c>
      <c r="M916" s="36">
        <f>IF(L916="","",MIN(100,ROUND(L916/200,0)))</f>
        <v/>
      </c>
      <c r="N916" s="36" t="n"/>
      <c r="O916" s="36" t="n"/>
    </row>
    <row r="917">
      <c r="A917" s="32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>
        <f>IF(COUNTA(B917:K917)&lt;10,"",MAX(300,ROUND(((((B917*1.4)+(C917*1.1)+(D917*1.1)+(E917*1)+(F917*1.1)+(G917*1)+(H917*1.6)+(I917*0.9)+(J917*1)+(K917*0.8))/11-1)/4)*20000,0)))</f>
        <v/>
      </c>
      <c r="M917" s="36">
        <f>IF(L917="","",MIN(100,ROUND(L917/200,0)))</f>
        <v/>
      </c>
      <c r="N917" s="36" t="n"/>
      <c r="O917" s="36" t="n"/>
    </row>
    <row r="918">
      <c r="A918" s="32" t="n"/>
      <c r="B918" s="36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>
        <f>IF(COUNTA(B918:K918)&lt;10,"",MAX(300,ROUND(((((B918*1.4)+(C918*1.1)+(D918*1.1)+(E918*1)+(F918*1.1)+(G918*1)+(H918*1.6)+(I918*0.9)+(J918*1)+(K918*0.8))/11-1)/4)*20000,0)))</f>
        <v/>
      </c>
      <c r="M918" s="36">
        <f>IF(L918="","",MIN(100,ROUND(L918/200,0)))</f>
        <v/>
      </c>
      <c r="N918" s="36" t="n"/>
      <c r="O918" s="36" t="n"/>
    </row>
    <row r="919">
      <c r="A919" s="32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>
        <f>IF(COUNTA(B919:K919)&lt;10,"",MAX(300,ROUND(((((B919*1.4)+(C919*1.1)+(D919*1.1)+(E919*1)+(F919*1.1)+(G919*1)+(H919*1.6)+(I919*0.9)+(J919*1)+(K919*0.8))/11-1)/4)*20000,0)))</f>
        <v/>
      </c>
      <c r="M919" s="36">
        <f>IF(L919="","",MIN(100,ROUND(L919/200,0)))</f>
        <v/>
      </c>
      <c r="N919" s="36" t="n"/>
      <c r="O919" s="36" t="n"/>
    </row>
    <row r="920">
      <c r="A920" s="32" t="n"/>
      <c r="B920" s="36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>
        <f>IF(COUNTA(B920:K920)&lt;10,"",MAX(300,ROUND(((((B920*1.4)+(C920*1.1)+(D920*1.1)+(E920*1)+(F920*1.1)+(G920*1)+(H920*1.6)+(I920*0.9)+(J920*1)+(K920*0.8))/11-1)/4)*20000,0)))</f>
        <v/>
      </c>
      <c r="M920" s="36">
        <f>IF(L920="","",MIN(100,ROUND(L920/200,0)))</f>
        <v/>
      </c>
      <c r="N920" s="36" t="n"/>
      <c r="O920" s="36" t="n"/>
    </row>
    <row r="921">
      <c r="A921" s="32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>
        <f>IF(COUNTA(B921:K921)&lt;10,"",MAX(300,ROUND(((((B921*1.4)+(C921*1.1)+(D921*1.1)+(E921*1)+(F921*1.1)+(G921*1)+(H921*1.6)+(I921*0.9)+(J921*1)+(K921*0.8))/11-1)/4)*20000,0)))</f>
        <v/>
      </c>
      <c r="M921" s="36">
        <f>IF(L921="","",MIN(100,ROUND(L921/200,0)))</f>
        <v/>
      </c>
      <c r="N921" s="36" t="n"/>
      <c r="O921" s="36" t="n"/>
    </row>
    <row r="922">
      <c r="A922" s="32" t="n"/>
      <c r="B922" s="36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>
        <f>IF(COUNTA(B922:K922)&lt;10,"",MAX(300,ROUND(((((B922*1.4)+(C922*1.1)+(D922*1.1)+(E922*1)+(F922*1.1)+(G922*1)+(H922*1.6)+(I922*0.9)+(J922*1)+(K922*0.8))/11-1)/4)*20000,0)))</f>
        <v/>
      </c>
      <c r="M922" s="36">
        <f>IF(L922="","",MIN(100,ROUND(L922/200,0)))</f>
        <v/>
      </c>
      <c r="N922" s="36" t="n"/>
      <c r="O922" s="36" t="n"/>
    </row>
    <row r="923">
      <c r="A923" s="32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>
        <f>IF(COUNTA(B923:K923)&lt;10,"",MAX(300,ROUND(((((B923*1.4)+(C923*1.1)+(D923*1.1)+(E923*1)+(F923*1.1)+(G923*1)+(H923*1.6)+(I923*0.9)+(J923*1)+(K923*0.8))/11-1)/4)*20000,0)))</f>
        <v/>
      </c>
      <c r="M923" s="36">
        <f>IF(L923="","",MIN(100,ROUND(L923/200,0)))</f>
        <v/>
      </c>
      <c r="N923" s="36" t="n"/>
      <c r="O923" s="36" t="n"/>
    </row>
    <row r="924">
      <c r="A924" s="32" t="n"/>
      <c r="B924" s="36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>
        <f>IF(COUNTA(B924:K924)&lt;10,"",MAX(300,ROUND(((((B924*1.4)+(C924*1.1)+(D924*1.1)+(E924*1)+(F924*1.1)+(G924*1)+(H924*1.6)+(I924*0.9)+(J924*1)+(K924*0.8))/11-1)/4)*20000,0)))</f>
        <v/>
      </c>
      <c r="M924" s="36">
        <f>IF(L924="","",MIN(100,ROUND(L924/200,0)))</f>
        <v/>
      </c>
      <c r="N924" s="36" t="n"/>
      <c r="O924" s="36" t="n"/>
    </row>
    <row r="925">
      <c r="A925" s="32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>
        <f>IF(COUNTA(B925:K925)&lt;10,"",MAX(300,ROUND(((((B925*1.4)+(C925*1.1)+(D925*1.1)+(E925*1)+(F925*1.1)+(G925*1)+(H925*1.6)+(I925*0.9)+(J925*1)+(K925*0.8))/11-1)/4)*20000,0)))</f>
        <v/>
      </c>
      <c r="M925" s="36">
        <f>IF(L925="","",MIN(100,ROUND(L925/200,0)))</f>
        <v/>
      </c>
      <c r="N925" s="36" t="n"/>
      <c r="O925" s="36" t="n"/>
    </row>
    <row r="926">
      <c r="A926" s="32" t="n"/>
      <c r="B926" s="36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>
        <f>IF(COUNTA(B926:K926)&lt;10,"",MAX(300,ROUND(((((B926*1.4)+(C926*1.1)+(D926*1.1)+(E926*1)+(F926*1.1)+(G926*1)+(H926*1.6)+(I926*0.9)+(J926*1)+(K926*0.8))/11-1)/4)*20000,0)))</f>
        <v/>
      </c>
      <c r="M926" s="36">
        <f>IF(L926="","",MIN(100,ROUND(L926/200,0)))</f>
        <v/>
      </c>
      <c r="N926" s="36" t="n"/>
      <c r="O926" s="36" t="n"/>
    </row>
    <row r="927">
      <c r="A927" s="32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>
        <f>IF(COUNTA(B927:K927)&lt;10,"",MAX(300,ROUND(((((B927*1.4)+(C927*1.1)+(D927*1.1)+(E927*1)+(F927*1.1)+(G927*1)+(H927*1.6)+(I927*0.9)+(J927*1)+(K927*0.8))/11-1)/4)*20000,0)))</f>
        <v/>
      </c>
      <c r="M927" s="36">
        <f>IF(L927="","",MIN(100,ROUND(L927/200,0)))</f>
        <v/>
      </c>
      <c r="N927" s="36" t="n"/>
      <c r="O927" s="36" t="n"/>
    </row>
    <row r="928">
      <c r="A928" s="32" t="n"/>
      <c r="B928" s="36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>
        <f>IF(COUNTA(B928:K928)&lt;10,"",MAX(300,ROUND(((((B928*1.4)+(C928*1.1)+(D928*1.1)+(E928*1)+(F928*1.1)+(G928*1)+(H928*1.6)+(I928*0.9)+(J928*1)+(K928*0.8))/11-1)/4)*20000,0)))</f>
        <v/>
      </c>
      <c r="M928" s="36">
        <f>IF(L928="","",MIN(100,ROUND(L928/200,0)))</f>
        <v/>
      </c>
      <c r="N928" s="36" t="n"/>
      <c r="O928" s="36" t="n"/>
    </row>
    <row r="929">
      <c r="A929" s="32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>
        <f>IF(COUNTA(B929:K929)&lt;10,"",MAX(300,ROUND(((((B929*1.4)+(C929*1.1)+(D929*1.1)+(E929*1)+(F929*1.1)+(G929*1)+(H929*1.6)+(I929*0.9)+(J929*1)+(K929*0.8))/11-1)/4)*20000,0)))</f>
        <v/>
      </c>
      <c r="M929" s="36">
        <f>IF(L929="","",MIN(100,ROUND(L929/200,0)))</f>
        <v/>
      </c>
      <c r="N929" s="36" t="n"/>
      <c r="O929" s="36" t="n"/>
    </row>
    <row r="930">
      <c r="A930" s="32" t="n"/>
      <c r="B930" s="36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>
        <f>IF(COUNTA(B930:K930)&lt;10,"",MAX(300,ROUND(((((B930*1.4)+(C930*1.1)+(D930*1.1)+(E930*1)+(F930*1.1)+(G930*1)+(H930*1.6)+(I930*0.9)+(J930*1)+(K930*0.8))/11-1)/4)*20000,0)))</f>
        <v/>
      </c>
      <c r="M930" s="36">
        <f>IF(L930="","",MIN(100,ROUND(L930/200,0)))</f>
        <v/>
      </c>
      <c r="N930" s="36" t="n"/>
      <c r="O930" s="36" t="n"/>
    </row>
    <row r="931">
      <c r="A931" s="32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>
        <f>IF(COUNTA(B931:K931)&lt;10,"",MAX(300,ROUND(((((B931*1.4)+(C931*1.1)+(D931*1.1)+(E931*1)+(F931*1.1)+(G931*1)+(H931*1.6)+(I931*0.9)+(J931*1)+(K931*0.8))/11-1)/4)*20000,0)))</f>
        <v/>
      </c>
      <c r="M931" s="36">
        <f>IF(L931="","",MIN(100,ROUND(L931/200,0)))</f>
        <v/>
      </c>
      <c r="N931" s="36" t="n"/>
      <c r="O931" s="36" t="n"/>
    </row>
    <row r="932">
      <c r="A932" s="32" t="n"/>
      <c r="B932" s="36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>
        <f>IF(COUNTA(B932:K932)&lt;10,"",MAX(300,ROUND(((((B932*1.4)+(C932*1.1)+(D932*1.1)+(E932*1)+(F932*1.1)+(G932*1)+(H932*1.6)+(I932*0.9)+(J932*1)+(K932*0.8))/11-1)/4)*20000,0)))</f>
        <v/>
      </c>
      <c r="M932" s="36">
        <f>IF(L932="","",MIN(100,ROUND(L932/200,0)))</f>
        <v/>
      </c>
      <c r="N932" s="36" t="n"/>
      <c r="O932" s="36" t="n"/>
    </row>
    <row r="933">
      <c r="A933" s="32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>
        <f>IF(COUNTA(B933:K933)&lt;10,"",MAX(300,ROUND(((((B933*1.4)+(C933*1.1)+(D933*1.1)+(E933*1)+(F933*1.1)+(G933*1)+(H933*1.6)+(I933*0.9)+(J933*1)+(K933*0.8))/11-1)/4)*20000,0)))</f>
        <v/>
      </c>
      <c r="M933" s="36">
        <f>IF(L933="","",MIN(100,ROUND(L933/200,0)))</f>
        <v/>
      </c>
      <c r="N933" s="36" t="n"/>
      <c r="O933" s="36" t="n"/>
    </row>
    <row r="934">
      <c r="A934" s="32" t="n"/>
      <c r="B934" s="36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>
        <f>IF(COUNTA(B934:K934)&lt;10,"",MAX(300,ROUND(((((B934*1.4)+(C934*1.1)+(D934*1.1)+(E934*1)+(F934*1.1)+(G934*1)+(H934*1.6)+(I934*0.9)+(J934*1)+(K934*0.8))/11-1)/4)*20000,0)))</f>
        <v/>
      </c>
      <c r="M934" s="36">
        <f>IF(L934="","",MIN(100,ROUND(L934/200,0)))</f>
        <v/>
      </c>
      <c r="N934" s="36" t="n"/>
      <c r="O934" s="36" t="n"/>
    </row>
    <row r="935">
      <c r="A935" s="32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>
        <f>IF(COUNTA(B935:K935)&lt;10,"",MAX(300,ROUND(((((B935*1.4)+(C935*1.1)+(D935*1.1)+(E935*1)+(F935*1.1)+(G935*1)+(H935*1.6)+(I935*0.9)+(J935*1)+(K935*0.8))/11-1)/4)*20000,0)))</f>
        <v/>
      </c>
      <c r="M935" s="36">
        <f>IF(L935="","",MIN(100,ROUND(L935/200,0)))</f>
        <v/>
      </c>
      <c r="N935" s="36" t="n"/>
      <c r="O935" s="36" t="n"/>
    </row>
    <row r="936">
      <c r="A936" s="32" t="n"/>
      <c r="B936" s="36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>
        <f>IF(COUNTA(B936:K936)&lt;10,"",MAX(300,ROUND(((((B936*1.4)+(C936*1.1)+(D936*1.1)+(E936*1)+(F936*1.1)+(G936*1)+(H936*1.6)+(I936*0.9)+(J936*1)+(K936*0.8))/11-1)/4)*20000,0)))</f>
        <v/>
      </c>
      <c r="M936" s="36">
        <f>IF(L936="","",MIN(100,ROUND(L936/200,0)))</f>
        <v/>
      </c>
      <c r="N936" s="36" t="n"/>
      <c r="O936" s="36" t="n"/>
    </row>
    <row r="937">
      <c r="A937" s="32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>
        <f>IF(COUNTA(B937:K937)&lt;10,"",MAX(300,ROUND(((((B937*1.4)+(C937*1.1)+(D937*1.1)+(E937*1)+(F937*1.1)+(G937*1)+(H937*1.6)+(I937*0.9)+(J937*1)+(K937*0.8))/11-1)/4)*20000,0)))</f>
        <v/>
      </c>
      <c r="M937" s="36">
        <f>IF(L937="","",MIN(100,ROUND(L937/200,0)))</f>
        <v/>
      </c>
      <c r="N937" s="36" t="n"/>
      <c r="O937" s="36" t="n"/>
    </row>
    <row r="938">
      <c r="A938" s="32" t="n"/>
      <c r="B938" s="36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>
        <f>IF(COUNTA(B938:K938)&lt;10,"",MAX(300,ROUND(((((B938*1.4)+(C938*1.1)+(D938*1.1)+(E938*1)+(F938*1.1)+(G938*1)+(H938*1.6)+(I938*0.9)+(J938*1)+(K938*0.8))/11-1)/4)*20000,0)))</f>
        <v/>
      </c>
      <c r="M938" s="36">
        <f>IF(L938="","",MIN(100,ROUND(L938/200,0)))</f>
        <v/>
      </c>
      <c r="N938" s="36" t="n"/>
      <c r="O938" s="36" t="n"/>
    </row>
    <row r="939">
      <c r="A939" s="32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>
        <f>IF(COUNTA(B939:K939)&lt;10,"",MAX(300,ROUND(((((B939*1.4)+(C939*1.1)+(D939*1.1)+(E939*1)+(F939*1.1)+(G939*1)+(H939*1.6)+(I939*0.9)+(J939*1)+(K939*0.8))/11-1)/4)*20000,0)))</f>
        <v/>
      </c>
      <c r="M939" s="36">
        <f>IF(L939="","",MIN(100,ROUND(L939/200,0)))</f>
        <v/>
      </c>
      <c r="N939" s="36" t="n"/>
      <c r="O939" s="36" t="n"/>
    </row>
    <row r="940">
      <c r="A940" s="32" t="n"/>
      <c r="B940" s="36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>
        <f>IF(COUNTA(B940:K940)&lt;10,"",MAX(300,ROUND(((((B940*1.4)+(C940*1.1)+(D940*1.1)+(E940*1)+(F940*1.1)+(G940*1)+(H940*1.6)+(I940*0.9)+(J940*1)+(K940*0.8))/11-1)/4)*20000,0)))</f>
        <v/>
      </c>
      <c r="M940" s="36">
        <f>IF(L940="","",MIN(100,ROUND(L940/200,0)))</f>
        <v/>
      </c>
      <c r="N940" s="36" t="n"/>
      <c r="O940" s="36" t="n"/>
    </row>
    <row r="941">
      <c r="A941" s="32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>
        <f>IF(COUNTA(B941:K941)&lt;10,"",MAX(300,ROUND(((((B941*1.4)+(C941*1.1)+(D941*1.1)+(E941*1)+(F941*1.1)+(G941*1)+(H941*1.6)+(I941*0.9)+(J941*1)+(K941*0.8))/11-1)/4)*20000,0)))</f>
        <v/>
      </c>
      <c r="M941" s="36">
        <f>IF(L941="","",MIN(100,ROUND(L941/200,0)))</f>
        <v/>
      </c>
      <c r="N941" s="36" t="n"/>
      <c r="O941" s="36" t="n"/>
    </row>
    <row r="942">
      <c r="A942" s="32" t="n"/>
      <c r="B942" s="36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>
        <f>IF(COUNTA(B942:K942)&lt;10,"",MAX(300,ROUND(((((B942*1.4)+(C942*1.1)+(D942*1.1)+(E942*1)+(F942*1.1)+(G942*1)+(H942*1.6)+(I942*0.9)+(J942*1)+(K942*0.8))/11-1)/4)*20000,0)))</f>
        <v/>
      </c>
      <c r="M942" s="36">
        <f>IF(L942="","",MIN(100,ROUND(L942/200,0)))</f>
        <v/>
      </c>
      <c r="N942" s="36" t="n"/>
      <c r="O942" s="36" t="n"/>
    </row>
    <row r="943">
      <c r="A943" s="32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>
        <f>IF(COUNTA(B943:K943)&lt;10,"",MAX(300,ROUND(((((B943*1.4)+(C943*1.1)+(D943*1.1)+(E943*1)+(F943*1.1)+(G943*1)+(H943*1.6)+(I943*0.9)+(J943*1)+(K943*0.8))/11-1)/4)*20000,0)))</f>
        <v/>
      </c>
      <c r="M943" s="36">
        <f>IF(L943="","",MIN(100,ROUND(L943/200,0)))</f>
        <v/>
      </c>
      <c r="N943" s="36" t="n"/>
      <c r="O943" s="36" t="n"/>
    </row>
    <row r="944">
      <c r="A944" s="32" t="n"/>
      <c r="B944" s="36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>
        <f>IF(COUNTA(B944:K944)&lt;10,"",MAX(300,ROUND(((((B944*1.4)+(C944*1.1)+(D944*1.1)+(E944*1)+(F944*1.1)+(G944*1)+(H944*1.6)+(I944*0.9)+(J944*1)+(K944*0.8))/11-1)/4)*20000,0)))</f>
        <v/>
      </c>
      <c r="M944" s="36">
        <f>IF(L944="","",MIN(100,ROUND(L944/200,0)))</f>
        <v/>
      </c>
      <c r="N944" s="36" t="n"/>
      <c r="O944" s="36" t="n"/>
    </row>
    <row r="945">
      <c r="A945" s="32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>
        <f>IF(COUNTA(B945:K945)&lt;10,"",MAX(300,ROUND(((((B945*1.4)+(C945*1.1)+(D945*1.1)+(E945*1)+(F945*1.1)+(G945*1)+(H945*1.6)+(I945*0.9)+(J945*1)+(K945*0.8))/11-1)/4)*20000,0)))</f>
        <v/>
      </c>
      <c r="M945" s="36">
        <f>IF(L945="","",MIN(100,ROUND(L945/200,0)))</f>
        <v/>
      </c>
      <c r="N945" s="36" t="n"/>
      <c r="O945" s="36" t="n"/>
    </row>
    <row r="946">
      <c r="A946" s="32" t="n"/>
      <c r="B946" s="36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>
        <f>IF(COUNTA(B946:K946)&lt;10,"",MAX(300,ROUND(((((B946*1.4)+(C946*1.1)+(D946*1.1)+(E946*1)+(F946*1.1)+(G946*1)+(H946*1.6)+(I946*0.9)+(J946*1)+(K946*0.8))/11-1)/4)*20000,0)))</f>
        <v/>
      </c>
      <c r="M946" s="36">
        <f>IF(L946="","",MIN(100,ROUND(L946/200,0)))</f>
        <v/>
      </c>
      <c r="N946" s="36" t="n"/>
      <c r="O946" s="36" t="n"/>
    </row>
    <row r="947">
      <c r="A947" s="32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>
        <f>IF(COUNTA(B947:K947)&lt;10,"",MAX(300,ROUND(((((B947*1.4)+(C947*1.1)+(D947*1.1)+(E947*1)+(F947*1.1)+(G947*1)+(H947*1.6)+(I947*0.9)+(J947*1)+(K947*0.8))/11-1)/4)*20000,0)))</f>
        <v/>
      </c>
      <c r="M947" s="36">
        <f>IF(L947="","",MIN(100,ROUND(L947/200,0)))</f>
        <v/>
      </c>
      <c r="N947" s="36" t="n"/>
      <c r="O947" s="36" t="n"/>
    </row>
    <row r="948">
      <c r="A948" s="32" t="n"/>
      <c r="B948" s="36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>
        <f>IF(COUNTA(B948:K948)&lt;10,"",MAX(300,ROUND(((((B948*1.4)+(C948*1.1)+(D948*1.1)+(E948*1)+(F948*1.1)+(G948*1)+(H948*1.6)+(I948*0.9)+(J948*1)+(K948*0.8))/11-1)/4)*20000,0)))</f>
        <v/>
      </c>
      <c r="M948" s="36">
        <f>IF(L948="","",MIN(100,ROUND(L948/200,0)))</f>
        <v/>
      </c>
      <c r="N948" s="36" t="n"/>
      <c r="O948" s="36" t="n"/>
    </row>
    <row r="949">
      <c r="A949" s="32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>
        <f>IF(COUNTA(B949:K949)&lt;10,"",MAX(300,ROUND(((((B949*1.4)+(C949*1.1)+(D949*1.1)+(E949*1)+(F949*1.1)+(G949*1)+(H949*1.6)+(I949*0.9)+(J949*1)+(K949*0.8))/11-1)/4)*20000,0)))</f>
        <v/>
      </c>
      <c r="M949" s="36">
        <f>IF(L949="","",MIN(100,ROUND(L949/200,0)))</f>
        <v/>
      </c>
      <c r="N949" s="36" t="n"/>
      <c r="O949" s="36" t="n"/>
    </row>
    <row r="950">
      <c r="A950" s="32" t="n"/>
      <c r="B950" s="36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>
        <f>IF(COUNTA(B950:K950)&lt;10,"",MAX(300,ROUND(((((B950*1.4)+(C950*1.1)+(D950*1.1)+(E950*1)+(F950*1.1)+(G950*1)+(H950*1.6)+(I950*0.9)+(J950*1)+(K950*0.8))/11-1)/4)*20000,0)))</f>
        <v/>
      </c>
      <c r="M950" s="36">
        <f>IF(L950="","",MIN(100,ROUND(L950/200,0)))</f>
        <v/>
      </c>
      <c r="N950" s="36" t="n"/>
      <c r="O950" s="36" t="n"/>
    </row>
    <row r="951">
      <c r="A951" s="32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>
        <f>IF(COUNTA(B951:K951)&lt;10,"",MAX(300,ROUND(((((B951*1.4)+(C951*1.1)+(D951*1.1)+(E951*1)+(F951*1.1)+(G951*1)+(H951*1.6)+(I951*0.9)+(J951*1)+(K951*0.8))/11-1)/4)*20000,0)))</f>
        <v/>
      </c>
      <c r="M951" s="36">
        <f>IF(L951="","",MIN(100,ROUND(L951/200,0)))</f>
        <v/>
      </c>
      <c r="N951" s="36" t="n"/>
      <c r="O951" s="36" t="n"/>
    </row>
    <row r="952">
      <c r="A952" s="32" t="n"/>
      <c r="B952" s="36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>
        <f>IF(COUNTA(B952:K952)&lt;10,"",MAX(300,ROUND(((((B952*1.4)+(C952*1.1)+(D952*1.1)+(E952*1)+(F952*1.1)+(G952*1)+(H952*1.6)+(I952*0.9)+(J952*1)+(K952*0.8))/11-1)/4)*20000,0)))</f>
        <v/>
      </c>
      <c r="M952" s="36">
        <f>IF(L952="","",MIN(100,ROUND(L952/200,0)))</f>
        <v/>
      </c>
      <c r="N952" s="36" t="n"/>
      <c r="O952" s="36" t="n"/>
    </row>
    <row r="953">
      <c r="A953" s="32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>
        <f>IF(COUNTA(B953:K953)&lt;10,"",MAX(300,ROUND(((((B953*1.4)+(C953*1.1)+(D953*1.1)+(E953*1)+(F953*1.1)+(G953*1)+(H953*1.6)+(I953*0.9)+(J953*1)+(K953*0.8))/11-1)/4)*20000,0)))</f>
        <v/>
      </c>
      <c r="M953" s="36">
        <f>IF(L953="","",MIN(100,ROUND(L953/200,0)))</f>
        <v/>
      </c>
      <c r="N953" s="36" t="n"/>
      <c r="O953" s="36" t="n"/>
    </row>
    <row r="954">
      <c r="A954" s="32" t="n"/>
      <c r="B954" s="36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>
        <f>IF(COUNTA(B954:K954)&lt;10,"",MAX(300,ROUND(((((B954*1.4)+(C954*1.1)+(D954*1.1)+(E954*1)+(F954*1.1)+(G954*1)+(H954*1.6)+(I954*0.9)+(J954*1)+(K954*0.8))/11-1)/4)*20000,0)))</f>
        <v/>
      </c>
      <c r="M954" s="36">
        <f>IF(L954="","",MIN(100,ROUND(L954/200,0)))</f>
        <v/>
      </c>
      <c r="N954" s="36" t="n"/>
      <c r="O954" s="36" t="n"/>
    </row>
    <row r="955">
      <c r="A955" s="32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>
        <f>IF(COUNTA(B955:K955)&lt;10,"",MAX(300,ROUND(((((B955*1.4)+(C955*1.1)+(D955*1.1)+(E955*1)+(F955*1.1)+(G955*1)+(H955*1.6)+(I955*0.9)+(J955*1)+(K955*0.8))/11-1)/4)*20000,0)))</f>
        <v/>
      </c>
      <c r="M955" s="36">
        <f>IF(L955="","",MIN(100,ROUND(L955/200,0)))</f>
        <v/>
      </c>
      <c r="N955" s="36" t="n"/>
      <c r="O955" s="36" t="n"/>
    </row>
    <row r="956">
      <c r="A956" s="32" t="n"/>
      <c r="B956" s="36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>
        <f>IF(COUNTA(B956:K956)&lt;10,"",MAX(300,ROUND(((((B956*1.4)+(C956*1.1)+(D956*1.1)+(E956*1)+(F956*1.1)+(G956*1)+(H956*1.6)+(I956*0.9)+(J956*1)+(K956*0.8))/11-1)/4)*20000,0)))</f>
        <v/>
      </c>
      <c r="M956" s="36">
        <f>IF(L956="","",MIN(100,ROUND(L956/200,0)))</f>
        <v/>
      </c>
      <c r="N956" s="36" t="n"/>
      <c r="O956" s="36" t="n"/>
    </row>
    <row r="957">
      <c r="A957" s="32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>
        <f>IF(COUNTA(B957:K957)&lt;10,"",MAX(300,ROUND(((((B957*1.4)+(C957*1.1)+(D957*1.1)+(E957*1)+(F957*1.1)+(G957*1)+(H957*1.6)+(I957*0.9)+(J957*1)+(K957*0.8))/11-1)/4)*20000,0)))</f>
        <v/>
      </c>
      <c r="M957" s="36">
        <f>IF(L957="","",MIN(100,ROUND(L957/200,0)))</f>
        <v/>
      </c>
      <c r="N957" s="36" t="n"/>
      <c r="O957" s="36" t="n"/>
    </row>
    <row r="958">
      <c r="A958" s="32" t="n"/>
      <c r="B958" s="36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>
        <f>IF(COUNTA(B958:K958)&lt;10,"",MAX(300,ROUND(((((B958*1.4)+(C958*1.1)+(D958*1.1)+(E958*1)+(F958*1.1)+(G958*1)+(H958*1.6)+(I958*0.9)+(J958*1)+(K958*0.8))/11-1)/4)*20000,0)))</f>
        <v/>
      </c>
      <c r="M958" s="36">
        <f>IF(L958="","",MIN(100,ROUND(L958/200,0)))</f>
        <v/>
      </c>
      <c r="N958" s="36" t="n"/>
      <c r="O958" s="36" t="n"/>
    </row>
    <row r="959">
      <c r="A959" s="32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>
        <f>IF(COUNTA(B959:K959)&lt;10,"",MAX(300,ROUND(((((B959*1.4)+(C959*1.1)+(D959*1.1)+(E959*1)+(F959*1.1)+(G959*1)+(H959*1.6)+(I959*0.9)+(J959*1)+(K959*0.8))/11-1)/4)*20000,0)))</f>
        <v/>
      </c>
      <c r="M959" s="36">
        <f>IF(L959="","",MIN(100,ROUND(L959/200,0)))</f>
        <v/>
      </c>
      <c r="N959" s="36" t="n"/>
      <c r="O959" s="36" t="n"/>
    </row>
    <row r="960">
      <c r="A960" s="32" t="n"/>
      <c r="B960" s="36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>
        <f>IF(COUNTA(B960:K960)&lt;10,"",MAX(300,ROUND(((((B960*1.4)+(C960*1.1)+(D960*1.1)+(E960*1)+(F960*1.1)+(G960*1)+(H960*1.6)+(I960*0.9)+(J960*1)+(K960*0.8))/11-1)/4)*20000,0)))</f>
        <v/>
      </c>
      <c r="M960" s="36">
        <f>IF(L960="","",MIN(100,ROUND(L960/200,0)))</f>
        <v/>
      </c>
      <c r="N960" s="36" t="n"/>
      <c r="O960" s="36" t="n"/>
    </row>
    <row r="961">
      <c r="A961" s="32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>
        <f>IF(COUNTA(B961:K961)&lt;10,"",MAX(300,ROUND(((((B961*1.4)+(C961*1.1)+(D961*1.1)+(E961*1)+(F961*1.1)+(G961*1)+(H961*1.6)+(I961*0.9)+(J961*1)+(K961*0.8))/11-1)/4)*20000,0)))</f>
        <v/>
      </c>
      <c r="M961" s="36">
        <f>IF(L961="","",MIN(100,ROUND(L961/200,0)))</f>
        <v/>
      </c>
      <c r="N961" s="36" t="n"/>
      <c r="O961" s="36" t="n"/>
    </row>
    <row r="962">
      <c r="A962" s="32" t="n"/>
      <c r="B962" s="36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>
        <f>IF(COUNTA(B962:K962)&lt;10,"",MAX(300,ROUND(((((B962*1.4)+(C962*1.1)+(D962*1.1)+(E962*1)+(F962*1.1)+(G962*1)+(H962*1.6)+(I962*0.9)+(J962*1)+(K962*0.8))/11-1)/4)*20000,0)))</f>
        <v/>
      </c>
      <c r="M962" s="36">
        <f>IF(L962="","",MIN(100,ROUND(L962/200,0)))</f>
        <v/>
      </c>
      <c r="N962" s="36" t="n"/>
      <c r="O962" s="36" t="n"/>
    </row>
    <row r="963">
      <c r="A963" s="32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>
        <f>IF(COUNTA(B963:K963)&lt;10,"",MAX(300,ROUND(((((B963*1.4)+(C963*1.1)+(D963*1.1)+(E963*1)+(F963*1.1)+(G963*1)+(H963*1.6)+(I963*0.9)+(J963*1)+(K963*0.8))/11-1)/4)*20000,0)))</f>
        <v/>
      </c>
      <c r="M963" s="36">
        <f>IF(L963="","",MIN(100,ROUND(L963/200,0)))</f>
        <v/>
      </c>
      <c r="N963" s="36" t="n"/>
      <c r="O963" s="36" t="n"/>
    </row>
    <row r="964">
      <c r="A964" s="32" t="n"/>
      <c r="B964" s="36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>
        <f>IF(COUNTA(B964:K964)&lt;10,"",MAX(300,ROUND(((((B964*1.4)+(C964*1.1)+(D964*1.1)+(E964*1)+(F964*1.1)+(G964*1)+(H964*1.6)+(I964*0.9)+(J964*1)+(K964*0.8))/11-1)/4)*20000,0)))</f>
        <v/>
      </c>
      <c r="M964" s="36">
        <f>IF(L964="","",MIN(100,ROUND(L964/200,0)))</f>
        <v/>
      </c>
      <c r="N964" s="36" t="n"/>
      <c r="O964" s="36" t="n"/>
    </row>
    <row r="965">
      <c r="A965" s="32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>
        <f>IF(COUNTA(B965:K965)&lt;10,"",MAX(300,ROUND(((((B965*1.4)+(C965*1.1)+(D965*1.1)+(E965*1)+(F965*1.1)+(G965*1)+(H965*1.6)+(I965*0.9)+(J965*1)+(K965*0.8))/11-1)/4)*20000,0)))</f>
        <v/>
      </c>
      <c r="M965" s="36">
        <f>IF(L965="","",MIN(100,ROUND(L965/200,0)))</f>
        <v/>
      </c>
      <c r="N965" s="36" t="n"/>
      <c r="O965" s="36" t="n"/>
    </row>
    <row r="966">
      <c r="A966" s="32" t="n"/>
      <c r="B966" s="36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>
        <f>IF(COUNTA(B966:K966)&lt;10,"",MAX(300,ROUND(((((B966*1.4)+(C966*1.1)+(D966*1.1)+(E966*1)+(F966*1.1)+(G966*1)+(H966*1.6)+(I966*0.9)+(J966*1)+(K966*0.8))/11-1)/4)*20000,0)))</f>
        <v/>
      </c>
      <c r="M966" s="36">
        <f>IF(L966="","",MIN(100,ROUND(L966/200,0)))</f>
        <v/>
      </c>
      <c r="N966" s="36" t="n"/>
      <c r="O966" s="36" t="n"/>
    </row>
    <row r="967">
      <c r="A967" s="32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>
        <f>IF(COUNTA(B967:K967)&lt;10,"",MAX(300,ROUND(((((B967*1.4)+(C967*1.1)+(D967*1.1)+(E967*1)+(F967*1.1)+(G967*1)+(H967*1.6)+(I967*0.9)+(J967*1)+(K967*0.8))/11-1)/4)*20000,0)))</f>
        <v/>
      </c>
      <c r="M967" s="36">
        <f>IF(L967="","",MIN(100,ROUND(L967/200,0)))</f>
        <v/>
      </c>
      <c r="N967" s="36" t="n"/>
      <c r="O967" s="36" t="n"/>
    </row>
    <row r="968">
      <c r="A968" s="32" t="n"/>
      <c r="B968" s="36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>
        <f>IF(COUNTA(B968:K968)&lt;10,"",MAX(300,ROUND(((((B968*1.4)+(C968*1.1)+(D968*1.1)+(E968*1)+(F968*1.1)+(G968*1)+(H968*1.6)+(I968*0.9)+(J968*1)+(K968*0.8))/11-1)/4)*20000,0)))</f>
        <v/>
      </c>
      <c r="M968" s="36">
        <f>IF(L968="","",MIN(100,ROUND(L968/200,0)))</f>
        <v/>
      </c>
      <c r="N968" s="36" t="n"/>
      <c r="O968" s="36" t="n"/>
    </row>
    <row r="969">
      <c r="A969" s="32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>
        <f>IF(COUNTA(B969:K969)&lt;10,"",MAX(300,ROUND(((((B969*1.4)+(C969*1.1)+(D969*1.1)+(E969*1)+(F969*1.1)+(G969*1)+(H969*1.6)+(I969*0.9)+(J969*1)+(K969*0.8))/11-1)/4)*20000,0)))</f>
        <v/>
      </c>
      <c r="M969" s="36">
        <f>IF(L969="","",MIN(100,ROUND(L969/200,0)))</f>
        <v/>
      </c>
      <c r="N969" s="36" t="n"/>
      <c r="O969" s="36" t="n"/>
    </row>
    <row r="970">
      <c r="A970" s="32" t="n"/>
      <c r="B970" s="36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>
        <f>IF(COUNTA(B970:K970)&lt;10,"",MAX(300,ROUND(((((B970*1.4)+(C970*1.1)+(D970*1.1)+(E970*1)+(F970*1.1)+(G970*1)+(H970*1.6)+(I970*0.9)+(J970*1)+(K970*0.8))/11-1)/4)*20000,0)))</f>
        <v/>
      </c>
      <c r="M970" s="36">
        <f>IF(L970="","",MIN(100,ROUND(L970/200,0)))</f>
        <v/>
      </c>
      <c r="N970" s="36" t="n"/>
      <c r="O970" s="36" t="n"/>
    </row>
    <row r="971">
      <c r="A971" s="32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>
        <f>IF(COUNTA(B971:K971)&lt;10,"",MAX(300,ROUND(((((B971*1.4)+(C971*1.1)+(D971*1.1)+(E971*1)+(F971*1.1)+(G971*1)+(H971*1.6)+(I971*0.9)+(J971*1)+(K971*0.8))/11-1)/4)*20000,0)))</f>
        <v/>
      </c>
      <c r="M971" s="36">
        <f>IF(L971="","",MIN(100,ROUND(L971/200,0)))</f>
        <v/>
      </c>
      <c r="N971" s="36" t="n"/>
      <c r="O971" s="36" t="n"/>
    </row>
    <row r="972">
      <c r="A972" s="32" t="n"/>
      <c r="B972" s="36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>
        <f>IF(COUNTA(B972:K972)&lt;10,"",MAX(300,ROUND(((((B972*1.4)+(C972*1.1)+(D972*1.1)+(E972*1)+(F972*1.1)+(G972*1)+(H972*1.6)+(I972*0.9)+(J972*1)+(K972*0.8))/11-1)/4)*20000,0)))</f>
        <v/>
      </c>
      <c r="M972" s="36">
        <f>IF(L972="","",MIN(100,ROUND(L972/200,0)))</f>
        <v/>
      </c>
      <c r="N972" s="36" t="n"/>
      <c r="O972" s="36" t="n"/>
    </row>
    <row r="973">
      <c r="A973" s="32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>
        <f>IF(COUNTA(B973:K973)&lt;10,"",MAX(300,ROUND(((((B973*1.4)+(C973*1.1)+(D973*1.1)+(E973*1)+(F973*1.1)+(G973*1)+(H973*1.6)+(I973*0.9)+(J973*1)+(K973*0.8))/11-1)/4)*20000,0)))</f>
        <v/>
      </c>
      <c r="M973" s="36">
        <f>IF(L973="","",MIN(100,ROUND(L973/200,0)))</f>
        <v/>
      </c>
      <c r="N973" s="36" t="n"/>
      <c r="O973" s="36" t="n"/>
    </row>
    <row r="974">
      <c r="A974" s="32" t="n"/>
      <c r="B974" s="36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>
        <f>IF(COUNTA(B974:K974)&lt;10,"",MAX(300,ROUND(((((B974*1.4)+(C974*1.1)+(D974*1.1)+(E974*1)+(F974*1.1)+(G974*1)+(H974*1.6)+(I974*0.9)+(J974*1)+(K974*0.8))/11-1)/4)*20000,0)))</f>
        <v/>
      </c>
      <c r="M974" s="36">
        <f>IF(L974="","",MIN(100,ROUND(L974/200,0)))</f>
        <v/>
      </c>
      <c r="N974" s="36" t="n"/>
      <c r="O974" s="36" t="n"/>
    </row>
    <row r="975">
      <c r="A975" s="32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>
        <f>IF(COUNTA(B975:K975)&lt;10,"",MAX(300,ROUND(((((B975*1.4)+(C975*1.1)+(D975*1.1)+(E975*1)+(F975*1.1)+(G975*1)+(H975*1.6)+(I975*0.9)+(J975*1)+(K975*0.8))/11-1)/4)*20000,0)))</f>
        <v/>
      </c>
      <c r="M975" s="36">
        <f>IF(L975="","",MIN(100,ROUND(L975/200,0)))</f>
        <v/>
      </c>
      <c r="N975" s="36" t="n"/>
      <c r="O975" s="36" t="n"/>
    </row>
    <row r="976">
      <c r="A976" s="32" t="n"/>
      <c r="B976" s="36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>
        <f>IF(COUNTA(B976:K976)&lt;10,"",MAX(300,ROUND(((((B976*1.4)+(C976*1.1)+(D976*1.1)+(E976*1)+(F976*1.1)+(G976*1)+(H976*1.6)+(I976*0.9)+(J976*1)+(K976*0.8))/11-1)/4)*20000,0)))</f>
        <v/>
      </c>
      <c r="M976" s="36">
        <f>IF(L976="","",MIN(100,ROUND(L976/200,0)))</f>
        <v/>
      </c>
      <c r="N976" s="36" t="n"/>
      <c r="O976" s="36" t="n"/>
    </row>
    <row r="977">
      <c r="A977" s="32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>
        <f>IF(COUNTA(B977:K977)&lt;10,"",MAX(300,ROUND(((((B977*1.4)+(C977*1.1)+(D977*1.1)+(E977*1)+(F977*1.1)+(G977*1)+(H977*1.6)+(I977*0.9)+(J977*1)+(K977*0.8))/11-1)/4)*20000,0)))</f>
        <v/>
      </c>
      <c r="M977" s="36">
        <f>IF(L977="","",MIN(100,ROUND(L977/200,0)))</f>
        <v/>
      </c>
      <c r="N977" s="36" t="n"/>
      <c r="O977" s="36" t="n"/>
    </row>
    <row r="978">
      <c r="A978" s="32" t="n"/>
      <c r="B978" s="36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>
        <f>IF(COUNTA(B978:K978)&lt;10,"",MAX(300,ROUND(((((B978*1.4)+(C978*1.1)+(D978*1.1)+(E978*1)+(F978*1.1)+(G978*1)+(H978*1.6)+(I978*0.9)+(J978*1)+(K978*0.8))/11-1)/4)*20000,0)))</f>
        <v/>
      </c>
      <c r="M978" s="36">
        <f>IF(L978="","",MIN(100,ROUND(L978/200,0)))</f>
        <v/>
      </c>
      <c r="N978" s="36" t="n"/>
      <c r="O978" s="36" t="n"/>
    </row>
    <row r="979">
      <c r="A979" s="32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>
        <f>IF(COUNTA(B979:K979)&lt;10,"",MAX(300,ROUND(((((B979*1.4)+(C979*1.1)+(D979*1.1)+(E979*1)+(F979*1.1)+(G979*1)+(H979*1.6)+(I979*0.9)+(J979*1)+(K979*0.8))/11-1)/4)*20000,0)))</f>
        <v/>
      </c>
      <c r="M979" s="36">
        <f>IF(L979="","",MIN(100,ROUND(L979/200,0)))</f>
        <v/>
      </c>
      <c r="N979" s="36" t="n"/>
      <c r="O979" s="36" t="n"/>
    </row>
    <row r="980">
      <c r="A980" s="32" t="n"/>
      <c r="B980" s="36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>
        <f>IF(COUNTA(B980:K980)&lt;10,"",MAX(300,ROUND(((((B980*1.4)+(C980*1.1)+(D980*1.1)+(E980*1)+(F980*1.1)+(G980*1)+(H980*1.6)+(I980*0.9)+(J980*1)+(K980*0.8))/11-1)/4)*20000,0)))</f>
        <v/>
      </c>
      <c r="M980" s="36">
        <f>IF(L980="","",MIN(100,ROUND(L980/200,0)))</f>
        <v/>
      </c>
      <c r="N980" s="36" t="n"/>
      <c r="O980" s="36" t="n"/>
    </row>
    <row r="981">
      <c r="A981" s="32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>
        <f>IF(COUNTA(B981:K981)&lt;10,"",MAX(300,ROUND(((((B981*1.4)+(C981*1.1)+(D981*1.1)+(E981*1)+(F981*1.1)+(G981*1)+(H981*1.6)+(I981*0.9)+(J981*1)+(K981*0.8))/11-1)/4)*20000,0)))</f>
        <v/>
      </c>
      <c r="M981" s="36">
        <f>IF(L981="","",MIN(100,ROUND(L981/200,0)))</f>
        <v/>
      </c>
      <c r="N981" s="36" t="n"/>
      <c r="O981" s="36" t="n"/>
    </row>
    <row r="982">
      <c r="A982" s="32" t="n"/>
      <c r="B982" s="36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>
        <f>IF(COUNTA(B982:K982)&lt;10,"",MAX(300,ROUND(((((B982*1.4)+(C982*1.1)+(D982*1.1)+(E982*1)+(F982*1.1)+(G982*1)+(H982*1.6)+(I982*0.9)+(J982*1)+(K982*0.8))/11-1)/4)*20000,0)))</f>
        <v/>
      </c>
      <c r="M982" s="36">
        <f>IF(L982="","",MIN(100,ROUND(L982/200,0)))</f>
        <v/>
      </c>
      <c r="N982" s="36" t="n"/>
      <c r="O982" s="36" t="n"/>
    </row>
    <row r="983">
      <c r="A983" s="32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>
        <f>IF(COUNTA(B983:K983)&lt;10,"",MAX(300,ROUND(((((B983*1.4)+(C983*1.1)+(D983*1.1)+(E983*1)+(F983*1.1)+(G983*1)+(H983*1.6)+(I983*0.9)+(J983*1)+(K983*0.8))/11-1)/4)*20000,0)))</f>
        <v/>
      </c>
      <c r="M983" s="36">
        <f>IF(L983="","",MIN(100,ROUND(L983/200,0)))</f>
        <v/>
      </c>
      <c r="N983" s="36" t="n"/>
      <c r="O983" s="36" t="n"/>
    </row>
    <row r="984">
      <c r="A984" s="32" t="n"/>
      <c r="B984" s="36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>
        <f>IF(COUNTA(B984:K984)&lt;10,"",MAX(300,ROUND(((((B984*1.4)+(C984*1.1)+(D984*1.1)+(E984*1)+(F984*1.1)+(G984*1)+(H984*1.6)+(I984*0.9)+(J984*1)+(K984*0.8))/11-1)/4)*20000,0)))</f>
        <v/>
      </c>
      <c r="M984" s="36">
        <f>IF(L984="","",MIN(100,ROUND(L984/200,0)))</f>
        <v/>
      </c>
      <c r="N984" s="36" t="n"/>
      <c r="O984" s="36" t="n"/>
    </row>
    <row r="985">
      <c r="A985" s="32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>
        <f>IF(COUNTA(B985:K985)&lt;10,"",MAX(300,ROUND(((((B985*1.4)+(C985*1.1)+(D985*1.1)+(E985*1)+(F985*1.1)+(G985*1)+(H985*1.6)+(I985*0.9)+(J985*1)+(K985*0.8))/11-1)/4)*20000,0)))</f>
        <v/>
      </c>
      <c r="M985" s="36">
        <f>IF(L985="","",MIN(100,ROUND(L985/200,0)))</f>
        <v/>
      </c>
      <c r="N985" s="36" t="n"/>
      <c r="O985" s="36" t="n"/>
    </row>
    <row r="986">
      <c r="A986" s="32" t="n"/>
      <c r="B986" s="36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>
        <f>IF(COUNTA(B986:K986)&lt;10,"",MAX(300,ROUND(((((B986*1.4)+(C986*1.1)+(D986*1.1)+(E986*1)+(F986*1.1)+(G986*1)+(H986*1.6)+(I986*0.9)+(J986*1)+(K986*0.8))/11-1)/4)*20000,0)))</f>
        <v/>
      </c>
      <c r="M986" s="36">
        <f>IF(L986="","",MIN(100,ROUND(L986/200,0)))</f>
        <v/>
      </c>
      <c r="N986" s="36" t="n"/>
      <c r="O986" s="36" t="n"/>
    </row>
    <row r="987">
      <c r="A987" s="32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>
        <f>IF(COUNTA(B987:K987)&lt;10,"",MAX(300,ROUND(((((B987*1.4)+(C987*1.1)+(D987*1.1)+(E987*1)+(F987*1.1)+(G987*1)+(H987*1.6)+(I987*0.9)+(J987*1)+(K987*0.8))/11-1)/4)*20000,0)))</f>
        <v/>
      </c>
      <c r="M987" s="36">
        <f>IF(L987="","",MIN(100,ROUND(L987/200,0)))</f>
        <v/>
      </c>
      <c r="N987" s="36" t="n"/>
      <c r="O987" s="36" t="n"/>
    </row>
    <row r="988">
      <c r="A988" s="32" t="n"/>
      <c r="B988" s="36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>
        <f>IF(COUNTA(B988:K988)&lt;10,"",MAX(300,ROUND(((((B988*1.4)+(C988*1.1)+(D988*1.1)+(E988*1)+(F988*1.1)+(G988*1)+(H988*1.6)+(I988*0.9)+(J988*1)+(K988*0.8))/11-1)/4)*20000,0)))</f>
        <v/>
      </c>
      <c r="M988" s="36">
        <f>IF(L988="","",MIN(100,ROUND(L988/200,0)))</f>
        <v/>
      </c>
      <c r="N988" s="36" t="n"/>
      <c r="O988" s="36" t="n"/>
    </row>
    <row r="989">
      <c r="A989" s="32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>
        <f>IF(COUNTA(B989:K989)&lt;10,"",MAX(300,ROUND(((((B989*1.4)+(C989*1.1)+(D989*1.1)+(E989*1)+(F989*1.1)+(G989*1)+(H989*1.6)+(I989*0.9)+(J989*1)+(K989*0.8))/11-1)/4)*20000,0)))</f>
        <v/>
      </c>
      <c r="M989" s="36">
        <f>IF(L989="","",MIN(100,ROUND(L989/200,0)))</f>
        <v/>
      </c>
      <c r="N989" s="36" t="n"/>
      <c r="O989" s="36" t="n"/>
    </row>
    <row r="990">
      <c r="A990" s="32" t="n"/>
      <c r="B990" s="36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>
        <f>IF(COUNTA(B990:K990)&lt;10,"",MAX(300,ROUND(((((B990*1.4)+(C990*1.1)+(D990*1.1)+(E990*1)+(F990*1.1)+(G990*1)+(H990*1.6)+(I990*0.9)+(J990*1)+(K990*0.8))/11-1)/4)*20000,0)))</f>
        <v/>
      </c>
      <c r="M990" s="36">
        <f>IF(L990="","",MIN(100,ROUND(L990/200,0)))</f>
        <v/>
      </c>
      <c r="N990" s="36" t="n"/>
      <c r="O990" s="36" t="n"/>
    </row>
    <row r="991">
      <c r="A991" s="32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>
        <f>IF(COUNTA(B991:K991)&lt;10,"",MAX(300,ROUND(((((B991*1.4)+(C991*1.1)+(D991*1.1)+(E991*1)+(F991*1.1)+(G991*1)+(H991*1.6)+(I991*0.9)+(J991*1)+(K991*0.8))/11-1)/4)*20000,0)))</f>
        <v/>
      </c>
      <c r="M991" s="36">
        <f>IF(L991="","",MIN(100,ROUND(L991/200,0)))</f>
        <v/>
      </c>
      <c r="N991" s="36" t="n"/>
      <c r="O991" s="36" t="n"/>
    </row>
    <row r="992">
      <c r="A992" s="32" t="n"/>
      <c r="B992" s="36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>
        <f>IF(COUNTA(B992:K992)&lt;10,"",MAX(300,ROUND(((((B992*1.4)+(C992*1.1)+(D992*1.1)+(E992*1)+(F992*1.1)+(G992*1)+(H992*1.6)+(I992*0.9)+(J992*1)+(K992*0.8))/11-1)/4)*20000,0)))</f>
        <v/>
      </c>
      <c r="M992" s="36">
        <f>IF(L992="","",MIN(100,ROUND(L992/200,0)))</f>
        <v/>
      </c>
      <c r="N992" s="36" t="n"/>
      <c r="O992" s="36" t="n"/>
    </row>
    <row r="993">
      <c r="A993" s="32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>
        <f>IF(COUNTA(B993:K993)&lt;10,"",MAX(300,ROUND(((((B993*1.4)+(C993*1.1)+(D993*1.1)+(E993*1)+(F993*1.1)+(G993*1)+(H993*1.6)+(I993*0.9)+(J993*1)+(K993*0.8))/11-1)/4)*20000,0)))</f>
        <v/>
      </c>
      <c r="M993" s="36">
        <f>IF(L993="","",MIN(100,ROUND(L993/200,0)))</f>
        <v/>
      </c>
      <c r="N993" s="36" t="n"/>
      <c r="O993" s="36" t="n"/>
    </row>
    <row r="994">
      <c r="A994" s="32" t="n"/>
      <c r="B994" s="36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>
        <f>IF(COUNTA(B994:K994)&lt;10,"",MAX(300,ROUND(((((B994*1.4)+(C994*1.1)+(D994*1.1)+(E994*1)+(F994*1.1)+(G994*1)+(H994*1.6)+(I994*0.9)+(J994*1)+(K994*0.8))/11-1)/4)*20000,0)))</f>
        <v/>
      </c>
      <c r="M994" s="36">
        <f>IF(L994="","",MIN(100,ROUND(L994/200,0)))</f>
        <v/>
      </c>
      <c r="N994" s="36" t="n"/>
      <c r="O994" s="36" t="n"/>
    </row>
    <row r="995">
      <c r="A995" s="32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>
        <f>IF(COUNTA(B995:K995)&lt;10,"",MAX(300,ROUND(((((B995*1.4)+(C995*1.1)+(D995*1.1)+(E995*1)+(F995*1.1)+(G995*1)+(H995*1.6)+(I995*0.9)+(J995*1)+(K995*0.8))/11-1)/4)*20000,0)))</f>
        <v/>
      </c>
      <c r="M995" s="36">
        <f>IF(L995="","",MIN(100,ROUND(L995/200,0)))</f>
        <v/>
      </c>
      <c r="N995" s="36" t="n"/>
      <c r="O995" s="36" t="n"/>
    </row>
    <row r="996">
      <c r="A996" s="32" t="n"/>
      <c r="B996" s="36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>
        <f>IF(COUNTA(B996:K996)&lt;10,"",MAX(300,ROUND(((((B996*1.4)+(C996*1.1)+(D996*1.1)+(E996*1)+(F996*1.1)+(G996*1)+(H996*1.6)+(I996*0.9)+(J996*1)+(K996*0.8))/11-1)/4)*20000,0)))</f>
        <v/>
      </c>
      <c r="M996" s="36">
        <f>IF(L996="","",MIN(100,ROUND(L996/200,0)))</f>
        <v/>
      </c>
      <c r="N996" s="36" t="n"/>
      <c r="O996" s="36" t="n"/>
    </row>
    <row r="997">
      <c r="A997" s="32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>
        <f>IF(COUNTA(B997:K997)&lt;10,"",MAX(300,ROUND(((((B997*1.4)+(C997*1.1)+(D997*1.1)+(E997*1)+(F997*1.1)+(G997*1)+(H997*1.6)+(I997*0.9)+(J997*1)+(K997*0.8))/11-1)/4)*20000,0)))</f>
        <v/>
      </c>
      <c r="M997" s="36">
        <f>IF(L997="","",MIN(100,ROUND(L997/200,0)))</f>
        <v/>
      </c>
      <c r="N997" s="36" t="n"/>
      <c r="O997" s="36" t="n"/>
    </row>
    <row r="998">
      <c r="A998" s="32" t="n"/>
      <c r="B998" s="36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>
        <f>IF(COUNTA(B998:K998)&lt;10,"",MAX(300,ROUND(((((B998*1.4)+(C998*1.1)+(D998*1.1)+(E998*1)+(F998*1.1)+(G998*1)+(H998*1.6)+(I998*0.9)+(J998*1)+(K998*0.8))/11-1)/4)*20000,0)))</f>
        <v/>
      </c>
      <c r="M998" s="36">
        <f>IF(L998="","",MIN(100,ROUND(L998/200,0)))</f>
        <v/>
      </c>
      <c r="N998" s="36" t="n"/>
      <c r="O998" s="36" t="n"/>
    </row>
    <row r="999">
      <c r="A999" s="32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>
        <f>IF(COUNTA(B999:K999)&lt;10,"",MAX(300,ROUND(((((B999*1.4)+(C999*1.1)+(D999*1.1)+(E999*1)+(F999*1.1)+(G999*1)+(H999*1.6)+(I999*0.9)+(J999*1)+(K999*0.8))/11-1)/4)*20000,0)))</f>
        <v/>
      </c>
      <c r="M999" s="36">
        <f>IF(L999="","",MIN(100,ROUND(L999/200,0)))</f>
        <v/>
      </c>
      <c r="N999" s="36" t="n"/>
      <c r="O999" s="36" t="n"/>
    </row>
    <row r="1000">
      <c r="A1000" s="32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>
        <f>IF(COUNTA(B1000:K1000)&lt;10,"",MAX(300,ROUND(((((B1000*1.4)+(C1000*1.1)+(D1000*1.1)+(E1000*1)+(F1000*1.1)+(G1000*1)+(H1000*1.6)+(I1000*0.9)+(J1000*1)+(K1000*0.8))/11-1)/4)*20000,0)))</f>
        <v/>
      </c>
      <c r="M1000" s="37">
        <f>IF(L1000="","",MIN(100,ROUND(L1000/200,0)))</f>
        <v/>
      </c>
      <c r="N1000" s="37" t="n"/>
      <c r="O1000" s="37" t="n"/>
    </row>
  </sheetData>
  <conditionalFormatting sqref="N2:N1000">
    <cfRule type="containsBlanks" priority="1" dxfId="0">
      <formula>LEN(TRIM(N2))=0</formula>
    </cfRule>
  </conditionalFormatting>
  <conditionalFormatting sqref="H2:H1000">
    <cfRule type="cellIs" priority="2" operator="lessThan" dxfId="1">
      <formula>3</formula>
    </cfRule>
  </conditionalFormatting>
  <conditionalFormatting sqref="B2:K1000">
    <cfRule type="containsBlanks" priority="3" dxfId="2">
      <formula>LEN(TRIM(B2))=0</formula>
    </cfRule>
  </conditionalFormatting>
  <dataValidations count="3">
    <dataValidation sqref="A2:A1000" showDropDown="0" showInputMessage="0" showErrorMessage="0" allowBlank="1" type="list">
      <formula1>CoachRoster!$A$2:$A$1000</formula1>
    </dataValidation>
    <dataValidation sqref="B2:K1000" showDropDown="0" showInputMessage="0" showErrorMessage="0" allowBlank="1" type="whole" operator="between">
      <formula1>1</formula1>
      <formula2>5</formula2>
    </dataValidation>
    <dataValidation sqref="N2:N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38" min="1" max="1"/>
    <col width="40" customWidth="1" style="38" min="2" max="2"/>
  </cols>
  <sheetData>
    <row r="1">
      <c r="A1" s="39" t="inlineStr">
        <is>
          <t>Module</t>
        </is>
      </c>
      <c r="B1" s="39" t="inlineStr">
        <is>
          <t>LEGACY+ Coach XP System v2 (fixed)</t>
        </is>
      </c>
    </row>
    <row r="2">
      <c r="A2" t="inlineStr">
        <is>
          <t>Purpose</t>
        </is>
      </c>
      <c r="B2" t="inlineStr">
        <is>
          <t>Management-only coach progression, XP, promotions, and trials</t>
        </is>
      </c>
    </row>
    <row r="3">
      <c r="A3" t="inlineStr">
        <is>
          <t>Cap Mapping</t>
        </is>
      </c>
      <c r="B3" t="inlineStr">
        <is>
          <t>Coaching=weekly cap; Education=monthly; Ops + Professional + Systems + Programming + Experience=monthly Ops cap; Mentorship + Reputation=monthly Mentorship cap; Impact + Competition=quarterly Impact cap; Admin + Seeding=uncapped</t>
        </is>
      </c>
    </row>
    <row r="4">
      <c r="A4" t="inlineStr">
        <is>
          <t>Import Note</t>
        </is>
      </c>
      <c r="B4" t="inlineStr">
        <is>
          <t>For app import, use CoachRoster, XPMenu, XPLog, RoleTitles, XPBands, Settings as source-of-truth; recompute summaries/ledger in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2026-03-25T08:20:14Z</dcterms:created>
  <dcterms:modified xmlns:dcterms="http://purl.org/dc/terms/" xmlns:xsi="http://www.w3.org/2001/XMLSchema-instance" xsi:type="dcterms:W3CDTF">2026-03-25T08:20:14Z</dcterms:modified>
</cp:coreProperties>
</file>